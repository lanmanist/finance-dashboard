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4"/>
    <sheet state="visible" name="SL_Investment_Log" sheetId="2" r:id="rId5"/>
    <sheet state="visible" name="SL_Income_Log" sheetId="3" r:id="rId6"/>
    <sheet state="visible" name="SL_Config" sheetId="4" r:id="rId7"/>
    <sheet state="visible" name="SL_Patterns" sheetId="5" r:id="rId8"/>
    <sheet state="visible" name="SL_Budget" sheetId="6" r:id="rId9"/>
    <sheet state="visible" name="SL_Budget_Backup" sheetId="7" r:id="rId10"/>
    <sheet state="visible" name="ShadowLedger" sheetId="8" r:id="rId11"/>
    <sheet state="visible" name="RSU_Schedule" sheetId="9" r:id="rId12"/>
    <sheet state="visible" name="Salary_Schedule" sheetId="10" r:id="rId13"/>
    <sheet state="visible" name="Debt_Register" sheetId="11" r:id="rId14"/>
    <sheet state="visible" name="Monthly_Model_v4" sheetId="12" r:id="rId15"/>
  </sheets>
  <definedNames/>
  <calcPr/>
</workbook>
</file>

<file path=xl/sharedStrings.xml><?xml version="1.0" encoding="utf-8"?>
<sst xmlns="http://schemas.openxmlformats.org/spreadsheetml/2006/main" count="8676" uniqueCount="1009">
  <si>
    <t>ASSUMPTIONS SHEET</t>
  </si>
  <si>
    <t>INCOME - HUSBAND</t>
  </si>
  <si>
    <t>Base Gross Salary (2026)</t>
  </si>
  <si>
    <t>Salary Growth Rate</t>
  </si>
  <si>
    <t>Base Bonus (2026)</t>
  </si>
  <si>
    <t>Bonus Growth Rate</t>
  </si>
  <si>
    <t>Monthly Time Account Deduction</t>
  </si>
  <si>
    <t>Bonus to Time Account %</t>
  </si>
  <si>
    <t>RSU Annual Grant</t>
  </si>
  <si>
    <t>RSU Tax Rate</t>
  </si>
  <si>
    <t>Stock Price</t>
  </si>
  <si>
    <t>INCOME - WIFE</t>
  </si>
  <si>
    <t>TIME ACCOUNT</t>
  </si>
  <si>
    <t>Starting Hours - Husband (Dec 2025)</t>
  </si>
  <si>
    <t>Starting Hours - Wife (Dec 2025)</t>
  </si>
  <si>
    <t>Starting Hourly Rate (2026)</t>
  </si>
  <si>
    <t>Hourly Rate Growth</t>
  </si>
  <si>
    <t>Time Account Tax Haircut</t>
  </si>
  <si>
    <t>MORTGAGE</t>
  </si>
  <si>
    <t>Original Principal</t>
  </si>
  <si>
    <t>Interest Rate</t>
  </si>
  <si>
    <t>Monthly Payment</t>
  </si>
  <si>
    <t>Max Sondertilgung (5%)</t>
  </si>
  <si>
    <t>Start Month (Jun 2023)</t>
  </si>
  <si>
    <t>Maturity Month</t>
  </si>
  <si>
    <t>Balance after Nov 2025</t>
  </si>
  <si>
    <t>Sondertilgung Dec 2025</t>
  </si>
  <si>
    <t>INVESTMENT</t>
  </si>
  <si>
    <t>Starting Balance (Dec 2025)</t>
  </si>
  <si>
    <t>Annual Return</t>
  </si>
  <si>
    <t>Monthly Return Factor</t>
  </si>
  <si>
    <t>Tax on Gains (Effective)</t>
  </si>
  <si>
    <t>Monthly Salary Investment Start</t>
  </si>
  <si>
    <t>Annual Investment Increase</t>
  </si>
  <si>
    <t>YOUTUBE</t>
  </si>
  <si>
    <t>Starting Gross (Jan 2026)</t>
  </si>
  <si>
    <t>Growth per 6 months</t>
  </si>
  <si>
    <t>Monthly Cap</t>
  </si>
  <si>
    <t>Tax Rate</t>
  </si>
  <si>
    <t>HOUSE</t>
  </si>
  <si>
    <t>Starting Value (Dec 2025)</t>
  </si>
  <si>
    <t>Annual Appreciation</t>
  </si>
  <si>
    <t>OWNSAP</t>
  </si>
  <si>
    <t>Husband OWNSAP % of Gross</t>
  </si>
  <si>
    <t>Wife OWNSAP % of Gross</t>
  </si>
  <si>
    <t>Company Match %</t>
  </si>
  <si>
    <t>Company Fixed Bonus</t>
  </si>
  <si>
    <t>SAP LOAN (HOUSE)</t>
  </si>
  <si>
    <t>SAP Loan Starting Balance (Jan 2026)</t>
  </si>
  <si>
    <t>SAP Loan Monthly Principal</t>
  </si>
  <si>
    <t>SAP Loan End Month</t>
  </si>
  <si>
    <t>SAP Loan Start Date</t>
  </si>
  <si>
    <t>Jun 2023</t>
  </si>
  <si>
    <t>EXPENSES BUDGET</t>
  </si>
  <si>
    <t>Childcare</t>
  </si>
  <si>
    <t>Family Support</t>
  </si>
  <si>
    <t>Groceries + Food</t>
  </si>
  <si>
    <t>Utilities</t>
  </si>
  <si>
    <t>Car</t>
  </si>
  <si>
    <t>Shopping</t>
  </si>
  <si>
    <t>Travel &amp; Leisure</t>
  </si>
  <si>
    <t>Insurance</t>
  </si>
  <si>
    <t>Eat Out &amp; Food delivery</t>
  </si>
  <si>
    <t>Gifts</t>
  </si>
  <si>
    <t>Entertainment</t>
  </si>
  <si>
    <t>Health &amp; beauty</t>
  </si>
  <si>
    <t>Home improvement</t>
  </si>
  <si>
    <t>Business &amp; Subscription</t>
  </si>
  <si>
    <t>Donation</t>
  </si>
  <si>
    <t>Special IO</t>
  </si>
  <si>
    <t>Buffer</t>
  </si>
  <si>
    <t>Total Expense Budget (2026)</t>
  </si>
  <si>
    <t>Lifestyle Inflation %</t>
  </si>
  <si>
    <t>TARGETS &amp; CAPS</t>
  </si>
  <si>
    <t>Cashpile Target Phase 1</t>
  </si>
  <si>
    <t>Cashpile Target Phase 2</t>
  </si>
  <si>
    <t>CMP Cap</t>
  </si>
  <si>
    <t>Max Monthly Deficit Tolerance</t>
  </si>
  <si>
    <t>Cashpile Replenish Months</t>
  </si>
  <si>
    <t>ALLOCATION RULES</t>
  </si>
  <si>
    <t>Excess to Cashpile %</t>
  </si>
  <si>
    <t>Excess to Investment %</t>
  </si>
  <si>
    <t>TAX RATES</t>
  </si>
  <si>
    <t>Salary Tax (effective)</t>
  </si>
  <si>
    <t>RSU Tax</t>
  </si>
  <si>
    <t>YouTube Tax</t>
  </si>
  <si>
    <t>Investment Gains Tax</t>
  </si>
  <si>
    <t>DEBT MINIMUM PAYMENTS</t>
  </si>
  <si>
    <t>TF Card Minimum</t>
  </si>
  <si>
    <t>TF Attack Buffer</t>
  </si>
  <si>
    <t>Revolut Fixed Payment</t>
  </si>
  <si>
    <t>Revolut End Year</t>
  </si>
  <si>
    <t>Revolut End Month</t>
  </si>
  <si>
    <t>Klarna Minimum</t>
  </si>
  <si>
    <t>Nordea Minimum</t>
  </si>
  <si>
    <t>Aktia Minimum</t>
  </si>
  <si>
    <t>C3 Monthly</t>
  </si>
  <si>
    <t>C3 Quarterly Extra</t>
  </si>
  <si>
    <t>Student Monthly</t>
  </si>
  <si>
    <t>IKEA Monthly</t>
  </si>
  <si>
    <t>IKEA End Year</t>
  </si>
  <si>
    <t>IKEA End Month</t>
  </si>
  <si>
    <t>N26 Monthly</t>
  </si>
  <si>
    <t>N26 End Year</t>
  </si>
  <si>
    <t>N26 End Month</t>
  </si>
  <si>
    <t>SONDERTILGUNG CONTROL</t>
  </si>
  <si>
    <t>Sondertilgung Start Year</t>
  </si>
  <si>
    <t>Sondertilgung Month</t>
  </si>
  <si>
    <t>SIMULATION CONTROL</t>
  </si>
  <si>
    <t>Simulation Start Year</t>
  </si>
  <si>
    <t>Simulation End Year</t>
  </si>
  <si>
    <t>Mortgage Maturity Month</t>
  </si>
  <si>
    <t>ID</t>
  </si>
  <si>
    <t>Date</t>
  </si>
  <si>
    <t>MonthKey</t>
  </si>
  <si>
    <t>Amount</t>
  </si>
  <si>
    <t>Destination</t>
  </si>
  <si>
    <t>Notes</t>
  </si>
  <si>
    <t>Timestamp</t>
  </si>
  <si>
    <t>InputBy</t>
  </si>
  <si>
    <t>Type</t>
  </si>
  <si>
    <t>Spender</t>
  </si>
  <si>
    <t>Description</t>
  </si>
  <si>
    <t>key</t>
  </si>
  <si>
    <t>value</t>
  </si>
  <si>
    <t>discord_webhook_url</t>
  </si>
  <si>
    <r>
      <rPr>
        <color rgb="FF1155CC"/>
        <u/>
      </rPr>
      <t>https://discord.com/api/webhooks/1450509364107546636/kPJPDwRkoi90cz1lOqHhKii3rZ2mRc4ZYmfsXffNoPznLutEsphUTMqQDA_7IhUNxyGn</t>
    </r>
  </si>
  <si>
    <t>h_discord_username</t>
  </si>
  <si>
    <t>hewhoremains_80685</t>
  </si>
  <si>
    <t>w_discord_username</t>
  </si>
  <si>
    <t>trang_54164</t>
  </si>
  <si>
    <t>timezone</t>
  </si>
  <si>
    <t>Europe/Berlin</t>
  </si>
  <si>
    <t>daily_summary_hour</t>
  </si>
  <si>
    <t>weekly_summary_day</t>
  </si>
  <si>
    <t>alert_threshold_warning</t>
  </si>
  <si>
    <t>alert_threshold_info</t>
  </si>
  <si>
    <t>gemini_api_key</t>
  </si>
  <si>
    <t>pattern</t>
  </si>
  <si>
    <t>category</t>
  </si>
  <si>
    <t>confidence</t>
  </si>
  <si>
    <t>source</t>
  </si>
  <si>
    <t>last_used</t>
  </si>
  <si>
    <t>rewe</t>
  </si>
  <si>
    <t>high</t>
  </si>
  <si>
    <t>builtin</t>
  </si>
  <si>
    <t>lidl</t>
  </si>
  <si>
    <t>edeka</t>
  </si>
  <si>
    <t>aldi</t>
  </si>
  <si>
    <t>penny</t>
  </si>
  <si>
    <t>netto</t>
  </si>
  <si>
    <t>kaufland</t>
  </si>
  <si>
    <t>globus</t>
  </si>
  <si>
    <t>lieferando</t>
  </si>
  <si>
    <t>wolt</t>
  </si>
  <si>
    <t>uber eats</t>
  </si>
  <si>
    <t>kebab</t>
  </si>
  <si>
    <t>döner</t>
  </si>
  <si>
    <t>mcdonald</t>
  </si>
  <si>
    <t>burger king</t>
  </si>
  <si>
    <t>pizza</t>
  </si>
  <si>
    <t>subway</t>
  </si>
  <si>
    <t>ikea</t>
  </si>
  <si>
    <t>obi</t>
  </si>
  <si>
    <t>bauhaus</t>
  </si>
  <si>
    <t>hornbach</t>
  </si>
  <si>
    <t>poco</t>
  </si>
  <si>
    <t>dm</t>
  </si>
  <si>
    <t>rossmann</t>
  </si>
  <si>
    <t>douglas</t>
  </si>
  <si>
    <t>müller</t>
  </si>
  <si>
    <t>apotheke</t>
  </si>
  <si>
    <t>netflix</t>
  </si>
  <si>
    <t>disney</t>
  </si>
  <si>
    <t>spotify</t>
  </si>
  <si>
    <t>kino</t>
  </si>
  <si>
    <t>cinema</t>
  </si>
  <si>
    <t>postillion</t>
  </si>
  <si>
    <t>amazon</t>
  </si>
  <si>
    <t>medium</t>
  </si>
  <si>
    <t>zalando</t>
  </si>
  <si>
    <t>h&amp;m</t>
  </si>
  <si>
    <t>zara</t>
  </si>
  <si>
    <t>about you</t>
  </si>
  <si>
    <t>otto</t>
  </si>
  <si>
    <t>shell</t>
  </si>
  <si>
    <t>aral</t>
  </si>
  <si>
    <t>esso</t>
  </si>
  <si>
    <t>total</t>
  </si>
  <si>
    <t>jet</t>
  </si>
  <si>
    <t>tankstelle</t>
  </si>
  <si>
    <t>parking</t>
  </si>
  <si>
    <t>vodafone</t>
  </si>
  <si>
    <t>telekom</t>
  </si>
  <si>
    <t>o2</t>
  </si>
  <si>
    <t>stadtwerke</t>
  </si>
  <si>
    <t>enbw</t>
  </si>
  <si>
    <t>gemini</t>
  </si>
  <si>
    <t>claude</t>
  </si>
  <si>
    <t>openai</t>
  </si>
  <si>
    <t>apple</t>
  </si>
  <si>
    <t>google one</t>
  </si>
  <si>
    <t>dropbox</t>
  </si>
  <si>
    <t>allianz</t>
  </si>
  <si>
    <t>huk</t>
  </si>
  <si>
    <t>ergo</t>
  </si>
  <si>
    <t>axa</t>
  </si>
  <si>
    <t>Budget</t>
  </si>
  <si>
    <t>Month_Key</t>
  </si>
  <si>
    <t>Spent</t>
  </si>
  <si>
    <t>Remaining</t>
  </si>
  <si>
    <t>Percent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</si>
  <si>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</si>
  <si>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</si>
  <si>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</si>
  <si>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</si>
  <si>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</si>
  <si>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</si>
  <si>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</si>
  <si>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</si>
  <si>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</si>
  <si>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</si>
  <si>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</si>
  <si>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</si>
  <si>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</si>
  <si>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</si>
  <si>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</si>
  <si>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</si>
  <si>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</si>
  <si>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</si>
  <si>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</si>
  <si>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</si>
  <si>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</si>
  <si>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</si>
  <si>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</si>
  <si>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</si>
  <si>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</si>
  <si>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</si>
  <si>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</si>
  <si>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</si>
  <si>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</si>
  <si>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</si>
  <si>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</si>
  <si>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</si>
  <si>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</si>
  <si>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</si>
  <si>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2028-10</t>
  </si>
  <si>
    <t>2028-11</t>
  </si>
  <si>
    <t>2028-12</t>
  </si>
  <si>
    <t>2029-01</t>
  </si>
  <si>
    <t>2029-02</t>
  </si>
  <si>
    <t>2029-03</t>
  </si>
  <si>
    <t>2029-04</t>
  </si>
  <si>
    <t>2029-05</t>
  </si>
  <si>
    <t>2029-06</t>
  </si>
  <si>
    <t>2029-07</t>
  </si>
  <si>
    <t>2029-08</t>
  </si>
  <si>
    <t>2029-09</t>
  </si>
  <si>
    <t>2029-10</t>
  </si>
  <si>
    <t>2029-11</t>
  </si>
  <si>
    <t>2029-12</t>
  </si>
  <si>
    <t>2030-01</t>
  </si>
  <si>
    <t>2030-02</t>
  </si>
  <si>
    <t>2030-03</t>
  </si>
  <si>
    <t>2030-04</t>
  </si>
  <si>
    <t>2030-05</t>
  </si>
  <si>
    <t>2030-06</t>
  </si>
  <si>
    <t>2030-07</t>
  </si>
  <si>
    <t>2030-08</t>
  </si>
  <si>
    <t>2030-09</t>
  </si>
  <si>
    <t>2030-10</t>
  </si>
  <si>
    <t>2030-11</t>
  </si>
  <si>
    <t>2030-12</t>
  </si>
  <si>
    <t>2031-01</t>
  </si>
  <si>
    <t>2031-02</t>
  </si>
  <si>
    <t>2031-03</t>
  </si>
  <si>
    <t>2031-04</t>
  </si>
  <si>
    <t>2031-05</t>
  </si>
  <si>
    <t>2031-06</t>
  </si>
  <si>
    <t>2031-07</t>
  </si>
  <si>
    <t>2031-08</t>
  </si>
  <si>
    <t>2031-09</t>
  </si>
  <si>
    <t>2031-10</t>
  </si>
  <si>
    <t>2031-11</t>
  </si>
  <si>
    <t>2031-12</t>
  </si>
  <si>
    <t>2032-01</t>
  </si>
  <si>
    <t>2032-02</t>
  </si>
  <si>
    <t>2032-03</t>
  </si>
  <si>
    <t>2032-04</t>
  </si>
  <si>
    <t>2032-05</t>
  </si>
  <si>
    <t>2032-06</t>
  </si>
  <si>
    <t>2032-07</t>
  </si>
  <si>
    <t>2032-08</t>
  </si>
  <si>
    <t>2032-09</t>
  </si>
  <si>
    <t>2032-10</t>
  </si>
  <si>
    <t>2032-11</t>
  </si>
  <si>
    <t>2032-12</t>
  </si>
  <si>
    <t>2033-01</t>
  </si>
  <si>
    <t>2033-02</t>
  </si>
  <si>
    <t>2033-03</t>
  </si>
  <si>
    <t>2033-04</t>
  </si>
  <si>
    <t>2033-05</t>
  </si>
  <si>
    <t>2033-06</t>
  </si>
  <si>
    <t>2033-07</t>
  </si>
  <si>
    <t>2033-08</t>
  </si>
  <si>
    <t>2033-09</t>
  </si>
  <si>
    <t>2033-10</t>
  </si>
  <si>
    <t>2033-11</t>
  </si>
  <si>
    <t>2033-12</t>
  </si>
  <si>
    <t>2034-01</t>
  </si>
  <si>
    <t>2034-02</t>
  </si>
  <si>
    <t>2034-03</t>
  </si>
  <si>
    <t>2034-04</t>
  </si>
  <si>
    <t>2034-05</t>
  </si>
  <si>
    <t>2034-06</t>
  </si>
  <si>
    <t>2034-07</t>
  </si>
  <si>
    <t>2034-08</t>
  </si>
  <si>
    <t>2034-09</t>
  </si>
  <si>
    <t>2034-10</t>
  </si>
  <si>
    <t>2034-11</t>
  </si>
  <si>
    <t>2034-12</t>
  </si>
  <si>
    <t>2035-01</t>
  </si>
  <si>
    <t>2035-02</t>
  </si>
  <si>
    <t>2035-03</t>
  </si>
  <si>
    <t>2035-04</t>
  </si>
  <si>
    <t>2035-05</t>
  </si>
  <si>
    <t>2035-06</t>
  </si>
  <si>
    <t>2035-07</t>
  </si>
  <si>
    <t>2035-08</t>
  </si>
  <si>
    <t>2035-09</t>
  </si>
  <si>
    <t>2035-10</t>
  </si>
  <si>
    <t>2035-11</t>
  </si>
  <si>
    <t>2035-12</t>
  </si>
  <si>
    <t>2036-01</t>
  </si>
  <si>
    <t>2036-02</t>
  </si>
  <si>
    <t>2036-03</t>
  </si>
  <si>
    <t>2036-04</t>
  </si>
  <si>
    <t>2036-05</t>
  </si>
  <si>
    <t>2036-06</t>
  </si>
  <si>
    <t>2036-07</t>
  </si>
  <si>
    <t>2036-08</t>
  </si>
  <si>
    <t>2036-09</t>
  </si>
  <si>
    <t>2036-10</t>
  </si>
  <si>
    <t>2036-11</t>
  </si>
  <si>
    <t>2036-12</t>
  </si>
  <si>
    <t>2037-01</t>
  </si>
  <si>
    <t>2037-02</t>
  </si>
  <si>
    <t>2037-03</t>
  </si>
  <si>
    <t>2037-04</t>
  </si>
  <si>
    <t>2037-05</t>
  </si>
  <si>
    <t>2037-06</t>
  </si>
  <si>
    <t>2037-07</t>
  </si>
  <si>
    <t>2037-08</t>
  </si>
  <si>
    <t>2037-09</t>
  </si>
  <si>
    <t>2037-10</t>
  </si>
  <si>
    <t>2037-11</t>
  </si>
  <si>
    <t>2037-12</t>
  </si>
  <si>
    <t>2038-01</t>
  </si>
  <si>
    <t>2038-02</t>
  </si>
  <si>
    <t>2038-03</t>
  </si>
  <si>
    <t>2038-04</t>
  </si>
  <si>
    <t>2038-05</t>
  </si>
  <si>
    <t>2038-06</t>
  </si>
  <si>
    <t>2038-07</t>
  </si>
  <si>
    <t>2038-08</t>
  </si>
  <si>
    <t>2038-09</t>
  </si>
  <si>
    <t>2038-10</t>
  </si>
  <si>
    <t>2038-11</t>
  </si>
  <si>
    <t>2038-12</t>
  </si>
  <si>
    <t>2039-01</t>
  </si>
  <si>
    <t>2039-02</t>
  </si>
  <si>
    <t>2039-03</t>
  </si>
  <si>
    <t>2039-04</t>
  </si>
  <si>
    <t>2039-05</t>
  </si>
  <si>
    <t>2039-06</t>
  </si>
  <si>
    <t>2039-07</t>
  </si>
  <si>
    <t>2039-08</t>
  </si>
  <si>
    <t>2039-09</t>
  </si>
  <si>
    <t>2039-10</t>
  </si>
  <si>
    <t>2039-11</t>
  </si>
  <si>
    <t>2039-12</t>
  </si>
  <si>
    <t>2040-01</t>
  </si>
  <si>
    <t>2040-02</t>
  </si>
  <si>
    <t>2040-03</t>
  </si>
  <si>
    <t>2040-04</t>
  </si>
  <si>
    <t>2040-05</t>
  </si>
  <si>
    <t>2040-06</t>
  </si>
  <si>
    <t>2040-07</t>
  </si>
  <si>
    <t>2040-08</t>
  </si>
  <si>
    <t>2040-09</t>
  </si>
  <si>
    <t>2040-10</t>
  </si>
  <si>
    <t>2040-11</t>
  </si>
  <si>
    <t>2040-12</t>
  </si>
  <si>
    <t>2041-01</t>
  </si>
  <si>
    <t>2041-02</t>
  </si>
  <si>
    <t>2041-03</t>
  </si>
  <si>
    <t>2041-04</t>
  </si>
  <si>
    <t>2041-05</t>
  </si>
  <si>
    <t>2041-06</t>
  </si>
  <si>
    <t>2041-07</t>
  </si>
  <si>
    <t>2041-08</t>
  </si>
  <si>
    <t>2041-09</t>
  </si>
  <si>
    <t>2041-10</t>
  </si>
  <si>
    <t>2041-11</t>
  </si>
  <si>
    <t>2041-12</t>
  </si>
  <si>
    <t>2042-01</t>
  </si>
  <si>
    <t>2042-02</t>
  </si>
  <si>
    <t>2042-03</t>
  </si>
  <si>
    <t>2042-04</t>
  </si>
  <si>
    <t>2042-05</t>
  </si>
  <si>
    <t>2042-06</t>
  </si>
  <si>
    <t>2042-07</t>
  </si>
  <si>
    <t>2042-08</t>
  </si>
  <si>
    <t>2042-09</t>
  </si>
  <si>
    <t>2042-10</t>
  </si>
  <si>
    <t>2042-11</t>
  </si>
  <si>
    <t>2042-12</t>
  </si>
  <si>
    <t>monthly_budget</t>
  </si>
  <si>
    <t>current_spent</t>
  </si>
  <si>
    <t>remaining</t>
  </si>
  <si>
    <t>percent_used</t>
  </si>
  <si>
    <t>status</t>
  </si>
  <si>
    <t>txn_id</t>
  </si>
  <si>
    <t>timestamp</t>
  </si>
  <si>
    <t>txn_date</t>
  </si>
  <si>
    <t>amount</t>
  </si>
  <si>
    <t>merchant</t>
  </si>
  <si>
    <t>description</t>
  </si>
  <si>
    <t>spender</t>
  </si>
  <si>
    <t>inputter</t>
  </si>
  <si>
    <t>input_method</t>
  </si>
  <si>
    <t>categorization</t>
  </si>
  <si>
    <t>reviewed</t>
  </si>
  <si>
    <t>review_date</t>
  </si>
  <si>
    <t>raw_input</t>
  </si>
  <si>
    <t>month_key</t>
  </si>
  <si>
    <t>SL-20251218-155837-073</t>
  </si>
  <si>
    <t>cheese in nancy</t>
  </si>
  <si>
    <t>H</t>
  </si>
  <si>
    <t>Discord</t>
  </si>
  <si>
    <t>ai</t>
  </si>
  <si>
    <t>10e cheese in nancy</t>
  </si>
  <si>
    <t>SL-20251218-155922-024</t>
  </si>
  <si>
    <t>Auchan in nancy groceries</t>
  </si>
  <si>
    <t>Auchan 122e in nancy groceries</t>
  </si>
  <si>
    <t>SL-20251218-160010-992</t>
  </si>
  <si>
    <t>Toll road nancy</t>
  </si>
  <si>
    <t>Toll road nancy 4,8e</t>
  </si>
  <si>
    <t>SL-20251218-160055-896</t>
  </si>
  <si>
    <t>Bread croissant nancy</t>
  </si>
  <si>
    <t>Bread croissant 5,4e nancy</t>
  </si>
  <si>
    <t>SL-20251218-162337-739</t>
  </si>
  <si>
    <t>Cakes in nancy</t>
  </si>
  <si>
    <t>13,10 category: eat-out, item: cakes</t>
  </si>
  <si>
    <t>SL-20251218-205454-201</t>
  </si>
  <si>
    <t>Carrefour, category: groceries</t>
  </si>
  <si>
    <t>W</t>
  </si>
  <si>
    <t>user</t>
  </si>
  <si>
    <t>Trang 24e carrefour, category: groceries</t>
  </si>
  <si>
    <t>SL-20251218-205529-115</t>
  </si>
  <si>
    <t>mcdonalds eat-out</t>
  </si>
  <si>
    <t>Trang 14e mcdonalds eat-out</t>
  </si>
  <si>
    <t>SL-20251219-195059-277</t>
  </si>
  <si>
    <t>category: travel, description: groceries and gift and food, merchant: nancy</t>
  </si>
  <si>
    <t>95,28e category: travel, description: groceries and gift and food, merchant: nancy</t>
  </si>
  <si>
    <t>SL-20251221-163635-368</t>
  </si>
  <si>
    <t>category: travel, description: nancy</t>
  </si>
  <si>
    <t>Yesterday 225,8 category: travel, description: nancy</t>
  </si>
  <si>
    <t>SL-20251221-163704-779</t>
  </si>
  <si>
    <t>10,4 category: travel, description: nancy</t>
  </si>
  <si>
    <t>SL-20251222-124059-687</t>
  </si>
  <si>
    <t>mua rofu , category: gift</t>
  </si>
  <si>
    <t>Em mua rofu 158e, category: gift</t>
  </si>
  <si>
    <t>SL-20251222-124149-164</t>
  </si>
  <si>
    <t>mua dehner , category:</t>
  </si>
  <si>
    <t>Em mua dehner 89e, category: home improvement</t>
  </si>
  <si>
    <t>SL-20251222-124245-908</t>
  </si>
  <si>
    <t>lidl 19,5e</t>
  </si>
  <si>
    <t>SL-20251222-165718-674</t>
  </si>
  <si>
    <t>Thuoc so mui AK</t>
  </si>
  <si>
    <t>Thuoc so mui AK 14e</t>
  </si>
  <si>
    <t>SL-20251222-224155-982</t>
  </si>
  <si>
    <t>Google subscription</t>
  </si>
  <si>
    <t>Google subscription 22e</t>
  </si>
  <si>
    <t>SL-20251222-224202-002</t>
  </si>
  <si>
    <t>Apple subscription</t>
  </si>
  <si>
    <t>Apple subscription 10e</t>
  </si>
  <si>
    <t>SL-20251223-072753-126</t>
  </si>
  <si>
    <t>Postillion</t>
  </si>
  <si>
    <t>15.12 childcare 913€</t>
  </si>
  <si>
    <t>SL-20251223-073034-927</t>
  </si>
  <si>
    <t>Donation Phú Yên</t>
  </si>
  <si>
    <t>10tr</t>
  </si>
  <si>
    <t>327,95 donation 01.12</t>
  </si>
  <si>
    <t>SL-20251223-073036-542</t>
  </si>
  <si>
    <t>Dú</t>
  </si>
  <si>
    <t>7tr</t>
  </si>
  <si>
    <t>229,57 family support 01.12</t>
  </si>
  <si>
    <t>SL-20251223-075424-422</t>
  </si>
  <si>
    <t>chó mèo vn</t>
  </si>
  <si>
    <t>trang 01.12 donation chó mèo vn 166,41€</t>
  </si>
  <si>
    <t>SL-20251223-075427-802</t>
  </si>
  <si>
    <t>cafe mannheim</t>
  </si>
  <si>
    <t>trang 01.12 cafe mannheim 5€</t>
  </si>
  <si>
    <t>SL-20251223-075428-173</t>
  </si>
  <si>
    <t>disney+</t>
  </si>
  <si>
    <t>trang 03.12 disney+ business &amp; subscription 12€</t>
  </si>
  <si>
    <t>SL-20251223-075430-713</t>
  </si>
  <si>
    <t>bread mannheim</t>
  </si>
  <si>
    <t>trang 05.12 bread mannheim 13€</t>
  </si>
  <si>
    <t>SL-20251223-075432-200</t>
  </si>
  <si>
    <t>cafe karlsruhe</t>
  </si>
  <si>
    <t>trang 06.12 cafe karlsruhe 3€</t>
  </si>
  <si>
    <t>SL-20251223-075433-591</t>
  </si>
  <si>
    <t>internet vodafone</t>
  </si>
  <si>
    <t>trang 15.12 utilities internet vodafone 55€</t>
  </si>
  <si>
    <t>SL-20251223-075434-765</t>
  </si>
  <si>
    <t>driving lessons</t>
  </si>
  <si>
    <t>trang 16.12 driving lessons 450€</t>
  </si>
  <si>
    <t>SL-20251223-075435-821</t>
  </si>
  <si>
    <t>galeria mua quà maija</t>
  </si>
  <si>
    <t>trang 16.12 gifts galeria mua quà maija 48,5€</t>
  </si>
  <si>
    <t>SL-20251223-075437-175</t>
  </si>
  <si>
    <t>zalando áo tuyết AK</t>
  </si>
  <si>
    <t>trang 17.12 zalando shopping áo tuyết AK 56€</t>
  </si>
  <si>
    <t>SL-20251223-075438-869</t>
  </si>
  <si>
    <t>trang 01.12 kaufland 101,83€</t>
  </si>
  <si>
    <t>SL-20251223-075439-754</t>
  </si>
  <si>
    <t>trang 02.12 rewe 47€</t>
  </si>
  <si>
    <t>SL-20251223-075441-692</t>
  </si>
  <si>
    <t>flight ticket VN</t>
  </si>
  <si>
    <t>trang 02.12 special IO flight ticket VN 2137,76€</t>
  </si>
  <si>
    <t>SL-20251223-075443-091</t>
  </si>
  <si>
    <t>hotel singapore</t>
  </si>
  <si>
    <t>trang 02.12 special IO hotel singapore 73€</t>
  </si>
  <si>
    <t>SL-20251223-075444-768</t>
  </si>
  <si>
    <t>trang 05.12 globus 206€</t>
  </si>
  <si>
    <t>SL-20251223-075446-089</t>
  </si>
  <si>
    <t>karsruhe cafe</t>
  </si>
  <si>
    <t>trang 06.12 karsruhe cafe 15€</t>
  </si>
  <si>
    <t>SL-20251223-075446-017</t>
  </si>
  <si>
    <t>vé tàu bé phúc</t>
  </si>
  <si>
    <t>trang 08.12 travel &amp; leisure vé tàu bé phúc 40,7€</t>
  </si>
  <si>
    <t>SL-20251223-075447-667</t>
  </si>
  <si>
    <t>penny food</t>
  </si>
  <si>
    <t>trang 11.12 penny food 60€</t>
  </si>
  <si>
    <t>SL-20251223-075448-016</t>
  </si>
  <si>
    <t>trang 15.12 lidl 12,36€</t>
  </si>
  <si>
    <t>SL-20251223-075449-043</t>
  </si>
  <si>
    <t>zalando bé đức + biuti</t>
  </si>
  <si>
    <t>trang 16.12 gifts zalando bé đức + biuti 142,25€</t>
  </si>
  <si>
    <t>SL-20251223-075637-500</t>
  </si>
  <si>
    <t>polestar</t>
  </si>
  <si>
    <t>car polestar 392€ 01.12</t>
  </si>
  <si>
    <t>SL-20251223-080915-738</t>
  </si>
  <si>
    <t>maija heidelberg</t>
  </si>
  <si>
    <t>gifts maija 18€ heidelberg 16.12</t>
  </si>
  <si>
    <t>SL-20251223-080917-154</t>
  </si>
  <si>
    <t>globus 10€ 05.12</t>
  </si>
  <si>
    <t>SL-20251223-080918-708</t>
  </si>
  <si>
    <t>maija sending package</t>
  </si>
  <si>
    <t>gifts maija 27€ sending package 17.12</t>
  </si>
  <si>
    <t>SL-20251223-080919-732</t>
  </si>
  <si>
    <t>amazon fisher düber</t>
  </si>
  <si>
    <t>home improvement amazon fisher düber 24€ 01.12</t>
  </si>
  <si>
    <t>SL-20251223-080920-010</t>
  </si>
  <si>
    <t>chợ đồ cũ</t>
  </si>
  <si>
    <t>shopping chợ đồ cũ 05.12 35€</t>
  </si>
  <si>
    <t>SL-20251223-080921-101</t>
  </si>
  <si>
    <t>eat out kebab</t>
  </si>
  <si>
    <t>eat out kebab 18€ 15.12</t>
  </si>
  <si>
    <t>SL-20251223-080922-381</t>
  </si>
  <si>
    <t>phạt xe</t>
  </si>
  <si>
    <t>car phạt xe 40€ 16.12</t>
  </si>
  <si>
    <t>SL-20251223-080923-114</t>
  </si>
  <si>
    <t>google gcp</t>
  </si>
  <si>
    <t>business &amp; subscription google gcp 4,74€ 01.12</t>
  </si>
  <si>
    <t>SL-20251223-080924-966</t>
  </si>
  <si>
    <t>action</t>
  </si>
  <si>
    <t>shopping action 117€ 02.12</t>
  </si>
  <si>
    <t>SL-20251223-080926-865</t>
  </si>
  <si>
    <t>eat out xmas market speyer</t>
  </si>
  <si>
    <t>eat out xmas market speyer 20€ 02.12</t>
  </si>
  <si>
    <t>SL-20251223-080926-032</t>
  </si>
  <si>
    <t>home improvement ikea 42€ 13.12</t>
  </si>
  <si>
    <t>SL-20251223-080928-125</t>
  </si>
  <si>
    <t>groceries</t>
  </si>
  <si>
    <t>groceries 25,37e 16.12</t>
  </si>
  <si>
    <t>SL-20251223-080929-396</t>
  </si>
  <si>
    <t>home improvement obi 12€ 1.12</t>
  </si>
  <si>
    <t>SL-20251223-080929-392</t>
  </si>
  <si>
    <t>health &amp; beauty dm 94€ 15.12</t>
  </si>
  <si>
    <t>SL-20251223-080930-779</t>
  </si>
  <si>
    <t>groceries + food asian store</t>
  </si>
  <si>
    <t>groceries + food asian store 134e 01.12</t>
  </si>
  <si>
    <t>SL-20251223-080931-149</t>
  </si>
  <si>
    <t>cây thông</t>
  </si>
  <si>
    <t>home improvement 55e 07.12</t>
  </si>
  <si>
    <t>SL-20251223-080932-711</t>
  </si>
  <si>
    <t>eat out cafe schwetzingen</t>
  </si>
  <si>
    <t>eat out cafe schwetzingen 5€ 7.12</t>
  </si>
  <si>
    <t>SL-20251223-080933-337</t>
  </si>
  <si>
    <t>gửi đồ nhím</t>
  </si>
  <si>
    <t>gifts gửi đồ nhím 7,7€ 5.12</t>
  </si>
  <si>
    <t>SL-20251223-080934-519</t>
  </si>
  <si>
    <t>eat out HD with Tobi Claire</t>
  </si>
  <si>
    <t>eat out HD with Tobi Claire 6.12 71€</t>
  </si>
  <si>
    <t>SL-20251223-080936-998</t>
  </si>
  <si>
    <t>eat out HD ICA team</t>
  </si>
  <si>
    <t>eat out HD ICA team 4.12 15€</t>
  </si>
  <si>
    <t>SL-20251223-080937-103</t>
  </si>
  <si>
    <t>ZKM</t>
  </si>
  <si>
    <t>travel &amp; leisure ZKM 06.12 28€</t>
  </si>
  <si>
    <t>SL-20251223-080938-260</t>
  </si>
  <si>
    <t>eat out xmas market</t>
  </si>
  <si>
    <t>eat out xmas market 12€ 06.12</t>
  </si>
  <si>
    <t>SL-20251223-080939-737</t>
  </si>
  <si>
    <t>eat out cafe</t>
  </si>
  <si>
    <t>eat out cafe 15€ 06.12</t>
  </si>
  <si>
    <t>SL-20251223-080940-702</t>
  </si>
  <si>
    <t>sourvenirs zkm</t>
  </si>
  <si>
    <t>shopping sourvenirs zkm 54€ 06.12</t>
  </si>
  <si>
    <t>SL-20251223-113349-246</t>
  </si>
  <si>
    <t>Globus</t>
  </si>
  <si>
    <t>Globus 150,70e</t>
  </si>
  <si>
    <t>SL-20251223-113410-353</t>
  </si>
  <si>
    <t>Groceries + food nam kinh</t>
  </si>
  <si>
    <t>Groceries + food nam kinh 63,71€</t>
  </si>
  <si>
    <t>SL-20251223-132640-349</t>
  </si>
  <si>
    <t>Nancy train be phuc</t>
  </si>
  <si>
    <t>Nancy train be phuc 158,6e</t>
  </si>
  <si>
    <t>SL-20251223-132641-513</t>
  </si>
  <si>
    <t>Frankfurt train be phuc</t>
  </si>
  <si>
    <t>Frankfurt train be phuc 40,5e</t>
  </si>
  <si>
    <t>SL-20251223-132845-598</t>
  </si>
  <si>
    <t>Nancy foods and</t>
  </si>
  <si>
    <t>Nancy foods and shopping 145,21e</t>
  </si>
  <si>
    <t>SL-20251223-133110-359</t>
  </si>
  <si>
    <t>Giay chi ba , category:</t>
  </si>
  <si>
    <t>Giay chi ba 50e, category: shopping</t>
  </si>
  <si>
    <t>SL-20251227-112555-794</t>
  </si>
  <si>
    <t>Parking speyer</t>
  </si>
  <si>
    <t>Parking yesterday speyer 2e</t>
  </si>
  <si>
    <t>SL-20251227-112604-342</t>
  </si>
  <si>
    <t>Cake speyer</t>
  </si>
  <si>
    <t>Cake yesterday speyer 8,5e</t>
  </si>
  <si>
    <t>SL-20251227-134206-129</t>
  </si>
  <si>
    <t>Lidl</t>
  </si>
  <si>
    <t>Lidl 102e</t>
  </si>
  <si>
    <t>SL-20251227-134221-427</t>
  </si>
  <si>
    <t>Dm</t>
  </si>
  <si>
    <t>Dm 15,5e</t>
  </si>
  <si>
    <t>SL-20251227-134526-062</t>
  </si>
  <si>
    <t>Qua cho Gab &amp; Annie , category gift</t>
  </si>
  <si>
    <t>Qua cho Gab &amp; Annie 123e, category gift</t>
  </si>
  <si>
    <t>SL-20251227-134725-225</t>
  </si>
  <si>
    <t>Amazon kitchen rack</t>
  </si>
  <si>
    <t>Amazon kitchen rack 35e</t>
  </si>
  <si>
    <t>Month</t>
  </si>
  <si>
    <t>Year</t>
  </si>
  <si>
    <t>H_Backlog_Shares</t>
  </si>
  <si>
    <t>H_NewGrant_Shares</t>
  </si>
  <si>
    <t>H_Total_Shares</t>
  </si>
  <si>
    <t>H_Gross_EUR</t>
  </si>
  <si>
    <t>H_Net_EUR</t>
  </si>
  <si>
    <t>W_Backlog_Shares</t>
  </si>
  <si>
    <t>W_NewGrant_Shares</t>
  </si>
  <si>
    <t>W_Total_Shares</t>
  </si>
  <si>
    <t>W_Gross_EUR</t>
  </si>
  <si>
    <t>W_Net_EUR</t>
  </si>
  <si>
    <t>Combined_Net_EUR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</si>
  <si>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</si>
  <si>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</si>
  <si>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</si>
  <si>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</si>
  <si>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</si>
  <si>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</si>
  <si>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</si>
  <si>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</si>
  <si>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</si>
  <si>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</si>
  <si>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</si>
  <si>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</si>
  <si>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01/2027</t>
  </si>
  <si>
    <t>02/2027</t>
  </si>
  <si>
    <t>03/2027</t>
  </si>
  <si>
    <t>04/2027</t>
  </si>
  <si>
    <t>05/2027</t>
  </si>
  <si>
    <t>06/2027</t>
  </si>
  <si>
    <t>07/2027</t>
  </si>
  <si>
    <t>08/2027</t>
  </si>
  <si>
    <t>09/2027</t>
  </si>
  <si>
    <t>10/2027</t>
  </si>
  <si>
    <t>11/2027</t>
  </si>
  <si>
    <t>12/2027</t>
  </si>
  <si>
    <t>01/2028</t>
  </si>
  <si>
    <t>02/2028</t>
  </si>
  <si>
    <t>03/2028</t>
  </si>
  <si>
    <t>04/2028</t>
  </si>
  <si>
    <t>05/2028</t>
  </si>
  <si>
    <t>06/2028</t>
  </si>
  <si>
    <t>07/2028</t>
  </si>
  <si>
    <t>08/2028</t>
  </si>
  <si>
    <t>09/2028</t>
  </si>
  <si>
    <t>10/2028</t>
  </si>
  <si>
    <t>11/2028</t>
  </si>
  <si>
    <t>12/2028</t>
  </si>
  <si>
    <t>01/2029</t>
  </si>
  <si>
    <t>02/2029</t>
  </si>
  <si>
    <t>03/2029</t>
  </si>
  <si>
    <t>04/2029</t>
  </si>
  <si>
    <t>05/2029</t>
  </si>
  <si>
    <t>06/2029</t>
  </si>
  <si>
    <t>07/2029</t>
  </si>
  <si>
    <t>08/2029</t>
  </si>
  <si>
    <t>09/2029</t>
  </si>
  <si>
    <t>10/2029</t>
  </si>
  <si>
    <t>11/2029</t>
  </si>
  <si>
    <t>12/2029</t>
  </si>
  <si>
    <t>01/2030</t>
  </si>
  <si>
    <t>02/2030</t>
  </si>
  <si>
    <t>03/2030</t>
  </si>
  <si>
    <t>04/2030</t>
  </si>
  <si>
    <t>05/2030</t>
  </si>
  <si>
    <t>06/2030</t>
  </si>
  <si>
    <t>07/2030</t>
  </si>
  <si>
    <t>08/2030</t>
  </si>
  <si>
    <t>09/2030</t>
  </si>
  <si>
    <t>10/2030</t>
  </si>
  <si>
    <t>11/2030</t>
  </si>
  <si>
    <t>12/2030</t>
  </si>
  <si>
    <t>01/2031</t>
  </si>
  <si>
    <t>02/2031</t>
  </si>
  <si>
    <t>03/2031</t>
  </si>
  <si>
    <t>04/2031</t>
  </si>
  <si>
    <t>05/2031</t>
  </si>
  <si>
    <t>06/2031</t>
  </si>
  <si>
    <t>07/2031</t>
  </si>
  <si>
    <t>08/2031</t>
  </si>
  <si>
    <t>09/2031</t>
  </si>
  <si>
    <t>10/2031</t>
  </si>
  <si>
    <t>11/2031</t>
  </si>
  <si>
    <t>12/2031</t>
  </si>
  <si>
    <t>01/2032</t>
  </si>
  <si>
    <t>02/2032</t>
  </si>
  <si>
    <t>03/2032</t>
  </si>
  <si>
    <t>04/2032</t>
  </si>
  <si>
    <t>05/2032</t>
  </si>
  <si>
    <t>06/2032</t>
  </si>
  <si>
    <t>07/2032</t>
  </si>
  <si>
    <t>08/2032</t>
  </si>
  <si>
    <t>09/2032</t>
  </si>
  <si>
    <t>10/2032</t>
  </si>
  <si>
    <t>11/2032</t>
  </si>
  <si>
    <t>12/2032</t>
  </si>
  <si>
    <t>01/2033</t>
  </si>
  <si>
    <t>02/2033</t>
  </si>
  <si>
    <t>03/2033</t>
  </si>
  <si>
    <t>04/2033</t>
  </si>
  <si>
    <t>05/2033</t>
  </si>
  <si>
    <t>06/2033</t>
  </si>
  <si>
    <t>07/2033</t>
  </si>
  <si>
    <t>08/2033</t>
  </si>
  <si>
    <t>09/2033</t>
  </si>
  <si>
    <t>10/2033</t>
  </si>
  <si>
    <t>11/2033</t>
  </si>
  <si>
    <t>12/2033</t>
  </si>
  <si>
    <t>01/2034</t>
  </si>
  <si>
    <t>02/2034</t>
  </si>
  <si>
    <t>03/2034</t>
  </si>
  <si>
    <t>04/2034</t>
  </si>
  <si>
    <t>05/2034</t>
  </si>
  <si>
    <t>06/2034</t>
  </si>
  <si>
    <t>07/2034</t>
  </si>
  <si>
    <t>08/2034</t>
  </si>
  <si>
    <t>09/2034</t>
  </si>
  <si>
    <t>10/2034</t>
  </si>
  <si>
    <t>11/2034</t>
  </si>
  <si>
    <t>12/2034</t>
  </si>
  <si>
    <t>01/2035</t>
  </si>
  <si>
    <t>02/2035</t>
  </si>
  <si>
    <t>03/2035</t>
  </si>
  <si>
    <t>04/2035</t>
  </si>
  <si>
    <t>05/2035</t>
  </si>
  <si>
    <t>06/2035</t>
  </si>
  <si>
    <t>07/2035</t>
  </si>
  <si>
    <t>08/2035</t>
  </si>
  <si>
    <t>09/2035</t>
  </si>
  <si>
    <t>10/2035</t>
  </si>
  <si>
    <t>11/2035</t>
  </si>
  <si>
    <t>12/2035</t>
  </si>
  <si>
    <t>01/2036</t>
  </si>
  <si>
    <t>02/2036</t>
  </si>
  <si>
    <t>03/2036</t>
  </si>
  <si>
    <t>04/2036</t>
  </si>
  <si>
    <t>05/2036</t>
  </si>
  <si>
    <t>06/2036</t>
  </si>
  <si>
    <t>07/2036</t>
  </si>
  <si>
    <t>08/2036</t>
  </si>
  <si>
    <t>09/2036</t>
  </si>
  <si>
    <t>10/2036</t>
  </si>
  <si>
    <t>11/2036</t>
  </si>
  <si>
    <t>12/2036</t>
  </si>
  <si>
    <t>01/2037</t>
  </si>
  <si>
    <t>02/2037</t>
  </si>
  <si>
    <t>03/2037</t>
  </si>
  <si>
    <t>04/2037</t>
  </si>
  <si>
    <t>05/2037</t>
  </si>
  <si>
    <t>06/2037</t>
  </si>
  <si>
    <t>07/2037</t>
  </si>
  <si>
    <t>08/2037</t>
  </si>
  <si>
    <t>09/2037</t>
  </si>
  <si>
    <t>10/2037</t>
  </si>
  <si>
    <t>11/2037</t>
  </si>
  <si>
    <t>12/2037</t>
  </si>
  <si>
    <t>01/2038</t>
  </si>
  <si>
    <t>02/2038</t>
  </si>
  <si>
    <t>03/2038</t>
  </si>
  <si>
    <t>04/2038</t>
  </si>
  <si>
    <t>05/2038</t>
  </si>
  <si>
    <t>06/2038</t>
  </si>
  <si>
    <t>07/2038</t>
  </si>
  <si>
    <t>08/2038</t>
  </si>
  <si>
    <t>09/2038</t>
  </si>
  <si>
    <t>10/2038</t>
  </si>
  <si>
    <t>11/2038</t>
  </si>
  <si>
    <t>12/2038</t>
  </si>
  <si>
    <t>01/2039</t>
  </si>
  <si>
    <t>02/2039</t>
  </si>
  <si>
    <t>03/2039</t>
  </si>
  <si>
    <t>04/2039</t>
  </si>
  <si>
    <t>05/2039</t>
  </si>
  <si>
    <t>06/2039</t>
  </si>
  <si>
    <t>07/2039</t>
  </si>
  <si>
    <t>08/2039</t>
  </si>
  <si>
    <t>09/2039</t>
  </si>
  <si>
    <t>10/2039</t>
  </si>
  <si>
    <t>11/2039</t>
  </si>
  <si>
    <t>12/2039</t>
  </si>
  <si>
    <t>01/2040</t>
  </si>
  <si>
    <t>02/2040</t>
  </si>
  <si>
    <t>03/2040</t>
  </si>
  <si>
    <t>04/2040</t>
  </si>
  <si>
    <t>05/2040</t>
  </si>
  <si>
    <t>06/2040</t>
  </si>
  <si>
    <t>07/2040</t>
  </si>
  <si>
    <t>08/2040</t>
  </si>
  <si>
    <t>09/2040</t>
  </si>
  <si>
    <t>10/2040</t>
  </si>
  <si>
    <t>11/2040</t>
  </si>
  <si>
    <t>12/2040</t>
  </si>
  <si>
    <t>01/2041</t>
  </si>
  <si>
    <t>02/2041</t>
  </si>
  <si>
    <t>03/2041</t>
  </si>
  <si>
    <t>04/2041</t>
  </si>
  <si>
    <t>05/2041</t>
  </si>
  <si>
    <t>06/2041</t>
  </si>
  <si>
    <t>07/2041</t>
  </si>
  <si>
    <t>08/2041</t>
  </si>
  <si>
    <t>09/2041</t>
  </si>
  <si>
    <t>10/2041</t>
  </si>
  <si>
    <t>11/2041</t>
  </si>
  <si>
    <t>12/2041</t>
  </si>
  <si>
    <t>01/2042</t>
  </si>
  <si>
    <t>02/2042</t>
  </si>
  <si>
    <t>03/2042</t>
  </si>
  <si>
    <t>04/2042</t>
  </si>
  <si>
    <t>05/2042</t>
  </si>
  <si>
    <t>06/2042</t>
  </si>
  <si>
    <t>07/2042</t>
  </si>
  <si>
    <t>08/2042</t>
  </si>
  <si>
    <t>09/2042</t>
  </si>
  <si>
    <t>10/2042</t>
  </si>
  <si>
    <t>11/2042</t>
  </si>
  <si>
    <t>12/2042</t>
  </si>
  <si>
    <t>H_Salary_Modifier</t>
  </si>
  <si>
    <t>W_Salary_Modifier</t>
  </si>
  <si>
    <t>H_Fixed_Monthly</t>
  </si>
  <si>
    <t>H_Bonus</t>
  </si>
  <si>
    <t>W_Fixed_Monthly</t>
  </si>
  <si>
    <t>W_Bonus</t>
  </si>
  <si>
    <t>Debt_Name</t>
  </si>
  <si>
    <t>Owner</t>
  </si>
  <si>
    <t>Starting_Balance</t>
  </si>
  <si>
    <t>APR</t>
  </si>
  <si>
    <t>Min_Payment</t>
  </si>
  <si>
    <t>Payment_Type</t>
  </si>
  <si>
    <t>End_Date</t>
  </si>
  <si>
    <t>Attack_Priority</t>
  </si>
  <si>
    <t>TF Credit Card</t>
  </si>
  <si>
    <t>Attack</t>
  </si>
  <si>
    <t>ASAP</t>
  </si>
  <si>
    <t>DB Overdraft</t>
  </si>
  <si>
    <t>Plan</t>
  </si>
  <si>
    <t>Revolut Loan</t>
  </si>
  <si>
    <t>Fixed</t>
  </si>
  <si>
    <t>Aug 2027</t>
  </si>
  <si>
    <t>C3 Family Loan</t>
  </si>
  <si>
    <t>~2028</t>
  </si>
  <si>
    <t>Scalable Credit</t>
  </si>
  <si>
    <t>Low</t>
  </si>
  <si>
    <t>-</t>
  </si>
  <si>
    <t>Klarna</t>
  </si>
  <si>
    <t>Nordea Card</t>
  </si>
  <si>
    <t>Aktia Card</t>
  </si>
  <si>
    <t>Student Loan</t>
  </si>
  <si>
    <t>~2030</t>
  </si>
  <si>
    <t>IKEA Card</t>
  </si>
  <si>
    <t>Jul 2027</t>
  </si>
  <si>
    <t>N26 Overdraft</t>
  </si>
  <si>
    <t>Apr 2026</t>
  </si>
  <si>
    <t>SAP Loan</t>
  </si>
  <si>
    <t>H+W</t>
  </si>
  <si>
    <t>Jun 2033</t>
  </si>
  <si>
    <t>AK Payback (Son)</t>
  </si>
  <si>
    <t>Future</t>
  </si>
  <si>
    <t>TBD</t>
  </si>
  <si>
    <t>SUMMARY</t>
  </si>
  <si>
    <t>Total High-APR (&gt;10%)</t>
  </si>
  <si>
    <t>Total Fixed Payment</t>
  </si>
  <si>
    <t>Total Low Priority</t>
  </si>
  <si>
    <t>Monthly Minimums</t>
  </si>
  <si>
    <t>TOTAL DEBT</t>
  </si>
  <si>
    <t>Income_From</t>
  </si>
  <si>
    <t>Month_Type</t>
  </si>
  <si>
    <t>H_Gross_Salary</t>
  </si>
  <si>
    <t>H_TA_Ded</t>
  </si>
  <si>
    <t>H_OWNSAP_Ded</t>
  </si>
  <si>
    <t>H_Gross_Bonus</t>
  </si>
  <si>
    <t>H_Bonus_TA</t>
  </si>
  <si>
    <t>H_Taxable</t>
  </si>
  <si>
    <t>H_Net_Salary</t>
  </si>
  <si>
    <t>H_RSU_Net</t>
  </si>
  <si>
    <t>W_Gross_Salary</t>
  </si>
  <si>
    <t>W_TA_Ded</t>
  </si>
  <si>
    <t>W_OWNSAP_Ded</t>
  </si>
  <si>
    <t>W_Gross_Bonus</t>
  </si>
  <si>
    <t>W_Bonus_TA</t>
  </si>
  <si>
    <t>W_Taxable</t>
  </si>
  <si>
    <t>W_Net_Salary</t>
  </si>
  <si>
    <t>W_RSU_Net</t>
  </si>
  <si>
    <t>H_OWNSAP_Val</t>
  </si>
  <si>
    <t>W_OWNSAP_Val</t>
  </si>
  <si>
    <t>OWNSAP_Total</t>
  </si>
  <si>
    <t>H_SAP_TaxedAdv</t>
  </si>
  <si>
    <t>H_SAPLoan_Pmt</t>
  </si>
  <si>
    <t>H_SAPLoan_Bal</t>
  </si>
  <si>
    <t>W_SAP_TaxedAdv</t>
  </si>
  <si>
    <t>W_SAPLoan_Pmt</t>
  </si>
  <si>
    <t>W_SAPLoan_Bal</t>
  </si>
  <si>
    <t>SAP_Loan_Pmt</t>
  </si>
  <si>
    <t>SAP_Loan_Bal</t>
  </si>
  <si>
    <t>YT_Gross</t>
  </si>
  <si>
    <t>YT_Tax_Res</t>
  </si>
  <si>
    <t>YT_Net</t>
  </si>
  <si>
    <t>Other_Fam_Net_Inc</t>
  </si>
  <si>
    <t>CMP_Carry</t>
  </si>
  <si>
    <t>CMP_Inflow</t>
  </si>
  <si>
    <t>CMP_Available</t>
  </si>
  <si>
    <t>CMP_End</t>
  </si>
  <si>
    <t>Mort_Begin</t>
  </si>
  <si>
    <t>Mort_Pmt</t>
  </si>
  <si>
    <t>Mort_Int</t>
  </si>
  <si>
    <t>Mort_Princ</t>
  </si>
  <si>
    <t>Sondertilg</t>
  </si>
  <si>
    <t>Mort_End</t>
  </si>
  <si>
    <t>D_TF_Pmt</t>
  </si>
  <si>
    <t>D_TF_Bal</t>
  </si>
  <si>
    <t>D_Klarna_Pmt</t>
  </si>
  <si>
    <t>D_Klarna_Bal</t>
  </si>
  <si>
    <t>D_Nordea_Pmt</t>
  </si>
  <si>
    <t>D_Nordea_Bal</t>
  </si>
  <si>
    <t>D_DB_Pmt</t>
  </si>
  <si>
    <t>D_DB_Bal</t>
  </si>
  <si>
    <t>D_Aktia_Pmt</t>
  </si>
  <si>
    <t>D_Aktia_Bal</t>
  </si>
  <si>
    <t>D_HighAPR_Total</t>
  </si>
  <si>
    <t>D_Scalable_Pmt</t>
  </si>
  <si>
    <t>D_Scalable_Bal</t>
  </si>
  <si>
    <t>D_AK_Pmt</t>
  </si>
  <si>
    <t>D_AK_Bal</t>
  </si>
  <si>
    <t>D_Revolut_Pmt</t>
  </si>
  <si>
    <t>D_C3_Pmt</t>
  </si>
  <si>
    <t>D_Student_Pmt</t>
  </si>
  <si>
    <t>D_IKEA_Pmt</t>
  </si>
  <si>
    <t>D_N26_Pmt</t>
  </si>
  <si>
    <t>D_Fixed_Total</t>
  </si>
  <si>
    <t>Exp_Budget</t>
  </si>
  <si>
    <t>Exp_Alloc</t>
  </si>
  <si>
    <t>Inv_Begin</t>
  </si>
  <si>
    <t>Inv_OWNSAP</t>
  </si>
  <si>
    <t>Inv_Excess</t>
  </si>
  <si>
    <t>Inv_Growth</t>
  </si>
  <si>
    <t>Inv_End</t>
  </si>
  <si>
    <t>Cash_Begin</t>
  </si>
  <si>
    <t>Cash_Add</t>
  </si>
  <si>
    <t>Cash_End</t>
  </si>
  <si>
    <t>TaxRes_Beg</t>
  </si>
  <si>
    <t>TaxRes_Add</t>
  </si>
  <si>
    <t>TaxRes_End</t>
  </si>
  <si>
    <t>H_TA_Hrs</t>
  </si>
  <si>
    <t>W_TA_Hrs</t>
  </si>
  <si>
    <t>NW_Invest</t>
  </si>
  <si>
    <t>NW_House</t>
  </si>
  <si>
    <t>NW_Mortgage</t>
  </si>
  <si>
    <t>NW_Debt</t>
  </si>
  <si>
    <t>NW_TA</t>
  </si>
  <si>
    <t>NW_Total</t>
  </si>
  <si>
    <t>12/2025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</si>
</sst>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 € ]#,##0"/>
    <numFmt numFmtId="165" formatCode="[$ € ]#,##0.0"/>
    <numFmt numFmtId="166" formatCode="yyyy-mm-dd h:mm:ss"/>
    <numFmt numFmtId="167" formatCode="\€#,##0"/>
  </numFmts>
  <fonts count="1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mbria"/>
    </font>
    <font>
      <sz val="11.0"/>
      <color rgb="FF0000FF"/>
      <name val="Cambria"/>
    </font>
    <font>
      <sz val="11.0"/>
      <color theme="1"/>
      <name val="Cambria"/>
    </font>
    <font>
      <color theme="1"/>
      <name val="Calibri"/>
      <scheme val="minor"/>
    </font>
    <font>
      <b/>
      <color theme="1"/>
      <name val="Calibri"/>
      <scheme val="minor"/>
    </font>
    <font>
      <u/>
      <color rgb="FF0000FF"/>
    </font>
    <font>
      <color rgb="FF383A42"/>
      <name val="Var(--font-mono)"/>
    </font>
    <font>
      <b/>
      <color rgb="FF383A42"/>
      <name val="Var(--font-mono)"/>
    </font>
    <font>
      <b/>
      <sz val="11.0"/>
      <color rgb="FFFFFFFF"/>
      <name val="Cambria"/>
    </font>
    <font>
      <b/>
      <sz val="9.0"/>
      <color theme="1"/>
      <name val="Cambria"/>
    </font>
    <font>
      <b/>
      <sz val="9.0"/>
      <color rgb="FFCCCCCC"/>
      <name val="Cambria"/>
    </font>
    <font>
      <sz val="11.0"/>
      <color rgb="FFCCCCCC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1F4E79"/>
        <bgColor rgb="FF1F4E79"/>
      </patternFill>
    </fill>
    <fill>
      <patternFill patternType="solid">
        <fgColor rgb="FFDDDDDD"/>
        <bgColor rgb="FFDDDDDD"/>
      </patternFill>
    </fill>
    <fill>
      <patternFill patternType="solid">
        <fgColor rgb="FFE2EFDA"/>
        <bgColor rgb="FFE2EFDA"/>
      </patternFill>
    </fill>
    <fill>
      <patternFill patternType="solid">
        <fgColor rgb="FFDEEBF7"/>
        <bgColor rgb="FFDEEBF7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B4A7D6"/>
        <bgColor rgb="FFB4A7D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5" numFmtId="14" xfId="0" applyAlignment="1" applyFont="1" applyNumberFormat="1">
      <alignment readingOrder="0"/>
    </xf>
    <xf borderId="0" fillId="0" fontId="6" numFmtId="0" xfId="0" applyAlignment="1" applyFont="1">
      <alignment horizontal="center" readingOrder="0"/>
    </xf>
    <xf borderId="0" fillId="0" fontId="5" numFmtId="164" xfId="0" applyAlignment="1" applyFont="1" applyNumberFormat="1">
      <alignment readingOrder="0"/>
    </xf>
    <xf quotePrefix="1" borderId="0" fillId="0" fontId="5" numFmtId="0" xfId="0" applyAlignment="1" applyFont="1">
      <alignment readingOrder="0"/>
    </xf>
    <xf borderId="0" fillId="0" fontId="5" numFmtId="164" xfId="0" applyFont="1" applyNumberFormat="1"/>
    <xf borderId="0" fillId="0" fontId="5" numFmtId="165" xfId="0" applyFont="1" applyNumberFormat="1"/>
    <xf borderId="0" fillId="0" fontId="5" numFmtId="10" xfId="0" applyFont="1" applyNumberFormat="1"/>
    <xf borderId="0" fillId="0" fontId="5" numFmtId="0" xfId="0" applyFont="1"/>
    <xf borderId="0" fillId="0" fontId="8" numFmtId="10" xfId="0" applyAlignment="1" applyFont="1" applyNumberFormat="1">
      <alignment horizontal="right"/>
    </xf>
    <xf borderId="0" fillId="0" fontId="8" numFmtId="0" xfId="0" applyAlignment="1" applyFont="1">
      <alignment horizontal="left"/>
    </xf>
    <xf borderId="0" fillId="0" fontId="6" numFmtId="164" xfId="0" applyFont="1" applyNumberFormat="1"/>
    <xf borderId="0" fillId="0" fontId="9" numFmtId="10" xfId="0" applyAlignment="1" applyFont="1" applyNumberFormat="1">
      <alignment horizontal="right"/>
    </xf>
    <xf borderId="0" fillId="0" fontId="9" numFmtId="0" xfId="0" applyAlignment="1" applyFont="1">
      <alignment horizontal="left"/>
    </xf>
    <xf borderId="0" fillId="0" fontId="6" numFmtId="49" xfId="0" applyAlignment="1" applyFont="1" applyNumberFormat="1">
      <alignment readingOrder="0"/>
    </xf>
    <xf borderId="0" fillId="0" fontId="5" numFmtId="166" xfId="0" applyAlignment="1" applyFont="1" applyNumberFormat="1">
      <alignment readingOrder="0"/>
    </xf>
    <xf borderId="0" fillId="0" fontId="5" numFmtId="49" xfId="0" applyFont="1" applyNumberFormat="1"/>
    <xf borderId="1" fillId="2" fontId="10" numFmtId="0" xfId="0" applyAlignment="1" applyBorder="1" applyFill="1" applyFont="1">
      <alignment shrinkToFit="0" vertical="bottom" wrapText="0"/>
    </xf>
    <xf borderId="1" fillId="3" fontId="10" numFmtId="0" xfId="0" applyAlignment="1" applyBorder="1" applyFill="1" applyFont="1">
      <alignment shrinkToFit="0" vertical="bottom" wrapText="0"/>
    </xf>
    <xf borderId="1" fillId="4" fontId="2" numFmtId="0" xfId="0" applyAlignment="1" applyBorder="1" applyFill="1" applyFont="1">
      <alignment shrinkToFit="0" vertical="bottom" wrapText="0"/>
    </xf>
    <xf borderId="0" fillId="0" fontId="3" numFmtId="167" xfId="0" applyAlignment="1" applyFont="1" applyNumberFormat="1">
      <alignment shrinkToFit="0" vertical="bottom" wrapText="0"/>
    </xf>
    <xf borderId="0" fillId="0" fontId="1" numFmtId="10" xfId="0" applyAlignment="1" applyFont="1" applyNumberFormat="1">
      <alignment shrinkToFit="0" vertical="bottom" wrapText="0"/>
    </xf>
    <xf borderId="0" fillId="0" fontId="1" numFmtId="167" xfId="0" applyAlignment="1" applyFont="1" applyNumberForma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1" fillId="5" fontId="11" numFmtId="0" xfId="0" applyAlignment="1" applyBorder="1" applyFill="1" applyFont="1">
      <alignment horizontal="center" shrinkToFit="0" vertical="bottom" wrapText="1"/>
    </xf>
    <xf borderId="1" fillId="6" fontId="11" numFmtId="164" xfId="0" applyAlignment="1" applyBorder="1" applyFill="1" applyFont="1" applyNumberFormat="1">
      <alignment horizontal="center" shrinkToFit="0" vertical="bottom" wrapText="1"/>
    </xf>
    <xf borderId="1" fillId="6" fontId="12" numFmtId="164" xfId="0" applyAlignment="1" applyBorder="1" applyFont="1" applyNumberFormat="1">
      <alignment horizontal="center" shrinkToFit="0" vertical="bottom" wrapText="1"/>
    </xf>
    <xf borderId="1" fillId="7" fontId="11" numFmtId="164" xfId="0" applyAlignment="1" applyBorder="1" applyFill="1" applyFont="1" applyNumberFormat="1">
      <alignment horizontal="center" shrinkToFit="0" vertical="bottom" wrapText="1"/>
    </xf>
    <xf borderId="1" fillId="7" fontId="12" numFmtId="164" xfId="0" applyAlignment="1" applyBorder="1" applyFont="1" applyNumberFormat="1">
      <alignment horizontal="center" shrinkToFit="0" vertical="bottom" wrapText="1"/>
    </xf>
    <xf borderId="1" fillId="8" fontId="11" numFmtId="164" xfId="0" applyAlignment="1" applyBorder="1" applyFill="1" applyFont="1" applyNumberFormat="1">
      <alignment horizontal="center" shrinkToFit="0" vertical="bottom" wrapText="1"/>
    </xf>
    <xf borderId="1" fillId="9" fontId="11" numFmtId="164" xfId="0" applyAlignment="1" applyBorder="1" applyFill="1" applyFont="1" applyNumberFormat="1">
      <alignment horizontal="center" shrinkToFit="0" vertical="bottom" wrapText="1"/>
    </xf>
    <xf borderId="1" fillId="10" fontId="11" numFmtId="164" xfId="0" applyAlignment="1" applyBorder="1" applyFill="1" applyFont="1" applyNumberFormat="1">
      <alignment horizontal="center" shrinkToFit="0" vertical="bottom" wrapText="1"/>
    </xf>
    <xf borderId="1" fillId="11" fontId="11" numFmtId="164" xfId="0" applyAlignment="1" applyBorder="1" applyFill="1" applyFont="1" applyNumberFormat="1">
      <alignment horizontal="center" shrinkToFit="0" vertical="bottom" wrapText="1"/>
    </xf>
    <xf borderId="1" fillId="12" fontId="11" numFmtId="164" xfId="0" applyAlignment="1" applyBorder="1" applyFill="1" applyFont="1" applyNumberFormat="1">
      <alignment horizontal="center" shrinkToFit="0" vertical="bottom" wrapText="1"/>
    </xf>
    <xf borderId="1" fillId="13" fontId="11" numFmtId="164" xfId="0" applyAlignment="1" applyBorder="1" applyFill="1" applyFont="1" applyNumberFormat="1">
      <alignment horizontal="center" shrinkToFit="0" vertical="bottom" wrapText="1"/>
    </xf>
    <xf borderId="1" fillId="14" fontId="11" numFmtId="164" xfId="0" applyAlignment="1" applyBorder="1" applyFill="1" applyFont="1" applyNumberFormat="1">
      <alignment horizontal="center" shrinkToFit="0" vertical="bottom" wrapText="1"/>
    </xf>
    <xf borderId="1" fillId="15" fontId="11" numFmtId="164" xfId="0" applyAlignment="1" applyBorder="1" applyFill="1" applyFont="1" applyNumberFormat="1">
      <alignment horizontal="center" shrinkToFit="0" vertical="bottom" wrapText="1"/>
    </xf>
    <xf borderId="1" fillId="16" fontId="11" numFmtId="164" xfId="0" applyAlignment="1" applyBorder="1" applyFill="1" applyFont="1" applyNumberFormat="1">
      <alignment horizontal="center" shrinkToFit="0" vertical="bottom" wrapText="1"/>
    </xf>
    <xf borderId="1" fillId="17" fontId="11" numFmtId="164" xfId="0" applyAlignment="1" applyBorder="1" applyFill="1" applyFont="1" applyNumberFormat="1">
      <alignment horizontal="center" shrinkToFit="0" vertical="bottom" wrapText="1"/>
    </xf>
    <xf borderId="1" fillId="18" fontId="11" numFmtId="164" xfId="0" applyAlignment="1" applyBorder="1" applyFill="1" applyFont="1" applyNumberFormat="1">
      <alignment horizontal="center" shrinkToFit="0" vertical="bottom" wrapText="1"/>
    </xf>
    <xf borderId="1" fillId="19" fontId="11" numFmtId="164" xfId="0" applyAlignment="1" applyBorder="1" applyFill="1" applyFont="1" applyNumberFormat="1">
      <alignment horizontal="center" shrinkToFit="0" vertical="bottom" wrapText="1"/>
    </xf>
    <xf borderId="1" fillId="20" fontId="11" numFmtId="164" xfId="0" applyAlignment="1" applyBorder="1" applyFill="1" applyFont="1" applyNumberFormat="1">
      <alignment horizontal="center" shrinkToFit="0" vertical="bottom" wrapText="1"/>
    </xf>
    <xf borderId="1" fillId="15" fontId="11" numFmtId="4" xfId="0" applyAlignment="1" applyBorder="1" applyFont="1" applyNumberFormat="1">
      <alignment horizontal="center" shrinkToFit="0" vertical="bottom" wrapText="1"/>
    </xf>
    <xf borderId="1" fillId="21" fontId="11" numFmtId="164" xfId="0" applyAlignment="1" applyBorder="1" applyFill="1" applyFont="1" applyNumberFormat="1">
      <alignment horizontal="center" shrinkToFit="0" vertical="bottom" wrapText="1"/>
    </xf>
    <xf borderId="0" fillId="0" fontId="13" numFmtId="164" xfId="0" applyAlignment="1" applyFont="1" applyNumberFormat="1">
      <alignment shrinkToFit="0" vertical="bottom" wrapText="0"/>
    </xf>
    <xf borderId="0" fillId="0" fontId="1" numFmtId="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com/api/webhooks/1450509364107546636/kPJPDwRkoi90cz1lOqHhKii3rZ2mRc4ZYmfsXffNoPznLutEsphUTMqQDA_7IhUNxyGn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5.0"/>
    <col customWidth="1" min="3" max="6" width="8.71"/>
  </cols>
  <sheetData>
    <row r="1" ht="15.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2" t="s">
        <v>1</v>
      </c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 t="s">
        <v>2</v>
      </c>
      <c r="B4" s="3">
        <v>88397.0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 t="s">
        <v>3</v>
      </c>
      <c r="B5" s="3">
        <v>0.05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 t="s">
        <v>4</v>
      </c>
      <c r="B6" s="3">
        <v>9821.0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 t="s">
        <v>5</v>
      </c>
      <c r="B7" s="3">
        <v>0.05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 t="s">
        <v>6</v>
      </c>
      <c r="B8" s="3">
        <v>200.0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 t="s">
        <v>7</v>
      </c>
      <c r="B9" s="3">
        <v>0.35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 t="s">
        <v>8</v>
      </c>
      <c r="B10" s="3">
        <v>20000.0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 t="s">
        <v>9</v>
      </c>
      <c r="B11" s="3">
        <v>0.443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 t="s">
        <v>10</v>
      </c>
      <c r="B12" s="3">
        <v>210.0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2" t="s">
        <v>11</v>
      </c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 t="s">
        <v>2</v>
      </c>
      <c r="B15" s="3">
        <v>74348.0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 t="s">
        <v>3</v>
      </c>
      <c r="B16" s="3">
        <v>0.035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 t="s">
        <v>4</v>
      </c>
      <c r="B17" s="3">
        <v>8261.0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 t="s">
        <v>5</v>
      </c>
      <c r="B18" s="3">
        <v>0.035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 t="s">
        <v>6</v>
      </c>
      <c r="B19" s="3">
        <v>200.0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 t="s">
        <v>7</v>
      </c>
      <c r="B20" s="3">
        <v>0.35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 t="s">
        <v>8</v>
      </c>
      <c r="B21" s="3">
        <v>10000.0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2" t="s">
        <v>12</v>
      </c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 t="s">
        <v>13</v>
      </c>
      <c r="B24" s="3">
        <v>1700.0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 t="s">
        <v>14</v>
      </c>
      <c r="B25" s="3">
        <v>20.0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 t="s">
        <v>15</v>
      </c>
      <c r="B26" s="3">
        <v>42.5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 t="s">
        <v>16</v>
      </c>
      <c r="B27" s="3">
        <v>0.05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 t="s">
        <v>17</v>
      </c>
      <c r="B28" s="3">
        <v>0.35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2" t="s">
        <v>18</v>
      </c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 t="s">
        <v>19</v>
      </c>
      <c r="B31" s="3">
        <v>431000.0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 t="s">
        <v>20</v>
      </c>
      <c r="B32" s="3">
        <v>0.0389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 t="s">
        <v>21</v>
      </c>
      <c r="B33" s="3">
        <v>2281.0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 t="s">
        <v>22</v>
      </c>
      <c r="B34" s="3">
        <v>21550.0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 t="s">
        <v>23</v>
      </c>
      <c r="B35" s="3">
        <v>1.0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 t="s">
        <v>24</v>
      </c>
      <c r="B36" s="3">
        <v>120.0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 t="s">
        <v>25</v>
      </c>
      <c r="B37" s="3">
        <v>397546.0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 t="s">
        <v>26</v>
      </c>
      <c r="B38" s="3">
        <v>0.0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2" t="s">
        <v>27</v>
      </c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 t="s">
        <v>28</v>
      </c>
      <c r="B41" s="3">
        <v>12000.0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 t="s">
        <v>29</v>
      </c>
      <c r="B42" s="3">
        <v>0.085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 t="s">
        <v>30</v>
      </c>
      <c r="B43" s="3">
        <v>1.006818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 t="s">
        <v>31</v>
      </c>
      <c r="B44" s="3">
        <v>0.184625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 t="s">
        <v>32</v>
      </c>
      <c r="B45" s="3">
        <v>1000.0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 t="s">
        <v>33</v>
      </c>
      <c r="B46" s="3">
        <v>200.0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2" t="s">
        <v>34</v>
      </c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 t="s">
        <v>35</v>
      </c>
      <c r="B49" s="3">
        <v>1000.0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 t="s">
        <v>36</v>
      </c>
      <c r="B50" s="3">
        <v>1000.0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 t="s">
        <v>37</v>
      </c>
      <c r="B51" s="3">
        <v>20000.0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 t="s">
        <v>38</v>
      </c>
      <c r="B52" s="3">
        <v>0.443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2" t="s">
        <v>39</v>
      </c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 t="s">
        <v>40</v>
      </c>
      <c r="B55" s="3">
        <v>520000.0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 t="s">
        <v>41</v>
      </c>
      <c r="B56" s="3">
        <v>0.015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2" t="s">
        <v>42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4" t="s">
        <v>43</v>
      </c>
      <c r="B58" s="3">
        <v>0.1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4" t="s">
        <v>44</v>
      </c>
      <c r="B59" s="3">
        <v>0.1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4" t="s">
        <v>45</v>
      </c>
      <c r="B60" s="3">
        <v>0.4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4" t="s">
        <v>46</v>
      </c>
      <c r="B61" s="3">
        <v>20.0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3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2" t="s">
        <v>47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4" t="s">
        <v>48</v>
      </c>
      <c r="B64" s="3">
        <v>52500.0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4" t="s">
        <v>49</v>
      </c>
      <c r="B65" s="3">
        <v>583.33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4" t="s">
        <v>50</v>
      </c>
      <c r="B66" s="3">
        <v>120.0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4" t="s">
        <v>51</v>
      </c>
      <c r="B67" s="3" t="s">
        <v>52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4"/>
      <c r="B68" s="3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2" t="s">
        <v>53</v>
      </c>
      <c r="B69" s="3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5" t="s">
        <v>54</v>
      </c>
      <c r="B70" s="5">
        <v>920.0</v>
      </c>
      <c r="C70" s="1"/>
      <c r="D70" s="1"/>
      <c r="E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5" t="s">
        <v>55</v>
      </c>
      <c r="B71" s="6">
        <v>700.0</v>
      </c>
      <c r="C71" s="1"/>
      <c r="D71" s="1"/>
      <c r="E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5" t="s">
        <v>56</v>
      </c>
      <c r="B72" s="6">
        <v>500.0</v>
      </c>
      <c r="C72" s="1"/>
      <c r="D72" s="1"/>
      <c r="E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5" t="s">
        <v>57</v>
      </c>
      <c r="B73" s="6">
        <v>500.0</v>
      </c>
      <c r="C73" s="1"/>
      <c r="D73" s="1"/>
      <c r="E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5" t="s">
        <v>58</v>
      </c>
      <c r="B74" s="6">
        <v>400.0</v>
      </c>
      <c r="C74" s="1"/>
      <c r="D74" s="1"/>
      <c r="E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0" customHeight="1">
      <c r="A75" s="5" t="s">
        <v>59</v>
      </c>
      <c r="B75" s="6">
        <v>200.0</v>
      </c>
      <c r="C75" s="1"/>
      <c r="D75" s="1"/>
      <c r="E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5" t="s">
        <v>60</v>
      </c>
      <c r="B76" s="6">
        <v>150.0</v>
      </c>
      <c r="C76" s="1"/>
      <c r="D76" s="1"/>
      <c r="E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5" t="s">
        <v>61</v>
      </c>
      <c r="B77" s="6">
        <v>120.0</v>
      </c>
      <c r="C77" s="1"/>
      <c r="D77" s="1"/>
      <c r="E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5" t="s">
        <v>62</v>
      </c>
      <c r="B78" s="6">
        <v>120.0</v>
      </c>
      <c r="C78" s="1"/>
      <c r="D78" s="1"/>
      <c r="E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5" t="s">
        <v>63</v>
      </c>
      <c r="B79" s="6">
        <v>100.0</v>
      </c>
      <c r="C79" s="1"/>
      <c r="D79" s="1"/>
      <c r="E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5" t="s">
        <v>64</v>
      </c>
      <c r="B80" s="6">
        <v>100.0</v>
      </c>
      <c r="C80" s="1"/>
      <c r="D80" s="1"/>
      <c r="E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5" t="s">
        <v>65</v>
      </c>
      <c r="B81" s="6">
        <v>50.0</v>
      </c>
      <c r="C81" s="1"/>
      <c r="D81" s="1"/>
      <c r="E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5" t="s">
        <v>66</v>
      </c>
      <c r="B82" s="6">
        <v>50.0</v>
      </c>
      <c r="C82" s="1"/>
      <c r="D82" s="1"/>
      <c r="E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5" t="s">
        <v>67</v>
      </c>
      <c r="B83" s="6">
        <v>50.0</v>
      </c>
      <c r="C83" s="1"/>
      <c r="D83" s="1"/>
      <c r="E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5" t="s">
        <v>68</v>
      </c>
      <c r="B84" s="6">
        <v>50.0</v>
      </c>
      <c r="C84" s="1"/>
      <c r="D84" s="1"/>
      <c r="E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0" customHeight="1">
      <c r="A85" s="5" t="s">
        <v>69</v>
      </c>
      <c r="B85" s="6">
        <v>0.0</v>
      </c>
      <c r="C85" s="1"/>
      <c r="D85" s="1"/>
      <c r="E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0" customHeight="1">
      <c r="A86" s="5" t="s">
        <v>70</v>
      </c>
      <c r="B86" s="7">
        <v>100.0</v>
      </c>
      <c r="C86" s="1"/>
      <c r="D86" s="1"/>
      <c r="E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0" customHeight="1">
      <c r="A87" s="2" t="s">
        <v>71</v>
      </c>
      <c r="B87" s="1">
        <f>SUM(B70:B86)</f>
        <v>4110</v>
      </c>
      <c r="C87" s="1"/>
      <c r="D87" s="1"/>
      <c r="E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0" customHeight="1">
      <c r="A88" s="4" t="s">
        <v>72</v>
      </c>
      <c r="B88" s="3">
        <v>0.03</v>
      </c>
      <c r="C88" s="1"/>
      <c r="D88" s="1"/>
      <c r="E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0" customHeight="1">
      <c r="A89" s="4"/>
      <c r="B89" s="3"/>
      <c r="C89" s="1"/>
      <c r="D89" s="1"/>
      <c r="E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0" customHeight="1">
      <c r="A90" s="2" t="s">
        <v>73</v>
      </c>
      <c r="B90" s="3"/>
      <c r="C90" s="1"/>
      <c r="D90" s="1"/>
      <c r="E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0" customHeight="1">
      <c r="A91" s="4" t="s">
        <v>74</v>
      </c>
      <c r="B91" s="3">
        <v>5000.0</v>
      </c>
      <c r="C91" s="1"/>
      <c r="D91" s="1"/>
      <c r="E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0" customHeight="1">
      <c r="A92" s="1" t="s">
        <v>75</v>
      </c>
      <c r="B92" s="3">
        <v>15000.0</v>
      </c>
      <c r="C92" s="1"/>
      <c r="D92" s="1"/>
      <c r="E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0" customHeight="1">
      <c r="A93" s="1" t="s">
        <v>76</v>
      </c>
      <c r="B93" s="3">
        <v>10000.0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0" customHeight="1">
      <c r="A94" s="1" t="s">
        <v>77</v>
      </c>
      <c r="B94" s="3">
        <v>-1000.0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0" customHeight="1">
      <c r="A95" s="1" t="s">
        <v>78</v>
      </c>
      <c r="B95" s="3">
        <v>6.0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0" customHeight="1">
      <c r="A97" s="2" t="s">
        <v>79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0" customHeight="1">
      <c r="A98" s="1" t="s">
        <v>80</v>
      </c>
      <c r="B98" s="3">
        <v>0.2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0" customHeight="1">
      <c r="A99" s="1" t="s">
        <v>81</v>
      </c>
      <c r="B99" s="3">
        <v>0.8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2" t="s">
        <v>82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0" customHeight="1">
      <c r="A102" s="1" t="s">
        <v>83</v>
      </c>
      <c r="B102" s="3">
        <v>0.4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0" customHeight="1">
      <c r="A103" s="1" t="s">
        <v>84</v>
      </c>
      <c r="B103" s="3">
        <v>0.443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0" customHeight="1">
      <c r="A104" s="1" t="s">
        <v>85</v>
      </c>
      <c r="B104" s="3">
        <v>0.443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0" customHeight="1">
      <c r="A105" s="1" t="s">
        <v>86</v>
      </c>
      <c r="B105" s="3">
        <v>0.184625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0" customHeight="1">
      <c r="A107" s="2" t="s">
        <v>87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0" customHeight="1">
      <c r="A108" s="1" t="s">
        <v>88</v>
      </c>
      <c r="B108" s="3">
        <v>300.0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0" customHeight="1">
      <c r="A109" s="1" t="s">
        <v>89</v>
      </c>
      <c r="B109" s="3">
        <v>2000.0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0" customHeight="1">
      <c r="A110" s="1" t="s">
        <v>90</v>
      </c>
      <c r="B110" s="3">
        <v>650.0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1" t="s">
        <v>91</v>
      </c>
      <c r="B111" s="3">
        <v>2027.0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0" customHeight="1">
      <c r="A112" s="1" t="s">
        <v>92</v>
      </c>
      <c r="B112" s="3">
        <v>8.0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0" customHeight="1">
      <c r="A113" s="1" t="s">
        <v>93</v>
      </c>
      <c r="B113" s="3">
        <v>200.0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0" customHeight="1">
      <c r="A114" s="1" t="s">
        <v>94</v>
      </c>
      <c r="B114" s="3">
        <v>100.0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0" customHeight="1">
      <c r="A115" s="1" t="s">
        <v>95</v>
      </c>
      <c r="B115" s="3">
        <v>30.0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0" customHeight="1">
      <c r="A116" s="1" t="s">
        <v>96</v>
      </c>
      <c r="B116" s="3">
        <v>290.0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1" t="s">
        <v>97</v>
      </c>
      <c r="B117" s="3">
        <v>2350.0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0" customHeight="1">
      <c r="A118" s="1" t="s">
        <v>98</v>
      </c>
      <c r="B118" s="3">
        <v>200.0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1" t="s">
        <v>99</v>
      </c>
      <c r="B119" s="3">
        <v>132.0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0" customHeight="1">
      <c r="A120" s="1" t="s">
        <v>100</v>
      </c>
      <c r="B120" s="3">
        <v>2027.0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0" customHeight="1">
      <c r="A121" s="1" t="s">
        <v>101</v>
      </c>
      <c r="B121" s="3">
        <v>7.0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0" customHeight="1">
      <c r="A122" s="1" t="s">
        <v>102</v>
      </c>
      <c r="B122" s="3">
        <v>90.0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1" t="s">
        <v>103</v>
      </c>
      <c r="B123" s="3">
        <v>2026.0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0" customHeight="1">
      <c r="A124" s="1" t="s">
        <v>104</v>
      </c>
      <c r="B124" s="3">
        <v>4.0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0" customHeight="1">
      <c r="A126" s="2" t="s">
        <v>105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0" customHeight="1">
      <c r="A127" s="1" t="s">
        <v>106</v>
      </c>
      <c r="B127" s="3">
        <v>2027.0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0" customHeight="1">
      <c r="A128" s="1" t="s">
        <v>107</v>
      </c>
      <c r="B128" s="3">
        <v>12.0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0" customHeight="1">
      <c r="A130" s="2" t="s">
        <v>108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0" customHeight="1">
      <c r="A131" s="1" t="s">
        <v>109</v>
      </c>
      <c r="B131" s="3">
        <v>2026.0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0" customHeight="1">
      <c r="A132" s="1" t="s">
        <v>110</v>
      </c>
      <c r="B132" s="3">
        <v>2042.0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0" customHeight="1">
      <c r="A133" s="1" t="s">
        <v>111</v>
      </c>
      <c r="B133" s="3">
        <v>120.0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  <row r="1001" ht="15.75" customHeight="1">
      <c r="A1001" s="1"/>
      <c r="B1001" s="1"/>
      <c r="C1001" s="1"/>
      <c r="D1001" s="1"/>
      <c r="E1001" s="1"/>
      <c r="F1001" s="1"/>
    </row>
    <row r="1002" ht="15.75" customHeight="1">
      <c r="A1002" s="1"/>
      <c r="B1002" s="1"/>
      <c r="C1002" s="1"/>
      <c r="D1002" s="1"/>
      <c r="E1002" s="1"/>
      <c r="F1002" s="1"/>
    </row>
    <row r="1003" ht="15.75" customHeight="1">
      <c r="A1003" s="1"/>
      <c r="B1003" s="1"/>
      <c r="C1003" s="1"/>
      <c r="D1003" s="1"/>
      <c r="E1003" s="1"/>
      <c r="F1003" s="1"/>
    </row>
    <row r="1004" ht="15.75" customHeight="1">
      <c r="A1004" s="1"/>
      <c r="B1004" s="1"/>
      <c r="C1004" s="1"/>
      <c r="D1004" s="1"/>
      <c r="E1004" s="1"/>
      <c r="F1004" s="1"/>
    </row>
    <row r="1005" ht="15.75" customHeight="1">
      <c r="A1005" s="1"/>
      <c r="B1005" s="1"/>
      <c r="C1005" s="1"/>
      <c r="D1005" s="1"/>
      <c r="E1005" s="1"/>
      <c r="F1005" s="1"/>
    </row>
    <row r="1006" ht="15.75" customHeight="1">
      <c r="A1006" s="1"/>
      <c r="B1006" s="1"/>
      <c r="C1006" s="1"/>
      <c r="D1006" s="1"/>
      <c r="E1006" s="1"/>
      <c r="F1006" s="1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8" t="s">
        <v>112</v>
      </c>
      <c r="B1" s="8" t="s">
        <v>113</v>
      </c>
      <c r="C1" s="8" t="s">
        <v>114</v>
      </c>
      <c r="D1" s="8" t="s">
        <v>115</v>
      </c>
      <c r="E1" s="8" t="s">
        <v>116</v>
      </c>
      <c r="F1" s="8" t="s">
        <v>117</v>
      </c>
      <c r="G1" s="8" t="s">
        <v>118</v>
      </c>
      <c r="H1" s="8" t="s">
        <v>119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8" t="s">
        <v>112</v>
      </c>
      <c r="B1" s="8" t="s">
        <v>114</v>
      </c>
      <c r="C1" s="8" t="s">
        <v>120</v>
      </c>
      <c r="D1" s="8" t="s">
        <v>115</v>
      </c>
      <c r="E1" s="8" t="s">
        <v>121</v>
      </c>
      <c r="F1" s="8" t="s">
        <v>122</v>
      </c>
      <c r="G1" s="8" t="s">
        <v>118</v>
      </c>
      <c r="H1" s="8" t="s">
        <v>119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123</v>
      </c>
      <c r="B1" s="8" t="s">
        <v>124</v>
      </c>
    </row>
    <row r="2">
      <c r="A2" s="5" t="s">
        <v>125</v>
      </c>
      <c r="B2" s="9" t="s">
        <v>126</v>
      </c>
    </row>
    <row r="3">
      <c r="A3" s="5" t="s">
        <v>127</v>
      </c>
      <c r="B3" s="5" t="s">
        <v>128</v>
      </c>
    </row>
    <row r="4">
      <c r="A4" s="5" t="s">
        <v>129</v>
      </c>
      <c r="B4" s="5" t="s">
        <v>130</v>
      </c>
    </row>
    <row r="5">
      <c r="A5" s="5" t="s">
        <v>131</v>
      </c>
      <c r="B5" s="5" t="s">
        <v>132</v>
      </c>
    </row>
    <row r="6">
      <c r="A6" s="5" t="s">
        <v>133</v>
      </c>
      <c r="B6" s="5">
        <v>21.0</v>
      </c>
    </row>
    <row r="7">
      <c r="A7" s="5" t="s">
        <v>134</v>
      </c>
      <c r="B7" s="5">
        <v>0.0</v>
      </c>
    </row>
    <row r="8">
      <c r="A8" s="5" t="s">
        <v>135</v>
      </c>
      <c r="B8" s="5">
        <v>0.8</v>
      </c>
    </row>
    <row r="9">
      <c r="A9" s="5" t="s">
        <v>136</v>
      </c>
      <c r="B9" s="5">
        <v>0.5</v>
      </c>
    </row>
    <row r="10">
      <c r="A10" s="5" t="s">
        <v>137</v>
      </c>
    </row>
  </sheetData>
  <hyperlinks>
    <hyperlink r:id="rId1" ref="B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138</v>
      </c>
      <c r="B1" s="8" t="s">
        <v>139</v>
      </c>
      <c r="C1" s="8" t="s">
        <v>140</v>
      </c>
      <c r="D1" s="8" t="s">
        <v>141</v>
      </c>
      <c r="E1" s="8" t="s">
        <v>142</v>
      </c>
    </row>
    <row r="2">
      <c r="A2" s="5" t="s">
        <v>143</v>
      </c>
      <c r="B2" s="5" t="s">
        <v>56</v>
      </c>
      <c r="C2" s="5" t="s">
        <v>144</v>
      </c>
      <c r="D2" s="5" t="s">
        <v>145</v>
      </c>
      <c r="E2" s="10">
        <v>46007.51484070602</v>
      </c>
    </row>
    <row r="3">
      <c r="A3" s="5" t="s">
        <v>146</v>
      </c>
      <c r="B3" s="5" t="s">
        <v>56</v>
      </c>
      <c r="C3" s="5" t="s">
        <v>144</v>
      </c>
      <c r="D3" s="5" t="s">
        <v>145</v>
      </c>
      <c r="E3" s="10">
        <v>46007.54476024305</v>
      </c>
    </row>
    <row r="4">
      <c r="A4" s="5" t="s">
        <v>147</v>
      </c>
      <c r="B4" s="5" t="s">
        <v>56</v>
      </c>
      <c r="C4" s="5" t="s">
        <v>144</v>
      </c>
      <c r="D4" s="5" t="s">
        <v>145</v>
      </c>
    </row>
    <row r="5">
      <c r="A5" s="5" t="s">
        <v>148</v>
      </c>
      <c r="B5" s="5" t="s">
        <v>56</v>
      </c>
      <c r="C5" s="5" t="s">
        <v>144</v>
      </c>
      <c r="D5" s="5" t="s">
        <v>145</v>
      </c>
    </row>
    <row r="6">
      <c r="A6" s="5" t="s">
        <v>149</v>
      </c>
      <c r="B6" s="5" t="s">
        <v>56</v>
      </c>
      <c r="C6" s="5" t="s">
        <v>144</v>
      </c>
      <c r="D6" s="5" t="s">
        <v>145</v>
      </c>
    </row>
    <row r="7">
      <c r="A7" s="5" t="s">
        <v>150</v>
      </c>
      <c r="B7" s="5" t="s">
        <v>56</v>
      </c>
      <c r="C7" s="5" t="s">
        <v>144</v>
      </c>
      <c r="D7" s="5" t="s">
        <v>145</v>
      </c>
    </row>
    <row r="8">
      <c r="A8" s="5" t="s">
        <v>151</v>
      </c>
      <c r="B8" s="5" t="s">
        <v>56</v>
      </c>
      <c r="C8" s="5" t="s">
        <v>144</v>
      </c>
      <c r="D8" s="5" t="s">
        <v>145</v>
      </c>
    </row>
    <row r="9">
      <c r="A9" s="5" t="s">
        <v>152</v>
      </c>
      <c r="B9" s="5" t="s">
        <v>56</v>
      </c>
      <c r="C9" s="5" t="s">
        <v>144</v>
      </c>
      <c r="D9" s="5" t="s">
        <v>145</v>
      </c>
    </row>
    <row r="10">
      <c r="A10" s="5" t="s">
        <v>153</v>
      </c>
      <c r="B10" s="5" t="s">
        <v>62</v>
      </c>
      <c r="C10" s="5" t="s">
        <v>144</v>
      </c>
      <c r="D10" s="5" t="s">
        <v>145</v>
      </c>
    </row>
    <row r="11">
      <c r="A11" s="5" t="s">
        <v>154</v>
      </c>
      <c r="B11" s="5" t="s">
        <v>62</v>
      </c>
      <c r="C11" s="5" t="s">
        <v>144</v>
      </c>
      <c r="D11" s="5" t="s">
        <v>145</v>
      </c>
    </row>
    <row r="12">
      <c r="A12" s="5" t="s">
        <v>155</v>
      </c>
      <c r="B12" s="5" t="s">
        <v>62</v>
      </c>
      <c r="C12" s="5" t="s">
        <v>144</v>
      </c>
      <c r="D12" s="5" t="s">
        <v>145</v>
      </c>
    </row>
    <row r="13">
      <c r="A13" s="5" t="s">
        <v>156</v>
      </c>
      <c r="B13" s="5" t="s">
        <v>62</v>
      </c>
      <c r="C13" s="5" t="s">
        <v>144</v>
      </c>
      <c r="D13" s="5" t="s">
        <v>145</v>
      </c>
    </row>
    <row r="14">
      <c r="A14" s="5" t="s">
        <v>157</v>
      </c>
      <c r="B14" s="5" t="s">
        <v>62</v>
      </c>
      <c r="C14" s="5" t="s">
        <v>144</v>
      </c>
      <c r="D14" s="5" t="s">
        <v>145</v>
      </c>
    </row>
    <row r="15">
      <c r="A15" s="5" t="s">
        <v>158</v>
      </c>
      <c r="B15" s="5" t="s">
        <v>62</v>
      </c>
      <c r="C15" s="5" t="s">
        <v>144</v>
      </c>
      <c r="D15" s="5" t="s">
        <v>145</v>
      </c>
    </row>
    <row r="16">
      <c r="A16" s="5" t="s">
        <v>159</v>
      </c>
      <c r="B16" s="5" t="s">
        <v>62</v>
      </c>
      <c r="C16" s="5" t="s">
        <v>144</v>
      </c>
      <c r="D16" s="5" t="s">
        <v>145</v>
      </c>
    </row>
    <row r="17">
      <c r="A17" s="5" t="s">
        <v>160</v>
      </c>
      <c r="B17" s="5" t="s">
        <v>62</v>
      </c>
      <c r="C17" s="5" t="s">
        <v>144</v>
      </c>
      <c r="D17" s="5" t="s">
        <v>145</v>
      </c>
    </row>
    <row r="18">
      <c r="A18" s="5" t="s">
        <v>161</v>
      </c>
      <c r="B18" s="5" t="s">
        <v>62</v>
      </c>
      <c r="C18" s="5" t="s">
        <v>144</v>
      </c>
      <c r="D18" s="5" t="s">
        <v>145</v>
      </c>
    </row>
    <row r="19">
      <c r="A19" s="5" t="s">
        <v>162</v>
      </c>
      <c r="B19" s="5" t="s">
        <v>66</v>
      </c>
      <c r="C19" s="5" t="s">
        <v>144</v>
      </c>
      <c r="D19" s="5" t="s">
        <v>145</v>
      </c>
    </row>
    <row r="20">
      <c r="A20" s="5" t="s">
        <v>163</v>
      </c>
      <c r="B20" s="5" t="s">
        <v>66</v>
      </c>
      <c r="C20" s="5" t="s">
        <v>144</v>
      </c>
      <c r="D20" s="5" t="s">
        <v>145</v>
      </c>
    </row>
    <row r="21">
      <c r="A21" s="5" t="s">
        <v>164</v>
      </c>
      <c r="B21" s="5" t="s">
        <v>66</v>
      </c>
      <c r="C21" s="5" t="s">
        <v>144</v>
      </c>
      <c r="D21" s="5" t="s">
        <v>145</v>
      </c>
    </row>
    <row r="22">
      <c r="A22" s="5" t="s">
        <v>165</v>
      </c>
      <c r="B22" s="5" t="s">
        <v>66</v>
      </c>
      <c r="C22" s="5" t="s">
        <v>144</v>
      </c>
      <c r="D22" s="5" t="s">
        <v>145</v>
      </c>
    </row>
    <row r="23">
      <c r="A23" s="5" t="s">
        <v>166</v>
      </c>
      <c r="B23" s="5" t="s">
        <v>66</v>
      </c>
      <c r="C23" s="5" t="s">
        <v>144</v>
      </c>
      <c r="D23" s="5" t="s">
        <v>145</v>
      </c>
    </row>
    <row r="24">
      <c r="A24" s="5" t="s">
        <v>167</v>
      </c>
      <c r="B24" s="5" t="s">
        <v>65</v>
      </c>
      <c r="C24" s="5" t="s">
        <v>144</v>
      </c>
      <c r="D24" s="5" t="s">
        <v>145</v>
      </c>
    </row>
    <row r="25">
      <c r="A25" s="5" t="s">
        <v>168</v>
      </c>
      <c r="B25" s="5" t="s">
        <v>65</v>
      </c>
      <c r="C25" s="5" t="s">
        <v>144</v>
      </c>
      <c r="D25" s="5" t="s">
        <v>145</v>
      </c>
    </row>
    <row r="26">
      <c r="A26" s="5" t="s">
        <v>169</v>
      </c>
      <c r="B26" s="5" t="s">
        <v>65</v>
      </c>
      <c r="C26" s="5" t="s">
        <v>144</v>
      </c>
      <c r="D26" s="5" t="s">
        <v>145</v>
      </c>
    </row>
    <row r="27">
      <c r="A27" s="5" t="s">
        <v>170</v>
      </c>
      <c r="B27" s="5" t="s">
        <v>65</v>
      </c>
      <c r="C27" s="5" t="s">
        <v>144</v>
      </c>
      <c r="D27" s="5" t="s">
        <v>145</v>
      </c>
    </row>
    <row r="28">
      <c r="A28" s="5" t="s">
        <v>171</v>
      </c>
      <c r="B28" s="5" t="s">
        <v>65</v>
      </c>
      <c r="C28" s="5" t="s">
        <v>144</v>
      </c>
      <c r="D28" s="5" t="s">
        <v>145</v>
      </c>
    </row>
    <row r="29">
      <c r="A29" s="5" t="s">
        <v>172</v>
      </c>
      <c r="B29" s="5" t="s">
        <v>64</v>
      </c>
      <c r="C29" s="5" t="s">
        <v>144</v>
      </c>
      <c r="D29" s="5" t="s">
        <v>145</v>
      </c>
    </row>
    <row r="30">
      <c r="A30" s="5" t="s">
        <v>173</v>
      </c>
      <c r="B30" s="5" t="s">
        <v>64</v>
      </c>
      <c r="C30" s="5" t="s">
        <v>144</v>
      </c>
      <c r="D30" s="5" t="s">
        <v>145</v>
      </c>
    </row>
    <row r="31">
      <c r="A31" s="5" t="s">
        <v>174</v>
      </c>
      <c r="B31" s="5" t="s">
        <v>64</v>
      </c>
      <c r="C31" s="5" t="s">
        <v>144</v>
      </c>
      <c r="D31" s="5" t="s">
        <v>145</v>
      </c>
    </row>
    <row r="32">
      <c r="A32" s="5" t="s">
        <v>175</v>
      </c>
      <c r="B32" s="5" t="s">
        <v>64</v>
      </c>
      <c r="C32" s="5" t="s">
        <v>144</v>
      </c>
      <c r="D32" s="5" t="s">
        <v>145</v>
      </c>
    </row>
    <row r="33">
      <c r="A33" s="5" t="s">
        <v>176</v>
      </c>
      <c r="B33" s="5" t="s">
        <v>64</v>
      </c>
      <c r="C33" s="5" t="s">
        <v>144</v>
      </c>
      <c r="D33" s="5" t="s">
        <v>145</v>
      </c>
    </row>
    <row r="34">
      <c r="A34" s="5" t="s">
        <v>177</v>
      </c>
      <c r="B34" s="5" t="s">
        <v>54</v>
      </c>
      <c r="C34" s="5" t="s">
        <v>144</v>
      </c>
      <c r="D34" s="5" t="s">
        <v>145</v>
      </c>
    </row>
    <row r="35">
      <c r="A35" s="5" t="s">
        <v>178</v>
      </c>
      <c r="B35" s="5" t="s">
        <v>59</v>
      </c>
      <c r="C35" s="5" t="s">
        <v>179</v>
      </c>
      <c r="D35" s="5" t="s">
        <v>145</v>
      </c>
    </row>
    <row r="36">
      <c r="A36" s="5" t="s">
        <v>180</v>
      </c>
      <c r="B36" s="5" t="s">
        <v>59</v>
      </c>
      <c r="C36" s="5" t="s">
        <v>144</v>
      </c>
      <c r="D36" s="5" t="s">
        <v>145</v>
      </c>
    </row>
    <row r="37">
      <c r="A37" s="5" t="s">
        <v>181</v>
      </c>
      <c r="B37" s="5" t="s">
        <v>59</v>
      </c>
      <c r="C37" s="5" t="s">
        <v>144</v>
      </c>
      <c r="D37" s="5" t="s">
        <v>145</v>
      </c>
    </row>
    <row r="38">
      <c r="A38" s="5" t="s">
        <v>182</v>
      </c>
      <c r="B38" s="5" t="s">
        <v>59</v>
      </c>
      <c r="C38" s="5" t="s">
        <v>144</v>
      </c>
      <c r="D38" s="5" t="s">
        <v>145</v>
      </c>
    </row>
    <row r="39">
      <c r="A39" s="5" t="s">
        <v>183</v>
      </c>
      <c r="B39" s="5" t="s">
        <v>59</v>
      </c>
      <c r="C39" s="5" t="s">
        <v>144</v>
      </c>
      <c r="D39" s="5" t="s">
        <v>145</v>
      </c>
    </row>
    <row r="40">
      <c r="A40" s="5" t="s">
        <v>184</v>
      </c>
      <c r="B40" s="5" t="s">
        <v>59</v>
      </c>
      <c r="C40" s="5" t="s">
        <v>144</v>
      </c>
      <c r="D40" s="5" t="s">
        <v>145</v>
      </c>
    </row>
    <row r="41">
      <c r="A41" s="5" t="s">
        <v>185</v>
      </c>
      <c r="B41" s="5" t="s">
        <v>58</v>
      </c>
      <c r="C41" s="5" t="s">
        <v>144</v>
      </c>
      <c r="D41" s="5" t="s">
        <v>145</v>
      </c>
    </row>
    <row r="42">
      <c r="A42" s="5" t="s">
        <v>186</v>
      </c>
      <c r="B42" s="5" t="s">
        <v>58</v>
      </c>
      <c r="C42" s="5" t="s">
        <v>144</v>
      </c>
      <c r="D42" s="5" t="s">
        <v>145</v>
      </c>
    </row>
    <row r="43">
      <c r="A43" s="5" t="s">
        <v>187</v>
      </c>
      <c r="B43" s="5" t="s">
        <v>58</v>
      </c>
      <c r="C43" s="5" t="s">
        <v>144</v>
      </c>
      <c r="D43" s="5" t="s">
        <v>145</v>
      </c>
    </row>
    <row r="44">
      <c r="A44" s="5" t="s">
        <v>188</v>
      </c>
      <c r="B44" s="5" t="s">
        <v>58</v>
      </c>
      <c r="C44" s="5" t="s">
        <v>144</v>
      </c>
      <c r="D44" s="5" t="s">
        <v>145</v>
      </c>
    </row>
    <row r="45">
      <c r="A45" s="5" t="s">
        <v>189</v>
      </c>
      <c r="B45" s="5" t="s">
        <v>58</v>
      </c>
      <c r="C45" s="5" t="s">
        <v>144</v>
      </c>
      <c r="D45" s="5" t="s">
        <v>145</v>
      </c>
    </row>
    <row r="46">
      <c r="A46" s="5" t="s">
        <v>190</v>
      </c>
      <c r="B46" s="5" t="s">
        <v>58</v>
      </c>
      <c r="C46" s="5" t="s">
        <v>144</v>
      </c>
      <c r="D46" s="5" t="s">
        <v>145</v>
      </c>
    </row>
    <row r="47">
      <c r="A47" s="5" t="s">
        <v>191</v>
      </c>
      <c r="B47" s="5" t="s">
        <v>58</v>
      </c>
      <c r="C47" s="5" t="s">
        <v>144</v>
      </c>
      <c r="D47" s="5" t="s">
        <v>145</v>
      </c>
    </row>
    <row r="48">
      <c r="A48" s="5" t="s">
        <v>192</v>
      </c>
      <c r="B48" s="5" t="s">
        <v>57</v>
      </c>
      <c r="C48" s="5" t="s">
        <v>144</v>
      </c>
      <c r="D48" s="5" t="s">
        <v>145</v>
      </c>
    </row>
    <row r="49">
      <c r="A49" s="5" t="s">
        <v>193</v>
      </c>
      <c r="B49" s="5" t="s">
        <v>57</v>
      </c>
      <c r="C49" s="5" t="s">
        <v>144</v>
      </c>
      <c r="D49" s="5" t="s">
        <v>145</v>
      </c>
    </row>
    <row r="50">
      <c r="A50" s="5" t="s">
        <v>194</v>
      </c>
      <c r="B50" s="5" t="s">
        <v>57</v>
      </c>
      <c r="C50" s="5" t="s">
        <v>144</v>
      </c>
      <c r="D50" s="5" t="s">
        <v>145</v>
      </c>
    </row>
    <row r="51">
      <c r="A51" s="5" t="s">
        <v>195</v>
      </c>
      <c r="B51" s="5" t="s">
        <v>57</v>
      </c>
      <c r="C51" s="5" t="s">
        <v>144</v>
      </c>
      <c r="D51" s="5" t="s">
        <v>145</v>
      </c>
    </row>
    <row r="52">
      <c r="A52" s="5" t="s">
        <v>196</v>
      </c>
      <c r="B52" s="5" t="s">
        <v>57</v>
      </c>
      <c r="C52" s="5" t="s">
        <v>144</v>
      </c>
      <c r="D52" s="5" t="s">
        <v>145</v>
      </c>
    </row>
    <row r="53">
      <c r="A53" s="5" t="s">
        <v>197</v>
      </c>
      <c r="B53" s="5" t="s">
        <v>67</v>
      </c>
      <c r="C53" s="5" t="s">
        <v>144</v>
      </c>
      <c r="D53" s="5" t="s">
        <v>145</v>
      </c>
    </row>
    <row r="54">
      <c r="A54" s="5" t="s">
        <v>198</v>
      </c>
      <c r="B54" s="5" t="s">
        <v>67</v>
      </c>
      <c r="C54" s="5" t="s">
        <v>144</v>
      </c>
      <c r="D54" s="5" t="s">
        <v>145</v>
      </c>
    </row>
    <row r="55">
      <c r="A55" s="5" t="s">
        <v>199</v>
      </c>
      <c r="B55" s="5" t="s">
        <v>67</v>
      </c>
      <c r="C55" s="5" t="s">
        <v>144</v>
      </c>
      <c r="D55" s="5" t="s">
        <v>145</v>
      </c>
    </row>
    <row r="56">
      <c r="A56" s="5" t="s">
        <v>200</v>
      </c>
      <c r="B56" s="5" t="s">
        <v>67</v>
      </c>
      <c r="C56" s="5" t="s">
        <v>179</v>
      </c>
      <c r="D56" s="5" t="s">
        <v>145</v>
      </c>
    </row>
    <row r="57">
      <c r="A57" s="5" t="s">
        <v>201</v>
      </c>
      <c r="B57" s="5" t="s">
        <v>67</v>
      </c>
      <c r="C57" s="5" t="s">
        <v>144</v>
      </c>
      <c r="D57" s="5" t="s">
        <v>145</v>
      </c>
    </row>
    <row r="58">
      <c r="A58" s="5" t="s">
        <v>202</v>
      </c>
      <c r="B58" s="5" t="s">
        <v>67</v>
      </c>
      <c r="C58" s="5" t="s">
        <v>144</v>
      </c>
      <c r="D58" s="5" t="s">
        <v>145</v>
      </c>
    </row>
    <row r="59">
      <c r="A59" s="5" t="s">
        <v>203</v>
      </c>
      <c r="B59" s="5" t="s">
        <v>61</v>
      </c>
      <c r="C59" s="5" t="s">
        <v>144</v>
      </c>
      <c r="D59" s="5" t="s">
        <v>145</v>
      </c>
    </row>
    <row r="60">
      <c r="A60" s="5" t="s">
        <v>204</v>
      </c>
      <c r="B60" s="5" t="s">
        <v>61</v>
      </c>
      <c r="C60" s="5" t="s">
        <v>144</v>
      </c>
      <c r="D60" s="5" t="s">
        <v>145</v>
      </c>
    </row>
    <row r="61">
      <c r="A61" s="5" t="s">
        <v>205</v>
      </c>
      <c r="B61" s="5" t="s">
        <v>61</v>
      </c>
      <c r="C61" s="5" t="s">
        <v>144</v>
      </c>
      <c r="D61" s="5" t="s">
        <v>145</v>
      </c>
    </row>
    <row r="62">
      <c r="A62" s="5" t="s">
        <v>206</v>
      </c>
      <c r="B62" s="5" t="s">
        <v>61</v>
      </c>
      <c r="C62" s="5" t="s">
        <v>144</v>
      </c>
      <c r="D62" s="5" t="s">
        <v>145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139</v>
      </c>
      <c r="B1" s="11" t="s">
        <v>207</v>
      </c>
      <c r="C1" s="11" t="s">
        <v>208</v>
      </c>
      <c r="D1" s="5" t="s">
        <v>209</v>
      </c>
      <c r="E1" s="5" t="s">
        <v>210</v>
      </c>
      <c r="F1" s="5" t="s">
        <v>211</v>
      </c>
      <c r="J1" s="11"/>
      <c r="K1" s="11"/>
      <c r="L1" s="11"/>
    </row>
    <row r="2">
      <c r="A2" s="5" t="s">
        <v>54</v>
      </c>
      <c r="B2" s="12">
        <v>920.0</v>
      </c>
      <c r="C2" s="13" t="s">
        <v>212</v>
      </c>
      <c r="D2" s="14">
        <f>SUMIFS(ShadowLedger!$D:$D,ShadowLedger!$G:$G,A2,ShadowLedger!$C:$C,"&gt;="&amp;DATE(LEFT(SUBSTITUTE(C2,"'",""),4),MID(SUBSTITUTE(C2,"'",""),6,2),1),ShadowLedger!$C:$C,"&lt;"&amp;EOMONTH(DATE(LEFT(SUBSTITUTE(C2,"'",""),4),MID(SUBSTITUTE(C2,"'",""),6,2),1),0)+1)</f>
        <v>913</v>
      </c>
      <c r="E2" s="15">
        <f t="shared" ref="E2:E3486" si="1">B2-D2</f>
        <v>7</v>
      </c>
      <c r="F2" s="16">
        <f t="shared" ref="F2:F3486" si="2">IF(B2&gt;0,D2/B2,0)</f>
        <v>0.9923913043</v>
      </c>
    </row>
    <row r="3">
      <c r="A3" s="5" t="s">
        <v>55</v>
      </c>
      <c r="B3" s="12">
        <v>700.0</v>
      </c>
      <c r="C3" s="13" t="s">
        <v>212</v>
      </c>
      <c r="D3" s="14">
        <f>SUMIFS(ShadowLedger!$D:$D,ShadowLedger!$G:$G,A3,ShadowLedger!$C:$C,"&gt;="&amp;DATE(LEFT(SUBSTITUTE(C3,"'",""),4),MID(SUBSTITUTE(C3,"'",""),6,2),1),ShadowLedger!$C:$C,"&lt;"&amp;EOMONTH(DATE(LEFT(SUBSTITUTE(C3,"'",""),4),MID(SUBSTITUTE(C3,"'",""),6,2),1),0)+1)</f>
        <v>229.57</v>
      </c>
      <c r="E3" s="15">
        <f t="shared" si="1"/>
        <v>470.43</v>
      </c>
      <c r="F3" s="16">
        <f t="shared" si="2"/>
        <v>0.3279571429</v>
      </c>
    </row>
    <row r="4">
      <c r="A4" s="5" t="s">
        <v>56</v>
      </c>
      <c r="B4" s="12">
        <v>500.0</v>
      </c>
      <c r="C4" s="13" t="s">
        <v>212</v>
      </c>
      <c r="D4" s="14">
        <f>SUMIFS(ShadowLedger!$D:$D,ShadowLedger!$G:$G,A4,ShadowLedger!$C:$C,"&gt;="&amp;DATE(LEFT(SUBSTITUTE(C4,"'",""),4),MID(SUBSTITUTE(C4,"'",""),6,2),1),ShadowLedger!$C:$C,"&lt;"&amp;EOMONTH(DATE(LEFT(SUBSTITUTE(C4,"'",""),4),MID(SUBSTITUTE(C4,"'",""),6,2),1),0)+1)</f>
        <v>907.1</v>
      </c>
      <c r="E4" s="15">
        <f t="shared" si="1"/>
        <v>-407.1</v>
      </c>
      <c r="F4" s="16">
        <f t="shared" si="2"/>
        <v>1.8142</v>
      </c>
    </row>
    <row r="5">
      <c r="A5" s="5" t="s">
        <v>57</v>
      </c>
      <c r="B5" s="12">
        <v>500.0</v>
      </c>
      <c r="C5" s="13" t="s">
        <v>212</v>
      </c>
      <c r="D5" s="14">
        <f>SUMIFS(ShadowLedger!$D:$D,ShadowLedger!$G:$G,A5,ShadowLedger!$C:$C,"&gt;="&amp;DATE(LEFT(SUBSTITUTE(C5,"'",""),4),MID(SUBSTITUTE(C5,"'",""),6,2),1),ShadowLedger!$C:$C,"&lt;"&amp;EOMONTH(DATE(LEFT(SUBSTITUTE(C5,"'",""),4),MID(SUBSTITUTE(C5,"'",""),6,2),1),0)+1)</f>
        <v>55</v>
      </c>
      <c r="E5" s="15">
        <f t="shared" si="1"/>
        <v>445</v>
      </c>
      <c r="F5" s="16">
        <f t="shared" si="2"/>
        <v>0.11</v>
      </c>
    </row>
    <row r="6">
      <c r="A6" s="5" t="s">
        <v>58</v>
      </c>
      <c r="B6" s="12">
        <v>400.0</v>
      </c>
      <c r="C6" s="13" t="s">
        <v>212</v>
      </c>
      <c r="D6" s="14">
        <f>SUMIFS(ShadowLedger!$D:$D,ShadowLedger!$G:$G,A6,ShadowLedger!$C:$C,"&gt;="&amp;DATE(LEFT(SUBSTITUTE(C6,"'",""),4),MID(SUBSTITUTE(C6,"'",""),6,2),1),ShadowLedger!$C:$C,"&lt;"&amp;EOMONTH(DATE(LEFT(SUBSTITUTE(C6,"'",""),4),MID(SUBSTITUTE(C6,"'",""),6,2),1),0)+1)</f>
        <v>882</v>
      </c>
      <c r="E6" s="15">
        <f t="shared" si="1"/>
        <v>-482</v>
      </c>
      <c r="F6" s="16">
        <f t="shared" si="2"/>
        <v>2.205</v>
      </c>
    </row>
    <row r="7">
      <c r="A7" s="5" t="s">
        <v>59</v>
      </c>
      <c r="B7" s="12">
        <v>200.0</v>
      </c>
      <c r="C7" s="13" t="s">
        <v>212</v>
      </c>
      <c r="D7" s="14">
        <f>SUMIFS(ShadowLedger!$D:$D,ShadowLedger!$G:$G,A7,ShadowLedger!$C:$C,"&gt;="&amp;DATE(LEFT(SUBSTITUTE(C7,"'",""),4),MID(SUBSTITUTE(C7,"'",""),6,2),1),ShadowLedger!$C:$C,"&lt;"&amp;EOMONTH(DATE(LEFT(SUBSTITUTE(C7,"'",""),4),MID(SUBSTITUTE(C7,"'",""),6,2),1),0)+1)</f>
        <v>457.21</v>
      </c>
      <c r="E7" s="15">
        <f t="shared" si="1"/>
        <v>-257.21</v>
      </c>
      <c r="F7" s="16">
        <f t="shared" si="2"/>
        <v>2.28605</v>
      </c>
    </row>
    <row r="8">
      <c r="A8" s="5" t="s">
        <v>60</v>
      </c>
      <c r="B8" s="12">
        <v>150.0</v>
      </c>
      <c r="C8" s="13" t="s">
        <v>212</v>
      </c>
      <c r="D8" s="14">
        <f>SUMIFS(ShadowLedger!$D:$D,ShadowLedger!$G:$G,A8,ShadowLedger!$C:$C,"&gt;="&amp;DATE(LEFT(SUBSTITUTE(C8,"'",""),4),MID(SUBSTITUTE(C8,"'",""),6,2),1),ShadowLedger!$C:$C,"&lt;"&amp;EOMONTH(DATE(LEFT(SUBSTITUTE(C8,"'",""),4),MID(SUBSTITUTE(C8,"'",""),6,2),1),0)+1)</f>
        <v>792.58</v>
      </c>
      <c r="E8" s="15">
        <f t="shared" si="1"/>
        <v>-642.58</v>
      </c>
      <c r="F8" s="16">
        <f t="shared" si="2"/>
        <v>5.283866667</v>
      </c>
    </row>
    <row r="9">
      <c r="A9" s="5" t="s">
        <v>61</v>
      </c>
      <c r="B9" s="12">
        <v>120.0</v>
      </c>
      <c r="C9" s="13" t="s">
        <v>212</v>
      </c>
      <c r="D9" s="14">
        <f>SUMIFS(ShadowLedger!$D:$D,ShadowLedger!$G:$G,A9,ShadowLedger!$C:$C,"&gt;="&amp;DATE(LEFT(SUBSTITUTE(C9,"'",""),4),MID(SUBSTITUTE(C9,"'",""),6,2),1),ShadowLedger!$C:$C,"&lt;"&amp;EOMONTH(DATE(LEFT(SUBSTITUTE(C9,"'",""),4),MID(SUBSTITUTE(C9,"'",""),6,2),1),0)+1)</f>
        <v>0</v>
      </c>
      <c r="E9" s="15">
        <f t="shared" si="1"/>
        <v>120</v>
      </c>
      <c r="F9" s="16">
        <f t="shared" si="2"/>
        <v>0</v>
      </c>
    </row>
    <row r="10">
      <c r="A10" s="5" t="s">
        <v>62</v>
      </c>
      <c r="B10" s="12">
        <v>120.0</v>
      </c>
      <c r="C10" s="13" t="s">
        <v>212</v>
      </c>
      <c r="D10" s="14">
        <f>SUMIFS(ShadowLedger!$D:$D,ShadowLedger!$G:$G,A10,ShadowLedger!$C:$C,"&gt;="&amp;DATE(LEFT(SUBSTITUTE(C10,"'",""),4),MID(SUBSTITUTE(C10,"'",""),6,2),1),ShadowLedger!$C:$C,"&lt;"&amp;EOMONTH(DATE(LEFT(SUBSTITUTE(C10,"'",""),4),MID(SUBSTITUTE(C10,"'",""),6,2),1),0)+1)</f>
        <v>160.5</v>
      </c>
      <c r="E10" s="15">
        <f t="shared" si="1"/>
        <v>-40.5</v>
      </c>
      <c r="F10" s="16">
        <f t="shared" si="2"/>
        <v>1.3375</v>
      </c>
    </row>
    <row r="11">
      <c r="A11" s="5" t="s">
        <v>63</v>
      </c>
      <c r="B11" s="12">
        <v>100.0</v>
      </c>
      <c r="C11" s="13" t="s">
        <v>212</v>
      </c>
      <c r="D11" s="14">
        <f>SUMIFS(ShadowLedger!$D:$D,ShadowLedger!$G:$G,A11,ShadowLedger!$C:$C,"&gt;="&amp;DATE(LEFT(SUBSTITUTE(C11,"'",""),4),MID(SUBSTITUTE(C11,"'",""),6,2),1),ShadowLedger!$C:$C,"&lt;"&amp;EOMONTH(DATE(LEFT(SUBSTITUTE(C11,"'",""),4),MID(SUBSTITUTE(C11,"'",""),6,2),1),0)+1)</f>
        <v>524.45</v>
      </c>
      <c r="E11" s="15">
        <f t="shared" si="1"/>
        <v>-424.45</v>
      </c>
      <c r="F11" s="16">
        <f t="shared" si="2"/>
        <v>5.2445</v>
      </c>
    </row>
    <row r="12">
      <c r="A12" s="5" t="s">
        <v>64</v>
      </c>
      <c r="B12" s="12">
        <v>100.0</v>
      </c>
      <c r="C12" s="13" t="s">
        <v>212</v>
      </c>
      <c r="D12" s="14">
        <f>SUMIFS(ShadowLedger!$D:$D,ShadowLedger!$G:$G,A12,ShadowLedger!$C:$C,"&gt;="&amp;DATE(LEFT(SUBSTITUTE(C12,"'",""),4),MID(SUBSTITUTE(C12,"'",""),6,2),1),ShadowLedger!$C:$C,"&lt;"&amp;EOMONTH(DATE(LEFT(SUBSTITUTE(C12,"'",""),4),MID(SUBSTITUTE(C12,"'",""),6,2),1),0)+1)</f>
        <v>0</v>
      </c>
      <c r="E12" s="15">
        <f t="shared" si="1"/>
        <v>100</v>
      </c>
      <c r="F12" s="16">
        <f t="shared" si="2"/>
        <v>0</v>
      </c>
    </row>
    <row r="13">
      <c r="A13" s="5" t="s">
        <v>70</v>
      </c>
      <c r="B13" s="12">
        <v>100.0</v>
      </c>
      <c r="C13" s="13" t="s">
        <v>212</v>
      </c>
      <c r="D13" s="14">
        <f>SUMIFS(ShadowLedger!$D:$D,ShadowLedger!$G:$G,A13,ShadowLedger!$C:$C,"&gt;="&amp;DATE(LEFT(SUBSTITUTE(C13,"'",""),4),MID(SUBSTITUTE(C13,"'",""),6,2),1),ShadowLedger!$C:$C,"&lt;"&amp;EOMONTH(DATE(LEFT(SUBSTITUTE(C13,"'",""),4),MID(SUBSTITUTE(C13,"'",""),6,2),1),0)+1)</f>
        <v>67.37</v>
      </c>
      <c r="E13" s="15">
        <f t="shared" si="1"/>
        <v>32.63</v>
      </c>
      <c r="F13" s="16">
        <f t="shared" si="2"/>
        <v>0.6737</v>
      </c>
    </row>
    <row r="14">
      <c r="A14" s="5" t="s">
        <v>65</v>
      </c>
      <c r="B14" s="12">
        <v>50.0</v>
      </c>
      <c r="C14" s="13" t="s">
        <v>212</v>
      </c>
      <c r="D14" s="14">
        <f>SUMIFS(ShadowLedger!$D:$D,ShadowLedger!$G:$G,A14,ShadowLedger!$C:$C,"&gt;="&amp;DATE(LEFT(SUBSTITUTE(C14,"'",""),4),MID(SUBSTITUTE(C14,"'",""),6,2),1),ShadowLedger!$C:$C,"&lt;"&amp;EOMONTH(DATE(LEFT(SUBSTITUTE(C14,"'",""),4),MID(SUBSTITUTE(C14,"'",""),6,2),1),0)+1)</f>
        <v>123.5</v>
      </c>
      <c r="E14" s="15">
        <f t="shared" si="1"/>
        <v>-73.5</v>
      </c>
      <c r="F14" s="16">
        <f t="shared" si="2"/>
        <v>2.47</v>
      </c>
    </row>
    <row r="15">
      <c r="A15" s="5" t="s">
        <v>66</v>
      </c>
      <c r="B15" s="12">
        <v>50.0</v>
      </c>
      <c r="C15" s="13" t="s">
        <v>212</v>
      </c>
      <c r="D15" s="14">
        <f>SUMIFS(ShadowLedger!$D:$D,ShadowLedger!$G:$G,A15,ShadowLedger!$C:$C,"&gt;="&amp;DATE(LEFT(SUBSTITUTE(C15,"'",""),4),MID(SUBSTITUTE(C15,"'",""),6,2),1),ShadowLedger!$C:$C,"&lt;"&amp;EOMONTH(DATE(LEFT(SUBSTITUTE(C15,"'",""),4),MID(SUBSTITUTE(C15,"'",""),6,2),1),0)+1)</f>
        <v>257</v>
      </c>
      <c r="E15" s="15">
        <f t="shared" si="1"/>
        <v>-207</v>
      </c>
      <c r="F15" s="16">
        <f t="shared" si="2"/>
        <v>5.14</v>
      </c>
    </row>
    <row r="16">
      <c r="A16" s="5" t="s">
        <v>67</v>
      </c>
      <c r="B16" s="12">
        <v>50.0</v>
      </c>
      <c r="C16" s="13" t="s">
        <v>212</v>
      </c>
      <c r="D16" s="14">
        <f>SUMIFS(ShadowLedger!$D:$D,ShadowLedger!$G:$G,A16,ShadowLedger!$C:$C,"&gt;="&amp;DATE(LEFT(SUBSTITUTE(C16,"'",""),4),MID(SUBSTITUTE(C16,"'",""),6,2),1),ShadowLedger!$C:$C,"&lt;"&amp;EOMONTH(DATE(LEFT(SUBSTITUTE(C16,"'",""),4),MID(SUBSTITUTE(C16,"'",""),6,2),1),0)+1)</f>
        <v>48.74</v>
      </c>
      <c r="E16" s="15">
        <f t="shared" si="1"/>
        <v>1.26</v>
      </c>
      <c r="F16" s="16">
        <f t="shared" si="2"/>
        <v>0.9748</v>
      </c>
    </row>
    <row r="17">
      <c r="A17" s="5" t="s">
        <v>68</v>
      </c>
      <c r="B17" s="12">
        <v>50.0</v>
      </c>
      <c r="C17" s="13" t="s">
        <v>212</v>
      </c>
      <c r="D17" s="14">
        <f>SUMIFS(ShadowLedger!$D:$D,ShadowLedger!$G:$G,A17,ShadowLedger!$C:$C,"&gt;="&amp;DATE(LEFT(SUBSTITUTE(C17,"'",""),4),MID(SUBSTITUTE(C17,"'",""),6,2),1),ShadowLedger!$C:$C,"&lt;"&amp;EOMONTH(DATE(LEFT(SUBSTITUTE(C17,"'",""),4),MID(SUBSTITUTE(C17,"'",""),6,2),1),0)+1)</f>
        <v>494.36</v>
      </c>
      <c r="E17" s="15">
        <f t="shared" si="1"/>
        <v>-444.36</v>
      </c>
      <c r="F17" s="16">
        <f t="shared" si="2"/>
        <v>9.8872</v>
      </c>
    </row>
    <row r="18">
      <c r="A18" s="5" t="s">
        <v>69</v>
      </c>
      <c r="B18" s="12">
        <v>0.0</v>
      </c>
      <c r="C18" s="13" t="s">
        <v>212</v>
      </c>
      <c r="D18" s="14">
        <f>SUMIFS(ShadowLedger!$D:$D,ShadowLedger!$G:$G,A18,ShadowLedger!$C:$C,"&gt;="&amp;DATE(LEFT(SUBSTITUTE(C18,"'",""),4),MID(SUBSTITUTE(C18,"'",""),6,2),1),ShadowLedger!$C:$C,"&lt;"&amp;EOMONTH(DATE(LEFT(SUBSTITUTE(C18,"'",""),4),MID(SUBSTITUTE(C18,"'",""),6,2),1),0)+1)</f>
        <v>2210.76</v>
      </c>
      <c r="E18" s="15">
        <f t="shared" si="1"/>
        <v>-2210.76</v>
      </c>
      <c r="F18" s="16">
        <f t="shared" si="2"/>
        <v>0</v>
      </c>
    </row>
    <row r="19">
      <c r="A19" s="5" t="s">
        <v>54</v>
      </c>
      <c r="B19" s="12">
        <v>920.0</v>
      </c>
      <c r="C19" s="13" t="s">
        <v>213</v>
      </c>
      <c r="D19" s="14">
        <f>SUMIFS(ShadowLedger!$D:$D,ShadowLedger!$G:$G,A19,ShadowLedger!$C:$C,"&gt;="&amp;DATE(LEFT(SUBSTITUTE(C19,"'",""),4),MID(SUBSTITUTE(C19,"'",""),6,2),1),ShadowLedger!$C:$C,"&lt;"&amp;EOMONTH(DATE(LEFT(SUBSTITUTE(C19,"'",""),4),MID(SUBSTITUTE(C19,"'",""),6,2),1),0)+1)</f>
        <v>0</v>
      </c>
      <c r="E19" s="15">
        <f t="shared" si="1"/>
        <v>920</v>
      </c>
      <c r="F19" s="16">
        <f t="shared" si="2"/>
        <v>0</v>
      </c>
    </row>
    <row r="20">
      <c r="A20" s="5" t="s">
        <v>55</v>
      </c>
      <c r="B20" s="12">
        <v>700.0</v>
      </c>
      <c r="C20" s="13" t="s">
        <v>213</v>
      </c>
      <c r="D20" s="14">
        <f>SUMIFS(ShadowLedger!$D:$D,ShadowLedger!$G:$G,A20,ShadowLedger!$C:$C,"&gt;="&amp;DATE(LEFT(SUBSTITUTE(C20,"'",""),4),MID(SUBSTITUTE(C20,"'",""),6,2),1),ShadowLedger!$C:$C,"&lt;"&amp;EOMONTH(DATE(LEFT(SUBSTITUTE(C20,"'",""),4),MID(SUBSTITUTE(C20,"'",""),6,2),1),0)+1)</f>
        <v>0</v>
      </c>
      <c r="E20" s="15">
        <f t="shared" si="1"/>
        <v>700</v>
      </c>
      <c r="F20" s="16">
        <f t="shared" si="2"/>
        <v>0</v>
      </c>
    </row>
    <row r="21">
      <c r="A21" s="5" t="s">
        <v>56</v>
      </c>
      <c r="B21" s="12">
        <v>500.0</v>
      </c>
      <c r="C21" s="13" t="s">
        <v>213</v>
      </c>
      <c r="D21" s="14">
        <f>SUMIFS(ShadowLedger!$D:$D,ShadowLedger!$G:$G,A21,ShadowLedger!$C:$C,"&gt;="&amp;DATE(LEFT(SUBSTITUTE(C21,"'",""),4),MID(SUBSTITUTE(C21,"'",""),6,2),1),ShadowLedger!$C:$C,"&lt;"&amp;EOMONTH(DATE(LEFT(SUBSTITUTE(C21,"'",""),4),MID(SUBSTITUTE(C21,"'",""),6,2),1),0)+1)</f>
        <v>0</v>
      </c>
      <c r="E21" s="15">
        <f t="shared" si="1"/>
        <v>500</v>
      </c>
      <c r="F21" s="16">
        <f t="shared" si="2"/>
        <v>0</v>
      </c>
    </row>
    <row r="22">
      <c r="A22" s="5" t="s">
        <v>57</v>
      </c>
      <c r="B22" s="12">
        <v>500.0</v>
      </c>
      <c r="C22" s="13" t="s">
        <v>213</v>
      </c>
      <c r="D22" s="14">
        <f>SUMIFS(ShadowLedger!$D:$D,ShadowLedger!$G:$G,A22,ShadowLedger!$C:$C,"&gt;="&amp;DATE(LEFT(SUBSTITUTE(C22,"'",""),4),MID(SUBSTITUTE(C22,"'",""),6,2),1),ShadowLedger!$C:$C,"&lt;"&amp;EOMONTH(DATE(LEFT(SUBSTITUTE(C22,"'",""),4),MID(SUBSTITUTE(C22,"'",""),6,2),1),0)+1)</f>
        <v>0</v>
      </c>
      <c r="E22" s="15">
        <f t="shared" si="1"/>
        <v>500</v>
      </c>
      <c r="F22" s="16">
        <f t="shared" si="2"/>
        <v>0</v>
      </c>
    </row>
    <row r="23">
      <c r="A23" s="5" t="s">
        <v>58</v>
      </c>
      <c r="B23" s="12">
        <v>400.0</v>
      </c>
      <c r="C23" s="13" t="s">
        <v>213</v>
      </c>
      <c r="D23" s="14">
        <f>SUMIFS(ShadowLedger!$D:$D,ShadowLedger!$G:$G,A23,ShadowLedger!$C:$C,"&gt;="&amp;DATE(LEFT(SUBSTITUTE(C23,"'",""),4),MID(SUBSTITUTE(C23,"'",""),6,2),1),ShadowLedger!$C:$C,"&lt;"&amp;EOMONTH(DATE(LEFT(SUBSTITUTE(C23,"'",""),4),MID(SUBSTITUTE(C23,"'",""),6,2),1),0)+1)</f>
        <v>0</v>
      </c>
      <c r="E23" s="15">
        <f t="shared" si="1"/>
        <v>400</v>
      </c>
      <c r="F23" s="16">
        <f t="shared" si="2"/>
        <v>0</v>
      </c>
    </row>
    <row r="24">
      <c r="A24" s="5" t="s">
        <v>59</v>
      </c>
      <c r="B24" s="12">
        <v>200.0</v>
      </c>
      <c r="C24" s="13" t="s">
        <v>213</v>
      </c>
      <c r="D24" s="14">
        <f>SUMIFS(ShadowLedger!$D:$D,ShadowLedger!$G:$G,A24,ShadowLedger!$C:$C,"&gt;="&amp;DATE(LEFT(SUBSTITUTE(C24,"'",""),4),MID(SUBSTITUTE(C24,"'",""),6,2),1),ShadowLedger!$C:$C,"&lt;"&amp;EOMONTH(DATE(LEFT(SUBSTITUTE(C24,"'",""),4),MID(SUBSTITUTE(C24,"'",""),6,2),1),0)+1)</f>
        <v>0</v>
      </c>
      <c r="E24" s="15">
        <f t="shared" si="1"/>
        <v>200</v>
      </c>
      <c r="F24" s="16">
        <f t="shared" si="2"/>
        <v>0</v>
      </c>
    </row>
    <row r="25">
      <c r="A25" s="5" t="s">
        <v>60</v>
      </c>
      <c r="B25" s="12">
        <v>150.0</v>
      </c>
      <c r="C25" s="13" t="s">
        <v>213</v>
      </c>
      <c r="D25" s="14">
        <f>SUMIFS(ShadowLedger!$D:$D,ShadowLedger!$G:$G,A25,ShadowLedger!$C:$C,"&gt;="&amp;DATE(LEFT(SUBSTITUTE(C25,"'",""),4),MID(SUBSTITUTE(C25,"'",""),6,2),1),ShadowLedger!$C:$C,"&lt;"&amp;EOMONTH(DATE(LEFT(SUBSTITUTE(C25,"'",""),4),MID(SUBSTITUTE(C25,"'",""),6,2),1),0)+1)</f>
        <v>0</v>
      </c>
      <c r="E25" s="15">
        <f t="shared" si="1"/>
        <v>150</v>
      </c>
      <c r="F25" s="16">
        <f t="shared" si="2"/>
        <v>0</v>
      </c>
    </row>
    <row r="26">
      <c r="A26" s="5" t="s">
        <v>61</v>
      </c>
      <c r="B26" s="12">
        <v>120.0</v>
      </c>
      <c r="C26" s="13" t="s">
        <v>213</v>
      </c>
      <c r="D26" s="14">
        <f>SUMIFS(ShadowLedger!$D:$D,ShadowLedger!$G:$G,A26,ShadowLedger!$C:$C,"&gt;="&amp;DATE(LEFT(SUBSTITUTE(C26,"'",""),4),MID(SUBSTITUTE(C26,"'",""),6,2),1),ShadowLedger!$C:$C,"&lt;"&amp;EOMONTH(DATE(LEFT(SUBSTITUTE(C26,"'",""),4),MID(SUBSTITUTE(C26,"'",""),6,2),1),0)+1)</f>
        <v>0</v>
      </c>
      <c r="E26" s="15">
        <f t="shared" si="1"/>
        <v>120</v>
      </c>
      <c r="F26" s="16">
        <f t="shared" si="2"/>
        <v>0</v>
      </c>
    </row>
    <row r="27">
      <c r="A27" s="5" t="s">
        <v>62</v>
      </c>
      <c r="B27" s="12">
        <v>120.0</v>
      </c>
      <c r="C27" s="13" t="s">
        <v>213</v>
      </c>
      <c r="D27" s="14">
        <f>SUMIFS(ShadowLedger!$D:$D,ShadowLedger!$G:$G,A27,ShadowLedger!$C:$C,"&gt;="&amp;DATE(LEFT(SUBSTITUTE(C27,"'",""),4),MID(SUBSTITUTE(C27,"'",""),6,2),1),ShadowLedger!$C:$C,"&lt;"&amp;EOMONTH(DATE(LEFT(SUBSTITUTE(C27,"'",""),4),MID(SUBSTITUTE(C27,"'",""),6,2),1),0)+1)</f>
        <v>0</v>
      </c>
      <c r="E27" s="15">
        <f t="shared" si="1"/>
        <v>120</v>
      </c>
      <c r="F27" s="16">
        <f t="shared" si="2"/>
        <v>0</v>
      </c>
    </row>
    <row r="28">
      <c r="A28" s="5" t="s">
        <v>63</v>
      </c>
      <c r="B28" s="12">
        <v>100.0</v>
      </c>
      <c r="C28" s="13" t="s">
        <v>213</v>
      </c>
      <c r="D28" s="14">
        <f>SUMIFS(ShadowLedger!$D:$D,ShadowLedger!$G:$G,A28,ShadowLedger!$C:$C,"&gt;="&amp;DATE(LEFT(SUBSTITUTE(C28,"'",""),4),MID(SUBSTITUTE(C28,"'",""),6,2),1),ShadowLedger!$C:$C,"&lt;"&amp;EOMONTH(DATE(LEFT(SUBSTITUTE(C28,"'",""),4),MID(SUBSTITUTE(C28,"'",""),6,2),1),0)+1)</f>
        <v>0</v>
      </c>
      <c r="E28" s="15">
        <f t="shared" si="1"/>
        <v>100</v>
      </c>
      <c r="F28" s="16">
        <f t="shared" si="2"/>
        <v>0</v>
      </c>
    </row>
    <row r="29">
      <c r="A29" s="5" t="s">
        <v>64</v>
      </c>
      <c r="B29" s="12">
        <v>100.0</v>
      </c>
      <c r="C29" s="13" t="s">
        <v>213</v>
      </c>
      <c r="D29" s="14">
        <f>SUMIFS(ShadowLedger!$D:$D,ShadowLedger!$G:$G,A29,ShadowLedger!$C:$C,"&gt;="&amp;DATE(LEFT(SUBSTITUTE(C29,"'",""),4),MID(SUBSTITUTE(C29,"'",""),6,2),1),ShadowLedger!$C:$C,"&lt;"&amp;EOMONTH(DATE(LEFT(SUBSTITUTE(C29,"'",""),4),MID(SUBSTITUTE(C29,"'",""),6,2),1),0)+1)</f>
        <v>0</v>
      </c>
      <c r="E29" s="15">
        <f t="shared" si="1"/>
        <v>100</v>
      </c>
      <c r="F29" s="16">
        <f t="shared" si="2"/>
        <v>0</v>
      </c>
    </row>
    <row r="30">
      <c r="A30" s="5" t="s">
        <v>70</v>
      </c>
      <c r="B30" s="12">
        <v>100.0</v>
      </c>
      <c r="C30" s="13" t="s">
        <v>213</v>
      </c>
      <c r="D30" s="14">
        <f>SUMIFS(ShadowLedger!$D:$D,ShadowLedger!$G:$G,A30,ShadowLedger!$C:$C,"&gt;="&amp;DATE(LEFT(SUBSTITUTE(C30,"'",""),4),MID(SUBSTITUTE(C30,"'",""),6,2),1),ShadowLedger!$C:$C,"&lt;"&amp;EOMONTH(DATE(LEFT(SUBSTITUTE(C30,"'",""),4),MID(SUBSTITUTE(C30,"'",""),6,2),1),0)+1)</f>
        <v>0</v>
      </c>
      <c r="E30" s="15">
        <f t="shared" si="1"/>
        <v>100</v>
      </c>
      <c r="F30" s="16">
        <f t="shared" si="2"/>
        <v>0</v>
      </c>
    </row>
    <row r="31">
      <c r="A31" s="5" t="s">
        <v>65</v>
      </c>
      <c r="B31" s="12">
        <v>50.0</v>
      </c>
      <c r="C31" s="13" t="s">
        <v>213</v>
      </c>
      <c r="D31" s="14">
        <f>SUMIFS(ShadowLedger!$D:$D,ShadowLedger!$G:$G,A31,ShadowLedger!$C:$C,"&gt;="&amp;DATE(LEFT(SUBSTITUTE(C31,"'",""),4),MID(SUBSTITUTE(C31,"'",""),6,2),1),ShadowLedger!$C:$C,"&lt;"&amp;EOMONTH(DATE(LEFT(SUBSTITUTE(C31,"'",""),4),MID(SUBSTITUTE(C31,"'",""),6,2),1),0)+1)</f>
        <v>0</v>
      </c>
      <c r="E31" s="15">
        <f t="shared" si="1"/>
        <v>50</v>
      </c>
      <c r="F31" s="16">
        <f t="shared" si="2"/>
        <v>0</v>
      </c>
    </row>
    <row r="32">
      <c r="A32" s="5" t="s">
        <v>66</v>
      </c>
      <c r="B32" s="12">
        <v>50.0</v>
      </c>
      <c r="C32" s="13" t="s">
        <v>213</v>
      </c>
      <c r="D32" s="14">
        <f>SUMIFS(ShadowLedger!$D:$D,ShadowLedger!$G:$G,A32,ShadowLedger!$C:$C,"&gt;="&amp;DATE(LEFT(SUBSTITUTE(C32,"'",""),4),MID(SUBSTITUTE(C32,"'",""),6,2),1),ShadowLedger!$C:$C,"&lt;"&amp;EOMONTH(DATE(LEFT(SUBSTITUTE(C32,"'",""),4),MID(SUBSTITUTE(C32,"'",""),6,2),1),0)+1)</f>
        <v>0</v>
      </c>
      <c r="E32" s="15">
        <f t="shared" si="1"/>
        <v>50</v>
      </c>
      <c r="F32" s="16">
        <f t="shared" si="2"/>
        <v>0</v>
      </c>
    </row>
    <row r="33">
      <c r="A33" s="5" t="s">
        <v>67</v>
      </c>
      <c r="B33" s="12">
        <v>50.0</v>
      </c>
      <c r="C33" s="13" t="s">
        <v>213</v>
      </c>
      <c r="D33" s="14">
        <f>SUMIFS(ShadowLedger!$D:$D,ShadowLedger!$G:$G,A33,ShadowLedger!$C:$C,"&gt;="&amp;DATE(LEFT(SUBSTITUTE(C33,"'",""),4),MID(SUBSTITUTE(C33,"'",""),6,2),1),ShadowLedger!$C:$C,"&lt;"&amp;EOMONTH(DATE(LEFT(SUBSTITUTE(C33,"'",""),4),MID(SUBSTITUTE(C33,"'",""),6,2),1),0)+1)</f>
        <v>0</v>
      </c>
      <c r="E33" s="15">
        <f t="shared" si="1"/>
        <v>50</v>
      </c>
      <c r="F33" s="16">
        <f t="shared" si="2"/>
        <v>0</v>
      </c>
    </row>
    <row r="34">
      <c r="A34" s="5" t="s">
        <v>68</v>
      </c>
      <c r="B34" s="12">
        <v>50.0</v>
      </c>
      <c r="C34" s="13" t="s">
        <v>213</v>
      </c>
      <c r="D34" s="14">
        <f>SUMIFS(ShadowLedger!$D:$D,ShadowLedger!$G:$G,A34,ShadowLedger!$C:$C,"&gt;="&amp;DATE(LEFT(SUBSTITUTE(C34,"'",""),4),MID(SUBSTITUTE(C34,"'",""),6,2),1),ShadowLedger!$C:$C,"&lt;"&amp;EOMONTH(DATE(LEFT(SUBSTITUTE(C34,"'",""),4),MID(SUBSTITUTE(C34,"'",""),6,2),1),0)+1)</f>
        <v>0</v>
      </c>
      <c r="E34" s="15">
        <f t="shared" si="1"/>
        <v>50</v>
      </c>
      <c r="F34" s="16">
        <f t="shared" si="2"/>
        <v>0</v>
      </c>
    </row>
    <row r="35">
      <c r="A35" s="5" t="s">
        <v>69</v>
      </c>
      <c r="B35" s="12">
        <v>0.0</v>
      </c>
      <c r="C35" s="13" t="s">
        <v>213</v>
      </c>
      <c r="D35" s="14">
        <f>SUMIFS(ShadowLedger!$D:$D,ShadowLedger!$G:$G,A35,ShadowLedger!$C:$C,"&gt;="&amp;DATE(LEFT(SUBSTITUTE(C35,"'",""),4),MID(SUBSTITUTE(C35,"'",""),6,2),1),ShadowLedger!$C:$C,"&lt;"&amp;EOMONTH(DATE(LEFT(SUBSTITUTE(C35,"'",""),4),MID(SUBSTITUTE(C35,"'",""),6,2),1),0)+1)</f>
        <v>0</v>
      </c>
      <c r="E35" s="15">
        <f t="shared" si="1"/>
        <v>0</v>
      </c>
      <c r="F35" s="16">
        <f t="shared" si="2"/>
        <v>0</v>
      </c>
    </row>
    <row r="36">
      <c r="A36" s="5" t="s">
        <v>54</v>
      </c>
      <c r="B36" s="12">
        <v>920.0</v>
      </c>
      <c r="C36" s="13" t="s">
        <v>214</v>
      </c>
      <c r="D36" s="14">
        <f>SUMIFS(ShadowLedger!$D:$D,ShadowLedger!$G:$G,A36,ShadowLedger!$C:$C,"&gt;="&amp;DATE(LEFT(SUBSTITUTE(C36,"'",""),4),MID(SUBSTITUTE(C36,"'",""),6,2),1),ShadowLedger!$C:$C,"&lt;"&amp;EOMONTH(DATE(LEFT(SUBSTITUTE(C36,"'",""),4),MID(SUBSTITUTE(C36,"'",""),6,2),1),0)+1)</f>
        <v>0</v>
      </c>
      <c r="E36" s="15">
        <f t="shared" si="1"/>
        <v>920</v>
      </c>
      <c r="F36" s="16">
        <f t="shared" si="2"/>
        <v>0</v>
      </c>
    </row>
    <row r="37">
      <c r="A37" s="5" t="s">
        <v>55</v>
      </c>
      <c r="B37" s="12">
        <v>700.0</v>
      </c>
      <c r="C37" s="13" t="s">
        <v>214</v>
      </c>
      <c r="D37" s="14">
        <f>SUMIFS(ShadowLedger!$D:$D,ShadowLedger!$G:$G,A37,ShadowLedger!$C:$C,"&gt;="&amp;DATE(LEFT(SUBSTITUTE(C37,"'",""),4),MID(SUBSTITUTE(C37,"'",""),6,2),1),ShadowLedger!$C:$C,"&lt;"&amp;EOMONTH(DATE(LEFT(SUBSTITUTE(C37,"'",""),4),MID(SUBSTITUTE(C37,"'",""),6,2),1),0)+1)</f>
        <v>0</v>
      </c>
      <c r="E37" s="15">
        <f t="shared" si="1"/>
        <v>700</v>
      </c>
      <c r="F37" s="16">
        <f t="shared" si="2"/>
        <v>0</v>
      </c>
    </row>
    <row r="38">
      <c r="A38" s="5" t="s">
        <v>56</v>
      </c>
      <c r="B38" s="12">
        <v>500.0</v>
      </c>
      <c r="C38" s="13" t="s">
        <v>214</v>
      </c>
      <c r="D38" s="14">
        <f>SUMIFS(ShadowLedger!$D:$D,ShadowLedger!$G:$G,A38,ShadowLedger!$C:$C,"&gt;="&amp;DATE(LEFT(SUBSTITUTE(C38,"'",""),4),MID(SUBSTITUTE(C38,"'",""),6,2),1),ShadowLedger!$C:$C,"&lt;"&amp;EOMONTH(DATE(LEFT(SUBSTITUTE(C38,"'",""),4),MID(SUBSTITUTE(C38,"'",""),6,2),1),0)+1)</f>
        <v>0</v>
      </c>
      <c r="E38" s="15">
        <f t="shared" si="1"/>
        <v>500</v>
      </c>
      <c r="F38" s="16">
        <f t="shared" si="2"/>
        <v>0</v>
      </c>
    </row>
    <row r="39">
      <c r="A39" s="5" t="s">
        <v>57</v>
      </c>
      <c r="B39" s="12">
        <v>500.0</v>
      </c>
      <c r="C39" s="13" t="s">
        <v>214</v>
      </c>
      <c r="D39" s="14">
        <f>SUMIFS(ShadowLedger!$D:$D,ShadowLedger!$G:$G,A39,ShadowLedger!$C:$C,"&gt;="&amp;DATE(LEFT(SUBSTITUTE(C39,"'",""),4),MID(SUBSTITUTE(C39,"'",""),6,2),1),ShadowLedger!$C:$C,"&lt;"&amp;EOMONTH(DATE(LEFT(SUBSTITUTE(C39,"'",""),4),MID(SUBSTITUTE(C39,"'",""),6,2),1),0)+1)</f>
        <v>0</v>
      </c>
      <c r="E39" s="15">
        <f t="shared" si="1"/>
        <v>500</v>
      </c>
      <c r="F39" s="16">
        <f t="shared" si="2"/>
        <v>0</v>
      </c>
    </row>
    <row r="40">
      <c r="A40" s="5" t="s">
        <v>58</v>
      </c>
      <c r="B40" s="12">
        <v>400.0</v>
      </c>
      <c r="C40" s="13" t="s">
        <v>214</v>
      </c>
      <c r="D40" s="14">
        <f>SUMIFS(ShadowLedger!$D:$D,ShadowLedger!$G:$G,A40,ShadowLedger!$C:$C,"&gt;="&amp;DATE(LEFT(SUBSTITUTE(C40,"'",""),4),MID(SUBSTITUTE(C40,"'",""),6,2),1),ShadowLedger!$C:$C,"&lt;"&amp;EOMONTH(DATE(LEFT(SUBSTITUTE(C40,"'",""),4),MID(SUBSTITUTE(C40,"'",""),6,2),1),0)+1)</f>
        <v>0</v>
      </c>
      <c r="E40" s="15">
        <f t="shared" si="1"/>
        <v>400</v>
      </c>
      <c r="F40" s="16">
        <f t="shared" si="2"/>
        <v>0</v>
      </c>
    </row>
    <row r="41">
      <c r="A41" s="5" t="s">
        <v>59</v>
      </c>
      <c r="B41" s="12">
        <v>200.0</v>
      </c>
      <c r="C41" s="13" t="s">
        <v>214</v>
      </c>
      <c r="D41" s="14">
        <f>SUMIFS(ShadowLedger!$D:$D,ShadowLedger!$G:$G,A41,ShadowLedger!$C:$C,"&gt;="&amp;DATE(LEFT(SUBSTITUTE(C41,"'",""),4),MID(SUBSTITUTE(C41,"'",""),6,2),1),ShadowLedger!$C:$C,"&lt;"&amp;EOMONTH(DATE(LEFT(SUBSTITUTE(C41,"'",""),4),MID(SUBSTITUTE(C41,"'",""),6,2),1),0)+1)</f>
        <v>0</v>
      </c>
      <c r="E41" s="15">
        <f t="shared" si="1"/>
        <v>200</v>
      </c>
      <c r="F41" s="16">
        <f t="shared" si="2"/>
        <v>0</v>
      </c>
    </row>
    <row r="42">
      <c r="A42" s="5" t="s">
        <v>60</v>
      </c>
      <c r="B42" s="12">
        <v>150.0</v>
      </c>
      <c r="C42" s="13" t="s">
        <v>214</v>
      </c>
      <c r="D42" s="14">
        <f>SUMIFS(ShadowLedger!$D:$D,ShadowLedger!$G:$G,A42,ShadowLedger!$C:$C,"&gt;="&amp;DATE(LEFT(SUBSTITUTE(C42,"'",""),4),MID(SUBSTITUTE(C42,"'",""),6,2),1),ShadowLedger!$C:$C,"&lt;"&amp;EOMONTH(DATE(LEFT(SUBSTITUTE(C42,"'",""),4),MID(SUBSTITUTE(C42,"'",""),6,2),1),0)+1)</f>
        <v>0</v>
      </c>
      <c r="E42" s="15">
        <f t="shared" si="1"/>
        <v>150</v>
      </c>
      <c r="F42" s="16">
        <f t="shared" si="2"/>
        <v>0</v>
      </c>
    </row>
    <row r="43">
      <c r="A43" s="5" t="s">
        <v>61</v>
      </c>
      <c r="B43" s="12">
        <v>120.0</v>
      </c>
      <c r="C43" s="13" t="s">
        <v>214</v>
      </c>
      <c r="D43" s="14">
        <f>SUMIFS(ShadowLedger!$D:$D,ShadowLedger!$G:$G,A43,ShadowLedger!$C:$C,"&gt;="&amp;DATE(LEFT(SUBSTITUTE(C43,"'",""),4),MID(SUBSTITUTE(C43,"'",""),6,2),1),ShadowLedger!$C:$C,"&lt;"&amp;EOMONTH(DATE(LEFT(SUBSTITUTE(C43,"'",""),4),MID(SUBSTITUTE(C43,"'",""),6,2),1),0)+1)</f>
        <v>0</v>
      </c>
      <c r="E43" s="15">
        <f t="shared" si="1"/>
        <v>120</v>
      </c>
      <c r="F43" s="16">
        <f t="shared" si="2"/>
        <v>0</v>
      </c>
    </row>
    <row r="44">
      <c r="A44" s="5" t="s">
        <v>62</v>
      </c>
      <c r="B44" s="12">
        <v>120.0</v>
      </c>
      <c r="C44" s="13" t="s">
        <v>214</v>
      </c>
      <c r="D44" s="14">
        <f>SUMIFS(ShadowLedger!$D:$D,ShadowLedger!$G:$G,A44,ShadowLedger!$C:$C,"&gt;="&amp;DATE(LEFT(SUBSTITUTE(C44,"'",""),4),MID(SUBSTITUTE(C44,"'",""),6,2),1),ShadowLedger!$C:$C,"&lt;"&amp;EOMONTH(DATE(LEFT(SUBSTITUTE(C44,"'",""),4),MID(SUBSTITUTE(C44,"'",""),6,2),1),0)+1)</f>
        <v>0</v>
      </c>
      <c r="E44" s="15">
        <f t="shared" si="1"/>
        <v>120</v>
      </c>
      <c r="F44" s="16">
        <f t="shared" si="2"/>
        <v>0</v>
      </c>
    </row>
    <row r="45">
      <c r="A45" s="5" t="s">
        <v>63</v>
      </c>
      <c r="B45" s="12">
        <v>100.0</v>
      </c>
      <c r="C45" s="13" t="s">
        <v>214</v>
      </c>
      <c r="D45" s="14">
        <f>SUMIFS(ShadowLedger!$D:$D,ShadowLedger!$G:$G,A45,ShadowLedger!$C:$C,"&gt;="&amp;DATE(LEFT(SUBSTITUTE(C45,"'",""),4),MID(SUBSTITUTE(C45,"'",""),6,2),1),ShadowLedger!$C:$C,"&lt;"&amp;EOMONTH(DATE(LEFT(SUBSTITUTE(C45,"'",""),4),MID(SUBSTITUTE(C45,"'",""),6,2),1),0)+1)</f>
        <v>0</v>
      </c>
      <c r="E45" s="15">
        <f t="shared" si="1"/>
        <v>100</v>
      </c>
      <c r="F45" s="16">
        <f t="shared" si="2"/>
        <v>0</v>
      </c>
    </row>
    <row r="46">
      <c r="A46" s="5" t="s">
        <v>64</v>
      </c>
      <c r="B46" s="12">
        <v>100.0</v>
      </c>
      <c r="C46" s="13" t="s">
        <v>214</v>
      </c>
      <c r="D46" s="14">
        <f>SUMIFS(ShadowLedger!$D:$D,ShadowLedger!$G:$G,A46,ShadowLedger!$C:$C,"&gt;="&amp;DATE(LEFT(SUBSTITUTE(C46,"'",""),4),MID(SUBSTITUTE(C46,"'",""),6,2),1),ShadowLedger!$C:$C,"&lt;"&amp;EOMONTH(DATE(LEFT(SUBSTITUTE(C46,"'",""),4),MID(SUBSTITUTE(C46,"'",""),6,2),1),0)+1)</f>
        <v>0</v>
      </c>
      <c r="E46" s="15">
        <f t="shared" si="1"/>
        <v>100</v>
      </c>
      <c r="F46" s="16">
        <f t="shared" si="2"/>
        <v>0</v>
      </c>
    </row>
    <row r="47">
      <c r="A47" s="5" t="s">
        <v>70</v>
      </c>
      <c r="B47" s="12">
        <v>100.0</v>
      </c>
      <c r="C47" s="13" t="s">
        <v>214</v>
      </c>
      <c r="D47" s="14">
        <f>SUMIFS(ShadowLedger!$D:$D,ShadowLedger!$G:$G,A47,ShadowLedger!$C:$C,"&gt;="&amp;DATE(LEFT(SUBSTITUTE(C47,"'",""),4),MID(SUBSTITUTE(C47,"'",""),6,2),1),ShadowLedger!$C:$C,"&lt;"&amp;EOMONTH(DATE(LEFT(SUBSTITUTE(C47,"'",""),4),MID(SUBSTITUTE(C47,"'",""),6,2),1),0)+1)</f>
        <v>0</v>
      </c>
      <c r="E47" s="15">
        <f t="shared" si="1"/>
        <v>100</v>
      </c>
      <c r="F47" s="16">
        <f t="shared" si="2"/>
        <v>0</v>
      </c>
    </row>
    <row r="48">
      <c r="A48" s="5" t="s">
        <v>65</v>
      </c>
      <c r="B48" s="12">
        <v>50.0</v>
      </c>
      <c r="C48" s="13" t="s">
        <v>214</v>
      </c>
      <c r="D48" s="14">
        <f>SUMIFS(ShadowLedger!$D:$D,ShadowLedger!$G:$G,A48,ShadowLedger!$C:$C,"&gt;="&amp;DATE(LEFT(SUBSTITUTE(C48,"'",""),4),MID(SUBSTITUTE(C48,"'",""),6,2),1),ShadowLedger!$C:$C,"&lt;"&amp;EOMONTH(DATE(LEFT(SUBSTITUTE(C48,"'",""),4),MID(SUBSTITUTE(C48,"'",""),6,2),1),0)+1)</f>
        <v>0</v>
      </c>
      <c r="E48" s="15">
        <f t="shared" si="1"/>
        <v>50</v>
      </c>
      <c r="F48" s="16">
        <f t="shared" si="2"/>
        <v>0</v>
      </c>
    </row>
    <row r="49">
      <c r="A49" s="5" t="s">
        <v>66</v>
      </c>
      <c r="B49" s="12">
        <v>50.0</v>
      </c>
      <c r="C49" s="13" t="s">
        <v>214</v>
      </c>
      <c r="D49" s="14">
        <f>SUMIFS(ShadowLedger!$D:$D,ShadowLedger!$G:$G,A49,ShadowLedger!$C:$C,"&gt;="&amp;DATE(LEFT(SUBSTITUTE(C49,"'",""),4),MID(SUBSTITUTE(C49,"'",""),6,2),1),ShadowLedger!$C:$C,"&lt;"&amp;EOMONTH(DATE(LEFT(SUBSTITUTE(C49,"'",""),4),MID(SUBSTITUTE(C49,"'",""),6,2),1),0)+1)</f>
        <v>0</v>
      </c>
      <c r="E49" s="15">
        <f t="shared" si="1"/>
        <v>50</v>
      </c>
      <c r="F49" s="16">
        <f t="shared" si="2"/>
        <v>0</v>
      </c>
    </row>
    <row r="50">
      <c r="A50" s="5" t="s">
        <v>67</v>
      </c>
      <c r="B50" s="12">
        <v>50.0</v>
      </c>
      <c r="C50" s="13" t="s">
        <v>214</v>
      </c>
      <c r="D50" s="14">
        <f>SUMIFS(ShadowLedger!$D:$D,ShadowLedger!$G:$G,A50,ShadowLedger!$C:$C,"&gt;="&amp;DATE(LEFT(SUBSTITUTE(C50,"'",""),4),MID(SUBSTITUTE(C50,"'",""),6,2),1),ShadowLedger!$C:$C,"&lt;"&amp;EOMONTH(DATE(LEFT(SUBSTITUTE(C50,"'",""),4),MID(SUBSTITUTE(C50,"'",""),6,2),1),0)+1)</f>
        <v>0</v>
      </c>
      <c r="E50" s="15">
        <f t="shared" si="1"/>
        <v>50</v>
      </c>
      <c r="F50" s="16">
        <f t="shared" si="2"/>
        <v>0</v>
      </c>
    </row>
    <row r="51">
      <c r="A51" s="5" t="s">
        <v>68</v>
      </c>
      <c r="B51" s="12">
        <v>50.0</v>
      </c>
      <c r="C51" s="13" t="s">
        <v>214</v>
      </c>
      <c r="D51" s="14">
        <f>SUMIFS(ShadowLedger!$D:$D,ShadowLedger!$G:$G,A51,ShadowLedger!$C:$C,"&gt;="&amp;DATE(LEFT(SUBSTITUTE(C51,"'",""),4),MID(SUBSTITUTE(C51,"'",""),6,2),1),ShadowLedger!$C:$C,"&lt;"&amp;EOMONTH(DATE(LEFT(SUBSTITUTE(C51,"'",""),4),MID(SUBSTITUTE(C51,"'",""),6,2),1),0)+1)</f>
        <v>0</v>
      </c>
      <c r="E51" s="15">
        <f t="shared" si="1"/>
        <v>50</v>
      </c>
      <c r="F51" s="16">
        <f t="shared" si="2"/>
        <v>0</v>
      </c>
    </row>
    <row r="52">
      <c r="A52" s="5" t="s">
        <v>69</v>
      </c>
      <c r="B52" s="12">
        <v>0.0</v>
      </c>
      <c r="C52" s="13" t="s">
        <v>214</v>
      </c>
      <c r="D52" s="14">
        <f>SUMIFS(ShadowLedger!$D:$D,ShadowLedger!$G:$G,A52,ShadowLedger!$C:$C,"&gt;="&amp;DATE(LEFT(SUBSTITUTE(C52,"'",""),4),MID(SUBSTITUTE(C52,"'",""),6,2),1),ShadowLedger!$C:$C,"&lt;"&amp;EOMONTH(DATE(LEFT(SUBSTITUTE(C52,"'",""),4),MID(SUBSTITUTE(C52,"'",""),6,2),1),0)+1)</f>
        <v>0</v>
      </c>
      <c r="E52" s="15">
        <f t="shared" si="1"/>
        <v>0</v>
      </c>
      <c r="F52" s="16">
        <f t="shared" si="2"/>
        <v>0</v>
      </c>
    </row>
    <row r="53">
      <c r="A53" s="5" t="s">
        <v>54</v>
      </c>
      <c r="B53" s="6">
        <v>920.0</v>
      </c>
      <c r="C53" s="13" t="s">
        <v>215</v>
      </c>
      <c r="D53" s="17">
        <f>SUMIFS(ShadowLedger!$D:$D,ShadowLedger!$G:$G,A53,ShadowLedger!$C:$C,"&gt;="&amp;DATE(LEFT(SUBSTITUTE(C53,"'",""),4),MID(SUBSTITUTE(C53,"'",""),6,2),1),ShadowLedger!$C:$C,"&lt;"&amp;EOMONTH(DATE(LEFT(SUBSTITUTE(C53,"'",""),4),MID(SUBSTITUTE(C53,"'",""),6,2),1),0)+1)</f>
        <v>0</v>
      </c>
      <c r="E53" s="17">
        <f t="shared" si="1"/>
        <v>920</v>
      </c>
      <c r="F53" s="17">
        <f t="shared" si="2"/>
        <v>0</v>
      </c>
    </row>
    <row r="54">
      <c r="A54" s="5" t="s">
        <v>55</v>
      </c>
      <c r="B54" s="6">
        <v>700.0</v>
      </c>
      <c r="C54" s="13" t="s">
        <v>215</v>
      </c>
      <c r="D54" s="17">
        <f>SUMIFS(ShadowLedger!$D:$D,ShadowLedger!$G:$G,A54,ShadowLedger!$C:$C,"&gt;="&amp;DATE(LEFT(SUBSTITUTE(C54,"'",""),4),MID(SUBSTITUTE(C54,"'",""),6,2),1),ShadowLedger!$C:$C,"&lt;"&amp;EOMONTH(DATE(LEFT(SUBSTITUTE(C54,"'",""),4),MID(SUBSTITUTE(C54,"'",""),6,2),1),0)+1)</f>
        <v>0</v>
      </c>
      <c r="E54" s="17">
        <f t="shared" si="1"/>
        <v>700</v>
      </c>
      <c r="F54" s="17">
        <f t="shared" si="2"/>
        <v>0</v>
      </c>
    </row>
    <row r="55">
      <c r="A55" s="5" t="s">
        <v>56</v>
      </c>
      <c r="B55" s="6">
        <v>500.0</v>
      </c>
      <c r="C55" s="13" t="s">
        <v>215</v>
      </c>
      <c r="D55" s="17">
        <f>SUMIFS(ShadowLedger!$D:$D,ShadowLedger!$G:$G,A55,ShadowLedger!$C:$C,"&gt;="&amp;DATE(LEFT(SUBSTITUTE(C55,"'",""),4),MID(SUBSTITUTE(C55,"'",""),6,2),1),ShadowLedger!$C:$C,"&lt;"&amp;EOMONTH(DATE(LEFT(SUBSTITUTE(C55,"'",""),4),MID(SUBSTITUTE(C55,"'",""),6,2),1),0)+1)</f>
        <v>0</v>
      </c>
      <c r="E55" s="17">
        <f t="shared" si="1"/>
        <v>500</v>
      </c>
      <c r="F55" s="17">
        <f t="shared" si="2"/>
        <v>0</v>
      </c>
    </row>
    <row r="56">
      <c r="A56" s="5" t="s">
        <v>57</v>
      </c>
      <c r="B56" s="6">
        <v>500.0</v>
      </c>
      <c r="C56" s="13" t="s">
        <v>215</v>
      </c>
      <c r="D56" s="17">
        <f>SUMIFS(ShadowLedger!$D:$D,ShadowLedger!$G:$G,A56,ShadowLedger!$C:$C,"&gt;="&amp;DATE(LEFT(SUBSTITUTE(C56,"'",""),4),MID(SUBSTITUTE(C56,"'",""),6,2),1),ShadowLedger!$C:$C,"&lt;"&amp;EOMONTH(DATE(LEFT(SUBSTITUTE(C56,"'",""),4),MID(SUBSTITUTE(C56,"'",""),6,2),1),0)+1)</f>
        <v>0</v>
      </c>
      <c r="E56" s="17">
        <f t="shared" si="1"/>
        <v>500</v>
      </c>
      <c r="F56" s="17">
        <f t="shared" si="2"/>
        <v>0</v>
      </c>
    </row>
    <row r="57">
      <c r="A57" s="5" t="s">
        <v>58</v>
      </c>
      <c r="B57" s="6">
        <v>400.0</v>
      </c>
      <c r="C57" s="13" t="s">
        <v>215</v>
      </c>
      <c r="D57" s="17">
        <f>SUMIFS(ShadowLedger!$D:$D,ShadowLedger!$G:$G,A57,ShadowLedger!$C:$C,"&gt;="&amp;DATE(LEFT(SUBSTITUTE(C57,"'",""),4),MID(SUBSTITUTE(C57,"'",""),6,2),1),ShadowLedger!$C:$C,"&lt;"&amp;EOMONTH(DATE(LEFT(SUBSTITUTE(C57,"'",""),4),MID(SUBSTITUTE(C57,"'",""),6,2),1),0)+1)</f>
        <v>0</v>
      </c>
      <c r="E57" s="17">
        <f t="shared" si="1"/>
        <v>400</v>
      </c>
      <c r="F57" s="17">
        <f t="shared" si="2"/>
        <v>0</v>
      </c>
    </row>
    <row r="58">
      <c r="A58" s="5" t="s">
        <v>59</v>
      </c>
      <c r="B58" s="6">
        <v>200.0</v>
      </c>
      <c r="C58" s="13" t="s">
        <v>215</v>
      </c>
      <c r="D58" s="17">
        <f>SUMIFS(ShadowLedger!$D:$D,ShadowLedger!$G:$G,A58,ShadowLedger!$C:$C,"&gt;="&amp;DATE(LEFT(SUBSTITUTE(C58,"'",""),4),MID(SUBSTITUTE(C58,"'",""),6,2),1),ShadowLedger!$C:$C,"&lt;"&amp;EOMONTH(DATE(LEFT(SUBSTITUTE(C58,"'",""),4),MID(SUBSTITUTE(C58,"'",""),6,2),1),0)+1)</f>
        <v>0</v>
      </c>
      <c r="E58" s="17">
        <f t="shared" si="1"/>
        <v>200</v>
      </c>
      <c r="F58" s="17">
        <f t="shared" si="2"/>
        <v>0</v>
      </c>
    </row>
    <row r="59">
      <c r="A59" s="5" t="s">
        <v>60</v>
      </c>
      <c r="B59" s="6">
        <v>150.0</v>
      </c>
      <c r="C59" s="13" t="s">
        <v>215</v>
      </c>
      <c r="D59" s="17">
        <f>SUMIFS(ShadowLedger!$D:$D,ShadowLedger!$G:$G,A59,ShadowLedger!$C:$C,"&gt;="&amp;DATE(LEFT(SUBSTITUTE(C59,"'",""),4),MID(SUBSTITUTE(C59,"'",""),6,2),1),ShadowLedger!$C:$C,"&lt;"&amp;EOMONTH(DATE(LEFT(SUBSTITUTE(C59,"'",""),4),MID(SUBSTITUTE(C59,"'",""),6,2),1),0)+1)</f>
        <v>0</v>
      </c>
      <c r="E59" s="17">
        <f t="shared" si="1"/>
        <v>150</v>
      </c>
      <c r="F59" s="17">
        <f t="shared" si="2"/>
        <v>0</v>
      </c>
    </row>
    <row r="60">
      <c r="A60" s="5" t="s">
        <v>61</v>
      </c>
      <c r="B60" s="6">
        <v>120.0</v>
      </c>
      <c r="C60" s="13" t="s">
        <v>215</v>
      </c>
      <c r="D60" s="17">
        <f>SUMIFS(ShadowLedger!$D:$D,ShadowLedger!$G:$G,A60,ShadowLedger!$C:$C,"&gt;="&amp;DATE(LEFT(SUBSTITUTE(C60,"'",""),4),MID(SUBSTITUTE(C60,"'",""),6,2),1),ShadowLedger!$C:$C,"&lt;"&amp;EOMONTH(DATE(LEFT(SUBSTITUTE(C60,"'",""),4),MID(SUBSTITUTE(C60,"'",""),6,2),1),0)+1)</f>
        <v>0</v>
      </c>
      <c r="E60" s="17">
        <f t="shared" si="1"/>
        <v>120</v>
      </c>
      <c r="F60" s="17">
        <f t="shared" si="2"/>
        <v>0</v>
      </c>
    </row>
    <row r="61">
      <c r="A61" s="5" t="s">
        <v>62</v>
      </c>
      <c r="B61" s="6">
        <v>120.0</v>
      </c>
      <c r="C61" s="13" t="s">
        <v>215</v>
      </c>
      <c r="D61" s="17">
        <f>SUMIFS(ShadowLedger!$D:$D,ShadowLedger!$G:$G,A61,ShadowLedger!$C:$C,"&gt;="&amp;DATE(LEFT(SUBSTITUTE(C61,"'",""),4),MID(SUBSTITUTE(C61,"'",""),6,2),1),ShadowLedger!$C:$C,"&lt;"&amp;EOMONTH(DATE(LEFT(SUBSTITUTE(C61,"'",""),4),MID(SUBSTITUTE(C61,"'",""),6,2),1),0)+1)</f>
        <v>0</v>
      </c>
      <c r="E61" s="17">
        <f t="shared" si="1"/>
        <v>120</v>
      </c>
      <c r="F61" s="17">
        <f t="shared" si="2"/>
        <v>0</v>
      </c>
    </row>
    <row r="62">
      <c r="A62" s="5" t="s">
        <v>63</v>
      </c>
      <c r="B62" s="6">
        <v>100.0</v>
      </c>
      <c r="C62" s="13" t="s">
        <v>215</v>
      </c>
      <c r="D62" s="17">
        <f>SUMIFS(ShadowLedger!$D:$D,ShadowLedger!$G:$G,A62,ShadowLedger!$C:$C,"&gt;="&amp;DATE(LEFT(SUBSTITUTE(C62,"'",""),4),MID(SUBSTITUTE(C62,"'",""),6,2),1),ShadowLedger!$C:$C,"&lt;"&amp;EOMONTH(DATE(LEFT(SUBSTITUTE(C62,"'",""),4),MID(SUBSTITUTE(C62,"'",""),6,2),1),0)+1)</f>
        <v>0</v>
      </c>
      <c r="E62" s="17">
        <f t="shared" si="1"/>
        <v>100</v>
      </c>
      <c r="F62" s="17">
        <f t="shared" si="2"/>
        <v>0</v>
      </c>
    </row>
    <row r="63">
      <c r="A63" s="5" t="s">
        <v>64</v>
      </c>
      <c r="B63" s="6">
        <v>100.0</v>
      </c>
      <c r="C63" s="13" t="s">
        <v>215</v>
      </c>
      <c r="D63" s="17">
        <f>SUMIFS(ShadowLedger!$D:$D,ShadowLedger!$G:$G,A63,ShadowLedger!$C:$C,"&gt;="&amp;DATE(LEFT(SUBSTITUTE(C63,"'",""),4),MID(SUBSTITUTE(C63,"'",""),6,2),1),ShadowLedger!$C:$C,"&lt;"&amp;EOMONTH(DATE(LEFT(SUBSTITUTE(C63,"'",""),4),MID(SUBSTITUTE(C63,"'",""),6,2),1),0)+1)</f>
        <v>0</v>
      </c>
      <c r="E63" s="17">
        <f t="shared" si="1"/>
        <v>100</v>
      </c>
      <c r="F63" s="17">
        <f t="shared" si="2"/>
        <v>0</v>
      </c>
    </row>
    <row r="64">
      <c r="A64" s="5" t="s">
        <v>70</v>
      </c>
      <c r="B64" s="6">
        <v>100.0</v>
      </c>
      <c r="C64" s="13" t="s">
        <v>215</v>
      </c>
      <c r="D64" s="17">
        <f>SUMIFS(ShadowLedger!$D:$D,ShadowLedger!$G:$G,A64,ShadowLedger!$C:$C,"&gt;="&amp;DATE(LEFT(SUBSTITUTE(C64,"'",""),4),MID(SUBSTITUTE(C64,"'",""),6,2),1),ShadowLedger!$C:$C,"&lt;"&amp;EOMONTH(DATE(LEFT(SUBSTITUTE(C64,"'",""),4),MID(SUBSTITUTE(C64,"'",""),6,2),1),0)+1)</f>
        <v>0</v>
      </c>
      <c r="E64" s="17">
        <f t="shared" si="1"/>
        <v>100</v>
      </c>
      <c r="F64" s="17">
        <f t="shared" si="2"/>
        <v>0</v>
      </c>
    </row>
    <row r="65">
      <c r="A65" s="5" t="s">
        <v>65</v>
      </c>
      <c r="B65" s="6">
        <v>50.0</v>
      </c>
      <c r="C65" s="13" t="s">
        <v>215</v>
      </c>
      <c r="D65" s="17">
        <f>SUMIFS(ShadowLedger!$D:$D,ShadowLedger!$G:$G,A65,ShadowLedger!$C:$C,"&gt;="&amp;DATE(LEFT(SUBSTITUTE(C65,"'",""),4),MID(SUBSTITUTE(C65,"'",""),6,2),1),ShadowLedger!$C:$C,"&lt;"&amp;EOMONTH(DATE(LEFT(SUBSTITUTE(C65,"'",""),4),MID(SUBSTITUTE(C65,"'",""),6,2),1),0)+1)</f>
        <v>0</v>
      </c>
      <c r="E65" s="17">
        <f t="shared" si="1"/>
        <v>50</v>
      </c>
      <c r="F65" s="17">
        <f t="shared" si="2"/>
        <v>0</v>
      </c>
    </row>
    <row r="66">
      <c r="A66" s="5" t="s">
        <v>66</v>
      </c>
      <c r="B66" s="6">
        <v>50.0</v>
      </c>
      <c r="C66" s="13" t="s">
        <v>215</v>
      </c>
      <c r="D66" s="17">
        <f>SUMIFS(ShadowLedger!$D:$D,ShadowLedger!$G:$G,A66,ShadowLedger!$C:$C,"&gt;="&amp;DATE(LEFT(SUBSTITUTE(C66,"'",""),4),MID(SUBSTITUTE(C66,"'",""),6,2),1),ShadowLedger!$C:$C,"&lt;"&amp;EOMONTH(DATE(LEFT(SUBSTITUTE(C66,"'",""),4),MID(SUBSTITUTE(C66,"'",""),6,2),1),0)+1)</f>
        <v>0</v>
      </c>
      <c r="E66" s="17">
        <f t="shared" si="1"/>
        <v>50</v>
      </c>
      <c r="F66" s="17">
        <f t="shared" si="2"/>
        <v>0</v>
      </c>
    </row>
    <row r="67">
      <c r="A67" s="5" t="s">
        <v>67</v>
      </c>
      <c r="B67" s="6">
        <v>50.0</v>
      </c>
      <c r="C67" s="13" t="s">
        <v>215</v>
      </c>
      <c r="D67" s="17">
        <f>SUMIFS(ShadowLedger!$D:$D,ShadowLedger!$G:$G,A67,ShadowLedger!$C:$C,"&gt;="&amp;DATE(LEFT(SUBSTITUTE(C67,"'",""),4),MID(SUBSTITUTE(C67,"'",""),6,2),1),ShadowLedger!$C:$C,"&lt;"&amp;EOMONTH(DATE(LEFT(SUBSTITUTE(C67,"'",""),4),MID(SUBSTITUTE(C67,"'",""),6,2),1),0)+1)</f>
        <v>0</v>
      </c>
      <c r="E67" s="17">
        <f t="shared" si="1"/>
        <v>50</v>
      </c>
      <c r="F67" s="17">
        <f t="shared" si="2"/>
        <v>0</v>
      </c>
    </row>
    <row r="68">
      <c r="A68" s="5" t="s">
        <v>68</v>
      </c>
      <c r="B68" s="6">
        <v>50.0</v>
      </c>
      <c r="C68" s="13" t="s">
        <v>215</v>
      </c>
      <c r="D68" s="17">
        <f>SUMIFS(ShadowLedger!$D:$D,ShadowLedger!$G:$G,A68,ShadowLedger!$C:$C,"&gt;="&amp;DATE(LEFT(SUBSTITUTE(C68,"'",""),4),MID(SUBSTITUTE(C68,"'",""),6,2),1),ShadowLedger!$C:$C,"&lt;"&amp;EOMONTH(DATE(LEFT(SUBSTITUTE(C68,"'",""),4),MID(SUBSTITUTE(C68,"'",""),6,2),1),0)+1)</f>
        <v>0</v>
      </c>
      <c r="E68" s="17">
        <f t="shared" si="1"/>
        <v>50</v>
      </c>
      <c r="F68" s="17">
        <f t="shared" si="2"/>
        <v>0</v>
      </c>
    </row>
    <row r="69">
      <c r="A69" s="5" t="s">
        <v>69</v>
      </c>
      <c r="B69" s="6">
        <v>0.0</v>
      </c>
      <c r="C69" s="13" t="s">
        <v>215</v>
      </c>
      <c r="D69" s="17">
        <f>SUMIFS(ShadowLedger!$D:$D,ShadowLedger!$G:$G,A69,ShadowLedger!$C:$C,"&gt;="&amp;DATE(LEFT(SUBSTITUTE(C69,"'",""),4),MID(SUBSTITUTE(C69,"'",""),6,2),1),ShadowLedger!$C:$C,"&lt;"&amp;EOMONTH(DATE(LEFT(SUBSTITUTE(C69,"'",""),4),MID(SUBSTITUTE(C69,"'",""),6,2),1),0)+1)</f>
        <v>0</v>
      </c>
      <c r="E69" s="17">
        <f t="shared" si="1"/>
        <v>0</v>
      </c>
      <c r="F69" s="17">
        <f t="shared" si="2"/>
        <v>0</v>
      </c>
    </row>
    <row r="70">
      <c r="A70" s="5" t="s">
        <v>54</v>
      </c>
      <c r="B70" s="6">
        <v>920.0</v>
      </c>
      <c r="C70" s="13" t="s">
        <v>216</v>
      </c>
      <c r="D70" s="17">
        <f>SUMIFS(ShadowLedger!$D:$D,ShadowLedger!$G:$G,A70,ShadowLedger!$C:$C,"&gt;="&amp;DATE(LEFT(SUBSTITUTE(C70,"'",""),4),MID(SUBSTITUTE(C70,"'",""),6,2),1),ShadowLedger!$C:$C,"&lt;"&amp;EOMONTH(DATE(LEFT(SUBSTITUTE(C70,"'",""),4),MID(SUBSTITUTE(C70,"'",""),6,2),1),0)+1)</f>
        <v>0</v>
      </c>
      <c r="E70" s="17">
        <f t="shared" si="1"/>
        <v>920</v>
      </c>
      <c r="F70" s="17">
        <f t="shared" si="2"/>
        <v>0</v>
      </c>
    </row>
    <row r="71">
      <c r="A71" s="5" t="s">
        <v>55</v>
      </c>
      <c r="B71" s="6">
        <v>700.0</v>
      </c>
      <c r="C71" s="13" t="s">
        <v>216</v>
      </c>
      <c r="D71" s="17">
        <f>SUMIFS(ShadowLedger!$D:$D,ShadowLedger!$G:$G,A71,ShadowLedger!$C:$C,"&gt;="&amp;DATE(LEFT(SUBSTITUTE(C71,"'",""),4),MID(SUBSTITUTE(C71,"'",""),6,2),1),ShadowLedger!$C:$C,"&lt;"&amp;EOMONTH(DATE(LEFT(SUBSTITUTE(C71,"'",""),4),MID(SUBSTITUTE(C71,"'",""),6,2),1),0)+1)</f>
        <v>0</v>
      </c>
      <c r="E71" s="17">
        <f t="shared" si="1"/>
        <v>700</v>
      </c>
      <c r="F71" s="17">
        <f t="shared" si="2"/>
        <v>0</v>
      </c>
    </row>
    <row r="72">
      <c r="A72" s="5" t="s">
        <v>56</v>
      </c>
      <c r="B72" s="6">
        <v>500.0</v>
      </c>
      <c r="C72" s="13" t="s">
        <v>216</v>
      </c>
      <c r="D72" s="17">
        <f>SUMIFS(ShadowLedger!$D:$D,ShadowLedger!$G:$G,A72,ShadowLedger!$C:$C,"&gt;="&amp;DATE(LEFT(SUBSTITUTE(C72,"'",""),4),MID(SUBSTITUTE(C72,"'",""),6,2),1),ShadowLedger!$C:$C,"&lt;"&amp;EOMONTH(DATE(LEFT(SUBSTITUTE(C72,"'",""),4),MID(SUBSTITUTE(C72,"'",""),6,2),1),0)+1)</f>
        <v>0</v>
      </c>
      <c r="E72" s="17">
        <f t="shared" si="1"/>
        <v>500</v>
      </c>
      <c r="F72" s="17">
        <f t="shared" si="2"/>
        <v>0</v>
      </c>
    </row>
    <row r="73">
      <c r="A73" s="5" t="s">
        <v>57</v>
      </c>
      <c r="B73" s="6">
        <v>500.0</v>
      </c>
      <c r="C73" s="13" t="s">
        <v>216</v>
      </c>
      <c r="D73" s="17">
        <f>SUMIFS(ShadowLedger!$D:$D,ShadowLedger!$G:$G,A73,ShadowLedger!$C:$C,"&gt;="&amp;DATE(LEFT(SUBSTITUTE(C73,"'",""),4),MID(SUBSTITUTE(C73,"'",""),6,2),1),ShadowLedger!$C:$C,"&lt;"&amp;EOMONTH(DATE(LEFT(SUBSTITUTE(C73,"'",""),4),MID(SUBSTITUTE(C73,"'",""),6,2),1),0)+1)</f>
        <v>0</v>
      </c>
      <c r="E73" s="17">
        <f t="shared" si="1"/>
        <v>500</v>
      </c>
      <c r="F73" s="17">
        <f t="shared" si="2"/>
        <v>0</v>
      </c>
    </row>
    <row r="74">
      <c r="A74" s="5" t="s">
        <v>58</v>
      </c>
      <c r="B74" s="6">
        <v>400.0</v>
      </c>
      <c r="C74" s="13" t="s">
        <v>216</v>
      </c>
      <c r="D74" s="17">
        <f>SUMIFS(ShadowLedger!$D:$D,ShadowLedger!$G:$G,A74,ShadowLedger!$C:$C,"&gt;="&amp;DATE(LEFT(SUBSTITUTE(C74,"'",""),4),MID(SUBSTITUTE(C74,"'",""),6,2),1),ShadowLedger!$C:$C,"&lt;"&amp;EOMONTH(DATE(LEFT(SUBSTITUTE(C74,"'",""),4),MID(SUBSTITUTE(C74,"'",""),6,2),1),0)+1)</f>
        <v>0</v>
      </c>
      <c r="E74" s="17">
        <f t="shared" si="1"/>
        <v>400</v>
      </c>
      <c r="F74" s="17">
        <f t="shared" si="2"/>
        <v>0</v>
      </c>
    </row>
    <row r="75">
      <c r="A75" s="5" t="s">
        <v>59</v>
      </c>
      <c r="B75" s="6">
        <v>200.0</v>
      </c>
      <c r="C75" s="13" t="s">
        <v>216</v>
      </c>
      <c r="D75" s="17">
        <f>SUMIFS(ShadowLedger!$D:$D,ShadowLedger!$G:$G,A75,ShadowLedger!$C:$C,"&gt;="&amp;DATE(LEFT(SUBSTITUTE(C75,"'",""),4),MID(SUBSTITUTE(C75,"'",""),6,2),1),ShadowLedger!$C:$C,"&lt;"&amp;EOMONTH(DATE(LEFT(SUBSTITUTE(C75,"'",""),4),MID(SUBSTITUTE(C75,"'",""),6,2),1),0)+1)</f>
        <v>0</v>
      </c>
      <c r="E75" s="17">
        <f t="shared" si="1"/>
        <v>200</v>
      </c>
      <c r="F75" s="17">
        <f t="shared" si="2"/>
        <v>0</v>
      </c>
    </row>
    <row r="76">
      <c r="A76" s="5" t="s">
        <v>60</v>
      </c>
      <c r="B76" s="6">
        <v>150.0</v>
      </c>
      <c r="C76" s="13" t="s">
        <v>216</v>
      </c>
      <c r="D76" s="17">
        <f>SUMIFS(ShadowLedger!$D:$D,ShadowLedger!$G:$G,A76,ShadowLedger!$C:$C,"&gt;="&amp;DATE(LEFT(SUBSTITUTE(C76,"'",""),4),MID(SUBSTITUTE(C76,"'",""),6,2),1),ShadowLedger!$C:$C,"&lt;"&amp;EOMONTH(DATE(LEFT(SUBSTITUTE(C76,"'",""),4),MID(SUBSTITUTE(C76,"'",""),6,2),1),0)+1)</f>
        <v>0</v>
      </c>
      <c r="E76" s="17">
        <f t="shared" si="1"/>
        <v>150</v>
      </c>
      <c r="F76" s="17">
        <f t="shared" si="2"/>
        <v>0</v>
      </c>
    </row>
    <row r="77">
      <c r="A77" s="5" t="s">
        <v>61</v>
      </c>
      <c r="B77" s="6">
        <v>120.0</v>
      </c>
      <c r="C77" s="13" t="s">
        <v>216</v>
      </c>
      <c r="D77" s="17">
        <f>SUMIFS(ShadowLedger!$D:$D,ShadowLedger!$G:$G,A77,ShadowLedger!$C:$C,"&gt;="&amp;DATE(LEFT(SUBSTITUTE(C77,"'",""),4),MID(SUBSTITUTE(C77,"'",""),6,2),1),ShadowLedger!$C:$C,"&lt;"&amp;EOMONTH(DATE(LEFT(SUBSTITUTE(C77,"'",""),4),MID(SUBSTITUTE(C77,"'",""),6,2),1),0)+1)</f>
        <v>0</v>
      </c>
      <c r="E77" s="17">
        <f t="shared" si="1"/>
        <v>120</v>
      </c>
      <c r="F77" s="17">
        <f t="shared" si="2"/>
        <v>0</v>
      </c>
    </row>
    <row r="78">
      <c r="A78" s="5" t="s">
        <v>62</v>
      </c>
      <c r="B78" s="6">
        <v>120.0</v>
      </c>
      <c r="C78" s="13" t="s">
        <v>216</v>
      </c>
      <c r="D78" s="17">
        <f>SUMIFS(ShadowLedger!$D:$D,ShadowLedger!$G:$G,A78,ShadowLedger!$C:$C,"&gt;="&amp;DATE(LEFT(SUBSTITUTE(C78,"'",""),4),MID(SUBSTITUTE(C78,"'",""),6,2),1),ShadowLedger!$C:$C,"&lt;"&amp;EOMONTH(DATE(LEFT(SUBSTITUTE(C78,"'",""),4),MID(SUBSTITUTE(C78,"'",""),6,2),1),0)+1)</f>
        <v>0</v>
      </c>
      <c r="E78" s="17">
        <f t="shared" si="1"/>
        <v>120</v>
      </c>
      <c r="F78" s="17">
        <f t="shared" si="2"/>
        <v>0</v>
      </c>
    </row>
    <row r="79">
      <c r="A79" s="5" t="s">
        <v>63</v>
      </c>
      <c r="B79" s="6">
        <v>100.0</v>
      </c>
      <c r="C79" s="13" t="s">
        <v>216</v>
      </c>
      <c r="D79" s="17">
        <f>SUMIFS(ShadowLedger!$D:$D,ShadowLedger!$G:$G,A79,ShadowLedger!$C:$C,"&gt;="&amp;DATE(LEFT(SUBSTITUTE(C79,"'",""),4),MID(SUBSTITUTE(C79,"'",""),6,2),1),ShadowLedger!$C:$C,"&lt;"&amp;EOMONTH(DATE(LEFT(SUBSTITUTE(C79,"'",""),4),MID(SUBSTITUTE(C79,"'",""),6,2),1),0)+1)</f>
        <v>0</v>
      </c>
      <c r="E79" s="17">
        <f t="shared" si="1"/>
        <v>100</v>
      </c>
      <c r="F79" s="17">
        <f t="shared" si="2"/>
        <v>0</v>
      </c>
    </row>
    <row r="80">
      <c r="A80" s="5" t="s">
        <v>64</v>
      </c>
      <c r="B80" s="6">
        <v>100.0</v>
      </c>
      <c r="C80" s="13" t="s">
        <v>216</v>
      </c>
      <c r="D80" s="17">
        <f>SUMIFS(ShadowLedger!$D:$D,ShadowLedger!$G:$G,A80,ShadowLedger!$C:$C,"&gt;="&amp;DATE(LEFT(SUBSTITUTE(C80,"'",""),4),MID(SUBSTITUTE(C80,"'",""),6,2),1),ShadowLedger!$C:$C,"&lt;"&amp;EOMONTH(DATE(LEFT(SUBSTITUTE(C80,"'",""),4),MID(SUBSTITUTE(C80,"'",""),6,2),1),0)+1)</f>
        <v>0</v>
      </c>
      <c r="E80" s="17">
        <f t="shared" si="1"/>
        <v>100</v>
      </c>
      <c r="F80" s="17">
        <f t="shared" si="2"/>
        <v>0</v>
      </c>
    </row>
    <row r="81">
      <c r="A81" s="5" t="s">
        <v>70</v>
      </c>
      <c r="B81" s="6">
        <v>100.0</v>
      </c>
      <c r="C81" s="13" t="s">
        <v>216</v>
      </c>
      <c r="D81" s="17">
        <f>SUMIFS(ShadowLedger!$D:$D,ShadowLedger!$G:$G,A81,ShadowLedger!$C:$C,"&gt;="&amp;DATE(LEFT(SUBSTITUTE(C81,"'",""),4),MID(SUBSTITUTE(C81,"'",""),6,2),1),ShadowLedger!$C:$C,"&lt;"&amp;EOMONTH(DATE(LEFT(SUBSTITUTE(C81,"'",""),4),MID(SUBSTITUTE(C81,"'",""),6,2),1),0)+1)</f>
        <v>0</v>
      </c>
      <c r="E81" s="17">
        <f t="shared" si="1"/>
        <v>100</v>
      </c>
      <c r="F81" s="17">
        <f t="shared" si="2"/>
        <v>0</v>
      </c>
    </row>
    <row r="82">
      <c r="A82" s="5" t="s">
        <v>65</v>
      </c>
      <c r="B82" s="6">
        <v>50.0</v>
      </c>
      <c r="C82" s="13" t="s">
        <v>216</v>
      </c>
      <c r="D82" s="17">
        <f>SUMIFS(ShadowLedger!$D:$D,ShadowLedger!$G:$G,A82,ShadowLedger!$C:$C,"&gt;="&amp;DATE(LEFT(SUBSTITUTE(C82,"'",""),4),MID(SUBSTITUTE(C82,"'",""),6,2),1),ShadowLedger!$C:$C,"&lt;"&amp;EOMONTH(DATE(LEFT(SUBSTITUTE(C82,"'",""),4),MID(SUBSTITUTE(C82,"'",""),6,2),1),0)+1)</f>
        <v>0</v>
      </c>
      <c r="E82" s="17">
        <f t="shared" si="1"/>
        <v>50</v>
      </c>
      <c r="F82" s="17">
        <f t="shared" si="2"/>
        <v>0</v>
      </c>
    </row>
    <row r="83">
      <c r="A83" s="5" t="s">
        <v>66</v>
      </c>
      <c r="B83" s="6">
        <v>50.0</v>
      </c>
      <c r="C83" s="13" t="s">
        <v>216</v>
      </c>
      <c r="D83" s="17">
        <f>SUMIFS(ShadowLedger!$D:$D,ShadowLedger!$G:$G,A83,ShadowLedger!$C:$C,"&gt;="&amp;DATE(LEFT(SUBSTITUTE(C83,"'",""),4),MID(SUBSTITUTE(C83,"'",""),6,2),1),ShadowLedger!$C:$C,"&lt;"&amp;EOMONTH(DATE(LEFT(SUBSTITUTE(C83,"'",""),4),MID(SUBSTITUTE(C83,"'",""),6,2),1),0)+1)</f>
        <v>0</v>
      </c>
      <c r="E83" s="17">
        <f t="shared" si="1"/>
        <v>50</v>
      </c>
      <c r="F83" s="17">
        <f t="shared" si="2"/>
        <v>0</v>
      </c>
    </row>
    <row r="84">
      <c r="A84" s="5" t="s">
        <v>67</v>
      </c>
      <c r="B84" s="6">
        <v>50.0</v>
      </c>
      <c r="C84" s="13" t="s">
        <v>216</v>
      </c>
      <c r="D84" s="17">
        <f>SUMIFS(ShadowLedger!$D:$D,ShadowLedger!$G:$G,A84,ShadowLedger!$C:$C,"&gt;="&amp;DATE(LEFT(SUBSTITUTE(C84,"'",""),4),MID(SUBSTITUTE(C84,"'",""),6,2),1),ShadowLedger!$C:$C,"&lt;"&amp;EOMONTH(DATE(LEFT(SUBSTITUTE(C84,"'",""),4),MID(SUBSTITUTE(C84,"'",""),6,2),1),0)+1)</f>
        <v>0</v>
      </c>
      <c r="E84" s="17">
        <f t="shared" si="1"/>
        <v>50</v>
      </c>
      <c r="F84" s="17">
        <f t="shared" si="2"/>
        <v>0</v>
      </c>
    </row>
    <row r="85">
      <c r="A85" s="5" t="s">
        <v>68</v>
      </c>
      <c r="B85" s="6">
        <v>50.0</v>
      </c>
      <c r="C85" s="13" t="s">
        <v>216</v>
      </c>
      <c r="D85" s="17">
        <f>SUMIFS(ShadowLedger!$D:$D,ShadowLedger!$G:$G,A85,ShadowLedger!$C:$C,"&gt;="&amp;DATE(LEFT(SUBSTITUTE(C85,"'",""),4),MID(SUBSTITUTE(C85,"'",""),6,2),1),ShadowLedger!$C:$C,"&lt;"&amp;EOMONTH(DATE(LEFT(SUBSTITUTE(C85,"'",""),4),MID(SUBSTITUTE(C85,"'",""),6,2),1),0)+1)</f>
        <v>0</v>
      </c>
      <c r="E85" s="17">
        <f t="shared" si="1"/>
        <v>50</v>
      </c>
      <c r="F85" s="17">
        <f t="shared" si="2"/>
        <v>0</v>
      </c>
    </row>
    <row r="86">
      <c r="A86" s="5" t="s">
        <v>69</v>
      </c>
      <c r="B86" s="6">
        <v>0.0</v>
      </c>
      <c r="C86" s="13" t="s">
        <v>216</v>
      </c>
      <c r="D86" s="17">
        <f>SUMIFS(ShadowLedger!$D:$D,ShadowLedger!$G:$G,A86,ShadowLedger!$C:$C,"&gt;="&amp;DATE(LEFT(SUBSTITUTE(C86,"'",""),4),MID(SUBSTITUTE(C86,"'",""),6,2),1),ShadowLedger!$C:$C,"&lt;"&amp;EOMONTH(DATE(LEFT(SUBSTITUTE(C86,"'",""),4),MID(SUBSTITUTE(C86,"'",""),6,2),1),0)+1)</f>
        <v>0</v>
      </c>
      <c r="E86" s="17">
        <f t="shared" si="1"/>
        <v>0</v>
      </c>
      <c r="F86" s="17">
        <f t="shared" si="2"/>
        <v>0</v>
      </c>
    </row>
    <row r="87">
      <c r="A87" s="5" t="s">
        <v>54</v>
      </c>
      <c r="B87" s="6">
        <v>920.0</v>
      </c>
      <c r="C87" s="13" t="s">
        <v>217</v>
      </c>
      <c r="D87" s="17">
        <f>SUMIFS(ShadowLedger!$D:$D,ShadowLedger!$G:$G,A87,ShadowLedger!$C:$C,"&gt;="&amp;DATE(LEFT(SUBSTITUTE(C87,"'",""),4),MID(SUBSTITUTE(C87,"'",""),6,2),1),ShadowLedger!$C:$C,"&lt;"&amp;EOMONTH(DATE(LEFT(SUBSTITUTE(C87,"'",""),4),MID(SUBSTITUTE(C87,"'",""),6,2),1),0)+1)</f>
        <v>0</v>
      </c>
      <c r="E87" s="17">
        <f t="shared" si="1"/>
        <v>920</v>
      </c>
      <c r="F87" s="17">
        <f t="shared" si="2"/>
        <v>0</v>
      </c>
    </row>
    <row r="88">
      <c r="A88" s="5" t="s">
        <v>55</v>
      </c>
      <c r="B88" s="6">
        <v>700.0</v>
      </c>
      <c r="C88" s="13" t="s">
        <v>217</v>
      </c>
      <c r="D88" s="17">
        <f>SUMIFS(ShadowLedger!$D:$D,ShadowLedger!$G:$G,A88,ShadowLedger!$C:$C,"&gt;="&amp;DATE(LEFT(SUBSTITUTE(C88,"'",""),4),MID(SUBSTITUTE(C88,"'",""),6,2),1),ShadowLedger!$C:$C,"&lt;"&amp;EOMONTH(DATE(LEFT(SUBSTITUTE(C88,"'",""),4),MID(SUBSTITUTE(C88,"'",""),6,2),1),0)+1)</f>
        <v>0</v>
      </c>
      <c r="E88" s="17">
        <f t="shared" si="1"/>
        <v>700</v>
      </c>
      <c r="F88" s="17">
        <f t="shared" si="2"/>
        <v>0</v>
      </c>
    </row>
    <row r="89">
      <c r="A89" s="5" t="s">
        <v>56</v>
      </c>
      <c r="B89" s="6">
        <v>500.0</v>
      </c>
      <c r="C89" s="13" t="s">
        <v>217</v>
      </c>
      <c r="D89" s="17">
        <f>SUMIFS(ShadowLedger!$D:$D,ShadowLedger!$G:$G,A89,ShadowLedger!$C:$C,"&gt;="&amp;DATE(LEFT(SUBSTITUTE(C89,"'",""),4),MID(SUBSTITUTE(C89,"'",""),6,2),1),ShadowLedger!$C:$C,"&lt;"&amp;EOMONTH(DATE(LEFT(SUBSTITUTE(C89,"'",""),4),MID(SUBSTITUTE(C89,"'",""),6,2),1),0)+1)</f>
        <v>0</v>
      </c>
      <c r="E89" s="17">
        <f t="shared" si="1"/>
        <v>500</v>
      </c>
      <c r="F89" s="17">
        <f t="shared" si="2"/>
        <v>0</v>
      </c>
    </row>
    <row r="90">
      <c r="A90" s="5" t="s">
        <v>57</v>
      </c>
      <c r="B90" s="6">
        <v>500.0</v>
      </c>
      <c r="C90" s="13" t="s">
        <v>217</v>
      </c>
      <c r="D90" s="17">
        <f>SUMIFS(ShadowLedger!$D:$D,ShadowLedger!$G:$G,A90,ShadowLedger!$C:$C,"&gt;="&amp;DATE(LEFT(SUBSTITUTE(C90,"'",""),4),MID(SUBSTITUTE(C90,"'",""),6,2),1),ShadowLedger!$C:$C,"&lt;"&amp;EOMONTH(DATE(LEFT(SUBSTITUTE(C90,"'",""),4),MID(SUBSTITUTE(C90,"'",""),6,2),1),0)+1)</f>
        <v>0</v>
      </c>
      <c r="E90" s="17">
        <f t="shared" si="1"/>
        <v>500</v>
      </c>
      <c r="F90" s="17">
        <f t="shared" si="2"/>
        <v>0</v>
      </c>
    </row>
    <row r="91">
      <c r="A91" s="5" t="s">
        <v>58</v>
      </c>
      <c r="B91" s="6">
        <v>400.0</v>
      </c>
      <c r="C91" s="13" t="s">
        <v>217</v>
      </c>
      <c r="D91" s="17">
        <f>SUMIFS(ShadowLedger!$D:$D,ShadowLedger!$G:$G,A91,ShadowLedger!$C:$C,"&gt;="&amp;DATE(LEFT(SUBSTITUTE(C91,"'",""),4),MID(SUBSTITUTE(C91,"'",""),6,2),1),ShadowLedger!$C:$C,"&lt;"&amp;EOMONTH(DATE(LEFT(SUBSTITUTE(C91,"'",""),4),MID(SUBSTITUTE(C91,"'",""),6,2),1),0)+1)</f>
        <v>0</v>
      </c>
      <c r="E91" s="17">
        <f t="shared" si="1"/>
        <v>400</v>
      </c>
      <c r="F91" s="17">
        <f t="shared" si="2"/>
        <v>0</v>
      </c>
    </row>
    <row r="92">
      <c r="A92" s="5" t="s">
        <v>59</v>
      </c>
      <c r="B92" s="6">
        <v>200.0</v>
      </c>
      <c r="C92" s="13" t="s">
        <v>217</v>
      </c>
      <c r="D92" s="17">
        <f>SUMIFS(ShadowLedger!$D:$D,ShadowLedger!$G:$G,A92,ShadowLedger!$C:$C,"&gt;="&amp;DATE(LEFT(SUBSTITUTE(C92,"'",""),4),MID(SUBSTITUTE(C92,"'",""),6,2),1),ShadowLedger!$C:$C,"&lt;"&amp;EOMONTH(DATE(LEFT(SUBSTITUTE(C92,"'",""),4),MID(SUBSTITUTE(C92,"'",""),6,2),1),0)+1)</f>
        <v>0</v>
      </c>
      <c r="E92" s="17">
        <f t="shared" si="1"/>
        <v>200</v>
      </c>
      <c r="F92" s="17">
        <f t="shared" si="2"/>
        <v>0</v>
      </c>
    </row>
    <row r="93">
      <c r="A93" s="5" t="s">
        <v>60</v>
      </c>
      <c r="B93" s="6">
        <v>150.0</v>
      </c>
      <c r="C93" s="13" t="s">
        <v>217</v>
      </c>
      <c r="D93" s="17">
        <f>SUMIFS(ShadowLedger!$D:$D,ShadowLedger!$G:$G,A93,ShadowLedger!$C:$C,"&gt;="&amp;DATE(LEFT(SUBSTITUTE(C93,"'",""),4),MID(SUBSTITUTE(C93,"'",""),6,2),1),ShadowLedger!$C:$C,"&lt;"&amp;EOMONTH(DATE(LEFT(SUBSTITUTE(C93,"'",""),4),MID(SUBSTITUTE(C93,"'",""),6,2),1),0)+1)</f>
        <v>0</v>
      </c>
      <c r="E93" s="17">
        <f t="shared" si="1"/>
        <v>150</v>
      </c>
      <c r="F93" s="17">
        <f t="shared" si="2"/>
        <v>0</v>
      </c>
    </row>
    <row r="94">
      <c r="A94" s="5" t="s">
        <v>61</v>
      </c>
      <c r="B94" s="6">
        <v>120.0</v>
      </c>
      <c r="C94" s="13" t="s">
        <v>217</v>
      </c>
      <c r="D94" s="17">
        <f>SUMIFS(ShadowLedger!$D:$D,ShadowLedger!$G:$G,A94,ShadowLedger!$C:$C,"&gt;="&amp;DATE(LEFT(SUBSTITUTE(C94,"'",""),4),MID(SUBSTITUTE(C94,"'",""),6,2),1),ShadowLedger!$C:$C,"&lt;"&amp;EOMONTH(DATE(LEFT(SUBSTITUTE(C94,"'",""),4),MID(SUBSTITUTE(C94,"'",""),6,2),1),0)+1)</f>
        <v>0</v>
      </c>
      <c r="E94" s="17">
        <f t="shared" si="1"/>
        <v>120</v>
      </c>
      <c r="F94" s="17">
        <f t="shared" si="2"/>
        <v>0</v>
      </c>
    </row>
    <row r="95">
      <c r="A95" s="5" t="s">
        <v>62</v>
      </c>
      <c r="B95" s="6">
        <v>120.0</v>
      </c>
      <c r="C95" s="13" t="s">
        <v>217</v>
      </c>
      <c r="D95" s="17">
        <f>SUMIFS(ShadowLedger!$D:$D,ShadowLedger!$G:$G,A95,ShadowLedger!$C:$C,"&gt;="&amp;DATE(LEFT(SUBSTITUTE(C95,"'",""),4),MID(SUBSTITUTE(C95,"'",""),6,2),1),ShadowLedger!$C:$C,"&lt;"&amp;EOMONTH(DATE(LEFT(SUBSTITUTE(C95,"'",""),4),MID(SUBSTITUTE(C95,"'",""),6,2),1),0)+1)</f>
        <v>0</v>
      </c>
      <c r="E95" s="17">
        <f t="shared" si="1"/>
        <v>120</v>
      </c>
      <c r="F95" s="17">
        <f t="shared" si="2"/>
        <v>0</v>
      </c>
    </row>
    <row r="96">
      <c r="A96" s="5" t="s">
        <v>63</v>
      </c>
      <c r="B96" s="6">
        <v>100.0</v>
      </c>
      <c r="C96" s="13" t="s">
        <v>217</v>
      </c>
      <c r="D96" s="17">
        <f>SUMIFS(ShadowLedger!$D:$D,ShadowLedger!$G:$G,A96,ShadowLedger!$C:$C,"&gt;="&amp;DATE(LEFT(SUBSTITUTE(C96,"'",""),4),MID(SUBSTITUTE(C96,"'",""),6,2),1),ShadowLedger!$C:$C,"&lt;"&amp;EOMONTH(DATE(LEFT(SUBSTITUTE(C96,"'",""),4),MID(SUBSTITUTE(C96,"'",""),6,2),1),0)+1)</f>
        <v>0</v>
      </c>
      <c r="E96" s="17">
        <f t="shared" si="1"/>
        <v>100</v>
      </c>
      <c r="F96" s="17">
        <f t="shared" si="2"/>
        <v>0</v>
      </c>
    </row>
    <row r="97">
      <c r="A97" s="5" t="s">
        <v>64</v>
      </c>
      <c r="B97" s="6">
        <v>100.0</v>
      </c>
      <c r="C97" s="13" t="s">
        <v>217</v>
      </c>
      <c r="D97" s="17">
        <f>SUMIFS(ShadowLedger!$D:$D,ShadowLedger!$G:$G,A97,ShadowLedger!$C:$C,"&gt;="&amp;DATE(LEFT(SUBSTITUTE(C97,"'",""),4),MID(SUBSTITUTE(C97,"'",""),6,2),1),ShadowLedger!$C:$C,"&lt;"&amp;EOMONTH(DATE(LEFT(SUBSTITUTE(C97,"'",""),4),MID(SUBSTITUTE(C97,"'",""),6,2),1),0)+1)</f>
        <v>0</v>
      </c>
      <c r="E97" s="17">
        <f t="shared" si="1"/>
        <v>100</v>
      </c>
      <c r="F97" s="17">
        <f t="shared" si="2"/>
        <v>0</v>
      </c>
    </row>
    <row r="98">
      <c r="A98" s="5" t="s">
        <v>70</v>
      </c>
      <c r="B98" s="6">
        <v>100.0</v>
      </c>
      <c r="C98" s="13" t="s">
        <v>217</v>
      </c>
      <c r="D98" s="17">
        <f>SUMIFS(ShadowLedger!$D:$D,ShadowLedger!$G:$G,A98,ShadowLedger!$C:$C,"&gt;="&amp;DATE(LEFT(SUBSTITUTE(C98,"'",""),4),MID(SUBSTITUTE(C98,"'",""),6,2),1),ShadowLedger!$C:$C,"&lt;"&amp;EOMONTH(DATE(LEFT(SUBSTITUTE(C98,"'",""),4),MID(SUBSTITUTE(C98,"'",""),6,2),1),0)+1)</f>
        <v>0</v>
      </c>
      <c r="E98" s="17">
        <f t="shared" si="1"/>
        <v>100</v>
      </c>
      <c r="F98" s="17">
        <f t="shared" si="2"/>
        <v>0</v>
      </c>
    </row>
    <row r="99">
      <c r="A99" s="5" t="s">
        <v>65</v>
      </c>
      <c r="B99" s="6">
        <v>50.0</v>
      </c>
      <c r="C99" s="13" t="s">
        <v>217</v>
      </c>
      <c r="D99" s="17">
        <f>SUMIFS(ShadowLedger!$D:$D,ShadowLedger!$G:$G,A99,ShadowLedger!$C:$C,"&gt;="&amp;DATE(LEFT(SUBSTITUTE(C99,"'",""),4),MID(SUBSTITUTE(C99,"'",""),6,2),1),ShadowLedger!$C:$C,"&lt;"&amp;EOMONTH(DATE(LEFT(SUBSTITUTE(C99,"'",""),4),MID(SUBSTITUTE(C99,"'",""),6,2),1),0)+1)</f>
        <v>0</v>
      </c>
      <c r="E99" s="17">
        <f t="shared" si="1"/>
        <v>50</v>
      </c>
      <c r="F99" s="17">
        <f t="shared" si="2"/>
        <v>0</v>
      </c>
    </row>
    <row r="100">
      <c r="A100" s="5" t="s">
        <v>66</v>
      </c>
      <c r="B100" s="6">
        <v>50.0</v>
      </c>
      <c r="C100" s="13" t="s">
        <v>217</v>
      </c>
      <c r="D100" s="17">
        <f>SUMIFS(ShadowLedger!$D:$D,ShadowLedger!$G:$G,A100,ShadowLedger!$C:$C,"&gt;="&amp;DATE(LEFT(SUBSTITUTE(C100,"'",""),4),MID(SUBSTITUTE(C100,"'",""),6,2),1),ShadowLedger!$C:$C,"&lt;"&amp;EOMONTH(DATE(LEFT(SUBSTITUTE(C100,"'",""),4),MID(SUBSTITUTE(C100,"'",""),6,2),1),0)+1)</f>
        <v>0</v>
      </c>
      <c r="E100" s="17">
        <f t="shared" si="1"/>
        <v>50</v>
      </c>
      <c r="F100" s="17">
        <f t="shared" si="2"/>
        <v>0</v>
      </c>
    </row>
    <row r="101">
      <c r="A101" s="5" t="s">
        <v>67</v>
      </c>
      <c r="B101" s="6">
        <v>50.0</v>
      </c>
      <c r="C101" s="13" t="s">
        <v>217</v>
      </c>
      <c r="D101" s="17">
        <f>SUMIFS(ShadowLedger!$D:$D,ShadowLedger!$G:$G,A101,ShadowLedger!$C:$C,"&gt;="&amp;DATE(LEFT(SUBSTITUTE(C101,"'",""),4),MID(SUBSTITUTE(C101,"'",""),6,2),1),ShadowLedger!$C:$C,"&lt;"&amp;EOMONTH(DATE(LEFT(SUBSTITUTE(C101,"'",""),4),MID(SUBSTITUTE(C101,"'",""),6,2),1),0)+1)</f>
        <v>0</v>
      </c>
      <c r="E101" s="17">
        <f t="shared" si="1"/>
        <v>50</v>
      </c>
      <c r="F101" s="17">
        <f t="shared" si="2"/>
        <v>0</v>
      </c>
    </row>
    <row r="102">
      <c r="A102" s="5" t="s">
        <v>68</v>
      </c>
      <c r="B102" s="6">
        <v>50.0</v>
      </c>
      <c r="C102" s="13" t="s">
        <v>217</v>
      </c>
      <c r="D102" s="17">
        <f>SUMIFS(ShadowLedger!$D:$D,ShadowLedger!$G:$G,A102,ShadowLedger!$C:$C,"&gt;="&amp;DATE(LEFT(SUBSTITUTE(C102,"'",""),4),MID(SUBSTITUTE(C102,"'",""),6,2),1),ShadowLedger!$C:$C,"&lt;"&amp;EOMONTH(DATE(LEFT(SUBSTITUTE(C102,"'",""),4),MID(SUBSTITUTE(C102,"'",""),6,2),1),0)+1)</f>
        <v>0</v>
      </c>
      <c r="E102" s="17">
        <f t="shared" si="1"/>
        <v>50</v>
      </c>
      <c r="F102" s="17">
        <f t="shared" si="2"/>
        <v>0</v>
      </c>
    </row>
    <row r="103">
      <c r="A103" s="5" t="s">
        <v>69</v>
      </c>
      <c r="B103" s="6">
        <v>0.0</v>
      </c>
      <c r="C103" s="13" t="s">
        <v>217</v>
      </c>
      <c r="D103" s="17">
        <f>SUMIFS(ShadowLedger!$D:$D,ShadowLedger!$G:$G,A103,ShadowLedger!$C:$C,"&gt;="&amp;DATE(LEFT(SUBSTITUTE(C103,"'",""),4),MID(SUBSTITUTE(C103,"'",""),6,2),1),ShadowLedger!$C:$C,"&lt;"&amp;EOMONTH(DATE(LEFT(SUBSTITUTE(C103,"'",""),4),MID(SUBSTITUTE(C103,"'",""),6,2),1),0)+1)</f>
        <v>0</v>
      </c>
      <c r="E103" s="17">
        <f t="shared" si="1"/>
        <v>0</v>
      </c>
      <c r="F103" s="17">
        <f t="shared" si="2"/>
        <v>0</v>
      </c>
    </row>
    <row r="104">
      <c r="A104" s="5" t="s">
        <v>54</v>
      </c>
      <c r="B104" s="6">
        <v>920.0</v>
      </c>
      <c r="C104" s="13" t="s">
        <v>218</v>
      </c>
      <c r="D104" s="17">
        <f>SUMIFS(ShadowLedger!$D:$D,ShadowLedger!$G:$G,A104,ShadowLedger!$C:$C,"&gt;="&amp;DATE(LEFT(SUBSTITUTE(C104,"'",""),4),MID(SUBSTITUTE(C104,"'",""),6,2),1),ShadowLedger!$C:$C,"&lt;"&amp;EOMONTH(DATE(LEFT(SUBSTITUTE(C104,"'",""),4),MID(SUBSTITUTE(C104,"'",""),6,2),1),0)+1)</f>
        <v>0</v>
      </c>
      <c r="E104" s="17">
        <f t="shared" si="1"/>
        <v>920</v>
      </c>
      <c r="F104" s="17">
        <f t="shared" si="2"/>
        <v>0</v>
      </c>
    </row>
    <row r="105">
      <c r="A105" s="5" t="s">
        <v>55</v>
      </c>
      <c r="B105" s="6">
        <v>700.0</v>
      </c>
      <c r="C105" s="13" t="s">
        <v>218</v>
      </c>
      <c r="D105" s="17">
        <f>SUMIFS(ShadowLedger!$D:$D,ShadowLedger!$G:$G,A105,ShadowLedger!$C:$C,"&gt;="&amp;DATE(LEFT(SUBSTITUTE(C105,"'",""),4),MID(SUBSTITUTE(C105,"'",""),6,2),1),ShadowLedger!$C:$C,"&lt;"&amp;EOMONTH(DATE(LEFT(SUBSTITUTE(C105,"'",""),4),MID(SUBSTITUTE(C105,"'",""),6,2),1),0)+1)</f>
        <v>0</v>
      </c>
      <c r="E105" s="17">
        <f t="shared" si="1"/>
        <v>700</v>
      </c>
      <c r="F105" s="17">
        <f t="shared" si="2"/>
        <v>0</v>
      </c>
    </row>
    <row r="106">
      <c r="A106" s="5" t="s">
        <v>56</v>
      </c>
      <c r="B106" s="6">
        <v>500.0</v>
      </c>
      <c r="C106" s="13" t="s">
        <v>218</v>
      </c>
      <c r="D106" s="17">
        <f>SUMIFS(ShadowLedger!$D:$D,ShadowLedger!$G:$G,A106,ShadowLedger!$C:$C,"&gt;="&amp;DATE(LEFT(SUBSTITUTE(C106,"'",""),4),MID(SUBSTITUTE(C106,"'",""),6,2),1),ShadowLedger!$C:$C,"&lt;"&amp;EOMONTH(DATE(LEFT(SUBSTITUTE(C106,"'",""),4),MID(SUBSTITUTE(C106,"'",""),6,2),1),0)+1)</f>
        <v>0</v>
      </c>
      <c r="E106" s="17">
        <f t="shared" si="1"/>
        <v>500</v>
      </c>
      <c r="F106" s="17">
        <f t="shared" si="2"/>
        <v>0</v>
      </c>
    </row>
    <row r="107">
      <c r="A107" s="5" t="s">
        <v>57</v>
      </c>
      <c r="B107" s="6">
        <v>500.0</v>
      </c>
      <c r="C107" s="13" t="s">
        <v>218</v>
      </c>
      <c r="D107" s="17">
        <f>SUMIFS(ShadowLedger!$D:$D,ShadowLedger!$G:$G,A107,ShadowLedger!$C:$C,"&gt;="&amp;DATE(LEFT(SUBSTITUTE(C107,"'",""),4),MID(SUBSTITUTE(C107,"'",""),6,2),1),ShadowLedger!$C:$C,"&lt;"&amp;EOMONTH(DATE(LEFT(SUBSTITUTE(C107,"'",""),4),MID(SUBSTITUTE(C107,"'",""),6,2),1),0)+1)</f>
        <v>0</v>
      </c>
      <c r="E107" s="17">
        <f t="shared" si="1"/>
        <v>500</v>
      </c>
      <c r="F107" s="17">
        <f t="shared" si="2"/>
        <v>0</v>
      </c>
    </row>
    <row r="108">
      <c r="A108" s="5" t="s">
        <v>58</v>
      </c>
      <c r="B108" s="6">
        <v>400.0</v>
      </c>
      <c r="C108" s="13" t="s">
        <v>218</v>
      </c>
      <c r="D108" s="17">
        <f>SUMIFS(ShadowLedger!$D:$D,ShadowLedger!$G:$G,A108,ShadowLedger!$C:$C,"&gt;="&amp;DATE(LEFT(SUBSTITUTE(C108,"'",""),4),MID(SUBSTITUTE(C108,"'",""),6,2),1),ShadowLedger!$C:$C,"&lt;"&amp;EOMONTH(DATE(LEFT(SUBSTITUTE(C108,"'",""),4),MID(SUBSTITUTE(C108,"'",""),6,2),1),0)+1)</f>
        <v>0</v>
      </c>
      <c r="E108" s="17">
        <f t="shared" si="1"/>
        <v>400</v>
      </c>
      <c r="F108" s="17">
        <f t="shared" si="2"/>
        <v>0</v>
      </c>
    </row>
    <row r="109">
      <c r="A109" s="5" t="s">
        <v>59</v>
      </c>
      <c r="B109" s="6">
        <v>200.0</v>
      </c>
      <c r="C109" s="13" t="s">
        <v>218</v>
      </c>
      <c r="D109" s="17">
        <f>SUMIFS(ShadowLedger!$D:$D,ShadowLedger!$G:$G,A109,ShadowLedger!$C:$C,"&gt;="&amp;DATE(LEFT(SUBSTITUTE(C109,"'",""),4),MID(SUBSTITUTE(C109,"'",""),6,2),1),ShadowLedger!$C:$C,"&lt;"&amp;EOMONTH(DATE(LEFT(SUBSTITUTE(C109,"'",""),4),MID(SUBSTITUTE(C109,"'",""),6,2),1),0)+1)</f>
        <v>0</v>
      </c>
      <c r="E109" s="17">
        <f t="shared" si="1"/>
        <v>200</v>
      </c>
      <c r="F109" s="17">
        <f t="shared" si="2"/>
        <v>0</v>
      </c>
    </row>
    <row r="110">
      <c r="A110" s="5" t="s">
        <v>60</v>
      </c>
      <c r="B110" s="6">
        <v>150.0</v>
      </c>
      <c r="C110" s="13" t="s">
        <v>218</v>
      </c>
      <c r="D110" s="17">
        <f>SUMIFS(ShadowLedger!$D:$D,ShadowLedger!$G:$G,A110,ShadowLedger!$C:$C,"&gt;="&amp;DATE(LEFT(SUBSTITUTE(C110,"'",""),4),MID(SUBSTITUTE(C110,"'",""),6,2),1),ShadowLedger!$C:$C,"&lt;"&amp;EOMONTH(DATE(LEFT(SUBSTITUTE(C110,"'",""),4),MID(SUBSTITUTE(C110,"'",""),6,2),1),0)+1)</f>
        <v>0</v>
      </c>
      <c r="E110" s="17">
        <f t="shared" si="1"/>
        <v>150</v>
      </c>
      <c r="F110" s="17">
        <f t="shared" si="2"/>
        <v>0</v>
      </c>
    </row>
    <row r="111">
      <c r="A111" s="5" t="s">
        <v>61</v>
      </c>
      <c r="B111" s="6">
        <v>120.0</v>
      </c>
      <c r="C111" s="13" t="s">
        <v>218</v>
      </c>
      <c r="D111" s="17">
        <f>SUMIFS(ShadowLedger!$D:$D,ShadowLedger!$G:$G,A111,ShadowLedger!$C:$C,"&gt;="&amp;DATE(LEFT(SUBSTITUTE(C111,"'",""),4),MID(SUBSTITUTE(C111,"'",""),6,2),1),ShadowLedger!$C:$C,"&lt;"&amp;EOMONTH(DATE(LEFT(SUBSTITUTE(C111,"'",""),4),MID(SUBSTITUTE(C111,"'",""),6,2),1),0)+1)</f>
        <v>0</v>
      </c>
      <c r="E111" s="17">
        <f t="shared" si="1"/>
        <v>120</v>
      </c>
      <c r="F111" s="17">
        <f t="shared" si="2"/>
        <v>0</v>
      </c>
    </row>
    <row r="112">
      <c r="A112" s="5" t="s">
        <v>62</v>
      </c>
      <c r="B112" s="6">
        <v>120.0</v>
      </c>
      <c r="C112" s="13" t="s">
        <v>218</v>
      </c>
      <c r="D112" s="17">
        <f>SUMIFS(ShadowLedger!$D:$D,ShadowLedger!$G:$G,A112,ShadowLedger!$C:$C,"&gt;="&amp;DATE(LEFT(SUBSTITUTE(C112,"'",""),4),MID(SUBSTITUTE(C112,"'",""),6,2),1),ShadowLedger!$C:$C,"&lt;"&amp;EOMONTH(DATE(LEFT(SUBSTITUTE(C112,"'",""),4),MID(SUBSTITUTE(C112,"'",""),6,2),1),0)+1)</f>
        <v>0</v>
      </c>
      <c r="E112" s="17">
        <f t="shared" si="1"/>
        <v>120</v>
      </c>
      <c r="F112" s="17">
        <f t="shared" si="2"/>
        <v>0</v>
      </c>
    </row>
    <row r="113">
      <c r="A113" s="5" t="s">
        <v>63</v>
      </c>
      <c r="B113" s="6">
        <v>100.0</v>
      </c>
      <c r="C113" s="13" t="s">
        <v>218</v>
      </c>
      <c r="D113" s="17">
        <f>SUMIFS(ShadowLedger!$D:$D,ShadowLedger!$G:$G,A113,ShadowLedger!$C:$C,"&gt;="&amp;DATE(LEFT(SUBSTITUTE(C113,"'",""),4),MID(SUBSTITUTE(C113,"'",""),6,2),1),ShadowLedger!$C:$C,"&lt;"&amp;EOMONTH(DATE(LEFT(SUBSTITUTE(C113,"'",""),4),MID(SUBSTITUTE(C113,"'",""),6,2),1),0)+1)</f>
        <v>0</v>
      </c>
      <c r="E113" s="17">
        <f t="shared" si="1"/>
        <v>100</v>
      </c>
      <c r="F113" s="17">
        <f t="shared" si="2"/>
        <v>0</v>
      </c>
    </row>
    <row r="114">
      <c r="A114" s="5" t="s">
        <v>64</v>
      </c>
      <c r="B114" s="6">
        <v>100.0</v>
      </c>
      <c r="C114" s="13" t="s">
        <v>218</v>
      </c>
      <c r="D114" s="17">
        <f>SUMIFS(ShadowLedger!$D:$D,ShadowLedger!$G:$G,A114,ShadowLedger!$C:$C,"&gt;="&amp;DATE(LEFT(SUBSTITUTE(C114,"'",""),4),MID(SUBSTITUTE(C114,"'",""),6,2),1),ShadowLedger!$C:$C,"&lt;"&amp;EOMONTH(DATE(LEFT(SUBSTITUTE(C114,"'",""),4),MID(SUBSTITUTE(C114,"'",""),6,2),1),0)+1)</f>
        <v>0</v>
      </c>
      <c r="E114" s="17">
        <f t="shared" si="1"/>
        <v>100</v>
      </c>
      <c r="F114" s="17">
        <f t="shared" si="2"/>
        <v>0</v>
      </c>
    </row>
    <row r="115">
      <c r="A115" s="5" t="s">
        <v>70</v>
      </c>
      <c r="B115" s="6">
        <v>100.0</v>
      </c>
      <c r="C115" s="13" t="s">
        <v>218</v>
      </c>
      <c r="D115" s="17">
        <f>SUMIFS(ShadowLedger!$D:$D,ShadowLedger!$G:$G,A115,ShadowLedger!$C:$C,"&gt;="&amp;DATE(LEFT(SUBSTITUTE(C115,"'",""),4),MID(SUBSTITUTE(C115,"'",""),6,2),1),ShadowLedger!$C:$C,"&lt;"&amp;EOMONTH(DATE(LEFT(SUBSTITUTE(C115,"'",""),4),MID(SUBSTITUTE(C115,"'",""),6,2),1),0)+1)</f>
        <v>0</v>
      </c>
      <c r="E115" s="17">
        <f t="shared" si="1"/>
        <v>100</v>
      </c>
      <c r="F115" s="17">
        <f t="shared" si="2"/>
        <v>0</v>
      </c>
    </row>
    <row r="116">
      <c r="A116" s="5" t="s">
        <v>65</v>
      </c>
      <c r="B116" s="6">
        <v>50.0</v>
      </c>
      <c r="C116" s="13" t="s">
        <v>218</v>
      </c>
      <c r="D116" s="17">
        <f>SUMIFS(ShadowLedger!$D:$D,ShadowLedger!$G:$G,A116,ShadowLedger!$C:$C,"&gt;="&amp;DATE(LEFT(SUBSTITUTE(C116,"'",""),4),MID(SUBSTITUTE(C116,"'",""),6,2),1),ShadowLedger!$C:$C,"&lt;"&amp;EOMONTH(DATE(LEFT(SUBSTITUTE(C116,"'",""),4),MID(SUBSTITUTE(C116,"'",""),6,2),1),0)+1)</f>
        <v>0</v>
      </c>
      <c r="E116" s="17">
        <f t="shared" si="1"/>
        <v>50</v>
      </c>
      <c r="F116" s="17">
        <f t="shared" si="2"/>
        <v>0</v>
      </c>
    </row>
    <row r="117">
      <c r="A117" s="5" t="s">
        <v>66</v>
      </c>
      <c r="B117" s="6">
        <v>50.0</v>
      </c>
      <c r="C117" s="13" t="s">
        <v>218</v>
      </c>
      <c r="D117" s="17">
        <f>SUMIFS(ShadowLedger!$D:$D,ShadowLedger!$G:$G,A117,ShadowLedger!$C:$C,"&gt;="&amp;DATE(LEFT(SUBSTITUTE(C117,"'",""),4),MID(SUBSTITUTE(C117,"'",""),6,2),1),ShadowLedger!$C:$C,"&lt;"&amp;EOMONTH(DATE(LEFT(SUBSTITUTE(C117,"'",""),4),MID(SUBSTITUTE(C117,"'",""),6,2),1),0)+1)</f>
        <v>0</v>
      </c>
      <c r="E117" s="17">
        <f t="shared" si="1"/>
        <v>50</v>
      </c>
      <c r="F117" s="17">
        <f t="shared" si="2"/>
        <v>0</v>
      </c>
    </row>
    <row r="118">
      <c r="A118" s="5" t="s">
        <v>67</v>
      </c>
      <c r="B118" s="6">
        <v>50.0</v>
      </c>
      <c r="C118" s="13" t="s">
        <v>218</v>
      </c>
      <c r="D118" s="17">
        <f>SUMIFS(ShadowLedger!$D:$D,ShadowLedger!$G:$G,A118,ShadowLedger!$C:$C,"&gt;="&amp;DATE(LEFT(SUBSTITUTE(C118,"'",""),4),MID(SUBSTITUTE(C118,"'",""),6,2),1),ShadowLedger!$C:$C,"&lt;"&amp;EOMONTH(DATE(LEFT(SUBSTITUTE(C118,"'",""),4),MID(SUBSTITUTE(C118,"'",""),6,2),1),0)+1)</f>
        <v>0</v>
      </c>
      <c r="E118" s="17">
        <f t="shared" si="1"/>
        <v>50</v>
      </c>
      <c r="F118" s="17">
        <f t="shared" si="2"/>
        <v>0</v>
      </c>
    </row>
    <row r="119">
      <c r="A119" s="5" t="s">
        <v>68</v>
      </c>
      <c r="B119" s="6">
        <v>50.0</v>
      </c>
      <c r="C119" s="13" t="s">
        <v>218</v>
      </c>
      <c r="D119" s="17">
        <f>SUMIFS(ShadowLedger!$D:$D,ShadowLedger!$G:$G,A119,ShadowLedger!$C:$C,"&gt;="&amp;DATE(LEFT(SUBSTITUTE(C119,"'",""),4),MID(SUBSTITUTE(C119,"'",""),6,2),1),ShadowLedger!$C:$C,"&lt;"&amp;EOMONTH(DATE(LEFT(SUBSTITUTE(C119,"'",""),4),MID(SUBSTITUTE(C119,"'",""),6,2),1),0)+1)</f>
        <v>0</v>
      </c>
      <c r="E119" s="17">
        <f t="shared" si="1"/>
        <v>50</v>
      </c>
      <c r="F119" s="17">
        <f t="shared" si="2"/>
        <v>0</v>
      </c>
    </row>
    <row r="120">
      <c r="A120" s="5" t="s">
        <v>69</v>
      </c>
      <c r="B120" s="6">
        <v>0.0</v>
      </c>
      <c r="C120" s="13" t="s">
        <v>218</v>
      </c>
      <c r="D120" s="17">
        <f>SUMIFS(ShadowLedger!$D:$D,ShadowLedger!$G:$G,A120,ShadowLedger!$C:$C,"&gt;="&amp;DATE(LEFT(SUBSTITUTE(C120,"'",""),4),MID(SUBSTITUTE(C120,"'",""),6,2),1),ShadowLedger!$C:$C,"&lt;"&amp;EOMONTH(DATE(LEFT(SUBSTITUTE(C120,"'",""),4),MID(SUBSTITUTE(C120,"'",""),6,2),1),0)+1)</f>
        <v>0</v>
      </c>
      <c r="E120" s="17">
        <f t="shared" si="1"/>
        <v>0</v>
      </c>
      <c r="F120" s="17">
        <f t="shared" si="2"/>
        <v>0</v>
      </c>
    </row>
    <row r="121">
      <c r="A121" s="5" t="s">
        <v>54</v>
      </c>
      <c r="B121" s="6">
        <v>920.0</v>
      </c>
      <c r="C121" s="13" t="s">
        <v>219</v>
      </c>
      <c r="D121" s="17">
        <f>SUMIFS(ShadowLedger!$D:$D,ShadowLedger!$G:$G,A121,ShadowLedger!$C:$C,"&gt;="&amp;DATE(LEFT(SUBSTITUTE(C121,"'",""),4),MID(SUBSTITUTE(C121,"'",""),6,2),1),ShadowLedger!$C:$C,"&lt;"&amp;EOMONTH(DATE(LEFT(SUBSTITUTE(C121,"'",""),4),MID(SUBSTITUTE(C121,"'",""),6,2),1),0)+1)</f>
        <v>0</v>
      </c>
      <c r="E121" s="17">
        <f t="shared" si="1"/>
        <v>920</v>
      </c>
      <c r="F121" s="17">
        <f t="shared" si="2"/>
        <v>0</v>
      </c>
    </row>
    <row r="122">
      <c r="A122" s="5" t="s">
        <v>55</v>
      </c>
      <c r="B122" s="6">
        <v>700.0</v>
      </c>
      <c r="C122" s="13" t="s">
        <v>219</v>
      </c>
      <c r="D122" s="17">
        <f>SUMIFS(ShadowLedger!$D:$D,ShadowLedger!$G:$G,A122,ShadowLedger!$C:$C,"&gt;="&amp;DATE(LEFT(SUBSTITUTE(C122,"'",""),4),MID(SUBSTITUTE(C122,"'",""),6,2),1),ShadowLedger!$C:$C,"&lt;"&amp;EOMONTH(DATE(LEFT(SUBSTITUTE(C122,"'",""),4),MID(SUBSTITUTE(C122,"'",""),6,2),1),0)+1)</f>
        <v>0</v>
      </c>
      <c r="E122" s="17">
        <f t="shared" si="1"/>
        <v>700</v>
      </c>
      <c r="F122" s="17">
        <f t="shared" si="2"/>
        <v>0</v>
      </c>
    </row>
    <row r="123">
      <c r="A123" s="5" t="s">
        <v>56</v>
      </c>
      <c r="B123" s="6">
        <v>500.0</v>
      </c>
      <c r="C123" s="13" t="s">
        <v>219</v>
      </c>
      <c r="D123" s="17">
        <f>SUMIFS(ShadowLedger!$D:$D,ShadowLedger!$G:$G,A123,ShadowLedger!$C:$C,"&gt;="&amp;DATE(LEFT(SUBSTITUTE(C123,"'",""),4),MID(SUBSTITUTE(C123,"'",""),6,2),1),ShadowLedger!$C:$C,"&lt;"&amp;EOMONTH(DATE(LEFT(SUBSTITUTE(C123,"'",""),4),MID(SUBSTITUTE(C123,"'",""),6,2),1),0)+1)</f>
        <v>0</v>
      </c>
      <c r="E123" s="17">
        <f t="shared" si="1"/>
        <v>500</v>
      </c>
      <c r="F123" s="17">
        <f t="shared" si="2"/>
        <v>0</v>
      </c>
    </row>
    <row r="124">
      <c r="A124" s="5" t="s">
        <v>57</v>
      </c>
      <c r="B124" s="6">
        <v>500.0</v>
      </c>
      <c r="C124" s="13" t="s">
        <v>219</v>
      </c>
      <c r="D124" s="17">
        <f>SUMIFS(ShadowLedger!$D:$D,ShadowLedger!$G:$G,A124,ShadowLedger!$C:$C,"&gt;="&amp;DATE(LEFT(SUBSTITUTE(C124,"'",""),4),MID(SUBSTITUTE(C124,"'",""),6,2),1),ShadowLedger!$C:$C,"&lt;"&amp;EOMONTH(DATE(LEFT(SUBSTITUTE(C124,"'",""),4),MID(SUBSTITUTE(C124,"'",""),6,2),1),0)+1)</f>
        <v>0</v>
      </c>
      <c r="E124" s="17">
        <f t="shared" si="1"/>
        <v>500</v>
      </c>
      <c r="F124" s="17">
        <f t="shared" si="2"/>
        <v>0</v>
      </c>
    </row>
    <row r="125">
      <c r="A125" s="5" t="s">
        <v>58</v>
      </c>
      <c r="B125" s="6">
        <v>400.0</v>
      </c>
      <c r="C125" s="13" t="s">
        <v>219</v>
      </c>
      <c r="D125" s="17">
        <f>SUMIFS(ShadowLedger!$D:$D,ShadowLedger!$G:$G,A125,ShadowLedger!$C:$C,"&gt;="&amp;DATE(LEFT(SUBSTITUTE(C125,"'",""),4),MID(SUBSTITUTE(C125,"'",""),6,2),1),ShadowLedger!$C:$C,"&lt;"&amp;EOMONTH(DATE(LEFT(SUBSTITUTE(C125,"'",""),4),MID(SUBSTITUTE(C125,"'",""),6,2),1),0)+1)</f>
        <v>0</v>
      </c>
      <c r="E125" s="17">
        <f t="shared" si="1"/>
        <v>400</v>
      </c>
      <c r="F125" s="17">
        <f t="shared" si="2"/>
        <v>0</v>
      </c>
    </row>
    <row r="126">
      <c r="A126" s="5" t="s">
        <v>59</v>
      </c>
      <c r="B126" s="6">
        <v>200.0</v>
      </c>
      <c r="C126" s="13" t="s">
        <v>219</v>
      </c>
      <c r="D126" s="17">
        <f>SUMIFS(ShadowLedger!$D:$D,ShadowLedger!$G:$G,A126,ShadowLedger!$C:$C,"&gt;="&amp;DATE(LEFT(SUBSTITUTE(C126,"'",""),4),MID(SUBSTITUTE(C126,"'",""),6,2),1),ShadowLedger!$C:$C,"&lt;"&amp;EOMONTH(DATE(LEFT(SUBSTITUTE(C126,"'",""),4),MID(SUBSTITUTE(C126,"'",""),6,2),1),0)+1)</f>
        <v>0</v>
      </c>
      <c r="E126" s="17">
        <f t="shared" si="1"/>
        <v>200</v>
      </c>
      <c r="F126" s="17">
        <f t="shared" si="2"/>
        <v>0</v>
      </c>
    </row>
    <row r="127">
      <c r="A127" s="5" t="s">
        <v>60</v>
      </c>
      <c r="B127" s="6">
        <v>150.0</v>
      </c>
      <c r="C127" s="13" t="s">
        <v>219</v>
      </c>
      <c r="D127" s="17">
        <f>SUMIFS(ShadowLedger!$D:$D,ShadowLedger!$G:$G,A127,ShadowLedger!$C:$C,"&gt;="&amp;DATE(LEFT(SUBSTITUTE(C127,"'",""),4),MID(SUBSTITUTE(C127,"'",""),6,2),1),ShadowLedger!$C:$C,"&lt;"&amp;EOMONTH(DATE(LEFT(SUBSTITUTE(C127,"'",""),4),MID(SUBSTITUTE(C127,"'",""),6,2),1),0)+1)</f>
        <v>0</v>
      </c>
      <c r="E127" s="17">
        <f t="shared" si="1"/>
        <v>150</v>
      </c>
      <c r="F127" s="17">
        <f t="shared" si="2"/>
        <v>0</v>
      </c>
    </row>
    <row r="128">
      <c r="A128" s="5" t="s">
        <v>61</v>
      </c>
      <c r="B128" s="6">
        <v>120.0</v>
      </c>
      <c r="C128" s="13" t="s">
        <v>219</v>
      </c>
      <c r="D128" s="17">
        <f>SUMIFS(ShadowLedger!$D:$D,ShadowLedger!$G:$G,A128,ShadowLedger!$C:$C,"&gt;="&amp;DATE(LEFT(SUBSTITUTE(C128,"'",""),4),MID(SUBSTITUTE(C128,"'",""),6,2),1),ShadowLedger!$C:$C,"&lt;"&amp;EOMONTH(DATE(LEFT(SUBSTITUTE(C128,"'",""),4),MID(SUBSTITUTE(C128,"'",""),6,2),1),0)+1)</f>
        <v>0</v>
      </c>
      <c r="E128" s="17">
        <f t="shared" si="1"/>
        <v>120</v>
      </c>
      <c r="F128" s="17">
        <f t="shared" si="2"/>
        <v>0</v>
      </c>
    </row>
    <row r="129">
      <c r="A129" s="5" t="s">
        <v>62</v>
      </c>
      <c r="B129" s="6">
        <v>120.0</v>
      </c>
      <c r="C129" s="13" t="s">
        <v>219</v>
      </c>
      <c r="D129" s="17">
        <f>SUMIFS(ShadowLedger!$D:$D,ShadowLedger!$G:$G,A129,ShadowLedger!$C:$C,"&gt;="&amp;DATE(LEFT(SUBSTITUTE(C129,"'",""),4),MID(SUBSTITUTE(C129,"'",""),6,2),1),ShadowLedger!$C:$C,"&lt;"&amp;EOMONTH(DATE(LEFT(SUBSTITUTE(C129,"'",""),4),MID(SUBSTITUTE(C129,"'",""),6,2),1),0)+1)</f>
        <v>0</v>
      </c>
      <c r="E129" s="17">
        <f t="shared" si="1"/>
        <v>120</v>
      </c>
      <c r="F129" s="17">
        <f t="shared" si="2"/>
        <v>0</v>
      </c>
    </row>
    <row r="130">
      <c r="A130" s="5" t="s">
        <v>63</v>
      </c>
      <c r="B130" s="6">
        <v>100.0</v>
      </c>
      <c r="C130" s="13" t="s">
        <v>219</v>
      </c>
      <c r="D130" s="17">
        <f>SUMIFS(ShadowLedger!$D:$D,ShadowLedger!$G:$G,A130,ShadowLedger!$C:$C,"&gt;="&amp;DATE(LEFT(SUBSTITUTE(C130,"'",""),4),MID(SUBSTITUTE(C130,"'",""),6,2),1),ShadowLedger!$C:$C,"&lt;"&amp;EOMONTH(DATE(LEFT(SUBSTITUTE(C130,"'",""),4),MID(SUBSTITUTE(C130,"'",""),6,2),1),0)+1)</f>
        <v>0</v>
      </c>
      <c r="E130" s="17">
        <f t="shared" si="1"/>
        <v>100</v>
      </c>
      <c r="F130" s="17">
        <f t="shared" si="2"/>
        <v>0</v>
      </c>
    </row>
    <row r="131">
      <c r="A131" s="5" t="s">
        <v>64</v>
      </c>
      <c r="B131" s="6">
        <v>100.0</v>
      </c>
      <c r="C131" s="13" t="s">
        <v>219</v>
      </c>
      <c r="D131" s="17">
        <f>SUMIFS(ShadowLedger!$D:$D,ShadowLedger!$G:$G,A131,ShadowLedger!$C:$C,"&gt;="&amp;DATE(LEFT(SUBSTITUTE(C131,"'",""),4),MID(SUBSTITUTE(C131,"'",""),6,2),1),ShadowLedger!$C:$C,"&lt;"&amp;EOMONTH(DATE(LEFT(SUBSTITUTE(C131,"'",""),4),MID(SUBSTITUTE(C131,"'",""),6,2),1),0)+1)</f>
        <v>0</v>
      </c>
      <c r="E131" s="17">
        <f t="shared" si="1"/>
        <v>100</v>
      </c>
      <c r="F131" s="17">
        <f t="shared" si="2"/>
        <v>0</v>
      </c>
    </row>
    <row r="132">
      <c r="A132" s="5" t="s">
        <v>70</v>
      </c>
      <c r="B132" s="6">
        <v>100.0</v>
      </c>
      <c r="C132" s="13" t="s">
        <v>219</v>
      </c>
      <c r="D132" s="17">
        <f>SUMIFS(ShadowLedger!$D:$D,ShadowLedger!$G:$G,A132,ShadowLedger!$C:$C,"&gt;="&amp;DATE(LEFT(SUBSTITUTE(C132,"'",""),4),MID(SUBSTITUTE(C132,"'",""),6,2),1),ShadowLedger!$C:$C,"&lt;"&amp;EOMONTH(DATE(LEFT(SUBSTITUTE(C132,"'",""),4),MID(SUBSTITUTE(C132,"'",""),6,2),1),0)+1)</f>
        <v>0</v>
      </c>
      <c r="E132" s="17">
        <f t="shared" si="1"/>
        <v>100</v>
      </c>
      <c r="F132" s="17">
        <f t="shared" si="2"/>
        <v>0</v>
      </c>
    </row>
    <row r="133">
      <c r="A133" s="5" t="s">
        <v>65</v>
      </c>
      <c r="B133" s="6">
        <v>50.0</v>
      </c>
      <c r="C133" s="13" t="s">
        <v>219</v>
      </c>
      <c r="D133" s="17">
        <f>SUMIFS(ShadowLedger!$D:$D,ShadowLedger!$G:$G,A133,ShadowLedger!$C:$C,"&gt;="&amp;DATE(LEFT(SUBSTITUTE(C133,"'",""),4),MID(SUBSTITUTE(C133,"'",""),6,2),1),ShadowLedger!$C:$C,"&lt;"&amp;EOMONTH(DATE(LEFT(SUBSTITUTE(C133,"'",""),4),MID(SUBSTITUTE(C133,"'",""),6,2),1),0)+1)</f>
        <v>0</v>
      </c>
      <c r="E133" s="17">
        <f t="shared" si="1"/>
        <v>50</v>
      </c>
      <c r="F133" s="17">
        <f t="shared" si="2"/>
        <v>0</v>
      </c>
    </row>
    <row r="134">
      <c r="A134" s="5" t="s">
        <v>66</v>
      </c>
      <c r="B134" s="6">
        <v>50.0</v>
      </c>
      <c r="C134" s="13" t="s">
        <v>219</v>
      </c>
      <c r="D134" s="17">
        <f>SUMIFS(ShadowLedger!$D:$D,ShadowLedger!$G:$G,A134,ShadowLedger!$C:$C,"&gt;="&amp;DATE(LEFT(SUBSTITUTE(C134,"'",""),4),MID(SUBSTITUTE(C134,"'",""),6,2),1),ShadowLedger!$C:$C,"&lt;"&amp;EOMONTH(DATE(LEFT(SUBSTITUTE(C134,"'",""),4),MID(SUBSTITUTE(C134,"'",""),6,2),1),0)+1)</f>
        <v>0</v>
      </c>
      <c r="E134" s="17">
        <f t="shared" si="1"/>
        <v>50</v>
      </c>
      <c r="F134" s="17">
        <f t="shared" si="2"/>
        <v>0</v>
      </c>
    </row>
    <row r="135">
      <c r="A135" s="5" t="s">
        <v>67</v>
      </c>
      <c r="B135" s="6">
        <v>50.0</v>
      </c>
      <c r="C135" s="13" t="s">
        <v>219</v>
      </c>
      <c r="D135" s="17">
        <f>SUMIFS(ShadowLedger!$D:$D,ShadowLedger!$G:$G,A135,ShadowLedger!$C:$C,"&gt;="&amp;DATE(LEFT(SUBSTITUTE(C135,"'",""),4),MID(SUBSTITUTE(C135,"'",""),6,2),1),ShadowLedger!$C:$C,"&lt;"&amp;EOMONTH(DATE(LEFT(SUBSTITUTE(C135,"'",""),4),MID(SUBSTITUTE(C135,"'",""),6,2),1),0)+1)</f>
        <v>0</v>
      </c>
      <c r="E135" s="17">
        <f t="shared" si="1"/>
        <v>50</v>
      </c>
      <c r="F135" s="17">
        <f t="shared" si="2"/>
        <v>0</v>
      </c>
    </row>
    <row r="136">
      <c r="A136" s="5" t="s">
        <v>68</v>
      </c>
      <c r="B136" s="6">
        <v>50.0</v>
      </c>
      <c r="C136" s="13" t="s">
        <v>219</v>
      </c>
      <c r="D136" s="17">
        <f>SUMIFS(ShadowLedger!$D:$D,ShadowLedger!$G:$G,A136,ShadowLedger!$C:$C,"&gt;="&amp;DATE(LEFT(SUBSTITUTE(C136,"'",""),4),MID(SUBSTITUTE(C136,"'",""),6,2),1),ShadowLedger!$C:$C,"&lt;"&amp;EOMONTH(DATE(LEFT(SUBSTITUTE(C136,"'",""),4),MID(SUBSTITUTE(C136,"'",""),6,2),1),0)+1)</f>
        <v>0</v>
      </c>
      <c r="E136" s="17">
        <f t="shared" si="1"/>
        <v>50</v>
      </c>
      <c r="F136" s="17">
        <f t="shared" si="2"/>
        <v>0</v>
      </c>
    </row>
    <row r="137">
      <c r="A137" s="5" t="s">
        <v>69</v>
      </c>
      <c r="B137" s="6">
        <v>0.0</v>
      </c>
      <c r="C137" s="13" t="s">
        <v>219</v>
      </c>
      <c r="D137" s="17">
        <f>SUMIFS(ShadowLedger!$D:$D,ShadowLedger!$G:$G,A137,ShadowLedger!$C:$C,"&gt;="&amp;DATE(LEFT(SUBSTITUTE(C137,"'",""),4),MID(SUBSTITUTE(C137,"'",""),6,2),1),ShadowLedger!$C:$C,"&lt;"&amp;EOMONTH(DATE(LEFT(SUBSTITUTE(C137,"'",""),4),MID(SUBSTITUTE(C137,"'",""),6,2),1),0)+1)</f>
        <v>0</v>
      </c>
      <c r="E137" s="17">
        <f t="shared" si="1"/>
        <v>0</v>
      </c>
      <c r="F137" s="17">
        <f t="shared" si="2"/>
        <v>0</v>
      </c>
    </row>
    <row r="138">
      <c r="A138" s="5" t="s">
        <v>54</v>
      </c>
      <c r="B138" s="6">
        <v>920.0</v>
      </c>
      <c r="C138" s="13" t="s">
        <v>220</v>
      </c>
      <c r="D138" s="17">
        <f>SUMIFS(ShadowLedger!$D:$D,ShadowLedger!$G:$G,A138,ShadowLedger!$C:$C,"&gt;="&amp;DATE(LEFT(SUBSTITUTE(C138,"'",""),4),MID(SUBSTITUTE(C138,"'",""),6,2),1),ShadowLedger!$C:$C,"&lt;"&amp;EOMONTH(DATE(LEFT(SUBSTITUTE(C138,"'",""),4),MID(SUBSTITUTE(C138,"'",""),6,2),1),0)+1)</f>
        <v>0</v>
      </c>
      <c r="E138" s="17">
        <f t="shared" si="1"/>
        <v>920</v>
      </c>
      <c r="F138" s="17">
        <f t="shared" si="2"/>
        <v>0</v>
      </c>
    </row>
    <row r="139">
      <c r="A139" s="5" t="s">
        <v>55</v>
      </c>
      <c r="B139" s="6">
        <v>700.0</v>
      </c>
      <c r="C139" s="13" t="s">
        <v>220</v>
      </c>
      <c r="D139" s="17">
        <f>SUMIFS(ShadowLedger!$D:$D,ShadowLedger!$G:$G,A139,ShadowLedger!$C:$C,"&gt;="&amp;DATE(LEFT(SUBSTITUTE(C139,"'",""),4),MID(SUBSTITUTE(C139,"'",""),6,2),1),ShadowLedger!$C:$C,"&lt;"&amp;EOMONTH(DATE(LEFT(SUBSTITUTE(C139,"'",""),4),MID(SUBSTITUTE(C139,"'",""),6,2),1),0)+1)</f>
        <v>0</v>
      </c>
      <c r="E139" s="17">
        <f t="shared" si="1"/>
        <v>700</v>
      </c>
      <c r="F139" s="17">
        <f t="shared" si="2"/>
        <v>0</v>
      </c>
    </row>
    <row r="140">
      <c r="A140" s="5" t="s">
        <v>56</v>
      </c>
      <c r="B140" s="6">
        <v>500.0</v>
      </c>
      <c r="C140" s="13" t="s">
        <v>220</v>
      </c>
      <c r="D140" s="17">
        <f>SUMIFS(ShadowLedger!$D:$D,ShadowLedger!$G:$G,A140,ShadowLedger!$C:$C,"&gt;="&amp;DATE(LEFT(SUBSTITUTE(C140,"'",""),4),MID(SUBSTITUTE(C140,"'",""),6,2),1),ShadowLedger!$C:$C,"&lt;"&amp;EOMONTH(DATE(LEFT(SUBSTITUTE(C140,"'",""),4),MID(SUBSTITUTE(C140,"'",""),6,2),1),0)+1)</f>
        <v>0</v>
      </c>
      <c r="E140" s="17">
        <f t="shared" si="1"/>
        <v>500</v>
      </c>
      <c r="F140" s="17">
        <f t="shared" si="2"/>
        <v>0</v>
      </c>
    </row>
    <row r="141">
      <c r="A141" s="5" t="s">
        <v>57</v>
      </c>
      <c r="B141" s="6">
        <v>500.0</v>
      </c>
      <c r="C141" s="13" t="s">
        <v>220</v>
      </c>
      <c r="D141" s="17">
        <f>SUMIFS(ShadowLedger!$D:$D,ShadowLedger!$G:$G,A141,ShadowLedger!$C:$C,"&gt;="&amp;DATE(LEFT(SUBSTITUTE(C141,"'",""),4),MID(SUBSTITUTE(C141,"'",""),6,2),1),ShadowLedger!$C:$C,"&lt;"&amp;EOMONTH(DATE(LEFT(SUBSTITUTE(C141,"'",""),4),MID(SUBSTITUTE(C141,"'",""),6,2),1),0)+1)</f>
        <v>0</v>
      </c>
      <c r="E141" s="17">
        <f t="shared" si="1"/>
        <v>500</v>
      </c>
      <c r="F141" s="17">
        <f t="shared" si="2"/>
        <v>0</v>
      </c>
    </row>
    <row r="142">
      <c r="A142" s="5" t="s">
        <v>58</v>
      </c>
      <c r="B142" s="6">
        <v>400.0</v>
      </c>
      <c r="C142" s="13" t="s">
        <v>220</v>
      </c>
      <c r="D142" s="17">
        <f>SUMIFS(ShadowLedger!$D:$D,ShadowLedger!$G:$G,A142,ShadowLedger!$C:$C,"&gt;="&amp;DATE(LEFT(SUBSTITUTE(C142,"'",""),4),MID(SUBSTITUTE(C142,"'",""),6,2),1),ShadowLedger!$C:$C,"&lt;"&amp;EOMONTH(DATE(LEFT(SUBSTITUTE(C142,"'",""),4),MID(SUBSTITUTE(C142,"'",""),6,2),1),0)+1)</f>
        <v>0</v>
      </c>
      <c r="E142" s="17">
        <f t="shared" si="1"/>
        <v>400</v>
      </c>
      <c r="F142" s="17">
        <f t="shared" si="2"/>
        <v>0</v>
      </c>
    </row>
    <row r="143">
      <c r="A143" s="5" t="s">
        <v>59</v>
      </c>
      <c r="B143" s="6">
        <v>200.0</v>
      </c>
      <c r="C143" s="13" t="s">
        <v>220</v>
      </c>
      <c r="D143" s="17">
        <f>SUMIFS(ShadowLedger!$D:$D,ShadowLedger!$G:$G,A143,ShadowLedger!$C:$C,"&gt;="&amp;DATE(LEFT(SUBSTITUTE(C143,"'",""),4),MID(SUBSTITUTE(C143,"'",""),6,2),1),ShadowLedger!$C:$C,"&lt;"&amp;EOMONTH(DATE(LEFT(SUBSTITUTE(C143,"'",""),4),MID(SUBSTITUTE(C143,"'",""),6,2),1),0)+1)</f>
        <v>0</v>
      </c>
      <c r="E143" s="17">
        <f t="shared" si="1"/>
        <v>200</v>
      </c>
      <c r="F143" s="17">
        <f t="shared" si="2"/>
        <v>0</v>
      </c>
    </row>
    <row r="144">
      <c r="A144" s="5" t="s">
        <v>60</v>
      </c>
      <c r="B144" s="6">
        <v>150.0</v>
      </c>
      <c r="C144" s="13" t="s">
        <v>220</v>
      </c>
      <c r="D144" s="17">
        <f>SUMIFS(ShadowLedger!$D:$D,ShadowLedger!$G:$G,A144,ShadowLedger!$C:$C,"&gt;="&amp;DATE(LEFT(SUBSTITUTE(C144,"'",""),4),MID(SUBSTITUTE(C144,"'",""),6,2),1),ShadowLedger!$C:$C,"&lt;"&amp;EOMONTH(DATE(LEFT(SUBSTITUTE(C144,"'",""),4),MID(SUBSTITUTE(C144,"'",""),6,2),1),0)+1)</f>
        <v>0</v>
      </c>
      <c r="E144" s="17">
        <f t="shared" si="1"/>
        <v>150</v>
      </c>
      <c r="F144" s="17">
        <f t="shared" si="2"/>
        <v>0</v>
      </c>
    </row>
    <row r="145">
      <c r="A145" s="5" t="s">
        <v>61</v>
      </c>
      <c r="B145" s="6">
        <v>120.0</v>
      </c>
      <c r="C145" s="13" t="s">
        <v>220</v>
      </c>
      <c r="D145" s="17">
        <f>SUMIFS(ShadowLedger!$D:$D,ShadowLedger!$G:$G,A145,ShadowLedger!$C:$C,"&gt;="&amp;DATE(LEFT(SUBSTITUTE(C145,"'",""),4),MID(SUBSTITUTE(C145,"'",""),6,2),1),ShadowLedger!$C:$C,"&lt;"&amp;EOMONTH(DATE(LEFT(SUBSTITUTE(C145,"'",""),4),MID(SUBSTITUTE(C145,"'",""),6,2),1),0)+1)</f>
        <v>0</v>
      </c>
      <c r="E145" s="17">
        <f t="shared" si="1"/>
        <v>120</v>
      </c>
      <c r="F145" s="17">
        <f t="shared" si="2"/>
        <v>0</v>
      </c>
    </row>
    <row r="146">
      <c r="A146" s="5" t="s">
        <v>62</v>
      </c>
      <c r="B146" s="6">
        <v>120.0</v>
      </c>
      <c r="C146" s="13" t="s">
        <v>220</v>
      </c>
      <c r="D146" s="17">
        <f>SUMIFS(ShadowLedger!$D:$D,ShadowLedger!$G:$G,A146,ShadowLedger!$C:$C,"&gt;="&amp;DATE(LEFT(SUBSTITUTE(C146,"'",""),4),MID(SUBSTITUTE(C146,"'",""),6,2),1),ShadowLedger!$C:$C,"&lt;"&amp;EOMONTH(DATE(LEFT(SUBSTITUTE(C146,"'",""),4),MID(SUBSTITUTE(C146,"'",""),6,2),1),0)+1)</f>
        <v>0</v>
      </c>
      <c r="E146" s="17">
        <f t="shared" si="1"/>
        <v>120</v>
      </c>
      <c r="F146" s="17">
        <f t="shared" si="2"/>
        <v>0</v>
      </c>
    </row>
    <row r="147">
      <c r="A147" s="5" t="s">
        <v>63</v>
      </c>
      <c r="B147" s="6">
        <v>100.0</v>
      </c>
      <c r="C147" s="13" t="s">
        <v>220</v>
      </c>
      <c r="D147" s="17">
        <f>SUMIFS(ShadowLedger!$D:$D,ShadowLedger!$G:$G,A147,ShadowLedger!$C:$C,"&gt;="&amp;DATE(LEFT(SUBSTITUTE(C147,"'",""),4),MID(SUBSTITUTE(C147,"'",""),6,2),1),ShadowLedger!$C:$C,"&lt;"&amp;EOMONTH(DATE(LEFT(SUBSTITUTE(C147,"'",""),4),MID(SUBSTITUTE(C147,"'",""),6,2),1),0)+1)</f>
        <v>0</v>
      </c>
      <c r="E147" s="17">
        <f t="shared" si="1"/>
        <v>100</v>
      </c>
      <c r="F147" s="17">
        <f t="shared" si="2"/>
        <v>0</v>
      </c>
    </row>
    <row r="148">
      <c r="A148" s="5" t="s">
        <v>64</v>
      </c>
      <c r="B148" s="6">
        <v>100.0</v>
      </c>
      <c r="C148" s="13" t="s">
        <v>220</v>
      </c>
      <c r="D148" s="17">
        <f>SUMIFS(ShadowLedger!$D:$D,ShadowLedger!$G:$G,A148,ShadowLedger!$C:$C,"&gt;="&amp;DATE(LEFT(SUBSTITUTE(C148,"'",""),4),MID(SUBSTITUTE(C148,"'",""),6,2),1),ShadowLedger!$C:$C,"&lt;"&amp;EOMONTH(DATE(LEFT(SUBSTITUTE(C148,"'",""),4),MID(SUBSTITUTE(C148,"'",""),6,2),1),0)+1)</f>
        <v>0</v>
      </c>
      <c r="E148" s="17">
        <f t="shared" si="1"/>
        <v>100</v>
      </c>
      <c r="F148" s="17">
        <f t="shared" si="2"/>
        <v>0</v>
      </c>
    </row>
    <row r="149">
      <c r="A149" s="5" t="s">
        <v>70</v>
      </c>
      <c r="B149" s="6">
        <v>100.0</v>
      </c>
      <c r="C149" s="13" t="s">
        <v>220</v>
      </c>
      <c r="D149" s="17">
        <f>SUMIFS(ShadowLedger!$D:$D,ShadowLedger!$G:$G,A149,ShadowLedger!$C:$C,"&gt;="&amp;DATE(LEFT(SUBSTITUTE(C149,"'",""),4),MID(SUBSTITUTE(C149,"'",""),6,2),1),ShadowLedger!$C:$C,"&lt;"&amp;EOMONTH(DATE(LEFT(SUBSTITUTE(C149,"'",""),4),MID(SUBSTITUTE(C149,"'",""),6,2),1),0)+1)</f>
        <v>0</v>
      </c>
      <c r="E149" s="17">
        <f t="shared" si="1"/>
        <v>100</v>
      </c>
      <c r="F149" s="17">
        <f t="shared" si="2"/>
        <v>0</v>
      </c>
    </row>
    <row r="150">
      <c r="A150" s="5" t="s">
        <v>65</v>
      </c>
      <c r="B150" s="6">
        <v>50.0</v>
      </c>
      <c r="C150" s="13" t="s">
        <v>220</v>
      </c>
      <c r="D150" s="17">
        <f>SUMIFS(ShadowLedger!$D:$D,ShadowLedger!$G:$G,A150,ShadowLedger!$C:$C,"&gt;="&amp;DATE(LEFT(SUBSTITUTE(C150,"'",""),4),MID(SUBSTITUTE(C150,"'",""),6,2),1),ShadowLedger!$C:$C,"&lt;"&amp;EOMONTH(DATE(LEFT(SUBSTITUTE(C150,"'",""),4),MID(SUBSTITUTE(C150,"'",""),6,2),1),0)+1)</f>
        <v>0</v>
      </c>
      <c r="E150" s="17">
        <f t="shared" si="1"/>
        <v>50</v>
      </c>
      <c r="F150" s="17">
        <f t="shared" si="2"/>
        <v>0</v>
      </c>
    </row>
    <row r="151">
      <c r="A151" s="5" t="s">
        <v>66</v>
      </c>
      <c r="B151" s="6">
        <v>50.0</v>
      </c>
      <c r="C151" s="13" t="s">
        <v>220</v>
      </c>
      <c r="D151" s="17">
        <f>SUMIFS(ShadowLedger!$D:$D,ShadowLedger!$G:$G,A151,ShadowLedger!$C:$C,"&gt;="&amp;DATE(LEFT(SUBSTITUTE(C151,"'",""),4),MID(SUBSTITUTE(C151,"'",""),6,2),1),ShadowLedger!$C:$C,"&lt;"&amp;EOMONTH(DATE(LEFT(SUBSTITUTE(C151,"'",""),4),MID(SUBSTITUTE(C151,"'",""),6,2),1),0)+1)</f>
        <v>0</v>
      </c>
      <c r="E151" s="17">
        <f t="shared" si="1"/>
        <v>50</v>
      </c>
      <c r="F151" s="17">
        <f t="shared" si="2"/>
        <v>0</v>
      </c>
    </row>
    <row r="152">
      <c r="A152" s="5" t="s">
        <v>67</v>
      </c>
      <c r="B152" s="6">
        <v>50.0</v>
      </c>
      <c r="C152" s="13" t="s">
        <v>220</v>
      </c>
      <c r="D152" s="17">
        <f>SUMIFS(ShadowLedger!$D:$D,ShadowLedger!$G:$G,A152,ShadowLedger!$C:$C,"&gt;="&amp;DATE(LEFT(SUBSTITUTE(C152,"'",""),4),MID(SUBSTITUTE(C152,"'",""),6,2),1),ShadowLedger!$C:$C,"&lt;"&amp;EOMONTH(DATE(LEFT(SUBSTITUTE(C152,"'",""),4),MID(SUBSTITUTE(C152,"'",""),6,2),1),0)+1)</f>
        <v>0</v>
      </c>
      <c r="E152" s="17">
        <f t="shared" si="1"/>
        <v>50</v>
      </c>
      <c r="F152" s="17">
        <f t="shared" si="2"/>
        <v>0</v>
      </c>
    </row>
    <row r="153">
      <c r="A153" s="5" t="s">
        <v>68</v>
      </c>
      <c r="B153" s="6">
        <v>50.0</v>
      </c>
      <c r="C153" s="13" t="s">
        <v>220</v>
      </c>
      <c r="D153" s="17">
        <f>SUMIFS(ShadowLedger!$D:$D,ShadowLedger!$G:$G,A153,ShadowLedger!$C:$C,"&gt;="&amp;DATE(LEFT(SUBSTITUTE(C153,"'",""),4),MID(SUBSTITUTE(C153,"'",""),6,2),1),ShadowLedger!$C:$C,"&lt;"&amp;EOMONTH(DATE(LEFT(SUBSTITUTE(C153,"'",""),4),MID(SUBSTITUTE(C153,"'",""),6,2),1),0)+1)</f>
        <v>0</v>
      </c>
      <c r="E153" s="17">
        <f t="shared" si="1"/>
        <v>50</v>
      </c>
      <c r="F153" s="17">
        <f t="shared" si="2"/>
        <v>0</v>
      </c>
    </row>
    <row r="154">
      <c r="A154" s="5" t="s">
        <v>69</v>
      </c>
      <c r="B154" s="6">
        <v>0.0</v>
      </c>
      <c r="C154" s="13" t="s">
        <v>220</v>
      </c>
      <c r="D154" s="17">
        <f>SUMIFS(ShadowLedger!$D:$D,ShadowLedger!$G:$G,A154,ShadowLedger!$C:$C,"&gt;="&amp;DATE(LEFT(SUBSTITUTE(C154,"'",""),4),MID(SUBSTITUTE(C154,"'",""),6,2),1),ShadowLedger!$C:$C,"&lt;"&amp;EOMONTH(DATE(LEFT(SUBSTITUTE(C154,"'",""),4),MID(SUBSTITUTE(C154,"'",""),6,2),1),0)+1)</f>
        <v>0</v>
      </c>
      <c r="E154" s="17">
        <f t="shared" si="1"/>
        <v>0</v>
      </c>
      <c r="F154" s="17">
        <f t="shared" si="2"/>
        <v>0</v>
      </c>
    </row>
    <row r="155">
      <c r="A155" s="5" t="s">
        <v>54</v>
      </c>
      <c r="B155" s="6">
        <v>920.0</v>
      </c>
      <c r="C155" s="13" t="s">
        <v>221</v>
      </c>
      <c r="D155" s="17">
        <f>SUMIFS(ShadowLedger!$D:$D,ShadowLedger!$G:$G,A155,ShadowLedger!$C:$C,"&gt;="&amp;DATE(LEFT(SUBSTITUTE(C155,"'",""),4),MID(SUBSTITUTE(C155,"'",""),6,2),1),ShadowLedger!$C:$C,"&lt;"&amp;EOMONTH(DATE(LEFT(SUBSTITUTE(C155,"'",""),4),MID(SUBSTITUTE(C155,"'",""),6,2),1),0)+1)</f>
        <v>0</v>
      </c>
      <c r="E155" s="17">
        <f t="shared" si="1"/>
        <v>920</v>
      </c>
      <c r="F155" s="17">
        <f t="shared" si="2"/>
        <v>0</v>
      </c>
    </row>
    <row r="156">
      <c r="A156" s="5" t="s">
        <v>55</v>
      </c>
      <c r="B156" s="6">
        <v>700.0</v>
      </c>
      <c r="C156" s="13" t="s">
        <v>221</v>
      </c>
      <c r="D156" s="17">
        <f>SUMIFS(ShadowLedger!$D:$D,ShadowLedger!$G:$G,A156,ShadowLedger!$C:$C,"&gt;="&amp;DATE(LEFT(SUBSTITUTE(C156,"'",""),4),MID(SUBSTITUTE(C156,"'",""),6,2),1),ShadowLedger!$C:$C,"&lt;"&amp;EOMONTH(DATE(LEFT(SUBSTITUTE(C156,"'",""),4),MID(SUBSTITUTE(C156,"'",""),6,2),1),0)+1)</f>
        <v>0</v>
      </c>
      <c r="E156" s="17">
        <f t="shared" si="1"/>
        <v>700</v>
      </c>
      <c r="F156" s="17">
        <f t="shared" si="2"/>
        <v>0</v>
      </c>
    </row>
    <row r="157">
      <c r="A157" s="5" t="s">
        <v>56</v>
      </c>
      <c r="B157" s="6">
        <v>500.0</v>
      </c>
      <c r="C157" s="13" t="s">
        <v>221</v>
      </c>
      <c r="D157" s="17">
        <f>SUMIFS(ShadowLedger!$D:$D,ShadowLedger!$G:$G,A157,ShadowLedger!$C:$C,"&gt;="&amp;DATE(LEFT(SUBSTITUTE(C157,"'",""),4),MID(SUBSTITUTE(C157,"'",""),6,2),1),ShadowLedger!$C:$C,"&lt;"&amp;EOMONTH(DATE(LEFT(SUBSTITUTE(C157,"'",""),4),MID(SUBSTITUTE(C157,"'",""),6,2),1),0)+1)</f>
        <v>0</v>
      </c>
      <c r="E157" s="17">
        <f t="shared" si="1"/>
        <v>500</v>
      </c>
      <c r="F157" s="17">
        <f t="shared" si="2"/>
        <v>0</v>
      </c>
    </row>
    <row r="158">
      <c r="A158" s="5" t="s">
        <v>57</v>
      </c>
      <c r="B158" s="6">
        <v>500.0</v>
      </c>
      <c r="C158" s="13" t="s">
        <v>221</v>
      </c>
      <c r="D158" s="17">
        <f>SUMIFS(ShadowLedger!$D:$D,ShadowLedger!$G:$G,A158,ShadowLedger!$C:$C,"&gt;="&amp;DATE(LEFT(SUBSTITUTE(C158,"'",""),4),MID(SUBSTITUTE(C158,"'",""),6,2),1),ShadowLedger!$C:$C,"&lt;"&amp;EOMONTH(DATE(LEFT(SUBSTITUTE(C158,"'",""),4),MID(SUBSTITUTE(C158,"'",""),6,2),1),0)+1)</f>
        <v>0</v>
      </c>
      <c r="E158" s="17">
        <f t="shared" si="1"/>
        <v>500</v>
      </c>
      <c r="F158" s="17">
        <f t="shared" si="2"/>
        <v>0</v>
      </c>
    </row>
    <row r="159">
      <c r="A159" s="5" t="s">
        <v>58</v>
      </c>
      <c r="B159" s="6">
        <v>400.0</v>
      </c>
      <c r="C159" s="13" t="s">
        <v>221</v>
      </c>
      <c r="D159" s="17">
        <f>SUMIFS(ShadowLedger!$D:$D,ShadowLedger!$G:$G,A159,ShadowLedger!$C:$C,"&gt;="&amp;DATE(LEFT(SUBSTITUTE(C159,"'",""),4),MID(SUBSTITUTE(C159,"'",""),6,2),1),ShadowLedger!$C:$C,"&lt;"&amp;EOMONTH(DATE(LEFT(SUBSTITUTE(C159,"'",""),4),MID(SUBSTITUTE(C159,"'",""),6,2),1),0)+1)</f>
        <v>0</v>
      </c>
      <c r="E159" s="17">
        <f t="shared" si="1"/>
        <v>400</v>
      </c>
      <c r="F159" s="17">
        <f t="shared" si="2"/>
        <v>0</v>
      </c>
    </row>
    <row r="160">
      <c r="A160" s="5" t="s">
        <v>59</v>
      </c>
      <c r="B160" s="6">
        <v>200.0</v>
      </c>
      <c r="C160" s="13" t="s">
        <v>221</v>
      </c>
      <c r="D160" s="17">
        <f>SUMIFS(ShadowLedger!$D:$D,ShadowLedger!$G:$G,A160,ShadowLedger!$C:$C,"&gt;="&amp;DATE(LEFT(SUBSTITUTE(C160,"'",""),4),MID(SUBSTITUTE(C160,"'",""),6,2),1),ShadowLedger!$C:$C,"&lt;"&amp;EOMONTH(DATE(LEFT(SUBSTITUTE(C160,"'",""),4),MID(SUBSTITUTE(C160,"'",""),6,2),1),0)+1)</f>
        <v>0</v>
      </c>
      <c r="E160" s="17">
        <f t="shared" si="1"/>
        <v>200</v>
      </c>
      <c r="F160" s="17">
        <f t="shared" si="2"/>
        <v>0</v>
      </c>
    </row>
    <row r="161">
      <c r="A161" s="5" t="s">
        <v>60</v>
      </c>
      <c r="B161" s="6">
        <v>150.0</v>
      </c>
      <c r="C161" s="13" t="s">
        <v>221</v>
      </c>
      <c r="D161" s="17">
        <f>SUMIFS(ShadowLedger!$D:$D,ShadowLedger!$G:$G,A161,ShadowLedger!$C:$C,"&gt;="&amp;DATE(LEFT(SUBSTITUTE(C161,"'",""),4),MID(SUBSTITUTE(C161,"'",""),6,2),1),ShadowLedger!$C:$C,"&lt;"&amp;EOMONTH(DATE(LEFT(SUBSTITUTE(C161,"'",""),4),MID(SUBSTITUTE(C161,"'",""),6,2),1),0)+1)</f>
        <v>0</v>
      </c>
      <c r="E161" s="17">
        <f t="shared" si="1"/>
        <v>150</v>
      </c>
      <c r="F161" s="17">
        <f t="shared" si="2"/>
        <v>0</v>
      </c>
    </row>
    <row r="162">
      <c r="A162" s="5" t="s">
        <v>61</v>
      </c>
      <c r="B162" s="6">
        <v>120.0</v>
      </c>
      <c r="C162" s="13" t="s">
        <v>221</v>
      </c>
      <c r="D162" s="17">
        <f>SUMIFS(ShadowLedger!$D:$D,ShadowLedger!$G:$G,A162,ShadowLedger!$C:$C,"&gt;="&amp;DATE(LEFT(SUBSTITUTE(C162,"'",""),4),MID(SUBSTITUTE(C162,"'",""),6,2),1),ShadowLedger!$C:$C,"&lt;"&amp;EOMONTH(DATE(LEFT(SUBSTITUTE(C162,"'",""),4),MID(SUBSTITUTE(C162,"'",""),6,2),1),0)+1)</f>
        <v>0</v>
      </c>
      <c r="E162" s="17">
        <f t="shared" si="1"/>
        <v>120</v>
      </c>
      <c r="F162" s="17">
        <f t="shared" si="2"/>
        <v>0</v>
      </c>
    </row>
    <row r="163">
      <c r="A163" s="5" t="s">
        <v>62</v>
      </c>
      <c r="B163" s="6">
        <v>120.0</v>
      </c>
      <c r="C163" s="13" t="s">
        <v>221</v>
      </c>
      <c r="D163" s="17">
        <f>SUMIFS(ShadowLedger!$D:$D,ShadowLedger!$G:$G,A163,ShadowLedger!$C:$C,"&gt;="&amp;DATE(LEFT(SUBSTITUTE(C163,"'",""),4),MID(SUBSTITUTE(C163,"'",""),6,2),1),ShadowLedger!$C:$C,"&lt;"&amp;EOMONTH(DATE(LEFT(SUBSTITUTE(C163,"'",""),4),MID(SUBSTITUTE(C163,"'",""),6,2),1),0)+1)</f>
        <v>0</v>
      </c>
      <c r="E163" s="17">
        <f t="shared" si="1"/>
        <v>120</v>
      </c>
      <c r="F163" s="17">
        <f t="shared" si="2"/>
        <v>0</v>
      </c>
    </row>
    <row r="164">
      <c r="A164" s="5" t="s">
        <v>63</v>
      </c>
      <c r="B164" s="6">
        <v>100.0</v>
      </c>
      <c r="C164" s="13" t="s">
        <v>221</v>
      </c>
      <c r="D164" s="17">
        <f>SUMIFS(ShadowLedger!$D:$D,ShadowLedger!$G:$G,A164,ShadowLedger!$C:$C,"&gt;="&amp;DATE(LEFT(SUBSTITUTE(C164,"'",""),4),MID(SUBSTITUTE(C164,"'",""),6,2),1),ShadowLedger!$C:$C,"&lt;"&amp;EOMONTH(DATE(LEFT(SUBSTITUTE(C164,"'",""),4),MID(SUBSTITUTE(C164,"'",""),6,2),1),0)+1)</f>
        <v>0</v>
      </c>
      <c r="E164" s="17">
        <f t="shared" si="1"/>
        <v>100</v>
      </c>
      <c r="F164" s="17">
        <f t="shared" si="2"/>
        <v>0</v>
      </c>
    </row>
    <row r="165">
      <c r="A165" s="5" t="s">
        <v>64</v>
      </c>
      <c r="B165" s="6">
        <v>100.0</v>
      </c>
      <c r="C165" s="13" t="s">
        <v>221</v>
      </c>
      <c r="D165" s="17">
        <f>SUMIFS(ShadowLedger!$D:$D,ShadowLedger!$G:$G,A165,ShadowLedger!$C:$C,"&gt;="&amp;DATE(LEFT(SUBSTITUTE(C165,"'",""),4),MID(SUBSTITUTE(C165,"'",""),6,2),1),ShadowLedger!$C:$C,"&lt;"&amp;EOMONTH(DATE(LEFT(SUBSTITUTE(C165,"'",""),4),MID(SUBSTITUTE(C165,"'",""),6,2),1),0)+1)</f>
        <v>0</v>
      </c>
      <c r="E165" s="17">
        <f t="shared" si="1"/>
        <v>100</v>
      </c>
      <c r="F165" s="17">
        <f t="shared" si="2"/>
        <v>0</v>
      </c>
    </row>
    <row r="166">
      <c r="A166" s="5" t="s">
        <v>70</v>
      </c>
      <c r="B166" s="6">
        <v>100.0</v>
      </c>
      <c r="C166" s="13" t="s">
        <v>221</v>
      </c>
      <c r="D166" s="17">
        <f>SUMIFS(ShadowLedger!$D:$D,ShadowLedger!$G:$G,A166,ShadowLedger!$C:$C,"&gt;="&amp;DATE(LEFT(SUBSTITUTE(C166,"'",""),4),MID(SUBSTITUTE(C166,"'",""),6,2),1),ShadowLedger!$C:$C,"&lt;"&amp;EOMONTH(DATE(LEFT(SUBSTITUTE(C166,"'",""),4),MID(SUBSTITUTE(C166,"'",""),6,2),1),0)+1)</f>
        <v>0</v>
      </c>
      <c r="E166" s="17">
        <f t="shared" si="1"/>
        <v>100</v>
      </c>
      <c r="F166" s="17">
        <f t="shared" si="2"/>
        <v>0</v>
      </c>
    </row>
    <row r="167">
      <c r="A167" s="5" t="s">
        <v>65</v>
      </c>
      <c r="B167" s="6">
        <v>50.0</v>
      </c>
      <c r="C167" s="13" t="s">
        <v>221</v>
      </c>
      <c r="D167" s="17">
        <f>SUMIFS(ShadowLedger!$D:$D,ShadowLedger!$G:$G,A167,ShadowLedger!$C:$C,"&gt;="&amp;DATE(LEFT(SUBSTITUTE(C167,"'",""),4),MID(SUBSTITUTE(C167,"'",""),6,2),1),ShadowLedger!$C:$C,"&lt;"&amp;EOMONTH(DATE(LEFT(SUBSTITUTE(C167,"'",""),4),MID(SUBSTITUTE(C167,"'",""),6,2),1),0)+1)</f>
        <v>0</v>
      </c>
      <c r="E167" s="17">
        <f t="shared" si="1"/>
        <v>50</v>
      </c>
      <c r="F167" s="17">
        <f t="shared" si="2"/>
        <v>0</v>
      </c>
    </row>
    <row r="168">
      <c r="A168" s="5" t="s">
        <v>66</v>
      </c>
      <c r="B168" s="6">
        <v>50.0</v>
      </c>
      <c r="C168" s="13" t="s">
        <v>221</v>
      </c>
      <c r="D168" s="17">
        <f>SUMIFS(ShadowLedger!$D:$D,ShadowLedger!$G:$G,A168,ShadowLedger!$C:$C,"&gt;="&amp;DATE(LEFT(SUBSTITUTE(C168,"'",""),4),MID(SUBSTITUTE(C168,"'",""),6,2),1),ShadowLedger!$C:$C,"&lt;"&amp;EOMONTH(DATE(LEFT(SUBSTITUTE(C168,"'",""),4),MID(SUBSTITUTE(C168,"'",""),6,2),1),0)+1)</f>
        <v>0</v>
      </c>
      <c r="E168" s="17">
        <f t="shared" si="1"/>
        <v>50</v>
      </c>
      <c r="F168" s="17">
        <f t="shared" si="2"/>
        <v>0</v>
      </c>
    </row>
    <row r="169">
      <c r="A169" s="5" t="s">
        <v>67</v>
      </c>
      <c r="B169" s="6">
        <v>50.0</v>
      </c>
      <c r="C169" s="13" t="s">
        <v>221</v>
      </c>
      <c r="D169" s="17">
        <f>SUMIFS(ShadowLedger!$D:$D,ShadowLedger!$G:$G,A169,ShadowLedger!$C:$C,"&gt;="&amp;DATE(LEFT(SUBSTITUTE(C169,"'",""),4),MID(SUBSTITUTE(C169,"'",""),6,2),1),ShadowLedger!$C:$C,"&lt;"&amp;EOMONTH(DATE(LEFT(SUBSTITUTE(C169,"'",""),4),MID(SUBSTITUTE(C169,"'",""),6,2),1),0)+1)</f>
        <v>0</v>
      </c>
      <c r="E169" s="17">
        <f t="shared" si="1"/>
        <v>50</v>
      </c>
      <c r="F169" s="17">
        <f t="shared" si="2"/>
        <v>0</v>
      </c>
    </row>
    <row r="170">
      <c r="A170" s="5" t="s">
        <v>68</v>
      </c>
      <c r="B170" s="6">
        <v>50.0</v>
      </c>
      <c r="C170" s="13" t="s">
        <v>221</v>
      </c>
      <c r="D170" s="17">
        <f>SUMIFS(ShadowLedger!$D:$D,ShadowLedger!$G:$G,A170,ShadowLedger!$C:$C,"&gt;="&amp;DATE(LEFT(SUBSTITUTE(C170,"'",""),4),MID(SUBSTITUTE(C170,"'",""),6,2),1),ShadowLedger!$C:$C,"&lt;"&amp;EOMONTH(DATE(LEFT(SUBSTITUTE(C170,"'",""),4),MID(SUBSTITUTE(C170,"'",""),6,2),1),0)+1)</f>
        <v>0</v>
      </c>
      <c r="E170" s="17">
        <f t="shared" si="1"/>
        <v>50</v>
      </c>
      <c r="F170" s="17">
        <f t="shared" si="2"/>
        <v>0</v>
      </c>
    </row>
    <row r="171">
      <c r="A171" s="5" t="s">
        <v>69</v>
      </c>
      <c r="B171" s="6">
        <v>0.0</v>
      </c>
      <c r="C171" s="13" t="s">
        <v>221</v>
      </c>
      <c r="D171" s="17">
        <f>SUMIFS(ShadowLedger!$D:$D,ShadowLedger!$G:$G,A171,ShadowLedger!$C:$C,"&gt;="&amp;DATE(LEFT(SUBSTITUTE(C171,"'",""),4),MID(SUBSTITUTE(C171,"'",""),6,2),1),ShadowLedger!$C:$C,"&lt;"&amp;EOMONTH(DATE(LEFT(SUBSTITUTE(C171,"'",""),4),MID(SUBSTITUTE(C171,"'",""),6,2),1),0)+1)</f>
        <v>0</v>
      </c>
      <c r="E171" s="17">
        <f t="shared" si="1"/>
        <v>0</v>
      </c>
      <c r="F171" s="17">
        <f t="shared" si="2"/>
        <v>0</v>
      </c>
    </row>
    <row r="172">
      <c r="A172" s="5" t="s">
        <v>54</v>
      </c>
      <c r="B172" s="6">
        <v>920.0</v>
      </c>
      <c r="C172" s="13" t="s">
        <v>222</v>
      </c>
      <c r="D172" s="17">
        <f>SUMIFS(ShadowLedger!$D:$D,ShadowLedger!$G:$G,A172,ShadowLedger!$C:$C,"&gt;="&amp;DATE(LEFT(SUBSTITUTE(C172,"'",""),4),MID(SUBSTITUTE(C172,"'",""),6,2),1),ShadowLedger!$C:$C,"&lt;"&amp;EOMONTH(DATE(LEFT(SUBSTITUTE(C172,"'",""),4),MID(SUBSTITUTE(C172,"'",""),6,2),1),0)+1)</f>
        <v>0</v>
      </c>
      <c r="E172" s="17">
        <f t="shared" si="1"/>
        <v>920</v>
      </c>
      <c r="F172" s="17">
        <f t="shared" si="2"/>
        <v>0</v>
      </c>
    </row>
    <row r="173">
      <c r="A173" s="5" t="s">
        <v>55</v>
      </c>
      <c r="B173" s="6">
        <v>700.0</v>
      </c>
      <c r="C173" s="13" t="s">
        <v>222</v>
      </c>
      <c r="D173" s="17">
        <f>SUMIFS(ShadowLedger!$D:$D,ShadowLedger!$G:$G,A173,ShadowLedger!$C:$C,"&gt;="&amp;DATE(LEFT(SUBSTITUTE(C173,"'",""),4),MID(SUBSTITUTE(C173,"'",""),6,2),1),ShadowLedger!$C:$C,"&lt;"&amp;EOMONTH(DATE(LEFT(SUBSTITUTE(C173,"'",""),4),MID(SUBSTITUTE(C173,"'",""),6,2),1),0)+1)</f>
        <v>0</v>
      </c>
      <c r="E173" s="17">
        <f t="shared" si="1"/>
        <v>700</v>
      </c>
      <c r="F173" s="17">
        <f t="shared" si="2"/>
        <v>0</v>
      </c>
    </row>
    <row r="174">
      <c r="A174" s="5" t="s">
        <v>56</v>
      </c>
      <c r="B174" s="6">
        <v>500.0</v>
      </c>
      <c r="C174" s="13" t="s">
        <v>222</v>
      </c>
      <c r="D174" s="17">
        <f>SUMIFS(ShadowLedger!$D:$D,ShadowLedger!$G:$G,A174,ShadowLedger!$C:$C,"&gt;="&amp;DATE(LEFT(SUBSTITUTE(C174,"'",""),4),MID(SUBSTITUTE(C174,"'",""),6,2),1),ShadowLedger!$C:$C,"&lt;"&amp;EOMONTH(DATE(LEFT(SUBSTITUTE(C174,"'",""),4),MID(SUBSTITUTE(C174,"'",""),6,2),1),0)+1)</f>
        <v>0</v>
      </c>
      <c r="E174" s="17">
        <f t="shared" si="1"/>
        <v>500</v>
      </c>
      <c r="F174" s="17">
        <f t="shared" si="2"/>
        <v>0</v>
      </c>
    </row>
    <row r="175">
      <c r="A175" s="5" t="s">
        <v>57</v>
      </c>
      <c r="B175" s="6">
        <v>500.0</v>
      </c>
      <c r="C175" s="13" t="s">
        <v>222</v>
      </c>
      <c r="D175" s="17">
        <f>SUMIFS(ShadowLedger!$D:$D,ShadowLedger!$G:$G,A175,ShadowLedger!$C:$C,"&gt;="&amp;DATE(LEFT(SUBSTITUTE(C175,"'",""),4),MID(SUBSTITUTE(C175,"'",""),6,2),1),ShadowLedger!$C:$C,"&lt;"&amp;EOMONTH(DATE(LEFT(SUBSTITUTE(C175,"'",""),4),MID(SUBSTITUTE(C175,"'",""),6,2),1),0)+1)</f>
        <v>0</v>
      </c>
      <c r="E175" s="17">
        <f t="shared" si="1"/>
        <v>500</v>
      </c>
      <c r="F175" s="17">
        <f t="shared" si="2"/>
        <v>0</v>
      </c>
    </row>
    <row r="176">
      <c r="A176" s="5" t="s">
        <v>58</v>
      </c>
      <c r="B176" s="6">
        <v>400.0</v>
      </c>
      <c r="C176" s="13" t="s">
        <v>222</v>
      </c>
      <c r="D176" s="17">
        <f>SUMIFS(ShadowLedger!$D:$D,ShadowLedger!$G:$G,A176,ShadowLedger!$C:$C,"&gt;="&amp;DATE(LEFT(SUBSTITUTE(C176,"'",""),4),MID(SUBSTITUTE(C176,"'",""),6,2),1),ShadowLedger!$C:$C,"&lt;"&amp;EOMONTH(DATE(LEFT(SUBSTITUTE(C176,"'",""),4),MID(SUBSTITUTE(C176,"'",""),6,2),1),0)+1)</f>
        <v>0</v>
      </c>
      <c r="E176" s="17">
        <f t="shared" si="1"/>
        <v>400</v>
      </c>
      <c r="F176" s="17">
        <f t="shared" si="2"/>
        <v>0</v>
      </c>
    </row>
    <row r="177">
      <c r="A177" s="5" t="s">
        <v>59</v>
      </c>
      <c r="B177" s="6">
        <v>200.0</v>
      </c>
      <c r="C177" s="13" t="s">
        <v>222</v>
      </c>
      <c r="D177" s="17">
        <f>SUMIFS(ShadowLedger!$D:$D,ShadowLedger!$G:$G,A177,ShadowLedger!$C:$C,"&gt;="&amp;DATE(LEFT(SUBSTITUTE(C177,"'",""),4),MID(SUBSTITUTE(C177,"'",""),6,2),1),ShadowLedger!$C:$C,"&lt;"&amp;EOMONTH(DATE(LEFT(SUBSTITUTE(C177,"'",""),4),MID(SUBSTITUTE(C177,"'",""),6,2),1),0)+1)</f>
        <v>0</v>
      </c>
      <c r="E177" s="17">
        <f t="shared" si="1"/>
        <v>200</v>
      </c>
      <c r="F177" s="17">
        <f t="shared" si="2"/>
        <v>0</v>
      </c>
    </row>
    <row r="178">
      <c r="A178" s="5" t="s">
        <v>60</v>
      </c>
      <c r="B178" s="6">
        <v>150.0</v>
      </c>
      <c r="C178" s="13" t="s">
        <v>222</v>
      </c>
      <c r="D178" s="17">
        <f>SUMIFS(ShadowLedger!$D:$D,ShadowLedger!$G:$G,A178,ShadowLedger!$C:$C,"&gt;="&amp;DATE(LEFT(SUBSTITUTE(C178,"'",""),4),MID(SUBSTITUTE(C178,"'",""),6,2),1),ShadowLedger!$C:$C,"&lt;"&amp;EOMONTH(DATE(LEFT(SUBSTITUTE(C178,"'",""),4),MID(SUBSTITUTE(C178,"'",""),6,2),1),0)+1)</f>
        <v>0</v>
      </c>
      <c r="E178" s="17">
        <f t="shared" si="1"/>
        <v>150</v>
      </c>
      <c r="F178" s="17">
        <f t="shared" si="2"/>
        <v>0</v>
      </c>
    </row>
    <row r="179">
      <c r="A179" s="5" t="s">
        <v>61</v>
      </c>
      <c r="B179" s="6">
        <v>120.0</v>
      </c>
      <c r="C179" s="13" t="s">
        <v>222</v>
      </c>
      <c r="D179" s="17">
        <f>SUMIFS(ShadowLedger!$D:$D,ShadowLedger!$G:$G,A179,ShadowLedger!$C:$C,"&gt;="&amp;DATE(LEFT(SUBSTITUTE(C179,"'",""),4),MID(SUBSTITUTE(C179,"'",""),6,2),1),ShadowLedger!$C:$C,"&lt;"&amp;EOMONTH(DATE(LEFT(SUBSTITUTE(C179,"'",""),4),MID(SUBSTITUTE(C179,"'",""),6,2),1),0)+1)</f>
        <v>0</v>
      </c>
      <c r="E179" s="17">
        <f t="shared" si="1"/>
        <v>120</v>
      </c>
      <c r="F179" s="17">
        <f t="shared" si="2"/>
        <v>0</v>
      </c>
    </row>
    <row r="180">
      <c r="A180" s="5" t="s">
        <v>62</v>
      </c>
      <c r="B180" s="6">
        <v>120.0</v>
      </c>
      <c r="C180" s="13" t="s">
        <v>222</v>
      </c>
      <c r="D180" s="17">
        <f>SUMIFS(ShadowLedger!$D:$D,ShadowLedger!$G:$G,A180,ShadowLedger!$C:$C,"&gt;="&amp;DATE(LEFT(SUBSTITUTE(C180,"'",""),4),MID(SUBSTITUTE(C180,"'",""),6,2),1),ShadowLedger!$C:$C,"&lt;"&amp;EOMONTH(DATE(LEFT(SUBSTITUTE(C180,"'",""),4),MID(SUBSTITUTE(C180,"'",""),6,2),1),0)+1)</f>
        <v>0</v>
      </c>
      <c r="E180" s="17">
        <f t="shared" si="1"/>
        <v>120</v>
      </c>
      <c r="F180" s="17">
        <f t="shared" si="2"/>
        <v>0</v>
      </c>
    </row>
    <row r="181">
      <c r="A181" s="5" t="s">
        <v>63</v>
      </c>
      <c r="B181" s="6">
        <v>100.0</v>
      </c>
      <c r="C181" s="13" t="s">
        <v>222</v>
      </c>
      <c r="D181" s="17">
        <f>SUMIFS(ShadowLedger!$D:$D,ShadowLedger!$G:$G,A181,ShadowLedger!$C:$C,"&gt;="&amp;DATE(LEFT(SUBSTITUTE(C181,"'",""),4),MID(SUBSTITUTE(C181,"'",""),6,2),1),ShadowLedger!$C:$C,"&lt;"&amp;EOMONTH(DATE(LEFT(SUBSTITUTE(C181,"'",""),4),MID(SUBSTITUTE(C181,"'",""),6,2),1),0)+1)</f>
        <v>0</v>
      </c>
      <c r="E181" s="17">
        <f t="shared" si="1"/>
        <v>100</v>
      </c>
      <c r="F181" s="17">
        <f t="shared" si="2"/>
        <v>0</v>
      </c>
    </row>
    <row r="182">
      <c r="A182" s="5" t="s">
        <v>64</v>
      </c>
      <c r="B182" s="6">
        <v>100.0</v>
      </c>
      <c r="C182" s="13" t="s">
        <v>222</v>
      </c>
      <c r="D182" s="17">
        <f>SUMIFS(ShadowLedger!$D:$D,ShadowLedger!$G:$G,A182,ShadowLedger!$C:$C,"&gt;="&amp;DATE(LEFT(SUBSTITUTE(C182,"'",""),4),MID(SUBSTITUTE(C182,"'",""),6,2),1),ShadowLedger!$C:$C,"&lt;"&amp;EOMONTH(DATE(LEFT(SUBSTITUTE(C182,"'",""),4),MID(SUBSTITUTE(C182,"'",""),6,2),1),0)+1)</f>
        <v>0</v>
      </c>
      <c r="E182" s="17">
        <f t="shared" si="1"/>
        <v>100</v>
      </c>
      <c r="F182" s="17">
        <f t="shared" si="2"/>
        <v>0</v>
      </c>
    </row>
    <row r="183">
      <c r="A183" s="5" t="s">
        <v>70</v>
      </c>
      <c r="B183" s="6">
        <v>100.0</v>
      </c>
      <c r="C183" s="13" t="s">
        <v>222</v>
      </c>
      <c r="D183" s="17">
        <f>SUMIFS(ShadowLedger!$D:$D,ShadowLedger!$G:$G,A183,ShadowLedger!$C:$C,"&gt;="&amp;DATE(LEFT(SUBSTITUTE(C183,"'",""),4),MID(SUBSTITUTE(C183,"'",""),6,2),1),ShadowLedger!$C:$C,"&lt;"&amp;EOMONTH(DATE(LEFT(SUBSTITUTE(C183,"'",""),4),MID(SUBSTITUTE(C183,"'",""),6,2),1),0)+1)</f>
        <v>0</v>
      </c>
      <c r="E183" s="17">
        <f t="shared" si="1"/>
        <v>100</v>
      </c>
      <c r="F183" s="17">
        <f t="shared" si="2"/>
        <v>0</v>
      </c>
    </row>
    <row r="184">
      <c r="A184" s="5" t="s">
        <v>65</v>
      </c>
      <c r="B184" s="6">
        <v>50.0</v>
      </c>
      <c r="C184" s="13" t="s">
        <v>222</v>
      </c>
      <c r="D184" s="17">
        <f>SUMIFS(ShadowLedger!$D:$D,ShadowLedger!$G:$G,A184,ShadowLedger!$C:$C,"&gt;="&amp;DATE(LEFT(SUBSTITUTE(C184,"'",""),4),MID(SUBSTITUTE(C184,"'",""),6,2),1),ShadowLedger!$C:$C,"&lt;"&amp;EOMONTH(DATE(LEFT(SUBSTITUTE(C184,"'",""),4),MID(SUBSTITUTE(C184,"'",""),6,2),1),0)+1)</f>
        <v>0</v>
      </c>
      <c r="E184" s="17">
        <f t="shared" si="1"/>
        <v>50</v>
      </c>
      <c r="F184" s="17">
        <f t="shared" si="2"/>
        <v>0</v>
      </c>
    </row>
    <row r="185">
      <c r="A185" s="5" t="s">
        <v>66</v>
      </c>
      <c r="B185" s="6">
        <v>50.0</v>
      </c>
      <c r="C185" s="13" t="s">
        <v>222</v>
      </c>
      <c r="D185" s="17">
        <f>SUMIFS(ShadowLedger!$D:$D,ShadowLedger!$G:$G,A185,ShadowLedger!$C:$C,"&gt;="&amp;DATE(LEFT(SUBSTITUTE(C185,"'",""),4),MID(SUBSTITUTE(C185,"'",""),6,2),1),ShadowLedger!$C:$C,"&lt;"&amp;EOMONTH(DATE(LEFT(SUBSTITUTE(C185,"'",""),4),MID(SUBSTITUTE(C185,"'",""),6,2),1),0)+1)</f>
        <v>0</v>
      </c>
      <c r="E185" s="17">
        <f t="shared" si="1"/>
        <v>50</v>
      </c>
      <c r="F185" s="17">
        <f t="shared" si="2"/>
        <v>0</v>
      </c>
    </row>
    <row r="186">
      <c r="A186" s="5" t="s">
        <v>67</v>
      </c>
      <c r="B186" s="6">
        <v>50.0</v>
      </c>
      <c r="C186" s="13" t="s">
        <v>222</v>
      </c>
      <c r="D186" s="17">
        <f>SUMIFS(ShadowLedger!$D:$D,ShadowLedger!$G:$G,A186,ShadowLedger!$C:$C,"&gt;="&amp;DATE(LEFT(SUBSTITUTE(C186,"'",""),4),MID(SUBSTITUTE(C186,"'",""),6,2),1),ShadowLedger!$C:$C,"&lt;"&amp;EOMONTH(DATE(LEFT(SUBSTITUTE(C186,"'",""),4),MID(SUBSTITUTE(C186,"'",""),6,2),1),0)+1)</f>
        <v>0</v>
      </c>
      <c r="E186" s="17">
        <f t="shared" si="1"/>
        <v>50</v>
      </c>
      <c r="F186" s="17">
        <f t="shared" si="2"/>
        <v>0</v>
      </c>
    </row>
    <row r="187">
      <c r="A187" s="5" t="s">
        <v>68</v>
      </c>
      <c r="B187" s="6">
        <v>50.0</v>
      </c>
      <c r="C187" s="13" t="s">
        <v>222</v>
      </c>
      <c r="D187" s="17">
        <f>SUMIFS(ShadowLedger!$D:$D,ShadowLedger!$G:$G,A187,ShadowLedger!$C:$C,"&gt;="&amp;DATE(LEFT(SUBSTITUTE(C187,"'",""),4),MID(SUBSTITUTE(C187,"'",""),6,2),1),ShadowLedger!$C:$C,"&lt;"&amp;EOMONTH(DATE(LEFT(SUBSTITUTE(C187,"'",""),4),MID(SUBSTITUTE(C187,"'",""),6,2),1),0)+1)</f>
        <v>0</v>
      </c>
      <c r="E187" s="17">
        <f t="shared" si="1"/>
        <v>50</v>
      </c>
      <c r="F187" s="17">
        <f t="shared" si="2"/>
        <v>0</v>
      </c>
    </row>
    <row r="188">
      <c r="A188" s="5" t="s">
        <v>69</v>
      </c>
      <c r="B188" s="6">
        <v>0.0</v>
      </c>
      <c r="C188" s="13" t="s">
        <v>222</v>
      </c>
      <c r="D188" s="17">
        <f>SUMIFS(ShadowLedger!$D:$D,ShadowLedger!$G:$G,A188,ShadowLedger!$C:$C,"&gt;="&amp;DATE(LEFT(SUBSTITUTE(C188,"'",""),4),MID(SUBSTITUTE(C188,"'",""),6,2),1),ShadowLedger!$C:$C,"&lt;"&amp;EOMONTH(DATE(LEFT(SUBSTITUTE(C188,"'",""),4),MID(SUBSTITUTE(C188,"'",""),6,2),1),0)+1)</f>
        <v>0</v>
      </c>
      <c r="E188" s="17">
        <f t="shared" si="1"/>
        <v>0</v>
      </c>
      <c r="F188" s="17">
        <f t="shared" si="2"/>
        <v>0</v>
      </c>
    </row>
    <row r="189">
      <c r="A189" s="5" t="s">
        <v>54</v>
      </c>
      <c r="B189" s="6">
        <v>920.0</v>
      </c>
      <c r="C189" s="13" t="s">
        <v>223</v>
      </c>
      <c r="D189" s="17">
        <f>SUMIFS(ShadowLedger!$D:$D,ShadowLedger!$G:$G,A189,ShadowLedger!$C:$C,"&gt;="&amp;DATE(LEFT(SUBSTITUTE(C189,"'",""),4),MID(SUBSTITUTE(C189,"'",""),6,2),1),ShadowLedger!$C:$C,"&lt;"&amp;EOMONTH(DATE(LEFT(SUBSTITUTE(C189,"'",""),4),MID(SUBSTITUTE(C189,"'",""),6,2),1),0)+1)</f>
        <v>0</v>
      </c>
      <c r="E189" s="17">
        <f t="shared" si="1"/>
        <v>920</v>
      </c>
      <c r="F189" s="17">
        <f t="shared" si="2"/>
        <v>0</v>
      </c>
    </row>
    <row r="190">
      <c r="A190" s="5" t="s">
        <v>55</v>
      </c>
      <c r="B190" s="6">
        <v>700.0</v>
      </c>
      <c r="C190" s="13" t="s">
        <v>223</v>
      </c>
      <c r="D190" s="17">
        <f>SUMIFS(ShadowLedger!$D:$D,ShadowLedger!$G:$G,A190,ShadowLedger!$C:$C,"&gt;="&amp;DATE(LEFT(SUBSTITUTE(C190,"'",""),4),MID(SUBSTITUTE(C190,"'",""),6,2),1),ShadowLedger!$C:$C,"&lt;"&amp;EOMONTH(DATE(LEFT(SUBSTITUTE(C190,"'",""),4),MID(SUBSTITUTE(C190,"'",""),6,2),1),0)+1)</f>
        <v>0</v>
      </c>
      <c r="E190" s="17">
        <f t="shared" si="1"/>
        <v>700</v>
      </c>
      <c r="F190" s="17">
        <f t="shared" si="2"/>
        <v>0</v>
      </c>
    </row>
    <row r="191">
      <c r="A191" s="5" t="s">
        <v>56</v>
      </c>
      <c r="B191" s="6">
        <v>500.0</v>
      </c>
      <c r="C191" s="13" t="s">
        <v>223</v>
      </c>
      <c r="D191" s="17">
        <f>SUMIFS(ShadowLedger!$D:$D,ShadowLedger!$G:$G,A191,ShadowLedger!$C:$C,"&gt;="&amp;DATE(LEFT(SUBSTITUTE(C191,"'",""),4),MID(SUBSTITUTE(C191,"'",""),6,2),1),ShadowLedger!$C:$C,"&lt;"&amp;EOMONTH(DATE(LEFT(SUBSTITUTE(C191,"'",""),4),MID(SUBSTITUTE(C191,"'",""),6,2),1),0)+1)</f>
        <v>0</v>
      </c>
      <c r="E191" s="17">
        <f t="shared" si="1"/>
        <v>500</v>
      </c>
      <c r="F191" s="17">
        <f t="shared" si="2"/>
        <v>0</v>
      </c>
    </row>
    <row r="192">
      <c r="A192" s="5" t="s">
        <v>57</v>
      </c>
      <c r="B192" s="6">
        <v>500.0</v>
      </c>
      <c r="C192" s="13" t="s">
        <v>223</v>
      </c>
      <c r="D192" s="17">
        <f>SUMIFS(ShadowLedger!$D:$D,ShadowLedger!$G:$G,A192,ShadowLedger!$C:$C,"&gt;="&amp;DATE(LEFT(SUBSTITUTE(C192,"'",""),4),MID(SUBSTITUTE(C192,"'",""),6,2),1),ShadowLedger!$C:$C,"&lt;"&amp;EOMONTH(DATE(LEFT(SUBSTITUTE(C192,"'",""),4),MID(SUBSTITUTE(C192,"'",""),6,2),1),0)+1)</f>
        <v>0</v>
      </c>
      <c r="E192" s="17">
        <f t="shared" si="1"/>
        <v>500</v>
      </c>
      <c r="F192" s="17">
        <f t="shared" si="2"/>
        <v>0</v>
      </c>
    </row>
    <row r="193">
      <c r="A193" s="5" t="s">
        <v>58</v>
      </c>
      <c r="B193" s="6">
        <v>400.0</v>
      </c>
      <c r="C193" s="13" t="s">
        <v>223</v>
      </c>
      <c r="D193" s="17">
        <f>SUMIFS(ShadowLedger!$D:$D,ShadowLedger!$G:$G,A193,ShadowLedger!$C:$C,"&gt;="&amp;DATE(LEFT(SUBSTITUTE(C193,"'",""),4),MID(SUBSTITUTE(C193,"'",""),6,2),1),ShadowLedger!$C:$C,"&lt;"&amp;EOMONTH(DATE(LEFT(SUBSTITUTE(C193,"'",""),4),MID(SUBSTITUTE(C193,"'",""),6,2),1),0)+1)</f>
        <v>0</v>
      </c>
      <c r="E193" s="17">
        <f t="shared" si="1"/>
        <v>400</v>
      </c>
      <c r="F193" s="17">
        <f t="shared" si="2"/>
        <v>0</v>
      </c>
    </row>
    <row r="194">
      <c r="A194" s="5" t="s">
        <v>59</v>
      </c>
      <c r="B194" s="6">
        <v>200.0</v>
      </c>
      <c r="C194" s="13" t="s">
        <v>223</v>
      </c>
      <c r="D194" s="17">
        <f>SUMIFS(ShadowLedger!$D:$D,ShadowLedger!$G:$G,A194,ShadowLedger!$C:$C,"&gt;="&amp;DATE(LEFT(SUBSTITUTE(C194,"'",""),4),MID(SUBSTITUTE(C194,"'",""),6,2),1),ShadowLedger!$C:$C,"&lt;"&amp;EOMONTH(DATE(LEFT(SUBSTITUTE(C194,"'",""),4),MID(SUBSTITUTE(C194,"'",""),6,2),1),0)+1)</f>
        <v>0</v>
      </c>
      <c r="E194" s="17">
        <f t="shared" si="1"/>
        <v>200</v>
      </c>
      <c r="F194" s="17">
        <f t="shared" si="2"/>
        <v>0</v>
      </c>
    </row>
    <row r="195">
      <c r="A195" s="5" t="s">
        <v>60</v>
      </c>
      <c r="B195" s="6">
        <v>150.0</v>
      </c>
      <c r="C195" s="13" t="s">
        <v>223</v>
      </c>
      <c r="D195" s="17">
        <f>SUMIFS(ShadowLedger!$D:$D,ShadowLedger!$G:$G,A195,ShadowLedger!$C:$C,"&gt;="&amp;DATE(LEFT(SUBSTITUTE(C195,"'",""),4),MID(SUBSTITUTE(C195,"'",""),6,2),1),ShadowLedger!$C:$C,"&lt;"&amp;EOMONTH(DATE(LEFT(SUBSTITUTE(C195,"'",""),4),MID(SUBSTITUTE(C195,"'",""),6,2),1),0)+1)</f>
        <v>0</v>
      </c>
      <c r="E195" s="17">
        <f t="shared" si="1"/>
        <v>150</v>
      </c>
      <c r="F195" s="17">
        <f t="shared" si="2"/>
        <v>0</v>
      </c>
    </row>
    <row r="196">
      <c r="A196" s="5" t="s">
        <v>61</v>
      </c>
      <c r="B196" s="6">
        <v>120.0</v>
      </c>
      <c r="C196" s="13" t="s">
        <v>223</v>
      </c>
      <c r="D196" s="17">
        <f>SUMIFS(ShadowLedger!$D:$D,ShadowLedger!$G:$G,A196,ShadowLedger!$C:$C,"&gt;="&amp;DATE(LEFT(SUBSTITUTE(C196,"'",""),4),MID(SUBSTITUTE(C196,"'",""),6,2),1),ShadowLedger!$C:$C,"&lt;"&amp;EOMONTH(DATE(LEFT(SUBSTITUTE(C196,"'",""),4),MID(SUBSTITUTE(C196,"'",""),6,2),1),0)+1)</f>
        <v>0</v>
      </c>
      <c r="E196" s="17">
        <f t="shared" si="1"/>
        <v>120</v>
      </c>
      <c r="F196" s="17">
        <f t="shared" si="2"/>
        <v>0</v>
      </c>
    </row>
    <row r="197">
      <c r="A197" s="5" t="s">
        <v>62</v>
      </c>
      <c r="B197" s="6">
        <v>120.0</v>
      </c>
      <c r="C197" s="13" t="s">
        <v>223</v>
      </c>
      <c r="D197" s="17">
        <f>SUMIFS(ShadowLedger!$D:$D,ShadowLedger!$G:$G,A197,ShadowLedger!$C:$C,"&gt;="&amp;DATE(LEFT(SUBSTITUTE(C197,"'",""),4),MID(SUBSTITUTE(C197,"'",""),6,2),1),ShadowLedger!$C:$C,"&lt;"&amp;EOMONTH(DATE(LEFT(SUBSTITUTE(C197,"'",""),4),MID(SUBSTITUTE(C197,"'",""),6,2),1),0)+1)</f>
        <v>0</v>
      </c>
      <c r="E197" s="17">
        <f t="shared" si="1"/>
        <v>120</v>
      </c>
      <c r="F197" s="17">
        <f t="shared" si="2"/>
        <v>0</v>
      </c>
    </row>
    <row r="198">
      <c r="A198" s="5" t="s">
        <v>63</v>
      </c>
      <c r="B198" s="6">
        <v>100.0</v>
      </c>
      <c r="C198" s="13" t="s">
        <v>223</v>
      </c>
      <c r="D198" s="17">
        <f>SUMIFS(ShadowLedger!$D:$D,ShadowLedger!$G:$G,A198,ShadowLedger!$C:$C,"&gt;="&amp;DATE(LEFT(SUBSTITUTE(C198,"'",""),4),MID(SUBSTITUTE(C198,"'",""),6,2),1),ShadowLedger!$C:$C,"&lt;"&amp;EOMONTH(DATE(LEFT(SUBSTITUTE(C198,"'",""),4),MID(SUBSTITUTE(C198,"'",""),6,2),1),0)+1)</f>
        <v>0</v>
      </c>
      <c r="E198" s="17">
        <f t="shared" si="1"/>
        <v>100</v>
      </c>
      <c r="F198" s="17">
        <f t="shared" si="2"/>
        <v>0</v>
      </c>
    </row>
    <row r="199">
      <c r="A199" s="5" t="s">
        <v>64</v>
      </c>
      <c r="B199" s="6">
        <v>100.0</v>
      </c>
      <c r="C199" s="13" t="s">
        <v>223</v>
      </c>
      <c r="D199" s="17">
        <f>SUMIFS(ShadowLedger!$D:$D,ShadowLedger!$G:$G,A199,ShadowLedger!$C:$C,"&gt;="&amp;DATE(LEFT(SUBSTITUTE(C199,"'",""),4),MID(SUBSTITUTE(C199,"'",""),6,2),1),ShadowLedger!$C:$C,"&lt;"&amp;EOMONTH(DATE(LEFT(SUBSTITUTE(C199,"'",""),4),MID(SUBSTITUTE(C199,"'",""),6,2),1),0)+1)</f>
        <v>0</v>
      </c>
      <c r="E199" s="17">
        <f t="shared" si="1"/>
        <v>100</v>
      </c>
      <c r="F199" s="17">
        <f t="shared" si="2"/>
        <v>0</v>
      </c>
    </row>
    <row r="200">
      <c r="A200" s="5" t="s">
        <v>70</v>
      </c>
      <c r="B200" s="6">
        <v>100.0</v>
      </c>
      <c r="C200" s="13" t="s">
        <v>223</v>
      </c>
      <c r="D200" s="17">
        <f>SUMIFS(ShadowLedger!$D:$D,ShadowLedger!$G:$G,A200,ShadowLedger!$C:$C,"&gt;="&amp;DATE(LEFT(SUBSTITUTE(C200,"'",""),4),MID(SUBSTITUTE(C200,"'",""),6,2),1),ShadowLedger!$C:$C,"&lt;"&amp;EOMONTH(DATE(LEFT(SUBSTITUTE(C200,"'",""),4),MID(SUBSTITUTE(C200,"'",""),6,2),1),0)+1)</f>
        <v>0</v>
      </c>
      <c r="E200" s="17">
        <f t="shared" si="1"/>
        <v>100</v>
      </c>
      <c r="F200" s="17">
        <f t="shared" si="2"/>
        <v>0</v>
      </c>
    </row>
    <row r="201">
      <c r="A201" s="5" t="s">
        <v>65</v>
      </c>
      <c r="B201" s="6">
        <v>50.0</v>
      </c>
      <c r="C201" s="13" t="s">
        <v>223</v>
      </c>
      <c r="D201" s="17">
        <f>SUMIFS(ShadowLedger!$D:$D,ShadowLedger!$G:$G,A201,ShadowLedger!$C:$C,"&gt;="&amp;DATE(LEFT(SUBSTITUTE(C201,"'",""),4),MID(SUBSTITUTE(C201,"'",""),6,2),1),ShadowLedger!$C:$C,"&lt;"&amp;EOMONTH(DATE(LEFT(SUBSTITUTE(C201,"'",""),4),MID(SUBSTITUTE(C201,"'",""),6,2),1),0)+1)</f>
        <v>0</v>
      </c>
      <c r="E201" s="17">
        <f t="shared" si="1"/>
        <v>50</v>
      </c>
      <c r="F201" s="17">
        <f t="shared" si="2"/>
        <v>0</v>
      </c>
    </row>
    <row r="202">
      <c r="A202" s="5" t="s">
        <v>66</v>
      </c>
      <c r="B202" s="6">
        <v>50.0</v>
      </c>
      <c r="C202" s="13" t="s">
        <v>223</v>
      </c>
      <c r="D202" s="17">
        <f>SUMIFS(ShadowLedger!$D:$D,ShadowLedger!$G:$G,A202,ShadowLedger!$C:$C,"&gt;="&amp;DATE(LEFT(SUBSTITUTE(C202,"'",""),4),MID(SUBSTITUTE(C202,"'",""),6,2),1),ShadowLedger!$C:$C,"&lt;"&amp;EOMONTH(DATE(LEFT(SUBSTITUTE(C202,"'",""),4),MID(SUBSTITUTE(C202,"'",""),6,2),1),0)+1)</f>
        <v>0</v>
      </c>
      <c r="E202" s="17">
        <f t="shared" si="1"/>
        <v>50</v>
      </c>
      <c r="F202" s="17">
        <f t="shared" si="2"/>
        <v>0</v>
      </c>
    </row>
    <row r="203">
      <c r="A203" s="5" t="s">
        <v>67</v>
      </c>
      <c r="B203" s="6">
        <v>50.0</v>
      </c>
      <c r="C203" s="13" t="s">
        <v>223</v>
      </c>
      <c r="D203" s="17">
        <f>SUMIFS(ShadowLedger!$D:$D,ShadowLedger!$G:$G,A203,ShadowLedger!$C:$C,"&gt;="&amp;DATE(LEFT(SUBSTITUTE(C203,"'",""),4),MID(SUBSTITUTE(C203,"'",""),6,2),1),ShadowLedger!$C:$C,"&lt;"&amp;EOMONTH(DATE(LEFT(SUBSTITUTE(C203,"'",""),4),MID(SUBSTITUTE(C203,"'",""),6,2),1),0)+1)</f>
        <v>0</v>
      </c>
      <c r="E203" s="17">
        <f t="shared" si="1"/>
        <v>50</v>
      </c>
      <c r="F203" s="17">
        <f t="shared" si="2"/>
        <v>0</v>
      </c>
    </row>
    <row r="204">
      <c r="A204" s="5" t="s">
        <v>68</v>
      </c>
      <c r="B204" s="6">
        <v>50.0</v>
      </c>
      <c r="C204" s="13" t="s">
        <v>223</v>
      </c>
      <c r="D204" s="17">
        <f>SUMIFS(ShadowLedger!$D:$D,ShadowLedger!$G:$G,A204,ShadowLedger!$C:$C,"&gt;="&amp;DATE(LEFT(SUBSTITUTE(C204,"'",""),4),MID(SUBSTITUTE(C204,"'",""),6,2),1),ShadowLedger!$C:$C,"&lt;"&amp;EOMONTH(DATE(LEFT(SUBSTITUTE(C204,"'",""),4),MID(SUBSTITUTE(C204,"'",""),6,2),1),0)+1)</f>
        <v>0</v>
      </c>
      <c r="E204" s="17">
        <f t="shared" si="1"/>
        <v>50</v>
      </c>
      <c r="F204" s="17">
        <f t="shared" si="2"/>
        <v>0</v>
      </c>
    </row>
    <row r="205">
      <c r="A205" s="5" t="s">
        <v>69</v>
      </c>
      <c r="B205" s="6">
        <v>0.0</v>
      </c>
      <c r="C205" s="13" t="s">
        <v>223</v>
      </c>
      <c r="D205" s="17">
        <f>SUMIFS(ShadowLedger!$D:$D,ShadowLedger!$G:$G,A205,ShadowLedger!$C:$C,"&gt;="&amp;DATE(LEFT(SUBSTITUTE(C205,"'",""),4),MID(SUBSTITUTE(C205,"'",""),6,2),1),ShadowLedger!$C:$C,"&lt;"&amp;EOMONTH(DATE(LEFT(SUBSTITUTE(C205,"'",""),4),MID(SUBSTITUTE(C205,"'",""),6,2),1),0)+1)</f>
        <v>0</v>
      </c>
      <c r="E205" s="17">
        <f t="shared" si="1"/>
        <v>0</v>
      </c>
      <c r="F205" s="17">
        <f t="shared" si="2"/>
        <v>0</v>
      </c>
    </row>
    <row r="206">
      <c r="A206" s="5" t="s">
        <v>54</v>
      </c>
      <c r="B206" s="6">
        <v>920.0</v>
      </c>
      <c r="C206" s="13" t="s">
        <v>224</v>
      </c>
      <c r="D206" s="17">
        <f>SUMIFS(ShadowLedger!$D:$D,ShadowLedger!$G:$G,A206,ShadowLedger!$C:$C,"&gt;="&amp;DATE(LEFT(SUBSTITUTE(C206,"'",""),4),MID(SUBSTITUTE(C206,"'",""),6,2),1),ShadowLedger!$C:$C,"&lt;"&amp;EOMONTH(DATE(LEFT(SUBSTITUTE(C206,"'",""),4),MID(SUBSTITUTE(C206,"'",""),6,2),1),0)+1)</f>
        <v>0</v>
      </c>
      <c r="E206" s="17">
        <f t="shared" si="1"/>
        <v>920</v>
      </c>
      <c r="F206" s="17">
        <f t="shared" si="2"/>
        <v>0</v>
      </c>
    </row>
    <row r="207">
      <c r="A207" s="5" t="s">
        <v>55</v>
      </c>
      <c r="B207" s="6">
        <v>700.0</v>
      </c>
      <c r="C207" s="13" t="s">
        <v>224</v>
      </c>
      <c r="D207" s="17">
        <f>SUMIFS(ShadowLedger!$D:$D,ShadowLedger!$G:$G,A207,ShadowLedger!$C:$C,"&gt;="&amp;DATE(LEFT(SUBSTITUTE(C207,"'",""),4),MID(SUBSTITUTE(C207,"'",""),6,2),1),ShadowLedger!$C:$C,"&lt;"&amp;EOMONTH(DATE(LEFT(SUBSTITUTE(C207,"'",""),4),MID(SUBSTITUTE(C207,"'",""),6,2),1),0)+1)</f>
        <v>0</v>
      </c>
      <c r="E207" s="17">
        <f t="shared" si="1"/>
        <v>700</v>
      </c>
      <c r="F207" s="17">
        <f t="shared" si="2"/>
        <v>0</v>
      </c>
    </row>
    <row r="208">
      <c r="A208" s="5" t="s">
        <v>56</v>
      </c>
      <c r="B208" s="6">
        <v>500.0</v>
      </c>
      <c r="C208" s="13" t="s">
        <v>224</v>
      </c>
      <c r="D208" s="17">
        <f>SUMIFS(ShadowLedger!$D:$D,ShadowLedger!$G:$G,A208,ShadowLedger!$C:$C,"&gt;="&amp;DATE(LEFT(SUBSTITUTE(C208,"'",""),4),MID(SUBSTITUTE(C208,"'",""),6,2),1),ShadowLedger!$C:$C,"&lt;"&amp;EOMONTH(DATE(LEFT(SUBSTITUTE(C208,"'",""),4),MID(SUBSTITUTE(C208,"'",""),6,2),1),0)+1)</f>
        <v>0</v>
      </c>
      <c r="E208" s="17">
        <f t="shared" si="1"/>
        <v>500</v>
      </c>
      <c r="F208" s="17">
        <f t="shared" si="2"/>
        <v>0</v>
      </c>
    </row>
    <row r="209">
      <c r="A209" s="5" t="s">
        <v>57</v>
      </c>
      <c r="B209" s="6">
        <v>500.0</v>
      </c>
      <c r="C209" s="13" t="s">
        <v>224</v>
      </c>
      <c r="D209" s="17">
        <f>SUMIFS(ShadowLedger!$D:$D,ShadowLedger!$G:$G,A209,ShadowLedger!$C:$C,"&gt;="&amp;DATE(LEFT(SUBSTITUTE(C209,"'",""),4),MID(SUBSTITUTE(C209,"'",""),6,2),1),ShadowLedger!$C:$C,"&lt;"&amp;EOMONTH(DATE(LEFT(SUBSTITUTE(C209,"'",""),4),MID(SUBSTITUTE(C209,"'",""),6,2),1),0)+1)</f>
        <v>0</v>
      </c>
      <c r="E209" s="17">
        <f t="shared" si="1"/>
        <v>500</v>
      </c>
      <c r="F209" s="17">
        <f t="shared" si="2"/>
        <v>0</v>
      </c>
    </row>
    <row r="210">
      <c r="A210" s="5" t="s">
        <v>58</v>
      </c>
      <c r="B210" s="6">
        <v>400.0</v>
      </c>
      <c r="C210" s="13" t="s">
        <v>224</v>
      </c>
      <c r="D210" s="17">
        <f>SUMIFS(ShadowLedger!$D:$D,ShadowLedger!$G:$G,A210,ShadowLedger!$C:$C,"&gt;="&amp;DATE(LEFT(SUBSTITUTE(C210,"'",""),4),MID(SUBSTITUTE(C210,"'",""),6,2),1),ShadowLedger!$C:$C,"&lt;"&amp;EOMONTH(DATE(LEFT(SUBSTITUTE(C210,"'",""),4),MID(SUBSTITUTE(C210,"'",""),6,2),1),0)+1)</f>
        <v>0</v>
      </c>
      <c r="E210" s="17">
        <f t="shared" si="1"/>
        <v>400</v>
      </c>
      <c r="F210" s="17">
        <f t="shared" si="2"/>
        <v>0</v>
      </c>
    </row>
    <row r="211">
      <c r="A211" s="5" t="s">
        <v>59</v>
      </c>
      <c r="B211" s="6">
        <v>200.0</v>
      </c>
      <c r="C211" s="13" t="s">
        <v>224</v>
      </c>
      <c r="D211" s="17">
        <f>SUMIFS(ShadowLedger!$D:$D,ShadowLedger!$G:$G,A211,ShadowLedger!$C:$C,"&gt;="&amp;DATE(LEFT(SUBSTITUTE(C211,"'",""),4),MID(SUBSTITUTE(C211,"'",""),6,2),1),ShadowLedger!$C:$C,"&lt;"&amp;EOMONTH(DATE(LEFT(SUBSTITUTE(C211,"'",""),4),MID(SUBSTITUTE(C211,"'",""),6,2),1),0)+1)</f>
        <v>0</v>
      </c>
      <c r="E211" s="17">
        <f t="shared" si="1"/>
        <v>200</v>
      </c>
      <c r="F211" s="17">
        <f t="shared" si="2"/>
        <v>0</v>
      </c>
    </row>
    <row r="212">
      <c r="A212" s="5" t="s">
        <v>60</v>
      </c>
      <c r="B212" s="6">
        <v>150.0</v>
      </c>
      <c r="C212" s="13" t="s">
        <v>224</v>
      </c>
      <c r="D212" s="17">
        <f>SUMIFS(ShadowLedger!$D:$D,ShadowLedger!$G:$G,A212,ShadowLedger!$C:$C,"&gt;="&amp;DATE(LEFT(SUBSTITUTE(C212,"'",""),4),MID(SUBSTITUTE(C212,"'",""),6,2),1),ShadowLedger!$C:$C,"&lt;"&amp;EOMONTH(DATE(LEFT(SUBSTITUTE(C212,"'",""),4),MID(SUBSTITUTE(C212,"'",""),6,2),1),0)+1)</f>
        <v>0</v>
      </c>
      <c r="E212" s="17">
        <f t="shared" si="1"/>
        <v>150</v>
      </c>
      <c r="F212" s="17">
        <f t="shared" si="2"/>
        <v>0</v>
      </c>
    </row>
    <row r="213">
      <c r="A213" s="5" t="s">
        <v>61</v>
      </c>
      <c r="B213" s="6">
        <v>120.0</v>
      </c>
      <c r="C213" s="13" t="s">
        <v>224</v>
      </c>
      <c r="D213" s="17">
        <f>SUMIFS(ShadowLedger!$D:$D,ShadowLedger!$G:$G,A213,ShadowLedger!$C:$C,"&gt;="&amp;DATE(LEFT(SUBSTITUTE(C213,"'",""),4),MID(SUBSTITUTE(C213,"'",""),6,2),1),ShadowLedger!$C:$C,"&lt;"&amp;EOMONTH(DATE(LEFT(SUBSTITUTE(C213,"'",""),4),MID(SUBSTITUTE(C213,"'",""),6,2),1),0)+1)</f>
        <v>0</v>
      </c>
      <c r="E213" s="17">
        <f t="shared" si="1"/>
        <v>120</v>
      </c>
      <c r="F213" s="17">
        <f t="shared" si="2"/>
        <v>0</v>
      </c>
    </row>
    <row r="214">
      <c r="A214" s="5" t="s">
        <v>62</v>
      </c>
      <c r="B214" s="6">
        <v>120.0</v>
      </c>
      <c r="C214" s="13" t="s">
        <v>224</v>
      </c>
      <c r="D214" s="17">
        <f>SUMIFS(ShadowLedger!$D:$D,ShadowLedger!$G:$G,A214,ShadowLedger!$C:$C,"&gt;="&amp;DATE(LEFT(SUBSTITUTE(C214,"'",""),4),MID(SUBSTITUTE(C214,"'",""),6,2),1),ShadowLedger!$C:$C,"&lt;"&amp;EOMONTH(DATE(LEFT(SUBSTITUTE(C214,"'",""),4),MID(SUBSTITUTE(C214,"'",""),6,2),1),0)+1)</f>
        <v>0</v>
      </c>
      <c r="E214" s="17">
        <f t="shared" si="1"/>
        <v>120</v>
      </c>
      <c r="F214" s="17">
        <f t="shared" si="2"/>
        <v>0</v>
      </c>
    </row>
    <row r="215">
      <c r="A215" s="5" t="s">
        <v>63</v>
      </c>
      <c r="B215" s="6">
        <v>100.0</v>
      </c>
      <c r="C215" s="13" t="s">
        <v>224</v>
      </c>
      <c r="D215" s="17">
        <f>SUMIFS(ShadowLedger!$D:$D,ShadowLedger!$G:$G,A215,ShadowLedger!$C:$C,"&gt;="&amp;DATE(LEFT(SUBSTITUTE(C215,"'",""),4),MID(SUBSTITUTE(C215,"'",""),6,2),1),ShadowLedger!$C:$C,"&lt;"&amp;EOMONTH(DATE(LEFT(SUBSTITUTE(C215,"'",""),4),MID(SUBSTITUTE(C215,"'",""),6,2),1),0)+1)</f>
        <v>0</v>
      </c>
      <c r="E215" s="17">
        <f t="shared" si="1"/>
        <v>100</v>
      </c>
      <c r="F215" s="17">
        <f t="shared" si="2"/>
        <v>0</v>
      </c>
    </row>
    <row r="216">
      <c r="A216" s="5" t="s">
        <v>64</v>
      </c>
      <c r="B216" s="6">
        <v>100.0</v>
      </c>
      <c r="C216" s="13" t="s">
        <v>224</v>
      </c>
      <c r="D216" s="17">
        <f>SUMIFS(ShadowLedger!$D:$D,ShadowLedger!$G:$G,A216,ShadowLedger!$C:$C,"&gt;="&amp;DATE(LEFT(SUBSTITUTE(C216,"'",""),4),MID(SUBSTITUTE(C216,"'",""),6,2),1),ShadowLedger!$C:$C,"&lt;"&amp;EOMONTH(DATE(LEFT(SUBSTITUTE(C216,"'",""),4),MID(SUBSTITUTE(C216,"'",""),6,2),1),0)+1)</f>
        <v>0</v>
      </c>
      <c r="E216" s="17">
        <f t="shared" si="1"/>
        <v>100</v>
      </c>
      <c r="F216" s="17">
        <f t="shared" si="2"/>
        <v>0</v>
      </c>
    </row>
    <row r="217">
      <c r="A217" s="5" t="s">
        <v>70</v>
      </c>
      <c r="B217" s="6">
        <v>100.0</v>
      </c>
      <c r="C217" s="13" t="s">
        <v>224</v>
      </c>
      <c r="D217" s="17">
        <f>SUMIFS(ShadowLedger!$D:$D,ShadowLedger!$G:$G,A217,ShadowLedger!$C:$C,"&gt;="&amp;DATE(LEFT(SUBSTITUTE(C217,"'",""),4),MID(SUBSTITUTE(C217,"'",""),6,2),1),ShadowLedger!$C:$C,"&lt;"&amp;EOMONTH(DATE(LEFT(SUBSTITUTE(C217,"'",""),4),MID(SUBSTITUTE(C217,"'",""),6,2),1),0)+1)</f>
        <v>0</v>
      </c>
      <c r="E217" s="17">
        <f t="shared" si="1"/>
        <v>100</v>
      </c>
      <c r="F217" s="17">
        <f t="shared" si="2"/>
        <v>0</v>
      </c>
    </row>
    <row r="218">
      <c r="A218" s="5" t="s">
        <v>65</v>
      </c>
      <c r="B218" s="6">
        <v>50.0</v>
      </c>
      <c r="C218" s="13" t="s">
        <v>224</v>
      </c>
      <c r="D218" s="17">
        <f>SUMIFS(ShadowLedger!$D:$D,ShadowLedger!$G:$G,A218,ShadowLedger!$C:$C,"&gt;="&amp;DATE(LEFT(SUBSTITUTE(C218,"'",""),4),MID(SUBSTITUTE(C218,"'",""),6,2),1),ShadowLedger!$C:$C,"&lt;"&amp;EOMONTH(DATE(LEFT(SUBSTITUTE(C218,"'",""),4),MID(SUBSTITUTE(C218,"'",""),6,2),1),0)+1)</f>
        <v>0</v>
      </c>
      <c r="E218" s="17">
        <f t="shared" si="1"/>
        <v>50</v>
      </c>
      <c r="F218" s="17">
        <f t="shared" si="2"/>
        <v>0</v>
      </c>
    </row>
    <row r="219">
      <c r="A219" s="5" t="s">
        <v>66</v>
      </c>
      <c r="B219" s="6">
        <v>50.0</v>
      </c>
      <c r="C219" s="13" t="s">
        <v>224</v>
      </c>
      <c r="D219" s="17">
        <f>SUMIFS(ShadowLedger!$D:$D,ShadowLedger!$G:$G,A219,ShadowLedger!$C:$C,"&gt;="&amp;DATE(LEFT(SUBSTITUTE(C219,"'",""),4),MID(SUBSTITUTE(C219,"'",""),6,2),1),ShadowLedger!$C:$C,"&lt;"&amp;EOMONTH(DATE(LEFT(SUBSTITUTE(C219,"'",""),4),MID(SUBSTITUTE(C219,"'",""),6,2),1),0)+1)</f>
        <v>0</v>
      </c>
      <c r="E219" s="17">
        <f t="shared" si="1"/>
        <v>50</v>
      </c>
      <c r="F219" s="17">
        <f t="shared" si="2"/>
        <v>0</v>
      </c>
    </row>
    <row r="220">
      <c r="A220" s="5" t="s">
        <v>67</v>
      </c>
      <c r="B220" s="6">
        <v>50.0</v>
      </c>
      <c r="C220" s="13" t="s">
        <v>224</v>
      </c>
      <c r="D220" s="17">
        <f>SUMIFS(ShadowLedger!$D:$D,ShadowLedger!$G:$G,A220,ShadowLedger!$C:$C,"&gt;="&amp;DATE(LEFT(SUBSTITUTE(C220,"'",""),4),MID(SUBSTITUTE(C220,"'",""),6,2),1),ShadowLedger!$C:$C,"&lt;"&amp;EOMONTH(DATE(LEFT(SUBSTITUTE(C220,"'",""),4),MID(SUBSTITUTE(C220,"'",""),6,2),1),0)+1)</f>
        <v>0</v>
      </c>
      <c r="E220" s="17">
        <f t="shared" si="1"/>
        <v>50</v>
      </c>
      <c r="F220" s="17">
        <f t="shared" si="2"/>
        <v>0</v>
      </c>
    </row>
    <row r="221">
      <c r="A221" s="5" t="s">
        <v>68</v>
      </c>
      <c r="B221" s="6">
        <v>50.0</v>
      </c>
      <c r="C221" s="13" t="s">
        <v>224</v>
      </c>
      <c r="D221" s="17">
        <f>SUMIFS(ShadowLedger!$D:$D,ShadowLedger!$G:$G,A221,ShadowLedger!$C:$C,"&gt;="&amp;DATE(LEFT(SUBSTITUTE(C221,"'",""),4),MID(SUBSTITUTE(C221,"'",""),6,2),1),ShadowLedger!$C:$C,"&lt;"&amp;EOMONTH(DATE(LEFT(SUBSTITUTE(C221,"'",""),4),MID(SUBSTITUTE(C221,"'",""),6,2),1),0)+1)</f>
        <v>0</v>
      </c>
      <c r="E221" s="17">
        <f t="shared" si="1"/>
        <v>50</v>
      </c>
      <c r="F221" s="17">
        <f t="shared" si="2"/>
        <v>0</v>
      </c>
    </row>
    <row r="222">
      <c r="A222" s="5" t="s">
        <v>69</v>
      </c>
      <c r="B222" s="6">
        <v>0.0</v>
      </c>
      <c r="C222" s="13" t="s">
        <v>224</v>
      </c>
      <c r="D222" s="17">
        <f>SUMIFS(ShadowLedger!$D:$D,ShadowLedger!$G:$G,A222,ShadowLedger!$C:$C,"&gt;="&amp;DATE(LEFT(SUBSTITUTE(C222,"'",""),4),MID(SUBSTITUTE(C222,"'",""),6,2),1),ShadowLedger!$C:$C,"&lt;"&amp;EOMONTH(DATE(LEFT(SUBSTITUTE(C222,"'",""),4),MID(SUBSTITUTE(C222,"'",""),6,2),1),0)+1)</f>
        <v>0</v>
      </c>
      <c r="E222" s="17">
        <f t="shared" si="1"/>
        <v>0</v>
      </c>
      <c r="F222" s="17">
        <f t="shared" si="2"/>
        <v>0</v>
      </c>
    </row>
    <row r="223">
      <c r="A223" s="5" t="s">
        <v>54</v>
      </c>
      <c r="B223" s="6">
        <v>948.0</v>
      </c>
      <c r="C223" s="13" t="s">
        <v>225</v>
      </c>
      <c r="D223" s="17">
        <f>SUMIFS(ShadowLedger!$D:$D,ShadowLedger!$G:$G,A223,ShadowLedger!$C:$C,"&gt;="&amp;DATE(LEFT(SUBSTITUTE(C223,"'",""),4),MID(SUBSTITUTE(C223,"'",""),6,2),1),ShadowLedger!$C:$C,"&lt;"&amp;EOMONTH(DATE(LEFT(SUBSTITUTE(C223,"'",""),4),MID(SUBSTITUTE(C223,"'",""),6,2),1),0)+1)</f>
        <v>0</v>
      </c>
      <c r="E223" s="17">
        <f t="shared" si="1"/>
        <v>948</v>
      </c>
      <c r="F223" s="17">
        <f t="shared" si="2"/>
        <v>0</v>
      </c>
    </row>
    <row r="224">
      <c r="A224" s="5" t="s">
        <v>55</v>
      </c>
      <c r="B224" s="6">
        <v>721.0</v>
      </c>
      <c r="C224" s="13" t="s">
        <v>225</v>
      </c>
      <c r="D224" s="17">
        <f>SUMIFS(ShadowLedger!$D:$D,ShadowLedger!$G:$G,A224,ShadowLedger!$C:$C,"&gt;="&amp;DATE(LEFT(SUBSTITUTE(C224,"'",""),4),MID(SUBSTITUTE(C224,"'",""),6,2),1),ShadowLedger!$C:$C,"&lt;"&amp;EOMONTH(DATE(LEFT(SUBSTITUTE(C224,"'",""),4),MID(SUBSTITUTE(C224,"'",""),6,2),1),0)+1)</f>
        <v>0</v>
      </c>
      <c r="E224" s="17">
        <f t="shared" si="1"/>
        <v>721</v>
      </c>
      <c r="F224" s="17">
        <f t="shared" si="2"/>
        <v>0</v>
      </c>
    </row>
    <row r="225">
      <c r="A225" s="5" t="s">
        <v>56</v>
      </c>
      <c r="B225" s="6">
        <v>515.0</v>
      </c>
      <c r="C225" s="13" t="s">
        <v>225</v>
      </c>
      <c r="D225" s="17">
        <f>SUMIFS(ShadowLedger!$D:$D,ShadowLedger!$G:$G,A225,ShadowLedger!$C:$C,"&gt;="&amp;DATE(LEFT(SUBSTITUTE(C225,"'",""),4),MID(SUBSTITUTE(C225,"'",""),6,2),1),ShadowLedger!$C:$C,"&lt;"&amp;EOMONTH(DATE(LEFT(SUBSTITUTE(C225,"'",""),4),MID(SUBSTITUTE(C225,"'",""),6,2),1),0)+1)</f>
        <v>0</v>
      </c>
      <c r="E225" s="17">
        <f t="shared" si="1"/>
        <v>515</v>
      </c>
      <c r="F225" s="17">
        <f t="shared" si="2"/>
        <v>0</v>
      </c>
    </row>
    <row r="226">
      <c r="A226" s="5" t="s">
        <v>57</v>
      </c>
      <c r="B226" s="6">
        <v>515.0</v>
      </c>
      <c r="C226" s="13" t="s">
        <v>225</v>
      </c>
      <c r="D226" s="17">
        <f>SUMIFS(ShadowLedger!$D:$D,ShadowLedger!$G:$G,A226,ShadowLedger!$C:$C,"&gt;="&amp;DATE(LEFT(SUBSTITUTE(C226,"'",""),4),MID(SUBSTITUTE(C226,"'",""),6,2),1),ShadowLedger!$C:$C,"&lt;"&amp;EOMONTH(DATE(LEFT(SUBSTITUTE(C226,"'",""),4),MID(SUBSTITUTE(C226,"'",""),6,2),1),0)+1)</f>
        <v>0</v>
      </c>
      <c r="E226" s="17">
        <f t="shared" si="1"/>
        <v>515</v>
      </c>
      <c r="F226" s="17">
        <f t="shared" si="2"/>
        <v>0</v>
      </c>
    </row>
    <row r="227">
      <c r="A227" s="5" t="s">
        <v>58</v>
      </c>
      <c r="B227" s="6">
        <v>412.0</v>
      </c>
      <c r="C227" s="13" t="s">
        <v>225</v>
      </c>
      <c r="D227" s="17">
        <f>SUMIFS(ShadowLedger!$D:$D,ShadowLedger!$G:$G,A227,ShadowLedger!$C:$C,"&gt;="&amp;DATE(LEFT(SUBSTITUTE(C227,"'",""),4),MID(SUBSTITUTE(C227,"'",""),6,2),1),ShadowLedger!$C:$C,"&lt;"&amp;EOMONTH(DATE(LEFT(SUBSTITUTE(C227,"'",""),4),MID(SUBSTITUTE(C227,"'",""),6,2),1),0)+1)</f>
        <v>0</v>
      </c>
      <c r="E227" s="17">
        <f t="shared" si="1"/>
        <v>412</v>
      </c>
      <c r="F227" s="17">
        <f t="shared" si="2"/>
        <v>0</v>
      </c>
    </row>
    <row r="228">
      <c r="A228" s="5" t="s">
        <v>59</v>
      </c>
      <c r="B228" s="6">
        <v>206.0</v>
      </c>
      <c r="C228" s="13" t="s">
        <v>225</v>
      </c>
      <c r="D228" s="17">
        <f>SUMIFS(ShadowLedger!$D:$D,ShadowLedger!$G:$G,A228,ShadowLedger!$C:$C,"&gt;="&amp;DATE(LEFT(SUBSTITUTE(C228,"'",""),4),MID(SUBSTITUTE(C228,"'",""),6,2),1),ShadowLedger!$C:$C,"&lt;"&amp;EOMONTH(DATE(LEFT(SUBSTITUTE(C228,"'",""),4),MID(SUBSTITUTE(C228,"'",""),6,2),1),0)+1)</f>
        <v>0</v>
      </c>
      <c r="E228" s="17">
        <f t="shared" si="1"/>
        <v>206</v>
      </c>
      <c r="F228" s="17">
        <f t="shared" si="2"/>
        <v>0</v>
      </c>
    </row>
    <row r="229">
      <c r="A229" s="5" t="s">
        <v>60</v>
      </c>
      <c r="B229" s="6">
        <v>155.0</v>
      </c>
      <c r="C229" s="13" t="s">
        <v>225</v>
      </c>
      <c r="D229" s="17">
        <f>SUMIFS(ShadowLedger!$D:$D,ShadowLedger!$G:$G,A229,ShadowLedger!$C:$C,"&gt;="&amp;DATE(LEFT(SUBSTITUTE(C229,"'",""),4),MID(SUBSTITUTE(C229,"'",""),6,2),1),ShadowLedger!$C:$C,"&lt;"&amp;EOMONTH(DATE(LEFT(SUBSTITUTE(C229,"'",""),4),MID(SUBSTITUTE(C229,"'",""),6,2),1),0)+1)</f>
        <v>0</v>
      </c>
      <c r="E229" s="17">
        <f t="shared" si="1"/>
        <v>155</v>
      </c>
      <c r="F229" s="17">
        <f t="shared" si="2"/>
        <v>0</v>
      </c>
    </row>
    <row r="230">
      <c r="A230" s="5" t="s">
        <v>61</v>
      </c>
      <c r="B230" s="6">
        <v>124.0</v>
      </c>
      <c r="C230" s="13" t="s">
        <v>225</v>
      </c>
      <c r="D230" s="17">
        <f>SUMIFS(ShadowLedger!$D:$D,ShadowLedger!$G:$G,A230,ShadowLedger!$C:$C,"&gt;="&amp;DATE(LEFT(SUBSTITUTE(C230,"'",""),4),MID(SUBSTITUTE(C230,"'",""),6,2),1),ShadowLedger!$C:$C,"&lt;"&amp;EOMONTH(DATE(LEFT(SUBSTITUTE(C230,"'",""),4),MID(SUBSTITUTE(C230,"'",""),6,2),1),0)+1)</f>
        <v>0</v>
      </c>
      <c r="E230" s="17">
        <f t="shared" si="1"/>
        <v>124</v>
      </c>
      <c r="F230" s="17">
        <f t="shared" si="2"/>
        <v>0</v>
      </c>
    </row>
    <row r="231">
      <c r="A231" s="5" t="s">
        <v>62</v>
      </c>
      <c r="B231" s="6">
        <v>124.0</v>
      </c>
      <c r="C231" s="13" t="s">
        <v>225</v>
      </c>
      <c r="D231" s="17">
        <f>SUMIFS(ShadowLedger!$D:$D,ShadowLedger!$G:$G,A231,ShadowLedger!$C:$C,"&gt;="&amp;DATE(LEFT(SUBSTITUTE(C231,"'",""),4),MID(SUBSTITUTE(C231,"'",""),6,2),1),ShadowLedger!$C:$C,"&lt;"&amp;EOMONTH(DATE(LEFT(SUBSTITUTE(C231,"'",""),4),MID(SUBSTITUTE(C231,"'",""),6,2),1),0)+1)</f>
        <v>0</v>
      </c>
      <c r="E231" s="17">
        <f t="shared" si="1"/>
        <v>124</v>
      </c>
      <c r="F231" s="17">
        <f t="shared" si="2"/>
        <v>0</v>
      </c>
    </row>
    <row r="232">
      <c r="A232" s="5" t="s">
        <v>63</v>
      </c>
      <c r="B232" s="6">
        <v>103.0</v>
      </c>
      <c r="C232" s="13" t="s">
        <v>225</v>
      </c>
      <c r="D232" s="17">
        <f>SUMIFS(ShadowLedger!$D:$D,ShadowLedger!$G:$G,A232,ShadowLedger!$C:$C,"&gt;="&amp;DATE(LEFT(SUBSTITUTE(C232,"'",""),4),MID(SUBSTITUTE(C232,"'",""),6,2),1),ShadowLedger!$C:$C,"&lt;"&amp;EOMONTH(DATE(LEFT(SUBSTITUTE(C232,"'",""),4),MID(SUBSTITUTE(C232,"'",""),6,2),1),0)+1)</f>
        <v>0</v>
      </c>
      <c r="E232" s="17">
        <f t="shared" si="1"/>
        <v>103</v>
      </c>
      <c r="F232" s="17">
        <f t="shared" si="2"/>
        <v>0</v>
      </c>
    </row>
    <row r="233">
      <c r="A233" s="5" t="s">
        <v>64</v>
      </c>
      <c r="B233" s="6">
        <v>103.0</v>
      </c>
      <c r="C233" s="13" t="s">
        <v>225</v>
      </c>
      <c r="D233" s="17">
        <f>SUMIFS(ShadowLedger!$D:$D,ShadowLedger!$G:$G,A233,ShadowLedger!$C:$C,"&gt;="&amp;DATE(LEFT(SUBSTITUTE(C233,"'",""),4),MID(SUBSTITUTE(C233,"'",""),6,2),1),ShadowLedger!$C:$C,"&lt;"&amp;EOMONTH(DATE(LEFT(SUBSTITUTE(C233,"'",""),4),MID(SUBSTITUTE(C233,"'",""),6,2),1),0)+1)</f>
        <v>0</v>
      </c>
      <c r="E233" s="17">
        <f t="shared" si="1"/>
        <v>103</v>
      </c>
      <c r="F233" s="17">
        <f t="shared" si="2"/>
        <v>0</v>
      </c>
    </row>
    <row r="234">
      <c r="A234" s="5" t="s">
        <v>70</v>
      </c>
      <c r="B234" s="6">
        <v>103.0</v>
      </c>
      <c r="C234" s="13" t="s">
        <v>225</v>
      </c>
      <c r="D234" s="17">
        <f>SUMIFS(ShadowLedger!$D:$D,ShadowLedger!$G:$G,A234,ShadowLedger!$C:$C,"&gt;="&amp;DATE(LEFT(SUBSTITUTE(C234,"'",""),4),MID(SUBSTITUTE(C234,"'",""),6,2),1),ShadowLedger!$C:$C,"&lt;"&amp;EOMONTH(DATE(LEFT(SUBSTITUTE(C234,"'",""),4),MID(SUBSTITUTE(C234,"'",""),6,2),1),0)+1)</f>
        <v>0</v>
      </c>
      <c r="E234" s="17">
        <f t="shared" si="1"/>
        <v>103</v>
      </c>
      <c r="F234" s="17">
        <f t="shared" si="2"/>
        <v>0</v>
      </c>
    </row>
    <row r="235">
      <c r="A235" s="5" t="s">
        <v>65</v>
      </c>
      <c r="B235" s="6">
        <v>52.0</v>
      </c>
      <c r="C235" s="13" t="s">
        <v>225</v>
      </c>
      <c r="D235" s="17">
        <f>SUMIFS(ShadowLedger!$D:$D,ShadowLedger!$G:$G,A235,ShadowLedger!$C:$C,"&gt;="&amp;DATE(LEFT(SUBSTITUTE(C235,"'",""),4),MID(SUBSTITUTE(C235,"'",""),6,2),1),ShadowLedger!$C:$C,"&lt;"&amp;EOMONTH(DATE(LEFT(SUBSTITUTE(C235,"'",""),4),MID(SUBSTITUTE(C235,"'",""),6,2),1),0)+1)</f>
        <v>0</v>
      </c>
      <c r="E235" s="17">
        <f t="shared" si="1"/>
        <v>52</v>
      </c>
      <c r="F235" s="17">
        <f t="shared" si="2"/>
        <v>0</v>
      </c>
    </row>
    <row r="236">
      <c r="A236" s="5" t="s">
        <v>66</v>
      </c>
      <c r="B236" s="6">
        <v>52.0</v>
      </c>
      <c r="C236" s="13" t="s">
        <v>225</v>
      </c>
      <c r="D236" s="17">
        <f>SUMIFS(ShadowLedger!$D:$D,ShadowLedger!$G:$G,A236,ShadowLedger!$C:$C,"&gt;="&amp;DATE(LEFT(SUBSTITUTE(C236,"'",""),4),MID(SUBSTITUTE(C236,"'",""),6,2),1),ShadowLedger!$C:$C,"&lt;"&amp;EOMONTH(DATE(LEFT(SUBSTITUTE(C236,"'",""),4),MID(SUBSTITUTE(C236,"'",""),6,2),1),0)+1)</f>
        <v>0</v>
      </c>
      <c r="E236" s="17">
        <f t="shared" si="1"/>
        <v>52</v>
      </c>
      <c r="F236" s="17">
        <f t="shared" si="2"/>
        <v>0</v>
      </c>
    </row>
    <row r="237">
      <c r="A237" s="5" t="s">
        <v>67</v>
      </c>
      <c r="B237" s="6">
        <v>52.0</v>
      </c>
      <c r="C237" s="13" t="s">
        <v>225</v>
      </c>
      <c r="D237" s="17">
        <f>SUMIFS(ShadowLedger!$D:$D,ShadowLedger!$G:$G,A237,ShadowLedger!$C:$C,"&gt;="&amp;DATE(LEFT(SUBSTITUTE(C237,"'",""),4),MID(SUBSTITUTE(C237,"'",""),6,2),1),ShadowLedger!$C:$C,"&lt;"&amp;EOMONTH(DATE(LEFT(SUBSTITUTE(C237,"'",""),4),MID(SUBSTITUTE(C237,"'",""),6,2),1),0)+1)</f>
        <v>0</v>
      </c>
      <c r="E237" s="17">
        <f t="shared" si="1"/>
        <v>52</v>
      </c>
      <c r="F237" s="17">
        <f t="shared" si="2"/>
        <v>0</v>
      </c>
    </row>
    <row r="238">
      <c r="A238" s="5" t="s">
        <v>68</v>
      </c>
      <c r="B238" s="6">
        <v>52.0</v>
      </c>
      <c r="C238" s="13" t="s">
        <v>225</v>
      </c>
      <c r="D238" s="17">
        <f>SUMIFS(ShadowLedger!$D:$D,ShadowLedger!$G:$G,A238,ShadowLedger!$C:$C,"&gt;="&amp;DATE(LEFT(SUBSTITUTE(C238,"'",""),4),MID(SUBSTITUTE(C238,"'",""),6,2),1),ShadowLedger!$C:$C,"&lt;"&amp;EOMONTH(DATE(LEFT(SUBSTITUTE(C238,"'",""),4),MID(SUBSTITUTE(C238,"'",""),6,2),1),0)+1)</f>
        <v>0</v>
      </c>
      <c r="E238" s="17">
        <f t="shared" si="1"/>
        <v>52</v>
      </c>
      <c r="F238" s="17">
        <f t="shared" si="2"/>
        <v>0</v>
      </c>
    </row>
    <row r="239">
      <c r="A239" s="5" t="s">
        <v>69</v>
      </c>
      <c r="B239" s="6">
        <v>0.0</v>
      </c>
      <c r="C239" s="13" t="s">
        <v>225</v>
      </c>
      <c r="D239" s="17">
        <f>SUMIFS(ShadowLedger!$D:$D,ShadowLedger!$G:$G,A239,ShadowLedger!$C:$C,"&gt;="&amp;DATE(LEFT(SUBSTITUTE(C239,"'",""),4),MID(SUBSTITUTE(C239,"'",""),6,2),1),ShadowLedger!$C:$C,"&lt;"&amp;EOMONTH(DATE(LEFT(SUBSTITUTE(C239,"'",""),4),MID(SUBSTITUTE(C239,"'",""),6,2),1),0)+1)</f>
        <v>0</v>
      </c>
      <c r="E239" s="17">
        <f t="shared" si="1"/>
        <v>0</v>
      </c>
      <c r="F239" s="17">
        <f t="shared" si="2"/>
        <v>0</v>
      </c>
    </row>
    <row r="240">
      <c r="A240" s="5" t="s">
        <v>54</v>
      </c>
      <c r="B240" s="6">
        <v>948.0</v>
      </c>
      <c r="C240" s="13" t="s">
        <v>226</v>
      </c>
      <c r="D240" s="17">
        <f>SUMIFS(ShadowLedger!$D:$D,ShadowLedger!$G:$G,A240,ShadowLedger!$C:$C,"&gt;="&amp;DATE(LEFT(SUBSTITUTE(C240,"'",""),4),MID(SUBSTITUTE(C240,"'",""),6,2),1),ShadowLedger!$C:$C,"&lt;"&amp;EOMONTH(DATE(LEFT(SUBSTITUTE(C240,"'",""),4),MID(SUBSTITUTE(C240,"'",""),6,2),1),0)+1)</f>
        <v>0</v>
      </c>
      <c r="E240" s="17">
        <f t="shared" si="1"/>
        <v>948</v>
      </c>
      <c r="F240" s="17">
        <f t="shared" si="2"/>
        <v>0</v>
      </c>
    </row>
    <row r="241">
      <c r="A241" s="5" t="s">
        <v>55</v>
      </c>
      <c r="B241" s="6">
        <v>721.0</v>
      </c>
      <c r="C241" s="13" t="s">
        <v>226</v>
      </c>
      <c r="D241" s="17">
        <f>SUMIFS(ShadowLedger!$D:$D,ShadowLedger!$G:$G,A241,ShadowLedger!$C:$C,"&gt;="&amp;DATE(LEFT(SUBSTITUTE(C241,"'",""),4),MID(SUBSTITUTE(C241,"'",""),6,2),1),ShadowLedger!$C:$C,"&lt;"&amp;EOMONTH(DATE(LEFT(SUBSTITUTE(C241,"'",""),4),MID(SUBSTITUTE(C241,"'",""),6,2),1),0)+1)</f>
        <v>0</v>
      </c>
      <c r="E241" s="17">
        <f t="shared" si="1"/>
        <v>721</v>
      </c>
      <c r="F241" s="17">
        <f t="shared" si="2"/>
        <v>0</v>
      </c>
    </row>
    <row r="242">
      <c r="A242" s="5" t="s">
        <v>56</v>
      </c>
      <c r="B242" s="6">
        <v>515.0</v>
      </c>
      <c r="C242" s="13" t="s">
        <v>226</v>
      </c>
      <c r="D242" s="17">
        <f>SUMIFS(ShadowLedger!$D:$D,ShadowLedger!$G:$G,A242,ShadowLedger!$C:$C,"&gt;="&amp;DATE(LEFT(SUBSTITUTE(C242,"'",""),4),MID(SUBSTITUTE(C242,"'",""),6,2),1),ShadowLedger!$C:$C,"&lt;"&amp;EOMONTH(DATE(LEFT(SUBSTITUTE(C242,"'",""),4),MID(SUBSTITUTE(C242,"'",""),6,2),1),0)+1)</f>
        <v>0</v>
      </c>
      <c r="E242" s="17">
        <f t="shared" si="1"/>
        <v>515</v>
      </c>
      <c r="F242" s="17">
        <f t="shared" si="2"/>
        <v>0</v>
      </c>
    </row>
    <row r="243">
      <c r="A243" s="5" t="s">
        <v>57</v>
      </c>
      <c r="B243" s="6">
        <v>515.0</v>
      </c>
      <c r="C243" s="13" t="s">
        <v>226</v>
      </c>
      <c r="D243" s="17">
        <f>SUMIFS(ShadowLedger!$D:$D,ShadowLedger!$G:$G,A243,ShadowLedger!$C:$C,"&gt;="&amp;DATE(LEFT(SUBSTITUTE(C243,"'",""),4),MID(SUBSTITUTE(C243,"'",""),6,2),1),ShadowLedger!$C:$C,"&lt;"&amp;EOMONTH(DATE(LEFT(SUBSTITUTE(C243,"'",""),4),MID(SUBSTITUTE(C243,"'",""),6,2),1),0)+1)</f>
        <v>0</v>
      </c>
      <c r="E243" s="17">
        <f t="shared" si="1"/>
        <v>515</v>
      </c>
      <c r="F243" s="17">
        <f t="shared" si="2"/>
        <v>0</v>
      </c>
    </row>
    <row r="244">
      <c r="A244" s="5" t="s">
        <v>58</v>
      </c>
      <c r="B244" s="6">
        <v>412.0</v>
      </c>
      <c r="C244" s="13" t="s">
        <v>226</v>
      </c>
      <c r="D244" s="17">
        <f>SUMIFS(ShadowLedger!$D:$D,ShadowLedger!$G:$G,A244,ShadowLedger!$C:$C,"&gt;="&amp;DATE(LEFT(SUBSTITUTE(C244,"'",""),4),MID(SUBSTITUTE(C244,"'",""),6,2),1),ShadowLedger!$C:$C,"&lt;"&amp;EOMONTH(DATE(LEFT(SUBSTITUTE(C244,"'",""),4),MID(SUBSTITUTE(C244,"'",""),6,2),1),0)+1)</f>
        <v>0</v>
      </c>
      <c r="E244" s="17">
        <f t="shared" si="1"/>
        <v>412</v>
      </c>
      <c r="F244" s="17">
        <f t="shared" si="2"/>
        <v>0</v>
      </c>
    </row>
    <row r="245">
      <c r="A245" s="5" t="s">
        <v>59</v>
      </c>
      <c r="B245" s="6">
        <v>206.0</v>
      </c>
      <c r="C245" s="13" t="s">
        <v>226</v>
      </c>
      <c r="D245" s="17">
        <f>SUMIFS(ShadowLedger!$D:$D,ShadowLedger!$G:$G,A245,ShadowLedger!$C:$C,"&gt;="&amp;DATE(LEFT(SUBSTITUTE(C245,"'",""),4),MID(SUBSTITUTE(C245,"'",""),6,2),1),ShadowLedger!$C:$C,"&lt;"&amp;EOMONTH(DATE(LEFT(SUBSTITUTE(C245,"'",""),4),MID(SUBSTITUTE(C245,"'",""),6,2),1),0)+1)</f>
        <v>0</v>
      </c>
      <c r="E245" s="17">
        <f t="shared" si="1"/>
        <v>206</v>
      </c>
      <c r="F245" s="17">
        <f t="shared" si="2"/>
        <v>0</v>
      </c>
    </row>
    <row r="246">
      <c r="A246" s="5" t="s">
        <v>60</v>
      </c>
      <c r="B246" s="6">
        <v>155.0</v>
      </c>
      <c r="C246" s="13" t="s">
        <v>226</v>
      </c>
      <c r="D246" s="17">
        <f>SUMIFS(ShadowLedger!$D:$D,ShadowLedger!$G:$G,A246,ShadowLedger!$C:$C,"&gt;="&amp;DATE(LEFT(SUBSTITUTE(C246,"'",""),4),MID(SUBSTITUTE(C246,"'",""),6,2),1),ShadowLedger!$C:$C,"&lt;"&amp;EOMONTH(DATE(LEFT(SUBSTITUTE(C246,"'",""),4),MID(SUBSTITUTE(C246,"'",""),6,2),1),0)+1)</f>
        <v>0</v>
      </c>
      <c r="E246" s="17">
        <f t="shared" si="1"/>
        <v>155</v>
      </c>
      <c r="F246" s="17">
        <f t="shared" si="2"/>
        <v>0</v>
      </c>
    </row>
    <row r="247">
      <c r="A247" s="5" t="s">
        <v>61</v>
      </c>
      <c r="B247" s="6">
        <v>124.0</v>
      </c>
      <c r="C247" s="13" t="s">
        <v>226</v>
      </c>
      <c r="D247" s="17">
        <f>SUMIFS(ShadowLedger!$D:$D,ShadowLedger!$G:$G,A247,ShadowLedger!$C:$C,"&gt;="&amp;DATE(LEFT(SUBSTITUTE(C247,"'",""),4),MID(SUBSTITUTE(C247,"'",""),6,2),1),ShadowLedger!$C:$C,"&lt;"&amp;EOMONTH(DATE(LEFT(SUBSTITUTE(C247,"'",""),4),MID(SUBSTITUTE(C247,"'",""),6,2),1),0)+1)</f>
        <v>0</v>
      </c>
      <c r="E247" s="17">
        <f t="shared" si="1"/>
        <v>124</v>
      </c>
      <c r="F247" s="17">
        <f t="shared" si="2"/>
        <v>0</v>
      </c>
    </row>
    <row r="248">
      <c r="A248" s="5" t="s">
        <v>62</v>
      </c>
      <c r="B248" s="6">
        <v>124.0</v>
      </c>
      <c r="C248" s="13" t="s">
        <v>226</v>
      </c>
      <c r="D248" s="17">
        <f>SUMIFS(ShadowLedger!$D:$D,ShadowLedger!$G:$G,A248,ShadowLedger!$C:$C,"&gt;="&amp;DATE(LEFT(SUBSTITUTE(C248,"'",""),4),MID(SUBSTITUTE(C248,"'",""),6,2),1),ShadowLedger!$C:$C,"&lt;"&amp;EOMONTH(DATE(LEFT(SUBSTITUTE(C248,"'",""),4),MID(SUBSTITUTE(C248,"'",""),6,2),1),0)+1)</f>
        <v>0</v>
      </c>
      <c r="E248" s="17">
        <f t="shared" si="1"/>
        <v>124</v>
      </c>
      <c r="F248" s="17">
        <f t="shared" si="2"/>
        <v>0</v>
      </c>
    </row>
    <row r="249">
      <c r="A249" s="5" t="s">
        <v>63</v>
      </c>
      <c r="B249" s="6">
        <v>103.0</v>
      </c>
      <c r="C249" s="13" t="s">
        <v>226</v>
      </c>
      <c r="D249" s="17">
        <f>SUMIFS(ShadowLedger!$D:$D,ShadowLedger!$G:$G,A249,ShadowLedger!$C:$C,"&gt;="&amp;DATE(LEFT(SUBSTITUTE(C249,"'",""),4),MID(SUBSTITUTE(C249,"'",""),6,2),1),ShadowLedger!$C:$C,"&lt;"&amp;EOMONTH(DATE(LEFT(SUBSTITUTE(C249,"'",""),4),MID(SUBSTITUTE(C249,"'",""),6,2),1),0)+1)</f>
        <v>0</v>
      </c>
      <c r="E249" s="17">
        <f t="shared" si="1"/>
        <v>103</v>
      </c>
      <c r="F249" s="17">
        <f t="shared" si="2"/>
        <v>0</v>
      </c>
    </row>
    <row r="250">
      <c r="A250" s="5" t="s">
        <v>64</v>
      </c>
      <c r="B250" s="6">
        <v>103.0</v>
      </c>
      <c r="C250" s="13" t="s">
        <v>226</v>
      </c>
      <c r="D250" s="17">
        <f>SUMIFS(ShadowLedger!$D:$D,ShadowLedger!$G:$G,A250,ShadowLedger!$C:$C,"&gt;="&amp;DATE(LEFT(SUBSTITUTE(C250,"'",""),4),MID(SUBSTITUTE(C250,"'",""),6,2),1),ShadowLedger!$C:$C,"&lt;"&amp;EOMONTH(DATE(LEFT(SUBSTITUTE(C250,"'",""),4),MID(SUBSTITUTE(C250,"'",""),6,2),1),0)+1)</f>
        <v>0</v>
      </c>
      <c r="E250" s="17">
        <f t="shared" si="1"/>
        <v>103</v>
      </c>
      <c r="F250" s="17">
        <f t="shared" si="2"/>
        <v>0</v>
      </c>
    </row>
    <row r="251">
      <c r="A251" s="5" t="s">
        <v>70</v>
      </c>
      <c r="B251" s="6">
        <v>103.0</v>
      </c>
      <c r="C251" s="13" t="s">
        <v>226</v>
      </c>
      <c r="D251" s="17">
        <f>SUMIFS(ShadowLedger!$D:$D,ShadowLedger!$G:$G,A251,ShadowLedger!$C:$C,"&gt;="&amp;DATE(LEFT(SUBSTITUTE(C251,"'",""),4),MID(SUBSTITUTE(C251,"'",""),6,2),1),ShadowLedger!$C:$C,"&lt;"&amp;EOMONTH(DATE(LEFT(SUBSTITUTE(C251,"'",""),4),MID(SUBSTITUTE(C251,"'",""),6,2),1),0)+1)</f>
        <v>0</v>
      </c>
      <c r="E251" s="17">
        <f t="shared" si="1"/>
        <v>103</v>
      </c>
      <c r="F251" s="17">
        <f t="shared" si="2"/>
        <v>0</v>
      </c>
    </row>
    <row r="252">
      <c r="A252" s="5" t="s">
        <v>65</v>
      </c>
      <c r="B252" s="6">
        <v>52.0</v>
      </c>
      <c r="C252" s="13" t="s">
        <v>226</v>
      </c>
      <c r="D252" s="17">
        <f>SUMIFS(ShadowLedger!$D:$D,ShadowLedger!$G:$G,A252,ShadowLedger!$C:$C,"&gt;="&amp;DATE(LEFT(SUBSTITUTE(C252,"'",""),4),MID(SUBSTITUTE(C252,"'",""),6,2),1),ShadowLedger!$C:$C,"&lt;"&amp;EOMONTH(DATE(LEFT(SUBSTITUTE(C252,"'",""),4),MID(SUBSTITUTE(C252,"'",""),6,2),1),0)+1)</f>
        <v>0</v>
      </c>
      <c r="E252" s="17">
        <f t="shared" si="1"/>
        <v>52</v>
      </c>
      <c r="F252" s="17">
        <f t="shared" si="2"/>
        <v>0</v>
      </c>
    </row>
    <row r="253">
      <c r="A253" s="5" t="s">
        <v>66</v>
      </c>
      <c r="B253" s="6">
        <v>52.0</v>
      </c>
      <c r="C253" s="13" t="s">
        <v>226</v>
      </c>
      <c r="D253" s="17">
        <f>SUMIFS(ShadowLedger!$D:$D,ShadowLedger!$G:$G,A253,ShadowLedger!$C:$C,"&gt;="&amp;DATE(LEFT(SUBSTITUTE(C253,"'",""),4),MID(SUBSTITUTE(C253,"'",""),6,2),1),ShadowLedger!$C:$C,"&lt;"&amp;EOMONTH(DATE(LEFT(SUBSTITUTE(C253,"'",""),4),MID(SUBSTITUTE(C253,"'",""),6,2),1),0)+1)</f>
        <v>0</v>
      </c>
      <c r="E253" s="17">
        <f t="shared" si="1"/>
        <v>52</v>
      </c>
      <c r="F253" s="17">
        <f t="shared" si="2"/>
        <v>0</v>
      </c>
    </row>
    <row r="254">
      <c r="A254" s="5" t="s">
        <v>67</v>
      </c>
      <c r="B254" s="6">
        <v>52.0</v>
      </c>
      <c r="C254" s="13" t="s">
        <v>226</v>
      </c>
      <c r="D254" s="17">
        <f>SUMIFS(ShadowLedger!$D:$D,ShadowLedger!$G:$G,A254,ShadowLedger!$C:$C,"&gt;="&amp;DATE(LEFT(SUBSTITUTE(C254,"'",""),4),MID(SUBSTITUTE(C254,"'",""),6,2),1),ShadowLedger!$C:$C,"&lt;"&amp;EOMONTH(DATE(LEFT(SUBSTITUTE(C254,"'",""),4),MID(SUBSTITUTE(C254,"'",""),6,2),1),0)+1)</f>
        <v>0</v>
      </c>
      <c r="E254" s="17">
        <f t="shared" si="1"/>
        <v>52</v>
      </c>
      <c r="F254" s="17">
        <f t="shared" si="2"/>
        <v>0</v>
      </c>
    </row>
    <row r="255">
      <c r="A255" s="5" t="s">
        <v>68</v>
      </c>
      <c r="B255" s="6">
        <v>52.0</v>
      </c>
      <c r="C255" s="13" t="s">
        <v>226</v>
      </c>
      <c r="D255" s="17">
        <f>SUMIFS(ShadowLedger!$D:$D,ShadowLedger!$G:$G,A255,ShadowLedger!$C:$C,"&gt;="&amp;DATE(LEFT(SUBSTITUTE(C255,"'",""),4),MID(SUBSTITUTE(C255,"'",""),6,2),1),ShadowLedger!$C:$C,"&lt;"&amp;EOMONTH(DATE(LEFT(SUBSTITUTE(C255,"'",""),4),MID(SUBSTITUTE(C255,"'",""),6,2),1),0)+1)</f>
        <v>0</v>
      </c>
      <c r="E255" s="17">
        <f t="shared" si="1"/>
        <v>52</v>
      </c>
      <c r="F255" s="17">
        <f t="shared" si="2"/>
        <v>0</v>
      </c>
    </row>
    <row r="256">
      <c r="A256" s="5" t="s">
        <v>69</v>
      </c>
      <c r="B256" s="6">
        <v>0.0</v>
      </c>
      <c r="C256" s="13" t="s">
        <v>226</v>
      </c>
      <c r="D256" s="17">
        <f>SUMIFS(ShadowLedger!$D:$D,ShadowLedger!$G:$G,A256,ShadowLedger!$C:$C,"&gt;="&amp;DATE(LEFT(SUBSTITUTE(C256,"'",""),4),MID(SUBSTITUTE(C256,"'",""),6,2),1),ShadowLedger!$C:$C,"&lt;"&amp;EOMONTH(DATE(LEFT(SUBSTITUTE(C256,"'",""),4),MID(SUBSTITUTE(C256,"'",""),6,2),1),0)+1)</f>
        <v>0</v>
      </c>
      <c r="E256" s="17">
        <f t="shared" si="1"/>
        <v>0</v>
      </c>
      <c r="F256" s="17">
        <f t="shared" si="2"/>
        <v>0</v>
      </c>
    </row>
    <row r="257">
      <c r="A257" s="5" t="s">
        <v>54</v>
      </c>
      <c r="B257" s="6">
        <v>948.0</v>
      </c>
      <c r="C257" s="13" t="s">
        <v>227</v>
      </c>
      <c r="D257" s="17">
        <f>SUMIFS(ShadowLedger!$D:$D,ShadowLedger!$G:$G,A257,ShadowLedger!$C:$C,"&gt;="&amp;DATE(LEFT(SUBSTITUTE(C257,"'",""),4),MID(SUBSTITUTE(C257,"'",""),6,2),1),ShadowLedger!$C:$C,"&lt;"&amp;EOMONTH(DATE(LEFT(SUBSTITUTE(C257,"'",""),4),MID(SUBSTITUTE(C257,"'",""),6,2),1),0)+1)</f>
        <v>0</v>
      </c>
      <c r="E257" s="17">
        <f t="shared" si="1"/>
        <v>948</v>
      </c>
      <c r="F257" s="17">
        <f t="shared" si="2"/>
        <v>0</v>
      </c>
    </row>
    <row r="258">
      <c r="A258" s="5" t="s">
        <v>55</v>
      </c>
      <c r="B258" s="6">
        <v>721.0</v>
      </c>
      <c r="C258" s="13" t="s">
        <v>227</v>
      </c>
      <c r="D258" s="17">
        <f>SUMIFS(ShadowLedger!$D:$D,ShadowLedger!$G:$G,A258,ShadowLedger!$C:$C,"&gt;="&amp;DATE(LEFT(SUBSTITUTE(C258,"'",""),4),MID(SUBSTITUTE(C258,"'",""),6,2),1),ShadowLedger!$C:$C,"&lt;"&amp;EOMONTH(DATE(LEFT(SUBSTITUTE(C258,"'",""),4),MID(SUBSTITUTE(C258,"'",""),6,2),1),0)+1)</f>
        <v>0</v>
      </c>
      <c r="E258" s="17">
        <f t="shared" si="1"/>
        <v>721</v>
      </c>
      <c r="F258" s="17">
        <f t="shared" si="2"/>
        <v>0</v>
      </c>
    </row>
    <row r="259">
      <c r="A259" s="5" t="s">
        <v>56</v>
      </c>
      <c r="B259" s="6">
        <v>515.0</v>
      </c>
      <c r="C259" s="13" t="s">
        <v>227</v>
      </c>
      <c r="D259" s="17">
        <f>SUMIFS(ShadowLedger!$D:$D,ShadowLedger!$G:$G,A259,ShadowLedger!$C:$C,"&gt;="&amp;DATE(LEFT(SUBSTITUTE(C259,"'",""),4),MID(SUBSTITUTE(C259,"'",""),6,2),1),ShadowLedger!$C:$C,"&lt;"&amp;EOMONTH(DATE(LEFT(SUBSTITUTE(C259,"'",""),4),MID(SUBSTITUTE(C259,"'",""),6,2),1),0)+1)</f>
        <v>0</v>
      </c>
      <c r="E259" s="17">
        <f t="shared" si="1"/>
        <v>515</v>
      </c>
      <c r="F259" s="17">
        <f t="shared" si="2"/>
        <v>0</v>
      </c>
    </row>
    <row r="260">
      <c r="A260" s="5" t="s">
        <v>57</v>
      </c>
      <c r="B260" s="6">
        <v>515.0</v>
      </c>
      <c r="C260" s="13" t="s">
        <v>227</v>
      </c>
      <c r="D260" s="17">
        <f>SUMIFS(ShadowLedger!$D:$D,ShadowLedger!$G:$G,A260,ShadowLedger!$C:$C,"&gt;="&amp;DATE(LEFT(SUBSTITUTE(C260,"'",""),4),MID(SUBSTITUTE(C260,"'",""),6,2),1),ShadowLedger!$C:$C,"&lt;"&amp;EOMONTH(DATE(LEFT(SUBSTITUTE(C260,"'",""),4),MID(SUBSTITUTE(C260,"'",""),6,2),1),0)+1)</f>
        <v>0</v>
      </c>
      <c r="E260" s="17">
        <f t="shared" si="1"/>
        <v>515</v>
      </c>
      <c r="F260" s="17">
        <f t="shared" si="2"/>
        <v>0</v>
      </c>
    </row>
    <row r="261">
      <c r="A261" s="5" t="s">
        <v>58</v>
      </c>
      <c r="B261" s="6">
        <v>412.0</v>
      </c>
      <c r="C261" s="13" t="s">
        <v>227</v>
      </c>
      <c r="D261" s="17">
        <f>SUMIFS(ShadowLedger!$D:$D,ShadowLedger!$G:$G,A261,ShadowLedger!$C:$C,"&gt;="&amp;DATE(LEFT(SUBSTITUTE(C261,"'",""),4),MID(SUBSTITUTE(C261,"'",""),6,2),1),ShadowLedger!$C:$C,"&lt;"&amp;EOMONTH(DATE(LEFT(SUBSTITUTE(C261,"'",""),4),MID(SUBSTITUTE(C261,"'",""),6,2),1),0)+1)</f>
        <v>0</v>
      </c>
      <c r="E261" s="17">
        <f t="shared" si="1"/>
        <v>412</v>
      </c>
      <c r="F261" s="17">
        <f t="shared" si="2"/>
        <v>0</v>
      </c>
    </row>
    <row r="262">
      <c r="A262" s="5" t="s">
        <v>59</v>
      </c>
      <c r="B262" s="6">
        <v>206.0</v>
      </c>
      <c r="C262" s="13" t="s">
        <v>227</v>
      </c>
      <c r="D262" s="17">
        <f>SUMIFS(ShadowLedger!$D:$D,ShadowLedger!$G:$G,A262,ShadowLedger!$C:$C,"&gt;="&amp;DATE(LEFT(SUBSTITUTE(C262,"'",""),4),MID(SUBSTITUTE(C262,"'",""),6,2),1),ShadowLedger!$C:$C,"&lt;"&amp;EOMONTH(DATE(LEFT(SUBSTITUTE(C262,"'",""),4),MID(SUBSTITUTE(C262,"'",""),6,2),1),0)+1)</f>
        <v>0</v>
      </c>
      <c r="E262" s="17">
        <f t="shared" si="1"/>
        <v>206</v>
      </c>
      <c r="F262" s="17">
        <f t="shared" si="2"/>
        <v>0</v>
      </c>
    </row>
    <row r="263">
      <c r="A263" s="5" t="s">
        <v>60</v>
      </c>
      <c r="B263" s="6">
        <v>155.0</v>
      </c>
      <c r="C263" s="13" t="s">
        <v>227</v>
      </c>
      <c r="D263" s="17">
        <f>SUMIFS(ShadowLedger!$D:$D,ShadowLedger!$G:$G,A263,ShadowLedger!$C:$C,"&gt;="&amp;DATE(LEFT(SUBSTITUTE(C263,"'",""),4),MID(SUBSTITUTE(C263,"'",""),6,2),1),ShadowLedger!$C:$C,"&lt;"&amp;EOMONTH(DATE(LEFT(SUBSTITUTE(C263,"'",""),4),MID(SUBSTITUTE(C263,"'",""),6,2),1),0)+1)</f>
        <v>0</v>
      </c>
      <c r="E263" s="17">
        <f t="shared" si="1"/>
        <v>155</v>
      </c>
      <c r="F263" s="17">
        <f t="shared" si="2"/>
        <v>0</v>
      </c>
    </row>
    <row r="264">
      <c r="A264" s="5" t="s">
        <v>61</v>
      </c>
      <c r="B264" s="6">
        <v>124.0</v>
      </c>
      <c r="C264" s="13" t="s">
        <v>227</v>
      </c>
      <c r="D264" s="17">
        <f>SUMIFS(ShadowLedger!$D:$D,ShadowLedger!$G:$G,A264,ShadowLedger!$C:$C,"&gt;="&amp;DATE(LEFT(SUBSTITUTE(C264,"'",""),4),MID(SUBSTITUTE(C264,"'",""),6,2),1),ShadowLedger!$C:$C,"&lt;"&amp;EOMONTH(DATE(LEFT(SUBSTITUTE(C264,"'",""),4),MID(SUBSTITUTE(C264,"'",""),6,2),1),0)+1)</f>
        <v>0</v>
      </c>
      <c r="E264" s="17">
        <f t="shared" si="1"/>
        <v>124</v>
      </c>
      <c r="F264" s="17">
        <f t="shared" si="2"/>
        <v>0</v>
      </c>
    </row>
    <row r="265">
      <c r="A265" s="5" t="s">
        <v>62</v>
      </c>
      <c r="B265" s="6">
        <v>124.0</v>
      </c>
      <c r="C265" s="13" t="s">
        <v>227</v>
      </c>
      <c r="D265" s="17">
        <f>SUMIFS(ShadowLedger!$D:$D,ShadowLedger!$G:$G,A265,ShadowLedger!$C:$C,"&gt;="&amp;DATE(LEFT(SUBSTITUTE(C265,"'",""),4),MID(SUBSTITUTE(C265,"'",""),6,2),1),ShadowLedger!$C:$C,"&lt;"&amp;EOMONTH(DATE(LEFT(SUBSTITUTE(C265,"'",""),4),MID(SUBSTITUTE(C265,"'",""),6,2),1),0)+1)</f>
        <v>0</v>
      </c>
      <c r="E265" s="17">
        <f t="shared" si="1"/>
        <v>124</v>
      </c>
      <c r="F265" s="17">
        <f t="shared" si="2"/>
        <v>0</v>
      </c>
    </row>
    <row r="266">
      <c r="A266" s="5" t="s">
        <v>63</v>
      </c>
      <c r="B266" s="6">
        <v>103.0</v>
      </c>
      <c r="C266" s="13" t="s">
        <v>227</v>
      </c>
      <c r="D266" s="17">
        <f>SUMIFS(ShadowLedger!$D:$D,ShadowLedger!$G:$G,A266,ShadowLedger!$C:$C,"&gt;="&amp;DATE(LEFT(SUBSTITUTE(C266,"'",""),4),MID(SUBSTITUTE(C266,"'",""),6,2),1),ShadowLedger!$C:$C,"&lt;"&amp;EOMONTH(DATE(LEFT(SUBSTITUTE(C266,"'",""),4),MID(SUBSTITUTE(C266,"'",""),6,2),1),0)+1)</f>
        <v>0</v>
      </c>
      <c r="E266" s="17">
        <f t="shared" si="1"/>
        <v>103</v>
      </c>
      <c r="F266" s="17">
        <f t="shared" si="2"/>
        <v>0</v>
      </c>
    </row>
    <row r="267">
      <c r="A267" s="5" t="s">
        <v>64</v>
      </c>
      <c r="B267" s="6">
        <v>103.0</v>
      </c>
      <c r="C267" s="13" t="s">
        <v>227</v>
      </c>
      <c r="D267" s="17">
        <f>SUMIFS(ShadowLedger!$D:$D,ShadowLedger!$G:$G,A267,ShadowLedger!$C:$C,"&gt;="&amp;DATE(LEFT(SUBSTITUTE(C267,"'",""),4),MID(SUBSTITUTE(C267,"'",""),6,2),1),ShadowLedger!$C:$C,"&lt;"&amp;EOMONTH(DATE(LEFT(SUBSTITUTE(C267,"'",""),4),MID(SUBSTITUTE(C267,"'",""),6,2),1),0)+1)</f>
        <v>0</v>
      </c>
      <c r="E267" s="17">
        <f t="shared" si="1"/>
        <v>103</v>
      </c>
      <c r="F267" s="17">
        <f t="shared" si="2"/>
        <v>0</v>
      </c>
    </row>
    <row r="268">
      <c r="A268" s="5" t="s">
        <v>70</v>
      </c>
      <c r="B268" s="6">
        <v>103.0</v>
      </c>
      <c r="C268" s="13" t="s">
        <v>227</v>
      </c>
      <c r="D268" s="17">
        <f>SUMIFS(ShadowLedger!$D:$D,ShadowLedger!$G:$G,A268,ShadowLedger!$C:$C,"&gt;="&amp;DATE(LEFT(SUBSTITUTE(C268,"'",""),4),MID(SUBSTITUTE(C268,"'",""),6,2),1),ShadowLedger!$C:$C,"&lt;"&amp;EOMONTH(DATE(LEFT(SUBSTITUTE(C268,"'",""),4),MID(SUBSTITUTE(C268,"'",""),6,2),1),0)+1)</f>
        <v>0</v>
      </c>
      <c r="E268" s="17">
        <f t="shared" si="1"/>
        <v>103</v>
      </c>
      <c r="F268" s="17">
        <f t="shared" si="2"/>
        <v>0</v>
      </c>
    </row>
    <row r="269">
      <c r="A269" s="5" t="s">
        <v>65</v>
      </c>
      <c r="B269" s="6">
        <v>52.0</v>
      </c>
      <c r="C269" s="13" t="s">
        <v>227</v>
      </c>
      <c r="D269" s="17">
        <f>SUMIFS(ShadowLedger!$D:$D,ShadowLedger!$G:$G,A269,ShadowLedger!$C:$C,"&gt;="&amp;DATE(LEFT(SUBSTITUTE(C269,"'",""),4),MID(SUBSTITUTE(C269,"'",""),6,2),1),ShadowLedger!$C:$C,"&lt;"&amp;EOMONTH(DATE(LEFT(SUBSTITUTE(C269,"'",""),4),MID(SUBSTITUTE(C269,"'",""),6,2),1),0)+1)</f>
        <v>0</v>
      </c>
      <c r="E269" s="17">
        <f t="shared" si="1"/>
        <v>52</v>
      </c>
      <c r="F269" s="17">
        <f t="shared" si="2"/>
        <v>0</v>
      </c>
    </row>
    <row r="270">
      <c r="A270" s="5" t="s">
        <v>66</v>
      </c>
      <c r="B270" s="6">
        <v>52.0</v>
      </c>
      <c r="C270" s="13" t="s">
        <v>227</v>
      </c>
      <c r="D270" s="17">
        <f>SUMIFS(ShadowLedger!$D:$D,ShadowLedger!$G:$G,A270,ShadowLedger!$C:$C,"&gt;="&amp;DATE(LEFT(SUBSTITUTE(C270,"'",""),4),MID(SUBSTITUTE(C270,"'",""),6,2),1),ShadowLedger!$C:$C,"&lt;"&amp;EOMONTH(DATE(LEFT(SUBSTITUTE(C270,"'",""),4),MID(SUBSTITUTE(C270,"'",""),6,2),1),0)+1)</f>
        <v>0</v>
      </c>
      <c r="E270" s="17">
        <f t="shared" si="1"/>
        <v>52</v>
      </c>
      <c r="F270" s="17">
        <f t="shared" si="2"/>
        <v>0</v>
      </c>
    </row>
    <row r="271">
      <c r="A271" s="5" t="s">
        <v>67</v>
      </c>
      <c r="B271" s="6">
        <v>52.0</v>
      </c>
      <c r="C271" s="13" t="s">
        <v>227</v>
      </c>
      <c r="D271" s="17">
        <f>SUMIFS(ShadowLedger!$D:$D,ShadowLedger!$G:$G,A271,ShadowLedger!$C:$C,"&gt;="&amp;DATE(LEFT(SUBSTITUTE(C271,"'",""),4),MID(SUBSTITUTE(C271,"'",""),6,2),1),ShadowLedger!$C:$C,"&lt;"&amp;EOMONTH(DATE(LEFT(SUBSTITUTE(C271,"'",""),4),MID(SUBSTITUTE(C271,"'",""),6,2),1),0)+1)</f>
        <v>0</v>
      </c>
      <c r="E271" s="17">
        <f t="shared" si="1"/>
        <v>52</v>
      </c>
      <c r="F271" s="17">
        <f t="shared" si="2"/>
        <v>0</v>
      </c>
    </row>
    <row r="272">
      <c r="A272" s="5" t="s">
        <v>68</v>
      </c>
      <c r="B272" s="6">
        <v>52.0</v>
      </c>
      <c r="C272" s="13" t="s">
        <v>227</v>
      </c>
      <c r="D272" s="17">
        <f>SUMIFS(ShadowLedger!$D:$D,ShadowLedger!$G:$G,A272,ShadowLedger!$C:$C,"&gt;="&amp;DATE(LEFT(SUBSTITUTE(C272,"'",""),4),MID(SUBSTITUTE(C272,"'",""),6,2),1),ShadowLedger!$C:$C,"&lt;"&amp;EOMONTH(DATE(LEFT(SUBSTITUTE(C272,"'",""),4),MID(SUBSTITUTE(C272,"'",""),6,2),1),0)+1)</f>
        <v>0</v>
      </c>
      <c r="E272" s="17">
        <f t="shared" si="1"/>
        <v>52</v>
      </c>
      <c r="F272" s="17">
        <f t="shared" si="2"/>
        <v>0</v>
      </c>
    </row>
    <row r="273">
      <c r="A273" s="5" t="s">
        <v>69</v>
      </c>
      <c r="B273" s="6">
        <v>0.0</v>
      </c>
      <c r="C273" s="13" t="s">
        <v>227</v>
      </c>
      <c r="D273" s="17">
        <f>SUMIFS(ShadowLedger!$D:$D,ShadowLedger!$G:$G,A273,ShadowLedger!$C:$C,"&gt;="&amp;DATE(LEFT(SUBSTITUTE(C273,"'",""),4),MID(SUBSTITUTE(C273,"'",""),6,2),1),ShadowLedger!$C:$C,"&lt;"&amp;EOMONTH(DATE(LEFT(SUBSTITUTE(C273,"'",""),4),MID(SUBSTITUTE(C273,"'",""),6,2),1),0)+1)</f>
        <v>0</v>
      </c>
      <c r="E273" s="17">
        <f t="shared" si="1"/>
        <v>0</v>
      </c>
      <c r="F273" s="17">
        <f t="shared" si="2"/>
        <v>0</v>
      </c>
    </row>
    <row r="274">
      <c r="A274" s="5" t="s">
        <v>54</v>
      </c>
      <c r="B274" s="6">
        <v>948.0</v>
      </c>
      <c r="C274" s="13" t="s">
        <v>228</v>
      </c>
      <c r="D274" s="17">
        <f>SUMIFS(ShadowLedger!$D:$D,ShadowLedger!$G:$G,A274,ShadowLedger!$C:$C,"&gt;="&amp;DATE(LEFT(SUBSTITUTE(C274,"'",""),4),MID(SUBSTITUTE(C274,"'",""),6,2),1),ShadowLedger!$C:$C,"&lt;"&amp;EOMONTH(DATE(LEFT(SUBSTITUTE(C274,"'",""),4),MID(SUBSTITUTE(C274,"'",""),6,2),1),0)+1)</f>
        <v>0</v>
      </c>
      <c r="E274" s="17">
        <f t="shared" si="1"/>
        <v>948</v>
      </c>
      <c r="F274" s="17">
        <f t="shared" si="2"/>
        <v>0</v>
      </c>
    </row>
    <row r="275">
      <c r="A275" s="5" t="s">
        <v>55</v>
      </c>
      <c r="B275" s="6">
        <v>721.0</v>
      </c>
      <c r="C275" s="13" t="s">
        <v>228</v>
      </c>
      <c r="D275" s="17">
        <f>SUMIFS(ShadowLedger!$D:$D,ShadowLedger!$G:$G,A275,ShadowLedger!$C:$C,"&gt;="&amp;DATE(LEFT(SUBSTITUTE(C275,"'",""),4),MID(SUBSTITUTE(C275,"'",""),6,2),1),ShadowLedger!$C:$C,"&lt;"&amp;EOMONTH(DATE(LEFT(SUBSTITUTE(C275,"'",""),4),MID(SUBSTITUTE(C275,"'",""),6,2),1),0)+1)</f>
        <v>0</v>
      </c>
      <c r="E275" s="17">
        <f t="shared" si="1"/>
        <v>721</v>
      </c>
      <c r="F275" s="17">
        <f t="shared" si="2"/>
        <v>0</v>
      </c>
    </row>
    <row r="276">
      <c r="A276" s="5" t="s">
        <v>56</v>
      </c>
      <c r="B276" s="6">
        <v>515.0</v>
      </c>
      <c r="C276" s="13" t="s">
        <v>228</v>
      </c>
      <c r="D276" s="17">
        <f>SUMIFS(ShadowLedger!$D:$D,ShadowLedger!$G:$G,A276,ShadowLedger!$C:$C,"&gt;="&amp;DATE(LEFT(SUBSTITUTE(C276,"'",""),4),MID(SUBSTITUTE(C276,"'",""),6,2),1),ShadowLedger!$C:$C,"&lt;"&amp;EOMONTH(DATE(LEFT(SUBSTITUTE(C276,"'",""),4),MID(SUBSTITUTE(C276,"'",""),6,2),1),0)+1)</f>
        <v>0</v>
      </c>
      <c r="E276" s="17">
        <f t="shared" si="1"/>
        <v>515</v>
      </c>
      <c r="F276" s="17">
        <f t="shared" si="2"/>
        <v>0</v>
      </c>
    </row>
    <row r="277">
      <c r="A277" s="5" t="s">
        <v>57</v>
      </c>
      <c r="B277" s="6">
        <v>515.0</v>
      </c>
      <c r="C277" s="13" t="s">
        <v>228</v>
      </c>
      <c r="D277" s="17">
        <f>SUMIFS(ShadowLedger!$D:$D,ShadowLedger!$G:$G,A277,ShadowLedger!$C:$C,"&gt;="&amp;DATE(LEFT(SUBSTITUTE(C277,"'",""),4),MID(SUBSTITUTE(C277,"'",""),6,2),1),ShadowLedger!$C:$C,"&lt;"&amp;EOMONTH(DATE(LEFT(SUBSTITUTE(C277,"'",""),4),MID(SUBSTITUTE(C277,"'",""),6,2),1),0)+1)</f>
        <v>0</v>
      </c>
      <c r="E277" s="17">
        <f t="shared" si="1"/>
        <v>515</v>
      </c>
      <c r="F277" s="17">
        <f t="shared" si="2"/>
        <v>0</v>
      </c>
    </row>
    <row r="278">
      <c r="A278" s="5" t="s">
        <v>58</v>
      </c>
      <c r="B278" s="6">
        <v>412.0</v>
      </c>
      <c r="C278" s="13" t="s">
        <v>228</v>
      </c>
      <c r="D278" s="17">
        <f>SUMIFS(ShadowLedger!$D:$D,ShadowLedger!$G:$G,A278,ShadowLedger!$C:$C,"&gt;="&amp;DATE(LEFT(SUBSTITUTE(C278,"'",""),4),MID(SUBSTITUTE(C278,"'",""),6,2),1),ShadowLedger!$C:$C,"&lt;"&amp;EOMONTH(DATE(LEFT(SUBSTITUTE(C278,"'",""),4),MID(SUBSTITUTE(C278,"'",""),6,2),1),0)+1)</f>
        <v>0</v>
      </c>
      <c r="E278" s="17">
        <f t="shared" si="1"/>
        <v>412</v>
      </c>
      <c r="F278" s="17">
        <f t="shared" si="2"/>
        <v>0</v>
      </c>
    </row>
    <row r="279">
      <c r="A279" s="5" t="s">
        <v>59</v>
      </c>
      <c r="B279" s="6">
        <v>206.0</v>
      </c>
      <c r="C279" s="13" t="s">
        <v>228</v>
      </c>
      <c r="D279" s="17">
        <f>SUMIFS(ShadowLedger!$D:$D,ShadowLedger!$G:$G,A279,ShadowLedger!$C:$C,"&gt;="&amp;DATE(LEFT(SUBSTITUTE(C279,"'",""),4),MID(SUBSTITUTE(C279,"'",""),6,2),1),ShadowLedger!$C:$C,"&lt;"&amp;EOMONTH(DATE(LEFT(SUBSTITUTE(C279,"'",""),4),MID(SUBSTITUTE(C279,"'",""),6,2),1),0)+1)</f>
        <v>0</v>
      </c>
      <c r="E279" s="17">
        <f t="shared" si="1"/>
        <v>206</v>
      </c>
      <c r="F279" s="17">
        <f t="shared" si="2"/>
        <v>0</v>
      </c>
    </row>
    <row r="280">
      <c r="A280" s="5" t="s">
        <v>60</v>
      </c>
      <c r="B280" s="6">
        <v>155.0</v>
      </c>
      <c r="C280" s="13" t="s">
        <v>228</v>
      </c>
      <c r="D280" s="17">
        <f>SUMIFS(ShadowLedger!$D:$D,ShadowLedger!$G:$G,A280,ShadowLedger!$C:$C,"&gt;="&amp;DATE(LEFT(SUBSTITUTE(C280,"'",""),4),MID(SUBSTITUTE(C280,"'",""),6,2),1),ShadowLedger!$C:$C,"&lt;"&amp;EOMONTH(DATE(LEFT(SUBSTITUTE(C280,"'",""),4),MID(SUBSTITUTE(C280,"'",""),6,2),1),0)+1)</f>
        <v>0</v>
      </c>
      <c r="E280" s="17">
        <f t="shared" si="1"/>
        <v>155</v>
      </c>
      <c r="F280" s="17">
        <f t="shared" si="2"/>
        <v>0</v>
      </c>
    </row>
    <row r="281">
      <c r="A281" s="5" t="s">
        <v>61</v>
      </c>
      <c r="B281" s="6">
        <v>124.0</v>
      </c>
      <c r="C281" s="13" t="s">
        <v>228</v>
      </c>
      <c r="D281" s="17">
        <f>SUMIFS(ShadowLedger!$D:$D,ShadowLedger!$G:$G,A281,ShadowLedger!$C:$C,"&gt;="&amp;DATE(LEFT(SUBSTITUTE(C281,"'",""),4),MID(SUBSTITUTE(C281,"'",""),6,2),1),ShadowLedger!$C:$C,"&lt;"&amp;EOMONTH(DATE(LEFT(SUBSTITUTE(C281,"'",""),4),MID(SUBSTITUTE(C281,"'",""),6,2),1),0)+1)</f>
        <v>0</v>
      </c>
      <c r="E281" s="17">
        <f t="shared" si="1"/>
        <v>124</v>
      </c>
      <c r="F281" s="17">
        <f t="shared" si="2"/>
        <v>0</v>
      </c>
    </row>
    <row r="282">
      <c r="A282" s="5" t="s">
        <v>62</v>
      </c>
      <c r="B282" s="6">
        <v>124.0</v>
      </c>
      <c r="C282" s="13" t="s">
        <v>228</v>
      </c>
      <c r="D282" s="17">
        <f>SUMIFS(ShadowLedger!$D:$D,ShadowLedger!$G:$G,A282,ShadowLedger!$C:$C,"&gt;="&amp;DATE(LEFT(SUBSTITUTE(C282,"'",""),4),MID(SUBSTITUTE(C282,"'",""),6,2),1),ShadowLedger!$C:$C,"&lt;"&amp;EOMONTH(DATE(LEFT(SUBSTITUTE(C282,"'",""),4),MID(SUBSTITUTE(C282,"'",""),6,2),1),0)+1)</f>
        <v>0</v>
      </c>
      <c r="E282" s="17">
        <f t="shared" si="1"/>
        <v>124</v>
      </c>
      <c r="F282" s="17">
        <f t="shared" si="2"/>
        <v>0</v>
      </c>
    </row>
    <row r="283">
      <c r="A283" s="5" t="s">
        <v>63</v>
      </c>
      <c r="B283" s="6">
        <v>103.0</v>
      </c>
      <c r="C283" s="13" t="s">
        <v>228</v>
      </c>
      <c r="D283" s="17">
        <f>SUMIFS(ShadowLedger!$D:$D,ShadowLedger!$G:$G,A283,ShadowLedger!$C:$C,"&gt;="&amp;DATE(LEFT(SUBSTITUTE(C283,"'",""),4),MID(SUBSTITUTE(C283,"'",""),6,2),1),ShadowLedger!$C:$C,"&lt;"&amp;EOMONTH(DATE(LEFT(SUBSTITUTE(C283,"'",""),4),MID(SUBSTITUTE(C283,"'",""),6,2),1),0)+1)</f>
        <v>0</v>
      </c>
      <c r="E283" s="17">
        <f t="shared" si="1"/>
        <v>103</v>
      </c>
      <c r="F283" s="17">
        <f t="shared" si="2"/>
        <v>0</v>
      </c>
    </row>
    <row r="284">
      <c r="A284" s="5" t="s">
        <v>64</v>
      </c>
      <c r="B284" s="6">
        <v>103.0</v>
      </c>
      <c r="C284" s="13" t="s">
        <v>228</v>
      </c>
      <c r="D284" s="17">
        <f>SUMIFS(ShadowLedger!$D:$D,ShadowLedger!$G:$G,A284,ShadowLedger!$C:$C,"&gt;="&amp;DATE(LEFT(SUBSTITUTE(C284,"'",""),4),MID(SUBSTITUTE(C284,"'",""),6,2),1),ShadowLedger!$C:$C,"&lt;"&amp;EOMONTH(DATE(LEFT(SUBSTITUTE(C284,"'",""),4),MID(SUBSTITUTE(C284,"'",""),6,2),1),0)+1)</f>
        <v>0</v>
      </c>
      <c r="E284" s="17">
        <f t="shared" si="1"/>
        <v>103</v>
      </c>
      <c r="F284" s="17">
        <f t="shared" si="2"/>
        <v>0</v>
      </c>
    </row>
    <row r="285">
      <c r="A285" s="5" t="s">
        <v>70</v>
      </c>
      <c r="B285" s="6">
        <v>103.0</v>
      </c>
      <c r="C285" s="13" t="s">
        <v>228</v>
      </c>
      <c r="D285" s="17">
        <f>SUMIFS(ShadowLedger!$D:$D,ShadowLedger!$G:$G,A285,ShadowLedger!$C:$C,"&gt;="&amp;DATE(LEFT(SUBSTITUTE(C285,"'",""),4),MID(SUBSTITUTE(C285,"'",""),6,2),1),ShadowLedger!$C:$C,"&lt;"&amp;EOMONTH(DATE(LEFT(SUBSTITUTE(C285,"'",""),4),MID(SUBSTITUTE(C285,"'",""),6,2),1),0)+1)</f>
        <v>0</v>
      </c>
      <c r="E285" s="17">
        <f t="shared" si="1"/>
        <v>103</v>
      </c>
      <c r="F285" s="17">
        <f t="shared" si="2"/>
        <v>0</v>
      </c>
    </row>
    <row r="286">
      <c r="A286" s="5" t="s">
        <v>65</v>
      </c>
      <c r="B286" s="6">
        <v>52.0</v>
      </c>
      <c r="C286" s="13" t="s">
        <v>228</v>
      </c>
      <c r="D286" s="17">
        <f>SUMIFS(ShadowLedger!$D:$D,ShadowLedger!$G:$G,A286,ShadowLedger!$C:$C,"&gt;="&amp;DATE(LEFT(SUBSTITUTE(C286,"'",""),4),MID(SUBSTITUTE(C286,"'",""),6,2),1),ShadowLedger!$C:$C,"&lt;"&amp;EOMONTH(DATE(LEFT(SUBSTITUTE(C286,"'",""),4),MID(SUBSTITUTE(C286,"'",""),6,2),1),0)+1)</f>
        <v>0</v>
      </c>
      <c r="E286" s="17">
        <f t="shared" si="1"/>
        <v>52</v>
      </c>
      <c r="F286" s="17">
        <f t="shared" si="2"/>
        <v>0</v>
      </c>
    </row>
    <row r="287">
      <c r="A287" s="5" t="s">
        <v>66</v>
      </c>
      <c r="B287" s="6">
        <v>52.0</v>
      </c>
      <c r="C287" s="13" t="s">
        <v>228</v>
      </c>
      <c r="D287" s="17">
        <f>SUMIFS(ShadowLedger!$D:$D,ShadowLedger!$G:$G,A287,ShadowLedger!$C:$C,"&gt;="&amp;DATE(LEFT(SUBSTITUTE(C287,"'",""),4),MID(SUBSTITUTE(C287,"'",""),6,2),1),ShadowLedger!$C:$C,"&lt;"&amp;EOMONTH(DATE(LEFT(SUBSTITUTE(C287,"'",""),4),MID(SUBSTITUTE(C287,"'",""),6,2),1),0)+1)</f>
        <v>0</v>
      </c>
      <c r="E287" s="17">
        <f t="shared" si="1"/>
        <v>52</v>
      </c>
      <c r="F287" s="17">
        <f t="shared" si="2"/>
        <v>0</v>
      </c>
    </row>
    <row r="288">
      <c r="A288" s="5" t="s">
        <v>67</v>
      </c>
      <c r="B288" s="6">
        <v>52.0</v>
      </c>
      <c r="C288" s="13" t="s">
        <v>228</v>
      </c>
      <c r="D288" s="17">
        <f>SUMIFS(ShadowLedger!$D:$D,ShadowLedger!$G:$G,A288,ShadowLedger!$C:$C,"&gt;="&amp;DATE(LEFT(SUBSTITUTE(C288,"'",""),4),MID(SUBSTITUTE(C288,"'",""),6,2),1),ShadowLedger!$C:$C,"&lt;"&amp;EOMONTH(DATE(LEFT(SUBSTITUTE(C288,"'",""),4),MID(SUBSTITUTE(C288,"'",""),6,2),1),0)+1)</f>
        <v>0</v>
      </c>
      <c r="E288" s="17">
        <f t="shared" si="1"/>
        <v>52</v>
      </c>
      <c r="F288" s="17">
        <f t="shared" si="2"/>
        <v>0</v>
      </c>
    </row>
    <row r="289">
      <c r="A289" s="5" t="s">
        <v>68</v>
      </c>
      <c r="B289" s="6">
        <v>52.0</v>
      </c>
      <c r="C289" s="13" t="s">
        <v>228</v>
      </c>
      <c r="D289" s="17">
        <f>SUMIFS(ShadowLedger!$D:$D,ShadowLedger!$G:$G,A289,ShadowLedger!$C:$C,"&gt;="&amp;DATE(LEFT(SUBSTITUTE(C289,"'",""),4),MID(SUBSTITUTE(C289,"'",""),6,2),1),ShadowLedger!$C:$C,"&lt;"&amp;EOMONTH(DATE(LEFT(SUBSTITUTE(C289,"'",""),4),MID(SUBSTITUTE(C289,"'",""),6,2),1),0)+1)</f>
        <v>0</v>
      </c>
      <c r="E289" s="17">
        <f t="shared" si="1"/>
        <v>52</v>
      </c>
      <c r="F289" s="17">
        <f t="shared" si="2"/>
        <v>0</v>
      </c>
    </row>
    <row r="290">
      <c r="A290" s="5" t="s">
        <v>69</v>
      </c>
      <c r="B290" s="6">
        <v>0.0</v>
      </c>
      <c r="C290" s="13" t="s">
        <v>228</v>
      </c>
      <c r="D290" s="17">
        <f>SUMIFS(ShadowLedger!$D:$D,ShadowLedger!$G:$G,A290,ShadowLedger!$C:$C,"&gt;="&amp;DATE(LEFT(SUBSTITUTE(C290,"'",""),4),MID(SUBSTITUTE(C290,"'",""),6,2),1),ShadowLedger!$C:$C,"&lt;"&amp;EOMONTH(DATE(LEFT(SUBSTITUTE(C290,"'",""),4),MID(SUBSTITUTE(C290,"'",""),6,2),1),0)+1)</f>
        <v>0</v>
      </c>
      <c r="E290" s="17">
        <f t="shared" si="1"/>
        <v>0</v>
      </c>
      <c r="F290" s="17">
        <f t="shared" si="2"/>
        <v>0</v>
      </c>
    </row>
    <row r="291">
      <c r="A291" s="5" t="s">
        <v>54</v>
      </c>
      <c r="B291" s="6">
        <v>948.0</v>
      </c>
      <c r="C291" s="13" t="s">
        <v>229</v>
      </c>
      <c r="D291" s="17">
        <f>SUMIFS(ShadowLedger!$D:$D,ShadowLedger!$G:$G,A291,ShadowLedger!$C:$C,"&gt;="&amp;DATE(LEFT(SUBSTITUTE(C291,"'",""),4),MID(SUBSTITUTE(C291,"'",""),6,2),1),ShadowLedger!$C:$C,"&lt;"&amp;EOMONTH(DATE(LEFT(SUBSTITUTE(C291,"'",""),4),MID(SUBSTITUTE(C291,"'",""),6,2),1),0)+1)</f>
        <v>0</v>
      </c>
      <c r="E291" s="17">
        <f t="shared" si="1"/>
        <v>948</v>
      </c>
      <c r="F291" s="17">
        <f t="shared" si="2"/>
        <v>0</v>
      </c>
    </row>
    <row r="292">
      <c r="A292" s="5" t="s">
        <v>55</v>
      </c>
      <c r="B292" s="6">
        <v>721.0</v>
      </c>
      <c r="C292" s="13" t="s">
        <v>229</v>
      </c>
      <c r="D292" s="17">
        <f>SUMIFS(ShadowLedger!$D:$D,ShadowLedger!$G:$G,A292,ShadowLedger!$C:$C,"&gt;="&amp;DATE(LEFT(SUBSTITUTE(C292,"'",""),4),MID(SUBSTITUTE(C292,"'",""),6,2),1),ShadowLedger!$C:$C,"&lt;"&amp;EOMONTH(DATE(LEFT(SUBSTITUTE(C292,"'",""),4),MID(SUBSTITUTE(C292,"'",""),6,2),1),0)+1)</f>
        <v>0</v>
      </c>
      <c r="E292" s="17">
        <f t="shared" si="1"/>
        <v>721</v>
      </c>
      <c r="F292" s="17">
        <f t="shared" si="2"/>
        <v>0</v>
      </c>
    </row>
    <row r="293">
      <c r="A293" s="5" t="s">
        <v>56</v>
      </c>
      <c r="B293" s="6">
        <v>515.0</v>
      </c>
      <c r="C293" s="13" t="s">
        <v>229</v>
      </c>
      <c r="D293" s="17">
        <f>SUMIFS(ShadowLedger!$D:$D,ShadowLedger!$G:$G,A293,ShadowLedger!$C:$C,"&gt;="&amp;DATE(LEFT(SUBSTITUTE(C293,"'",""),4),MID(SUBSTITUTE(C293,"'",""),6,2),1),ShadowLedger!$C:$C,"&lt;"&amp;EOMONTH(DATE(LEFT(SUBSTITUTE(C293,"'",""),4),MID(SUBSTITUTE(C293,"'",""),6,2),1),0)+1)</f>
        <v>0</v>
      </c>
      <c r="E293" s="17">
        <f t="shared" si="1"/>
        <v>515</v>
      </c>
      <c r="F293" s="17">
        <f t="shared" si="2"/>
        <v>0</v>
      </c>
    </row>
    <row r="294">
      <c r="A294" s="5" t="s">
        <v>57</v>
      </c>
      <c r="B294" s="6">
        <v>515.0</v>
      </c>
      <c r="C294" s="13" t="s">
        <v>229</v>
      </c>
      <c r="D294" s="17">
        <f>SUMIFS(ShadowLedger!$D:$D,ShadowLedger!$G:$G,A294,ShadowLedger!$C:$C,"&gt;="&amp;DATE(LEFT(SUBSTITUTE(C294,"'",""),4),MID(SUBSTITUTE(C294,"'",""),6,2),1),ShadowLedger!$C:$C,"&lt;"&amp;EOMONTH(DATE(LEFT(SUBSTITUTE(C294,"'",""),4),MID(SUBSTITUTE(C294,"'",""),6,2),1),0)+1)</f>
        <v>0</v>
      </c>
      <c r="E294" s="17">
        <f t="shared" si="1"/>
        <v>515</v>
      </c>
      <c r="F294" s="17">
        <f t="shared" si="2"/>
        <v>0</v>
      </c>
    </row>
    <row r="295">
      <c r="A295" s="5" t="s">
        <v>58</v>
      </c>
      <c r="B295" s="6">
        <v>412.0</v>
      </c>
      <c r="C295" s="13" t="s">
        <v>229</v>
      </c>
      <c r="D295" s="17">
        <f>SUMIFS(ShadowLedger!$D:$D,ShadowLedger!$G:$G,A295,ShadowLedger!$C:$C,"&gt;="&amp;DATE(LEFT(SUBSTITUTE(C295,"'",""),4),MID(SUBSTITUTE(C295,"'",""),6,2),1),ShadowLedger!$C:$C,"&lt;"&amp;EOMONTH(DATE(LEFT(SUBSTITUTE(C295,"'",""),4),MID(SUBSTITUTE(C295,"'",""),6,2),1),0)+1)</f>
        <v>0</v>
      </c>
      <c r="E295" s="17">
        <f t="shared" si="1"/>
        <v>412</v>
      </c>
      <c r="F295" s="17">
        <f t="shared" si="2"/>
        <v>0</v>
      </c>
    </row>
    <row r="296">
      <c r="A296" s="5" t="s">
        <v>59</v>
      </c>
      <c r="B296" s="6">
        <v>206.0</v>
      </c>
      <c r="C296" s="13" t="s">
        <v>229</v>
      </c>
      <c r="D296" s="17">
        <f>SUMIFS(ShadowLedger!$D:$D,ShadowLedger!$G:$G,A296,ShadowLedger!$C:$C,"&gt;="&amp;DATE(LEFT(SUBSTITUTE(C296,"'",""),4),MID(SUBSTITUTE(C296,"'",""),6,2),1),ShadowLedger!$C:$C,"&lt;"&amp;EOMONTH(DATE(LEFT(SUBSTITUTE(C296,"'",""),4),MID(SUBSTITUTE(C296,"'",""),6,2),1),0)+1)</f>
        <v>0</v>
      </c>
      <c r="E296" s="17">
        <f t="shared" si="1"/>
        <v>206</v>
      </c>
      <c r="F296" s="17">
        <f t="shared" si="2"/>
        <v>0</v>
      </c>
    </row>
    <row r="297">
      <c r="A297" s="5" t="s">
        <v>60</v>
      </c>
      <c r="B297" s="6">
        <v>155.0</v>
      </c>
      <c r="C297" s="13" t="s">
        <v>229</v>
      </c>
      <c r="D297" s="17">
        <f>SUMIFS(ShadowLedger!$D:$D,ShadowLedger!$G:$G,A297,ShadowLedger!$C:$C,"&gt;="&amp;DATE(LEFT(SUBSTITUTE(C297,"'",""),4),MID(SUBSTITUTE(C297,"'",""),6,2),1),ShadowLedger!$C:$C,"&lt;"&amp;EOMONTH(DATE(LEFT(SUBSTITUTE(C297,"'",""),4),MID(SUBSTITUTE(C297,"'",""),6,2),1),0)+1)</f>
        <v>0</v>
      </c>
      <c r="E297" s="17">
        <f t="shared" si="1"/>
        <v>155</v>
      </c>
      <c r="F297" s="17">
        <f t="shared" si="2"/>
        <v>0</v>
      </c>
    </row>
    <row r="298">
      <c r="A298" s="5" t="s">
        <v>61</v>
      </c>
      <c r="B298" s="6">
        <v>124.0</v>
      </c>
      <c r="C298" s="13" t="s">
        <v>229</v>
      </c>
      <c r="D298" s="17">
        <f>SUMIFS(ShadowLedger!$D:$D,ShadowLedger!$G:$G,A298,ShadowLedger!$C:$C,"&gt;="&amp;DATE(LEFT(SUBSTITUTE(C298,"'",""),4),MID(SUBSTITUTE(C298,"'",""),6,2),1),ShadowLedger!$C:$C,"&lt;"&amp;EOMONTH(DATE(LEFT(SUBSTITUTE(C298,"'",""),4),MID(SUBSTITUTE(C298,"'",""),6,2),1),0)+1)</f>
        <v>0</v>
      </c>
      <c r="E298" s="17">
        <f t="shared" si="1"/>
        <v>124</v>
      </c>
      <c r="F298" s="17">
        <f t="shared" si="2"/>
        <v>0</v>
      </c>
    </row>
    <row r="299">
      <c r="A299" s="5" t="s">
        <v>62</v>
      </c>
      <c r="B299" s="6">
        <v>124.0</v>
      </c>
      <c r="C299" s="13" t="s">
        <v>229</v>
      </c>
      <c r="D299" s="17">
        <f>SUMIFS(ShadowLedger!$D:$D,ShadowLedger!$G:$G,A299,ShadowLedger!$C:$C,"&gt;="&amp;DATE(LEFT(SUBSTITUTE(C299,"'",""),4),MID(SUBSTITUTE(C299,"'",""),6,2),1),ShadowLedger!$C:$C,"&lt;"&amp;EOMONTH(DATE(LEFT(SUBSTITUTE(C299,"'",""),4),MID(SUBSTITUTE(C299,"'",""),6,2),1),0)+1)</f>
        <v>0</v>
      </c>
      <c r="E299" s="17">
        <f t="shared" si="1"/>
        <v>124</v>
      </c>
      <c r="F299" s="17">
        <f t="shared" si="2"/>
        <v>0</v>
      </c>
    </row>
    <row r="300">
      <c r="A300" s="5" t="s">
        <v>63</v>
      </c>
      <c r="B300" s="6">
        <v>103.0</v>
      </c>
      <c r="C300" s="13" t="s">
        <v>229</v>
      </c>
      <c r="D300" s="17">
        <f>SUMIFS(ShadowLedger!$D:$D,ShadowLedger!$G:$G,A300,ShadowLedger!$C:$C,"&gt;="&amp;DATE(LEFT(SUBSTITUTE(C300,"'",""),4),MID(SUBSTITUTE(C300,"'",""),6,2),1),ShadowLedger!$C:$C,"&lt;"&amp;EOMONTH(DATE(LEFT(SUBSTITUTE(C300,"'",""),4),MID(SUBSTITUTE(C300,"'",""),6,2),1),0)+1)</f>
        <v>0</v>
      </c>
      <c r="E300" s="17">
        <f t="shared" si="1"/>
        <v>103</v>
      </c>
      <c r="F300" s="17">
        <f t="shared" si="2"/>
        <v>0</v>
      </c>
    </row>
    <row r="301">
      <c r="A301" s="5" t="s">
        <v>64</v>
      </c>
      <c r="B301" s="6">
        <v>103.0</v>
      </c>
      <c r="C301" s="13" t="s">
        <v>229</v>
      </c>
      <c r="D301" s="17">
        <f>SUMIFS(ShadowLedger!$D:$D,ShadowLedger!$G:$G,A301,ShadowLedger!$C:$C,"&gt;="&amp;DATE(LEFT(SUBSTITUTE(C301,"'",""),4),MID(SUBSTITUTE(C301,"'",""),6,2),1),ShadowLedger!$C:$C,"&lt;"&amp;EOMONTH(DATE(LEFT(SUBSTITUTE(C301,"'",""),4),MID(SUBSTITUTE(C301,"'",""),6,2),1),0)+1)</f>
        <v>0</v>
      </c>
      <c r="E301" s="17">
        <f t="shared" si="1"/>
        <v>103</v>
      </c>
      <c r="F301" s="17">
        <f t="shared" si="2"/>
        <v>0</v>
      </c>
    </row>
    <row r="302">
      <c r="A302" s="5" t="s">
        <v>70</v>
      </c>
      <c r="B302" s="6">
        <v>103.0</v>
      </c>
      <c r="C302" s="13" t="s">
        <v>229</v>
      </c>
      <c r="D302" s="17">
        <f>SUMIFS(ShadowLedger!$D:$D,ShadowLedger!$G:$G,A302,ShadowLedger!$C:$C,"&gt;="&amp;DATE(LEFT(SUBSTITUTE(C302,"'",""),4),MID(SUBSTITUTE(C302,"'",""),6,2),1),ShadowLedger!$C:$C,"&lt;"&amp;EOMONTH(DATE(LEFT(SUBSTITUTE(C302,"'",""),4),MID(SUBSTITUTE(C302,"'",""),6,2),1),0)+1)</f>
        <v>0</v>
      </c>
      <c r="E302" s="17">
        <f t="shared" si="1"/>
        <v>103</v>
      </c>
      <c r="F302" s="17">
        <f t="shared" si="2"/>
        <v>0</v>
      </c>
    </row>
    <row r="303">
      <c r="A303" s="5" t="s">
        <v>65</v>
      </c>
      <c r="B303" s="6">
        <v>52.0</v>
      </c>
      <c r="C303" s="13" t="s">
        <v>229</v>
      </c>
      <c r="D303" s="17">
        <f>SUMIFS(ShadowLedger!$D:$D,ShadowLedger!$G:$G,A303,ShadowLedger!$C:$C,"&gt;="&amp;DATE(LEFT(SUBSTITUTE(C303,"'",""),4),MID(SUBSTITUTE(C303,"'",""),6,2),1),ShadowLedger!$C:$C,"&lt;"&amp;EOMONTH(DATE(LEFT(SUBSTITUTE(C303,"'",""),4),MID(SUBSTITUTE(C303,"'",""),6,2),1),0)+1)</f>
        <v>0</v>
      </c>
      <c r="E303" s="17">
        <f t="shared" si="1"/>
        <v>52</v>
      </c>
      <c r="F303" s="17">
        <f t="shared" si="2"/>
        <v>0</v>
      </c>
    </row>
    <row r="304">
      <c r="A304" s="5" t="s">
        <v>66</v>
      </c>
      <c r="B304" s="6">
        <v>52.0</v>
      </c>
      <c r="C304" s="13" t="s">
        <v>229</v>
      </c>
      <c r="D304" s="17">
        <f>SUMIFS(ShadowLedger!$D:$D,ShadowLedger!$G:$G,A304,ShadowLedger!$C:$C,"&gt;="&amp;DATE(LEFT(SUBSTITUTE(C304,"'",""),4),MID(SUBSTITUTE(C304,"'",""),6,2),1),ShadowLedger!$C:$C,"&lt;"&amp;EOMONTH(DATE(LEFT(SUBSTITUTE(C304,"'",""),4),MID(SUBSTITUTE(C304,"'",""),6,2),1),0)+1)</f>
        <v>0</v>
      </c>
      <c r="E304" s="17">
        <f t="shared" si="1"/>
        <v>52</v>
      </c>
      <c r="F304" s="17">
        <f t="shared" si="2"/>
        <v>0</v>
      </c>
    </row>
    <row r="305">
      <c r="A305" s="5" t="s">
        <v>67</v>
      </c>
      <c r="B305" s="6">
        <v>52.0</v>
      </c>
      <c r="C305" s="13" t="s">
        <v>229</v>
      </c>
      <c r="D305" s="17">
        <f>SUMIFS(ShadowLedger!$D:$D,ShadowLedger!$G:$G,A305,ShadowLedger!$C:$C,"&gt;="&amp;DATE(LEFT(SUBSTITUTE(C305,"'",""),4),MID(SUBSTITUTE(C305,"'",""),6,2),1),ShadowLedger!$C:$C,"&lt;"&amp;EOMONTH(DATE(LEFT(SUBSTITUTE(C305,"'",""),4),MID(SUBSTITUTE(C305,"'",""),6,2),1),0)+1)</f>
        <v>0</v>
      </c>
      <c r="E305" s="17">
        <f t="shared" si="1"/>
        <v>52</v>
      </c>
      <c r="F305" s="17">
        <f t="shared" si="2"/>
        <v>0</v>
      </c>
    </row>
    <row r="306">
      <c r="A306" s="5" t="s">
        <v>68</v>
      </c>
      <c r="B306" s="6">
        <v>52.0</v>
      </c>
      <c r="C306" s="13" t="s">
        <v>229</v>
      </c>
      <c r="D306" s="17">
        <f>SUMIFS(ShadowLedger!$D:$D,ShadowLedger!$G:$G,A306,ShadowLedger!$C:$C,"&gt;="&amp;DATE(LEFT(SUBSTITUTE(C306,"'",""),4),MID(SUBSTITUTE(C306,"'",""),6,2),1),ShadowLedger!$C:$C,"&lt;"&amp;EOMONTH(DATE(LEFT(SUBSTITUTE(C306,"'",""),4),MID(SUBSTITUTE(C306,"'",""),6,2),1),0)+1)</f>
        <v>0</v>
      </c>
      <c r="E306" s="17">
        <f t="shared" si="1"/>
        <v>52</v>
      </c>
      <c r="F306" s="17">
        <f t="shared" si="2"/>
        <v>0</v>
      </c>
    </row>
    <row r="307">
      <c r="A307" s="5" t="s">
        <v>69</v>
      </c>
      <c r="B307" s="6">
        <v>0.0</v>
      </c>
      <c r="C307" s="13" t="s">
        <v>229</v>
      </c>
      <c r="D307" s="17">
        <f>SUMIFS(ShadowLedger!$D:$D,ShadowLedger!$G:$G,A307,ShadowLedger!$C:$C,"&gt;="&amp;DATE(LEFT(SUBSTITUTE(C307,"'",""),4),MID(SUBSTITUTE(C307,"'",""),6,2),1),ShadowLedger!$C:$C,"&lt;"&amp;EOMONTH(DATE(LEFT(SUBSTITUTE(C307,"'",""),4),MID(SUBSTITUTE(C307,"'",""),6,2),1),0)+1)</f>
        <v>0</v>
      </c>
      <c r="E307" s="17">
        <f t="shared" si="1"/>
        <v>0</v>
      </c>
      <c r="F307" s="17">
        <f t="shared" si="2"/>
        <v>0</v>
      </c>
    </row>
    <row r="308">
      <c r="A308" s="5" t="s">
        <v>54</v>
      </c>
      <c r="B308" s="6">
        <v>948.0</v>
      </c>
      <c r="C308" s="13" t="s">
        <v>230</v>
      </c>
      <c r="D308" s="17">
        <f>SUMIFS(ShadowLedger!$D:$D,ShadowLedger!$G:$G,A308,ShadowLedger!$C:$C,"&gt;="&amp;DATE(LEFT(SUBSTITUTE(C308,"'",""),4),MID(SUBSTITUTE(C308,"'",""),6,2),1),ShadowLedger!$C:$C,"&lt;"&amp;EOMONTH(DATE(LEFT(SUBSTITUTE(C308,"'",""),4),MID(SUBSTITUTE(C308,"'",""),6,2),1),0)+1)</f>
        <v>0</v>
      </c>
      <c r="E308" s="17">
        <f t="shared" si="1"/>
        <v>948</v>
      </c>
      <c r="F308" s="17">
        <f t="shared" si="2"/>
        <v>0</v>
      </c>
    </row>
    <row r="309">
      <c r="A309" s="5" t="s">
        <v>55</v>
      </c>
      <c r="B309" s="6">
        <v>721.0</v>
      </c>
      <c r="C309" s="13" t="s">
        <v>230</v>
      </c>
      <c r="D309" s="17">
        <f>SUMIFS(ShadowLedger!$D:$D,ShadowLedger!$G:$G,A309,ShadowLedger!$C:$C,"&gt;="&amp;DATE(LEFT(SUBSTITUTE(C309,"'",""),4),MID(SUBSTITUTE(C309,"'",""),6,2),1),ShadowLedger!$C:$C,"&lt;"&amp;EOMONTH(DATE(LEFT(SUBSTITUTE(C309,"'",""),4),MID(SUBSTITUTE(C309,"'",""),6,2),1),0)+1)</f>
        <v>0</v>
      </c>
      <c r="E309" s="17">
        <f t="shared" si="1"/>
        <v>721</v>
      </c>
      <c r="F309" s="17">
        <f t="shared" si="2"/>
        <v>0</v>
      </c>
    </row>
    <row r="310">
      <c r="A310" s="5" t="s">
        <v>56</v>
      </c>
      <c r="B310" s="6">
        <v>515.0</v>
      </c>
      <c r="C310" s="13" t="s">
        <v>230</v>
      </c>
      <c r="D310" s="17">
        <f>SUMIFS(ShadowLedger!$D:$D,ShadowLedger!$G:$G,A310,ShadowLedger!$C:$C,"&gt;="&amp;DATE(LEFT(SUBSTITUTE(C310,"'",""),4),MID(SUBSTITUTE(C310,"'",""),6,2),1),ShadowLedger!$C:$C,"&lt;"&amp;EOMONTH(DATE(LEFT(SUBSTITUTE(C310,"'",""),4),MID(SUBSTITUTE(C310,"'",""),6,2),1),0)+1)</f>
        <v>0</v>
      </c>
      <c r="E310" s="17">
        <f t="shared" si="1"/>
        <v>515</v>
      </c>
      <c r="F310" s="17">
        <f t="shared" si="2"/>
        <v>0</v>
      </c>
    </row>
    <row r="311">
      <c r="A311" s="5" t="s">
        <v>57</v>
      </c>
      <c r="B311" s="6">
        <v>515.0</v>
      </c>
      <c r="C311" s="13" t="s">
        <v>230</v>
      </c>
      <c r="D311" s="17">
        <f>SUMIFS(ShadowLedger!$D:$D,ShadowLedger!$G:$G,A311,ShadowLedger!$C:$C,"&gt;="&amp;DATE(LEFT(SUBSTITUTE(C311,"'",""),4),MID(SUBSTITUTE(C311,"'",""),6,2),1),ShadowLedger!$C:$C,"&lt;"&amp;EOMONTH(DATE(LEFT(SUBSTITUTE(C311,"'",""),4),MID(SUBSTITUTE(C311,"'",""),6,2),1),0)+1)</f>
        <v>0</v>
      </c>
      <c r="E311" s="17">
        <f t="shared" si="1"/>
        <v>515</v>
      </c>
      <c r="F311" s="17">
        <f t="shared" si="2"/>
        <v>0</v>
      </c>
    </row>
    <row r="312">
      <c r="A312" s="5" t="s">
        <v>58</v>
      </c>
      <c r="B312" s="6">
        <v>412.0</v>
      </c>
      <c r="C312" s="13" t="s">
        <v>230</v>
      </c>
      <c r="D312" s="17">
        <f>SUMIFS(ShadowLedger!$D:$D,ShadowLedger!$G:$G,A312,ShadowLedger!$C:$C,"&gt;="&amp;DATE(LEFT(SUBSTITUTE(C312,"'",""),4),MID(SUBSTITUTE(C312,"'",""),6,2),1),ShadowLedger!$C:$C,"&lt;"&amp;EOMONTH(DATE(LEFT(SUBSTITUTE(C312,"'",""),4),MID(SUBSTITUTE(C312,"'",""),6,2),1),0)+1)</f>
        <v>0</v>
      </c>
      <c r="E312" s="17">
        <f t="shared" si="1"/>
        <v>412</v>
      </c>
      <c r="F312" s="17">
        <f t="shared" si="2"/>
        <v>0</v>
      </c>
    </row>
    <row r="313">
      <c r="A313" s="5" t="s">
        <v>59</v>
      </c>
      <c r="B313" s="6">
        <v>206.0</v>
      </c>
      <c r="C313" s="13" t="s">
        <v>230</v>
      </c>
      <c r="D313" s="17">
        <f>SUMIFS(ShadowLedger!$D:$D,ShadowLedger!$G:$G,A313,ShadowLedger!$C:$C,"&gt;="&amp;DATE(LEFT(SUBSTITUTE(C313,"'",""),4),MID(SUBSTITUTE(C313,"'",""),6,2),1),ShadowLedger!$C:$C,"&lt;"&amp;EOMONTH(DATE(LEFT(SUBSTITUTE(C313,"'",""),4),MID(SUBSTITUTE(C313,"'",""),6,2),1),0)+1)</f>
        <v>0</v>
      </c>
      <c r="E313" s="17">
        <f t="shared" si="1"/>
        <v>206</v>
      </c>
      <c r="F313" s="17">
        <f t="shared" si="2"/>
        <v>0</v>
      </c>
    </row>
    <row r="314">
      <c r="A314" s="5" t="s">
        <v>60</v>
      </c>
      <c r="B314" s="6">
        <v>155.0</v>
      </c>
      <c r="C314" s="13" t="s">
        <v>230</v>
      </c>
      <c r="D314" s="17">
        <f>SUMIFS(ShadowLedger!$D:$D,ShadowLedger!$G:$G,A314,ShadowLedger!$C:$C,"&gt;="&amp;DATE(LEFT(SUBSTITUTE(C314,"'",""),4),MID(SUBSTITUTE(C314,"'",""),6,2),1),ShadowLedger!$C:$C,"&lt;"&amp;EOMONTH(DATE(LEFT(SUBSTITUTE(C314,"'",""),4),MID(SUBSTITUTE(C314,"'",""),6,2),1),0)+1)</f>
        <v>0</v>
      </c>
      <c r="E314" s="17">
        <f t="shared" si="1"/>
        <v>155</v>
      </c>
      <c r="F314" s="17">
        <f t="shared" si="2"/>
        <v>0</v>
      </c>
    </row>
    <row r="315">
      <c r="A315" s="5" t="s">
        <v>61</v>
      </c>
      <c r="B315" s="6">
        <v>124.0</v>
      </c>
      <c r="C315" s="13" t="s">
        <v>230</v>
      </c>
      <c r="D315" s="17">
        <f>SUMIFS(ShadowLedger!$D:$D,ShadowLedger!$G:$G,A315,ShadowLedger!$C:$C,"&gt;="&amp;DATE(LEFT(SUBSTITUTE(C315,"'",""),4),MID(SUBSTITUTE(C315,"'",""),6,2),1),ShadowLedger!$C:$C,"&lt;"&amp;EOMONTH(DATE(LEFT(SUBSTITUTE(C315,"'",""),4),MID(SUBSTITUTE(C315,"'",""),6,2),1),0)+1)</f>
        <v>0</v>
      </c>
      <c r="E315" s="17">
        <f t="shared" si="1"/>
        <v>124</v>
      </c>
      <c r="F315" s="17">
        <f t="shared" si="2"/>
        <v>0</v>
      </c>
    </row>
    <row r="316">
      <c r="A316" s="5" t="s">
        <v>62</v>
      </c>
      <c r="B316" s="6">
        <v>124.0</v>
      </c>
      <c r="C316" s="13" t="s">
        <v>230</v>
      </c>
      <c r="D316" s="17">
        <f>SUMIFS(ShadowLedger!$D:$D,ShadowLedger!$G:$G,A316,ShadowLedger!$C:$C,"&gt;="&amp;DATE(LEFT(SUBSTITUTE(C316,"'",""),4),MID(SUBSTITUTE(C316,"'",""),6,2),1),ShadowLedger!$C:$C,"&lt;"&amp;EOMONTH(DATE(LEFT(SUBSTITUTE(C316,"'",""),4),MID(SUBSTITUTE(C316,"'",""),6,2),1),0)+1)</f>
        <v>0</v>
      </c>
      <c r="E316" s="17">
        <f t="shared" si="1"/>
        <v>124</v>
      </c>
      <c r="F316" s="17">
        <f t="shared" si="2"/>
        <v>0</v>
      </c>
    </row>
    <row r="317">
      <c r="A317" s="5" t="s">
        <v>63</v>
      </c>
      <c r="B317" s="6">
        <v>103.0</v>
      </c>
      <c r="C317" s="13" t="s">
        <v>230</v>
      </c>
      <c r="D317" s="17">
        <f>SUMIFS(ShadowLedger!$D:$D,ShadowLedger!$G:$G,A317,ShadowLedger!$C:$C,"&gt;="&amp;DATE(LEFT(SUBSTITUTE(C317,"'",""),4),MID(SUBSTITUTE(C317,"'",""),6,2),1),ShadowLedger!$C:$C,"&lt;"&amp;EOMONTH(DATE(LEFT(SUBSTITUTE(C317,"'",""),4),MID(SUBSTITUTE(C317,"'",""),6,2),1),0)+1)</f>
        <v>0</v>
      </c>
      <c r="E317" s="17">
        <f t="shared" si="1"/>
        <v>103</v>
      </c>
      <c r="F317" s="17">
        <f t="shared" si="2"/>
        <v>0</v>
      </c>
    </row>
    <row r="318">
      <c r="A318" s="5" t="s">
        <v>64</v>
      </c>
      <c r="B318" s="6">
        <v>103.0</v>
      </c>
      <c r="C318" s="13" t="s">
        <v>230</v>
      </c>
      <c r="D318" s="17">
        <f>SUMIFS(ShadowLedger!$D:$D,ShadowLedger!$G:$G,A318,ShadowLedger!$C:$C,"&gt;="&amp;DATE(LEFT(SUBSTITUTE(C318,"'",""),4),MID(SUBSTITUTE(C318,"'",""),6,2),1),ShadowLedger!$C:$C,"&lt;"&amp;EOMONTH(DATE(LEFT(SUBSTITUTE(C318,"'",""),4),MID(SUBSTITUTE(C318,"'",""),6,2),1),0)+1)</f>
        <v>0</v>
      </c>
      <c r="E318" s="17">
        <f t="shared" si="1"/>
        <v>103</v>
      </c>
      <c r="F318" s="17">
        <f t="shared" si="2"/>
        <v>0</v>
      </c>
    </row>
    <row r="319">
      <c r="A319" s="5" t="s">
        <v>70</v>
      </c>
      <c r="B319" s="6">
        <v>103.0</v>
      </c>
      <c r="C319" s="13" t="s">
        <v>230</v>
      </c>
      <c r="D319" s="17">
        <f>SUMIFS(ShadowLedger!$D:$D,ShadowLedger!$G:$G,A319,ShadowLedger!$C:$C,"&gt;="&amp;DATE(LEFT(SUBSTITUTE(C319,"'",""),4),MID(SUBSTITUTE(C319,"'",""),6,2),1),ShadowLedger!$C:$C,"&lt;"&amp;EOMONTH(DATE(LEFT(SUBSTITUTE(C319,"'",""),4),MID(SUBSTITUTE(C319,"'",""),6,2),1),0)+1)</f>
        <v>0</v>
      </c>
      <c r="E319" s="17">
        <f t="shared" si="1"/>
        <v>103</v>
      </c>
      <c r="F319" s="17">
        <f t="shared" si="2"/>
        <v>0</v>
      </c>
    </row>
    <row r="320">
      <c r="A320" s="5" t="s">
        <v>65</v>
      </c>
      <c r="B320" s="6">
        <v>52.0</v>
      </c>
      <c r="C320" s="13" t="s">
        <v>230</v>
      </c>
      <c r="D320" s="17">
        <f>SUMIFS(ShadowLedger!$D:$D,ShadowLedger!$G:$G,A320,ShadowLedger!$C:$C,"&gt;="&amp;DATE(LEFT(SUBSTITUTE(C320,"'",""),4),MID(SUBSTITUTE(C320,"'",""),6,2),1),ShadowLedger!$C:$C,"&lt;"&amp;EOMONTH(DATE(LEFT(SUBSTITUTE(C320,"'",""),4),MID(SUBSTITUTE(C320,"'",""),6,2),1),0)+1)</f>
        <v>0</v>
      </c>
      <c r="E320" s="17">
        <f t="shared" si="1"/>
        <v>52</v>
      </c>
      <c r="F320" s="17">
        <f t="shared" si="2"/>
        <v>0</v>
      </c>
    </row>
    <row r="321">
      <c r="A321" s="5" t="s">
        <v>66</v>
      </c>
      <c r="B321" s="6">
        <v>52.0</v>
      </c>
      <c r="C321" s="13" t="s">
        <v>230</v>
      </c>
      <c r="D321" s="17">
        <f>SUMIFS(ShadowLedger!$D:$D,ShadowLedger!$G:$G,A321,ShadowLedger!$C:$C,"&gt;="&amp;DATE(LEFT(SUBSTITUTE(C321,"'",""),4),MID(SUBSTITUTE(C321,"'",""),6,2),1),ShadowLedger!$C:$C,"&lt;"&amp;EOMONTH(DATE(LEFT(SUBSTITUTE(C321,"'",""),4),MID(SUBSTITUTE(C321,"'",""),6,2),1),0)+1)</f>
        <v>0</v>
      </c>
      <c r="E321" s="17">
        <f t="shared" si="1"/>
        <v>52</v>
      </c>
      <c r="F321" s="17">
        <f t="shared" si="2"/>
        <v>0</v>
      </c>
    </row>
    <row r="322">
      <c r="A322" s="5" t="s">
        <v>67</v>
      </c>
      <c r="B322" s="6">
        <v>52.0</v>
      </c>
      <c r="C322" s="13" t="s">
        <v>230</v>
      </c>
      <c r="D322" s="17">
        <f>SUMIFS(ShadowLedger!$D:$D,ShadowLedger!$G:$G,A322,ShadowLedger!$C:$C,"&gt;="&amp;DATE(LEFT(SUBSTITUTE(C322,"'",""),4),MID(SUBSTITUTE(C322,"'",""),6,2),1),ShadowLedger!$C:$C,"&lt;"&amp;EOMONTH(DATE(LEFT(SUBSTITUTE(C322,"'",""),4),MID(SUBSTITUTE(C322,"'",""),6,2),1),0)+1)</f>
        <v>0</v>
      </c>
      <c r="E322" s="17">
        <f t="shared" si="1"/>
        <v>52</v>
      </c>
      <c r="F322" s="17">
        <f t="shared" si="2"/>
        <v>0</v>
      </c>
    </row>
    <row r="323">
      <c r="A323" s="5" t="s">
        <v>68</v>
      </c>
      <c r="B323" s="6">
        <v>52.0</v>
      </c>
      <c r="C323" s="13" t="s">
        <v>230</v>
      </c>
      <c r="D323" s="17">
        <f>SUMIFS(ShadowLedger!$D:$D,ShadowLedger!$G:$G,A323,ShadowLedger!$C:$C,"&gt;="&amp;DATE(LEFT(SUBSTITUTE(C323,"'",""),4),MID(SUBSTITUTE(C323,"'",""),6,2),1),ShadowLedger!$C:$C,"&lt;"&amp;EOMONTH(DATE(LEFT(SUBSTITUTE(C323,"'",""),4),MID(SUBSTITUTE(C323,"'",""),6,2),1),0)+1)</f>
        <v>0</v>
      </c>
      <c r="E323" s="17">
        <f t="shared" si="1"/>
        <v>52</v>
      </c>
      <c r="F323" s="17">
        <f t="shared" si="2"/>
        <v>0</v>
      </c>
    </row>
    <row r="324">
      <c r="A324" s="5" t="s">
        <v>69</v>
      </c>
      <c r="B324" s="6">
        <v>0.0</v>
      </c>
      <c r="C324" s="13" t="s">
        <v>230</v>
      </c>
      <c r="D324" s="17">
        <f>SUMIFS(ShadowLedger!$D:$D,ShadowLedger!$G:$G,A324,ShadowLedger!$C:$C,"&gt;="&amp;DATE(LEFT(SUBSTITUTE(C324,"'",""),4),MID(SUBSTITUTE(C324,"'",""),6,2),1),ShadowLedger!$C:$C,"&lt;"&amp;EOMONTH(DATE(LEFT(SUBSTITUTE(C324,"'",""),4),MID(SUBSTITUTE(C324,"'",""),6,2),1),0)+1)</f>
        <v>0</v>
      </c>
      <c r="E324" s="17">
        <f t="shared" si="1"/>
        <v>0</v>
      </c>
      <c r="F324" s="17">
        <f t="shared" si="2"/>
        <v>0</v>
      </c>
    </row>
    <row r="325">
      <c r="A325" s="5" t="s">
        <v>54</v>
      </c>
      <c r="B325" s="6">
        <v>948.0</v>
      </c>
      <c r="C325" s="13" t="s">
        <v>231</v>
      </c>
      <c r="D325" s="17">
        <f>SUMIFS(ShadowLedger!$D:$D,ShadowLedger!$G:$G,A325,ShadowLedger!$C:$C,"&gt;="&amp;DATE(LEFT(SUBSTITUTE(C325,"'",""),4),MID(SUBSTITUTE(C325,"'",""),6,2),1),ShadowLedger!$C:$C,"&lt;"&amp;EOMONTH(DATE(LEFT(SUBSTITUTE(C325,"'",""),4),MID(SUBSTITUTE(C325,"'",""),6,2),1),0)+1)</f>
        <v>0</v>
      </c>
      <c r="E325" s="17">
        <f t="shared" si="1"/>
        <v>948</v>
      </c>
      <c r="F325" s="17">
        <f t="shared" si="2"/>
        <v>0</v>
      </c>
    </row>
    <row r="326">
      <c r="A326" s="5" t="s">
        <v>55</v>
      </c>
      <c r="B326" s="6">
        <v>721.0</v>
      </c>
      <c r="C326" s="13" t="s">
        <v>231</v>
      </c>
      <c r="D326" s="17">
        <f>SUMIFS(ShadowLedger!$D:$D,ShadowLedger!$G:$G,A326,ShadowLedger!$C:$C,"&gt;="&amp;DATE(LEFT(SUBSTITUTE(C326,"'",""),4),MID(SUBSTITUTE(C326,"'",""),6,2),1),ShadowLedger!$C:$C,"&lt;"&amp;EOMONTH(DATE(LEFT(SUBSTITUTE(C326,"'",""),4),MID(SUBSTITUTE(C326,"'",""),6,2),1),0)+1)</f>
        <v>0</v>
      </c>
      <c r="E326" s="17">
        <f t="shared" si="1"/>
        <v>721</v>
      </c>
      <c r="F326" s="17">
        <f t="shared" si="2"/>
        <v>0</v>
      </c>
    </row>
    <row r="327">
      <c r="A327" s="5" t="s">
        <v>56</v>
      </c>
      <c r="B327" s="6">
        <v>515.0</v>
      </c>
      <c r="C327" s="13" t="s">
        <v>231</v>
      </c>
      <c r="D327" s="17">
        <f>SUMIFS(ShadowLedger!$D:$D,ShadowLedger!$G:$G,A327,ShadowLedger!$C:$C,"&gt;="&amp;DATE(LEFT(SUBSTITUTE(C327,"'",""),4),MID(SUBSTITUTE(C327,"'",""),6,2),1),ShadowLedger!$C:$C,"&lt;"&amp;EOMONTH(DATE(LEFT(SUBSTITUTE(C327,"'",""),4),MID(SUBSTITUTE(C327,"'",""),6,2),1),0)+1)</f>
        <v>0</v>
      </c>
      <c r="E327" s="17">
        <f t="shared" si="1"/>
        <v>515</v>
      </c>
      <c r="F327" s="17">
        <f t="shared" si="2"/>
        <v>0</v>
      </c>
    </row>
    <row r="328">
      <c r="A328" s="5" t="s">
        <v>57</v>
      </c>
      <c r="B328" s="6">
        <v>515.0</v>
      </c>
      <c r="C328" s="13" t="s">
        <v>231</v>
      </c>
      <c r="D328" s="17">
        <f>SUMIFS(ShadowLedger!$D:$D,ShadowLedger!$G:$G,A328,ShadowLedger!$C:$C,"&gt;="&amp;DATE(LEFT(SUBSTITUTE(C328,"'",""),4),MID(SUBSTITUTE(C328,"'",""),6,2),1),ShadowLedger!$C:$C,"&lt;"&amp;EOMONTH(DATE(LEFT(SUBSTITUTE(C328,"'",""),4),MID(SUBSTITUTE(C328,"'",""),6,2),1),0)+1)</f>
        <v>0</v>
      </c>
      <c r="E328" s="17">
        <f t="shared" si="1"/>
        <v>515</v>
      </c>
      <c r="F328" s="17">
        <f t="shared" si="2"/>
        <v>0</v>
      </c>
    </row>
    <row r="329">
      <c r="A329" s="5" t="s">
        <v>58</v>
      </c>
      <c r="B329" s="6">
        <v>412.0</v>
      </c>
      <c r="C329" s="13" t="s">
        <v>231</v>
      </c>
      <c r="D329" s="17">
        <f>SUMIFS(ShadowLedger!$D:$D,ShadowLedger!$G:$G,A329,ShadowLedger!$C:$C,"&gt;="&amp;DATE(LEFT(SUBSTITUTE(C329,"'",""),4),MID(SUBSTITUTE(C329,"'",""),6,2),1),ShadowLedger!$C:$C,"&lt;"&amp;EOMONTH(DATE(LEFT(SUBSTITUTE(C329,"'",""),4),MID(SUBSTITUTE(C329,"'",""),6,2),1),0)+1)</f>
        <v>0</v>
      </c>
      <c r="E329" s="17">
        <f t="shared" si="1"/>
        <v>412</v>
      </c>
      <c r="F329" s="17">
        <f t="shared" si="2"/>
        <v>0</v>
      </c>
    </row>
    <row r="330">
      <c r="A330" s="5" t="s">
        <v>59</v>
      </c>
      <c r="B330" s="6">
        <v>206.0</v>
      </c>
      <c r="C330" s="13" t="s">
        <v>231</v>
      </c>
      <c r="D330" s="17">
        <f>SUMIFS(ShadowLedger!$D:$D,ShadowLedger!$G:$G,A330,ShadowLedger!$C:$C,"&gt;="&amp;DATE(LEFT(SUBSTITUTE(C330,"'",""),4),MID(SUBSTITUTE(C330,"'",""),6,2),1),ShadowLedger!$C:$C,"&lt;"&amp;EOMONTH(DATE(LEFT(SUBSTITUTE(C330,"'",""),4),MID(SUBSTITUTE(C330,"'",""),6,2),1),0)+1)</f>
        <v>0</v>
      </c>
      <c r="E330" s="17">
        <f t="shared" si="1"/>
        <v>206</v>
      </c>
      <c r="F330" s="17">
        <f t="shared" si="2"/>
        <v>0</v>
      </c>
    </row>
    <row r="331">
      <c r="A331" s="5" t="s">
        <v>60</v>
      </c>
      <c r="B331" s="6">
        <v>155.0</v>
      </c>
      <c r="C331" s="13" t="s">
        <v>231</v>
      </c>
      <c r="D331" s="17">
        <f>SUMIFS(ShadowLedger!$D:$D,ShadowLedger!$G:$G,A331,ShadowLedger!$C:$C,"&gt;="&amp;DATE(LEFT(SUBSTITUTE(C331,"'",""),4),MID(SUBSTITUTE(C331,"'",""),6,2),1),ShadowLedger!$C:$C,"&lt;"&amp;EOMONTH(DATE(LEFT(SUBSTITUTE(C331,"'",""),4),MID(SUBSTITUTE(C331,"'",""),6,2),1),0)+1)</f>
        <v>0</v>
      </c>
      <c r="E331" s="17">
        <f t="shared" si="1"/>
        <v>155</v>
      </c>
      <c r="F331" s="17">
        <f t="shared" si="2"/>
        <v>0</v>
      </c>
    </row>
    <row r="332">
      <c r="A332" s="5" t="s">
        <v>61</v>
      </c>
      <c r="B332" s="6">
        <v>124.0</v>
      </c>
      <c r="C332" s="13" t="s">
        <v>231</v>
      </c>
      <c r="D332" s="17">
        <f>SUMIFS(ShadowLedger!$D:$D,ShadowLedger!$G:$G,A332,ShadowLedger!$C:$C,"&gt;="&amp;DATE(LEFT(SUBSTITUTE(C332,"'",""),4),MID(SUBSTITUTE(C332,"'",""),6,2),1),ShadowLedger!$C:$C,"&lt;"&amp;EOMONTH(DATE(LEFT(SUBSTITUTE(C332,"'",""),4),MID(SUBSTITUTE(C332,"'",""),6,2),1),0)+1)</f>
        <v>0</v>
      </c>
      <c r="E332" s="17">
        <f t="shared" si="1"/>
        <v>124</v>
      </c>
      <c r="F332" s="17">
        <f t="shared" si="2"/>
        <v>0</v>
      </c>
    </row>
    <row r="333">
      <c r="A333" s="5" t="s">
        <v>62</v>
      </c>
      <c r="B333" s="6">
        <v>124.0</v>
      </c>
      <c r="C333" s="13" t="s">
        <v>231</v>
      </c>
      <c r="D333" s="17">
        <f>SUMIFS(ShadowLedger!$D:$D,ShadowLedger!$G:$G,A333,ShadowLedger!$C:$C,"&gt;="&amp;DATE(LEFT(SUBSTITUTE(C333,"'",""),4),MID(SUBSTITUTE(C333,"'",""),6,2),1),ShadowLedger!$C:$C,"&lt;"&amp;EOMONTH(DATE(LEFT(SUBSTITUTE(C333,"'",""),4),MID(SUBSTITUTE(C333,"'",""),6,2),1),0)+1)</f>
        <v>0</v>
      </c>
      <c r="E333" s="17">
        <f t="shared" si="1"/>
        <v>124</v>
      </c>
      <c r="F333" s="17">
        <f t="shared" si="2"/>
        <v>0</v>
      </c>
    </row>
    <row r="334">
      <c r="A334" s="5" t="s">
        <v>63</v>
      </c>
      <c r="B334" s="6">
        <v>103.0</v>
      </c>
      <c r="C334" s="13" t="s">
        <v>231</v>
      </c>
      <c r="D334" s="17">
        <f>SUMIFS(ShadowLedger!$D:$D,ShadowLedger!$G:$G,A334,ShadowLedger!$C:$C,"&gt;="&amp;DATE(LEFT(SUBSTITUTE(C334,"'",""),4),MID(SUBSTITUTE(C334,"'",""),6,2),1),ShadowLedger!$C:$C,"&lt;"&amp;EOMONTH(DATE(LEFT(SUBSTITUTE(C334,"'",""),4),MID(SUBSTITUTE(C334,"'",""),6,2),1),0)+1)</f>
        <v>0</v>
      </c>
      <c r="E334" s="17">
        <f t="shared" si="1"/>
        <v>103</v>
      </c>
      <c r="F334" s="17">
        <f t="shared" si="2"/>
        <v>0</v>
      </c>
    </row>
    <row r="335">
      <c r="A335" s="5" t="s">
        <v>64</v>
      </c>
      <c r="B335" s="6">
        <v>103.0</v>
      </c>
      <c r="C335" s="13" t="s">
        <v>231</v>
      </c>
      <c r="D335" s="17">
        <f>SUMIFS(ShadowLedger!$D:$D,ShadowLedger!$G:$G,A335,ShadowLedger!$C:$C,"&gt;="&amp;DATE(LEFT(SUBSTITUTE(C335,"'",""),4),MID(SUBSTITUTE(C335,"'",""),6,2),1),ShadowLedger!$C:$C,"&lt;"&amp;EOMONTH(DATE(LEFT(SUBSTITUTE(C335,"'",""),4),MID(SUBSTITUTE(C335,"'",""),6,2),1),0)+1)</f>
        <v>0</v>
      </c>
      <c r="E335" s="17">
        <f t="shared" si="1"/>
        <v>103</v>
      </c>
      <c r="F335" s="17">
        <f t="shared" si="2"/>
        <v>0</v>
      </c>
    </row>
    <row r="336">
      <c r="A336" s="5" t="s">
        <v>70</v>
      </c>
      <c r="B336" s="6">
        <v>103.0</v>
      </c>
      <c r="C336" s="13" t="s">
        <v>231</v>
      </c>
      <c r="D336" s="17">
        <f>SUMIFS(ShadowLedger!$D:$D,ShadowLedger!$G:$G,A336,ShadowLedger!$C:$C,"&gt;="&amp;DATE(LEFT(SUBSTITUTE(C336,"'",""),4),MID(SUBSTITUTE(C336,"'",""),6,2),1),ShadowLedger!$C:$C,"&lt;"&amp;EOMONTH(DATE(LEFT(SUBSTITUTE(C336,"'",""),4),MID(SUBSTITUTE(C336,"'",""),6,2),1),0)+1)</f>
        <v>0</v>
      </c>
      <c r="E336" s="17">
        <f t="shared" si="1"/>
        <v>103</v>
      </c>
      <c r="F336" s="17">
        <f t="shared" si="2"/>
        <v>0</v>
      </c>
    </row>
    <row r="337">
      <c r="A337" s="5" t="s">
        <v>65</v>
      </c>
      <c r="B337" s="6">
        <v>52.0</v>
      </c>
      <c r="C337" s="13" t="s">
        <v>231</v>
      </c>
      <c r="D337" s="17">
        <f>SUMIFS(ShadowLedger!$D:$D,ShadowLedger!$G:$G,A337,ShadowLedger!$C:$C,"&gt;="&amp;DATE(LEFT(SUBSTITUTE(C337,"'",""),4),MID(SUBSTITUTE(C337,"'",""),6,2),1),ShadowLedger!$C:$C,"&lt;"&amp;EOMONTH(DATE(LEFT(SUBSTITUTE(C337,"'",""),4),MID(SUBSTITUTE(C337,"'",""),6,2),1),0)+1)</f>
        <v>0</v>
      </c>
      <c r="E337" s="17">
        <f t="shared" si="1"/>
        <v>52</v>
      </c>
      <c r="F337" s="17">
        <f t="shared" si="2"/>
        <v>0</v>
      </c>
    </row>
    <row r="338">
      <c r="A338" s="5" t="s">
        <v>66</v>
      </c>
      <c r="B338" s="6">
        <v>52.0</v>
      </c>
      <c r="C338" s="13" t="s">
        <v>231</v>
      </c>
      <c r="D338" s="17">
        <f>SUMIFS(ShadowLedger!$D:$D,ShadowLedger!$G:$G,A338,ShadowLedger!$C:$C,"&gt;="&amp;DATE(LEFT(SUBSTITUTE(C338,"'",""),4),MID(SUBSTITUTE(C338,"'",""),6,2),1),ShadowLedger!$C:$C,"&lt;"&amp;EOMONTH(DATE(LEFT(SUBSTITUTE(C338,"'",""),4),MID(SUBSTITUTE(C338,"'",""),6,2),1),0)+1)</f>
        <v>0</v>
      </c>
      <c r="E338" s="17">
        <f t="shared" si="1"/>
        <v>52</v>
      </c>
      <c r="F338" s="17">
        <f t="shared" si="2"/>
        <v>0</v>
      </c>
    </row>
    <row r="339">
      <c r="A339" s="5" t="s">
        <v>67</v>
      </c>
      <c r="B339" s="6">
        <v>52.0</v>
      </c>
      <c r="C339" s="13" t="s">
        <v>231</v>
      </c>
      <c r="D339" s="17">
        <f>SUMIFS(ShadowLedger!$D:$D,ShadowLedger!$G:$G,A339,ShadowLedger!$C:$C,"&gt;="&amp;DATE(LEFT(SUBSTITUTE(C339,"'",""),4),MID(SUBSTITUTE(C339,"'",""),6,2),1),ShadowLedger!$C:$C,"&lt;"&amp;EOMONTH(DATE(LEFT(SUBSTITUTE(C339,"'",""),4),MID(SUBSTITUTE(C339,"'",""),6,2),1),0)+1)</f>
        <v>0</v>
      </c>
      <c r="E339" s="17">
        <f t="shared" si="1"/>
        <v>52</v>
      </c>
      <c r="F339" s="17">
        <f t="shared" si="2"/>
        <v>0</v>
      </c>
    </row>
    <row r="340">
      <c r="A340" s="5" t="s">
        <v>68</v>
      </c>
      <c r="B340" s="6">
        <v>52.0</v>
      </c>
      <c r="C340" s="13" t="s">
        <v>231</v>
      </c>
      <c r="D340" s="17">
        <f>SUMIFS(ShadowLedger!$D:$D,ShadowLedger!$G:$G,A340,ShadowLedger!$C:$C,"&gt;="&amp;DATE(LEFT(SUBSTITUTE(C340,"'",""),4),MID(SUBSTITUTE(C340,"'",""),6,2),1),ShadowLedger!$C:$C,"&lt;"&amp;EOMONTH(DATE(LEFT(SUBSTITUTE(C340,"'",""),4),MID(SUBSTITUTE(C340,"'",""),6,2),1),0)+1)</f>
        <v>0</v>
      </c>
      <c r="E340" s="17">
        <f t="shared" si="1"/>
        <v>52</v>
      </c>
      <c r="F340" s="17">
        <f t="shared" si="2"/>
        <v>0</v>
      </c>
    </row>
    <row r="341">
      <c r="A341" s="5" t="s">
        <v>69</v>
      </c>
      <c r="B341" s="6">
        <v>0.0</v>
      </c>
      <c r="C341" s="13" t="s">
        <v>231</v>
      </c>
      <c r="D341" s="17">
        <f>SUMIFS(ShadowLedger!$D:$D,ShadowLedger!$G:$G,A341,ShadowLedger!$C:$C,"&gt;="&amp;DATE(LEFT(SUBSTITUTE(C341,"'",""),4),MID(SUBSTITUTE(C341,"'",""),6,2),1),ShadowLedger!$C:$C,"&lt;"&amp;EOMONTH(DATE(LEFT(SUBSTITUTE(C341,"'",""),4),MID(SUBSTITUTE(C341,"'",""),6,2),1),0)+1)</f>
        <v>0</v>
      </c>
      <c r="E341" s="17">
        <f t="shared" si="1"/>
        <v>0</v>
      </c>
      <c r="F341" s="17">
        <f t="shared" si="2"/>
        <v>0</v>
      </c>
    </row>
    <row r="342">
      <c r="A342" s="5" t="s">
        <v>54</v>
      </c>
      <c r="B342" s="6">
        <v>948.0</v>
      </c>
      <c r="C342" s="13" t="s">
        <v>232</v>
      </c>
      <c r="D342" s="17">
        <f>SUMIFS(ShadowLedger!$D:$D,ShadowLedger!$G:$G,A342,ShadowLedger!$C:$C,"&gt;="&amp;DATE(LEFT(SUBSTITUTE(C342,"'",""),4),MID(SUBSTITUTE(C342,"'",""),6,2),1),ShadowLedger!$C:$C,"&lt;"&amp;EOMONTH(DATE(LEFT(SUBSTITUTE(C342,"'",""),4),MID(SUBSTITUTE(C342,"'",""),6,2),1),0)+1)</f>
        <v>0</v>
      </c>
      <c r="E342" s="17">
        <f t="shared" si="1"/>
        <v>948</v>
      </c>
      <c r="F342" s="17">
        <f t="shared" si="2"/>
        <v>0</v>
      </c>
    </row>
    <row r="343">
      <c r="A343" s="5" t="s">
        <v>55</v>
      </c>
      <c r="B343" s="6">
        <v>721.0</v>
      </c>
      <c r="C343" s="13" t="s">
        <v>232</v>
      </c>
      <c r="D343" s="17">
        <f>SUMIFS(ShadowLedger!$D:$D,ShadowLedger!$G:$G,A343,ShadowLedger!$C:$C,"&gt;="&amp;DATE(LEFT(SUBSTITUTE(C343,"'",""),4),MID(SUBSTITUTE(C343,"'",""),6,2),1),ShadowLedger!$C:$C,"&lt;"&amp;EOMONTH(DATE(LEFT(SUBSTITUTE(C343,"'",""),4),MID(SUBSTITUTE(C343,"'",""),6,2),1),0)+1)</f>
        <v>0</v>
      </c>
      <c r="E343" s="17">
        <f t="shared" si="1"/>
        <v>721</v>
      </c>
      <c r="F343" s="17">
        <f t="shared" si="2"/>
        <v>0</v>
      </c>
    </row>
    <row r="344">
      <c r="A344" s="5" t="s">
        <v>56</v>
      </c>
      <c r="B344" s="6">
        <v>515.0</v>
      </c>
      <c r="C344" s="13" t="s">
        <v>232</v>
      </c>
      <c r="D344" s="17">
        <f>SUMIFS(ShadowLedger!$D:$D,ShadowLedger!$G:$G,A344,ShadowLedger!$C:$C,"&gt;="&amp;DATE(LEFT(SUBSTITUTE(C344,"'",""),4),MID(SUBSTITUTE(C344,"'",""),6,2),1),ShadowLedger!$C:$C,"&lt;"&amp;EOMONTH(DATE(LEFT(SUBSTITUTE(C344,"'",""),4),MID(SUBSTITUTE(C344,"'",""),6,2),1),0)+1)</f>
        <v>0</v>
      </c>
      <c r="E344" s="17">
        <f t="shared" si="1"/>
        <v>515</v>
      </c>
      <c r="F344" s="17">
        <f t="shared" si="2"/>
        <v>0</v>
      </c>
    </row>
    <row r="345">
      <c r="A345" s="5" t="s">
        <v>57</v>
      </c>
      <c r="B345" s="6">
        <v>515.0</v>
      </c>
      <c r="C345" s="13" t="s">
        <v>232</v>
      </c>
      <c r="D345" s="17">
        <f>SUMIFS(ShadowLedger!$D:$D,ShadowLedger!$G:$G,A345,ShadowLedger!$C:$C,"&gt;="&amp;DATE(LEFT(SUBSTITUTE(C345,"'",""),4),MID(SUBSTITUTE(C345,"'",""),6,2),1),ShadowLedger!$C:$C,"&lt;"&amp;EOMONTH(DATE(LEFT(SUBSTITUTE(C345,"'",""),4),MID(SUBSTITUTE(C345,"'",""),6,2),1),0)+1)</f>
        <v>0</v>
      </c>
      <c r="E345" s="17">
        <f t="shared" si="1"/>
        <v>515</v>
      </c>
      <c r="F345" s="17">
        <f t="shared" si="2"/>
        <v>0</v>
      </c>
    </row>
    <row r="346">
      <c r="A346" s="5" t="s">
        <v>58</v>
      </c>
      <c r="B346" s="6">
        <v>412.0</v>
      </c>
      <c r="C346" s="13" t="s">
        <v>232</v>
      </c>
      <c r="D346" s="17">
        <f>SUMIFS(ShadowLedger!$D:$D,ShadowLedger!$G:$G,A346,ShadowLedger!$C:$C,"&gt;="&amp;DATE(LEFT(SUBSTITUTE(C346,"'",""),4),MID(SUBSTITUTE(C346,"'",""),6,2),1),ShadowLedger!$C:$C,"&lt;"&amp;EOMONTH(DATE(LEFT(SUBSTITUTE(C346,"'",""),4),MID(SUBSTITUTE(C346,"'",""),6,2),1),0)+1)</f>
        <v>0</v>
      </c>
      <c r="E346" s="17">
        <f t="shared" si="1"/>
        <v>412</v>
      </c>
      <c r="F346" s="17">
        <f t="shared" si="2"/>
        <v>0</v>
      </c>
    </row>
    <row r="347">
      <c r="A347" s="5" t="s">
        <v>59</v>
      </c>
      <c r="B347" s="6">
        <v>206.0</v>
      </c>
      <c r="C347" s="13" t="s">
        <v>232</v>
      </c>
      <c r="D347" s="17">
        <f>SUMIFS(ShadowLedger!$D:$D,ShadowLedger!$G:$G,A347,ShadowLedger!$C:$C,"&gt;="&amp;DATE(LEFT(SUBSTITUTE(C347,"'",""),4),MID(SUBSTITUTE(C347,"'",""),6,2),1),ShadowLedger!$C:$C,"&lt;"&amp;EOMONTH(DATE(LEFT(SUBSTITUTE(C347,"'",""),4),MID(SUBSTITUTE(C347,"'",""),6,2),1),0)+1)</f>
        <v>0</v>
      </c>
      <c r="E347" s="17">
        <f t="shared" si="1"/>
        <v>206</v>
      </c>
      <c r="F347" s="17">
        <f t="shared" si="2"/>
        <v>0</v>
      </c>
    </row>
    <row r="348">
      <c r="A348" s="5" t="s">
        <v>60</v>
      </c>
      <c r="B348" s="6">
        <v>155.0</v>
      </c>
      <c r="C348" s="13" t="s">
        <v>232</v>
      </c>
      <c r="D348" s="17">
        <f>SUMIFS(ShadowLedger!$D:$D,ShadowLedger!$G:$G,A348,ShadowLedger!$C:$C,"&gt;="&amp;DATE(LEFT(SUBSTITUTE(C348,"'",""),4),MID(SUBSTITUTE(C348,"'",""),6,2),1),ShadowLedger!$C:$C,"&lt;"&amp;EOMONTH(DATE(LEFT(SUBSTITUTE(C348,"'",""),4),MID(SUBSTITUTE(C348,"'",""),6,2),1),0)+1)</f>
        <v>0</v>
      </c>
      <c r="E348" s="17">
        <f t="shared" si="1"/>
        <v>155</v>
      </c>
      <c r="F348" s="17">
        <f t="shared" si="2"/>
        <v>0</v>
      </c>
    </row>
    <row r="349">
      <c r="A349" s="5" t="s">
        <v>61</v>
      </c>
      <c r="B349" s="6">
        <v>124.0</v>
      </c>
      <c r="C349" s="13" t="s">
        <v>232</v>
      </c>
      <c r="D349" s="17">
        <f>SUMIFS(ShadowLedger!$D:$D,ShadowLedger!$G:$G,A349,ShadowLedger!$C:$C,"&gt;="&amp;DATE(LEFT(SUBSTITUTE(C349,"'",""),4),MID(SUBSTITUTE(C349,"'",""),6,2),1),ShadowLedger!$C:$C,"&lt;"&amp;EOMONTH(DATE(LEFT(SUBSTITUTE(C349,"'",""),4),MID(SUBSTITUTE(C349,"'",""),6,2),1),0)+1)</f>
        <v>0</v>
      </c>
      <c r="E349" s="17">
        <f t="shared" si="1"/>
        <v>124</v>
      </c>
      <c r="F349" s="17">
        <f t="shared" si="2"/>
        <v>0</v>
      </c>
    </row>
    <row r="350">
      <c r="A350" s="5" t="s">
        <v>62</v>
      </c>
      <c r="B350" s="6">
        <v>124.0</v>
      </c>
      <c r="C350" s="13" t="s">
        <v>232</v>
      </c>
      <c r="D350" s="17">
        <f>SUMIFS(ShadowLedger!$D:$D,ShadowLedger!$G:$G,A350,ShadowLedger!$C:$C,"&gt;="&amp;DATE(LEFT(SUBSTITUTE(C350,"'",""),4),MID(SUBSTITUTE(C350,"'",""),6,2),1),ShadowLedger!$C:$C,"&lt;"&amp;EOMONTH(DATE(LEFT(SUBSTITUTE(C350,"'",""),4),MID(SUBSTITUTE(C350,"'",""),6,2),1),0)+1)</f>
        <v>0</v>
      </c>
      <c r="E350" s="17">
        <f t="shared" si="1"/>
        <v>124</v>
      </c>
      <c r="F350" s="17">
        <f t="shared" si="2"/>
        <v>0</v>
      </c>
    </row>
    <row r="351">
      <c r="A351" s="5" t="s">
        <v>63</v>
      </c>
      <c r="B351" s="6">
        <v>103.0</v>
      </c>
      <c r="C351" s="13" t="s">
        <v>232</v>
      </c>
      <c r="D351" s="17">
        <f>SUMIFS(ShadowLedger!$D:$D,ShadowLedger!$G:$G,A351,ShadowLedger!$C:$C,"&gt;="&amp;DATE(LEFT(SUBSTITUTE(C351,"'",""),4),MID(SUBSTITUTE(C351,"'",""),6,2),1),ShadowLedger!$C:$C,"&lt;"&amp;EOMONTH(DATE(LEFT(SUBSTITUTE(C351,"'",""),4),MID(SUBSTITUTE(C351,"'",""),6,2),1),0)+1)</f>
        <v>0</v>
      </c>
      <c r="E351" s="17">
        <f t="shared" si="1"/>
        <v>103</v>
      </c>
      <c r="F351" s="17">
        <f t="shared" si="2"/>
        <v>0</v>
      </c>
    </row>
    <row r="352">
      <c r="A352" s="5" t="s">
        <v>64</v>
      </c>
      <c r="B352" s="6">
        <v>103.0</v>
      </c>
      <c r="C352" s="13" t="s">
        <v>232</v>
      </c>
      <c r="D352" s="17">
        <f>SUMIFS(ShadowLedger!$D:$D,ShadowLedger!$G:$G,A352,ShadowLedger!$C:$C,"&gt;="&amp;DATE(LEFT(SUBSTITUTE(C352,"'",""),4),MID(SUBSTITUTE(C352,"'",""),6,2),1),ShadowLedger!$C:$C,"&lt;"&amp;EOMONTH(DATE(LEFT(SUBSTITUTE(C352,"'",""),4),MID(SUBSTITUTE(C352,"'",""),6,2),1),0)+1)</f>
        <v>0</v>
      </c>
      <c r="E352" s="17">
        <f t="shared" si="1"/>
        <v>103</v>
      </c>
      <c r="F352" s="17">
        <f t="shared" si="2"/>
        <v>0</v>
      </c>
    </row>
    <row r="353">
      <c r="A353" s="5" t="s">
        <v>70</v>
      </c>
      <c r="B353" s="6">
        <v>103.0</v>
      </c>
      <c r="C353" s="13" t="s">
        <v>232</v>
      </c>
      <c r="D353" s="17">
        <f>SUMIFS(ShadowLedger!$D:$D,ShadowLedger!$G:$G,A353,ShadowLedger!$C:$C,"&gt;="&amp;DATE(LEFT(SUBSTITUTE(C353,"'",""),4),MID(SUBSTITUTE(C353,"'",""),6,2),1),ShadowLedger!$C:$C,"&lt;"&amp;EOMONTH(DATE(LEFT(SUBSTITUTE(C353,"'",""),4),MID(SUBSTITUTE(C353,"'",""),6,2),1),0)+1)</f>
        <v>0</v>
      </c>
      <c r="E353" s="17">
        <f t="shared" si="1"/>
        <v>103</v>
      </c>
      <c r="F353" s="17">
        <f t="shared" si="2"/>
        <v>0</v>
      </c>
    </row>
    <row r="354">
      <c r="A354" s="5" t="s">
        <v>65</v>
      </c>
      <c r="B354" s="6">
        <v>52.0</v>
      </c>
      <c r="C354" s="13" t="s">
        <v>232</v>
      </c>
      <c r="D354" s="17">
        <f>SUMIFS(ShadowLedger!$D:$D,ShadowLedger!$G:$G,A354,ShadowLedger!$C:$C,"&gt;="&amp;DATE(LEFT(SUBSTITUTE(C354,"'",""),4),MID(SUBSTITUTE(C354,"'",""),6,2),1),ShadowLedger!$C:$C,"&lt;"&amp;EOMONTH(DATE(LEFT(SUBSTITUTE(C354,"'",""),4),MID(SUBSTITUTE(C354,"'",""),6,2),1),0)+1)</f>
        <v>0</v>
      </c>
      <c r="E354" s="17">
        <f t="shared" si="1"/>
        <v>52</v>
      </c>
      <c r="F354" s="17">
        <f t="shared" si="2"/>
        <v>0</v>
      </c>
    </row>
    <row r="355">
      <c r="A355" s="5" t="s">
        <v>66</v>
      </c>
      <c r="B355" s="6">
        <v>52.0</v>
      </c>
      <c r="C355" s="13" t="s">
        <v>232</v>
      </c>
      <c r="D355" s="17">
        <f>SUMIFS(ShadowLedger!$D:$D,ShadowLedger!$G:$G,A355,ShadowLedger!$C:$C,"&gt;="&amp;DATE(LEFT(SUBSTITUTE(C355,"'",""),4),MID(SUBSTITUTE(C355,"'",""),6,2),1),ShadowLedger!$C:$C,"&lt;"&amp;EOMONTH(DATE(LEFT(SUBSTITUTE(C355,"'",""),4),MID(SUBSTITUTE(C355,"'",""),6,2),1),0)+1)</f>
        <v>0</v>
      </c>
      <c r="E355" s="17">
        <f t="shared" si="1"/>
        <v>52</v>
      </c>
      <c r="F355" s="17">
        <f t="shared" si="2"/>
        <v>0</v>
      </c>
    </row>
    <row r="356">
      <c r="A356" s="5" t="s">
        <v>67</v>
      </c>
      <c r="B356" s="6">
        <v>52.0</v>
      </c>
      <c r="C356" s="13" t="s">
        <v>232</v>
      </c>
      <c r="D356" s="17">
        <f>SUMIFS(ShadowLedger!$D:$D,ShadowLedger!$G:$G,A356,ShadowLedger!$C:$C,"&gt;="&amp;DATE(LEFT(SUBSTITUTE(C356,"'",""),4),MID(SUBSTITUTE(C356,"'",""),6,2),1),ShadowLedger!$C:$C,"&lt;"&amp;EOMONTH(DATE(LEFT(SUBSTITUTE(C356,"'",""),4),MID(SUBSTITUTE(C356,"'",""),6,2),1),0)+1)</f>
        <v>0</v>
      </c>
      <c r="E356" s="17">
        <f t="shared" si="1"/>
        <v>52</v>
      </c>
      <c r="F356" s="17">
        <f t="shared" si="2"/>
        <v>0</v>
      </c>
    </row>
    <row r="357">
      <c r="A357" s="5" t="s">
        <v>68</v>
      </c>
      <c r="B357" s="6">
        <v>52.0</v>
      </c>
      <c r="C357" s="13" t="s">
        <v>232</v>
      </c>
      <c r="D357" s="17">
        <f>SUMIFS(ShadowLedger!$D:$D,ShadowLedger!$G:$G,A357,ShadowLedger!$C:$C,"&gt;="&amp;DATE(LEFT(SUBSTITUTE(C357,"'",""),4),MID(SUBSTITUTE(C357,"'",""),6,2),1),ShadowLedger!$C:$C,"&lt;"&amp;EOMONTH(DATE(LEFT(SUBSTITUTE(C357,"'",""),4),MID(SUBSTITUTE(C357,"'",""),6,2),1),0)+1)</f>
        <v>0</v>
      </c>
      <c r="E357" s="17">
        <f t="shared" si="1"/>
        <v>52</v>
      </c>
      <c r="F357" s="17">
        <f t="shared" si="2"/>
        <v>0</v>
      </c>
    </row>
    <row r="358">
      <c r="A358" s="5" t="s">
        <v>69</v>
      </c>
      <c r="B358" s="6">
        <v>0.0</v>
      </c>
      <c r="C358" s="13" t="s">
        <v>232</v>
      </c>
      <c r="D358" s="17">
        <f>SUMIFS(ShadowLedger!$D:$D,ShadowLedger!$G:$G,A358,ShadowLedger!$C:$C,"&gt;="&amp;DATE(LEFT(SUBSTITUTE(C358,"'",""),4),MID(SUBSTITUTE(C358,"'",""),6,2),1),ShadowLedger!$C:$C,"&lt;"&amp;EOMONTH(DATE(LEFT(SUBSTITUTE(C358,"'",""),4),MID(SUBSTITUTE(C358,"'",""),6,2),1),0)+1)</f>
        <v>0</v>
      </c>
      <c r="E358" s="17">
        <f t="shared" si="1"/>
        <v>0</v>
      </c>
      <c r="F358" s="17">
        <f t="shared" si="2"/>
        <v>0</v>
      </c>
    </row>
    <row r="359">
      <c r="A359" s="5" t="s">
        <v>54</v>
      </c>
      <c r="B359" s="6">
        <v>948.0</v>
      </c>
      <c r="C359" s="13" t="s">
        <v>233</v>
      </c>
      <c r="D359" s="17">
        <f>SUMIFS(ShadowLedger!$D:$D,ShadowLedger!$G:$G,A359,ShadowLedger!$C:$C,"&gt;="&amp;DATE(LEFT(SUBSTITUTE(C359,"'",""),4),MID(SUBSTITUTE(C359,"'",""),6,2),1),ShadowLedger!$C:$C,"&lt;"&amp;EOMONTH(DATE(LEFT(SUBSTITUTE(C359,"'",""),4),MID(SUBSTITUTE(C359,"'",""),6,2),1),0)+1)</f>
        <v>0</v>
      </c>
      <c r="E359" s="17">
        <f t="shared" si="1"/>
        <v>948</v>
      </c>
      <c r="F359" s="17">
        <f t="shared" si="2"/>
        <v>0</v>
      </c>
    </row>
    <row r="360">
      <c r="A360" s="5" t="s">
        <v>55</v>
      </c>
      <c r="B360" s="6">
        <v>721.0</v>
      </c>
      <c r="C360" s="13" t="s">
        <v>233</v>
      </c>
      <c r="D360" s="17">
        <f>SUMIFS(ShadowLedger!$D:$D,ShadowLedger!$G:$G,A360,ShadowLedger!$C:$C,"&gt;="&amp;DATE(LEFT(SUBSTITUTE(C360,"'",""),4),MID(SUBSTITUTE(C360,"'",""),6,2),1),ShadowLedger!$C:$C,"&lt;"&amp;EOMONTH(DATE(LEFT(SUBSTITUTE(C360,"'",""),4),MID(SUBSTITUTE(C360,"'",""),6,2),1),0)+1)</f>
        <v>0</v>
      </c>
      <c r="E360" s="17">
        <f t="shared" si="1"/>
        <v>721</v>
      </c>
      <c r="F360" s="17">
        <f t="shared" si="2"/>
        <v>0</v>
      </c>
    </row>
    <row r="361">
      <c r="A361" s="5" t="s">
        <v>56</v>
      </c>
      <c r="B361" s="6">
        <v>515.0</v>
      </c>
      <c r="C361" s="13" t="s">
        <v>233</v>
      </c>
      <c r="D361" s="17">
        <f>SUMIFS(ShadowLedger!$D:$D,ShadowLedger!$G:$G,A361,ShadowLedger!$C:$C,"&gt;="&amp;DATE(LEFT(SUBSTITUTE(C361,"'",""),4),MID(SUBSTITUTE(C361,"'",""),6,2),1),ShadowLedger!$C:$C,"&lt;"&amp;EOMONTH(DATE(LEFT(SUBSTITUTE(C361,"'",""),4),MID(SUBSTITUTE(C361,"'",""),6,2),1),0)+1)</f>
        <v>0</v>
      </c>
      <c r="E361" s="17">
        <f t="shared" si="1"/>
        <v>515</v>
      </c>
      <c r="F361" s="17">
        <f t="shared" si="2"/>
        <v>0</v>
      </c>
    </row>
    <row r="362">
      <c r="A362" s="5" t="s">
        <v>57</v>
      </c>
      <c r="B362" s="6">
        <v>515.0</v>
      </c>
      <c r="C362" s="13" t="s">
        <v>233</v>
      </c>
      <c r="D362" s="17">
        <f>SUMIFS(ShadowLedger!$D:$D,ShadowLedger!$G:$G,A362,ShadowLedger!$C:$C,"&gt;="&amp;DATE(LEFT(SUBSTITUTE(C362,"'",""),4),MID(SUBSTITUTE(C362,"'",""),6,2),1),ShadowLedger!$C:$C,"&lt;"&amp;EOMONTH(DATE(LEFT(SUBSTITUTE(C362,"'",""),4),MID(SUBSTITUTE(C362,"'",""),6,2),1),0)+1)</f>
        <v>0</v>
      </c>
      <c r="E362" s="17">
        <f t="shared" si="1"/>
        <v>515</v>
      </c>
      <c r="F362" s="17">
        <f t="shared" si="2"/>
        <v>0</v>
      </c>
    </row>
    <row r="363">
      <c r="A363" s="5" t="s">
        <v>58</v>
      </c>
      <c r="B363" s="6">
        <v>412.0</v>
      </c>
      <c r="C363" s="13" t="s">
        <v>233</v>
      </c>
      <c r="D363" s="17">
        <f>SUMIFS(ShadowLedger!$D:$D,ShadowLedger!$G:$G,A363,ShadowLedger!$C:$C,"&gt;="&amp;DATE(LEFT(SUBSTITUTE(C363,"'",""),4),MID(SUBSTITUTE(C363,"'",""),6,2),1),ShadowLedger!$C:$C,"&lt;"&amp;EOMONTH(DATE(LEFT(SUBSTITUTE(C363,"'",""),4),MID(SUBSTITUTE(C363,"'",""),6,2),1),0)+1)</f>
        <v>0</v>
      </c>
      <c r="E363" s="17">
        <f t="shared" si="1"/>
        <v>412</v>
      </c>
      <c r="F363" s="17">
        <f t="shared" si="2"/>
        <v>0</v>
      </c>
    </row>
    <row r="364">
      <c r="A364" s="5" t="s">
        <v>59</v>
      </c>
      <c r="B364" s="6">
        <v>206.0</v>
      </c>
      <c r="C364" s="13" t="s">
        <v>233</v>
      </c>
      <c r="D364" s="17">
        <f>SUMIFS(ShadowLedger!$D:$D,ShadowLedger!$G:$G,A364,ShadowLedger!$C:$C,"&gt;="&amp;DATE(LEFT(SUBSTITUTE(C364,"'",""),4),MID(SUBSTITUTE(C364,"'",""),6,2),1),ShadowLedger!$C:$C,"&lt;"&amp;EOMONTH(DATE(LEFT(SUBSTITUTE(C364,"'",""),4),MID(SUBSTITUTE(C364,"'",""),6,2),1),0)+1)</f>
        <v>0</v>
      </c>
      <c r="E364" s="17">
        <f t="shared" si="1"/>
        <v>206</v>
      </c>
      <c r="F364" s="17">
        <f t="shared" si="2"/>
        <v>0</v>
      </c>
    </row>
    <row r="365">
      <c r="A365" s="5" t="s">
        <v>60</v>
      </c>
      <c r="B365" s="6">
        <v>155.0</v>
      </c>
      <c r="C365" s="13" t="s">
        <v>233</v>
      </c>
      <c r="D365" s="17">
        <f>SUMIFS(ShadowLedger!$D:$D,ShadowLedger!$G:$G,A365,ShadowLedger!$C:$C,"&gt;="&amp;DATE(LEFT(SUBSTITUTE(C365,"'",""),4),MID(SUBSTITUTE(C365,"'",""),6,2),1),ShadowLedger!$C:$C,"&lt;"&amp;EOMONTH(DATE(LEFT(SUBSTITUTE(C365,"'",""),4),MID(SUBSTITUTE(C365,"'",""),6,2),1),0)+1)</f>
        <v>0</v>
      </c>
      <c r="E365" s="17">
        <f t="shared" si="1"/>
        <v>155</v>
      </c>
      <c r="F365" s="17">
        <f t="shared" si="2"/>
        <v>0</v>
      </c>
    </row>
    <row r="366">
      <c r="A366" s="5" t="s">
        <v>61</v>
      </c>
      <c r="B366" s="6">
        <v>124.0</v>
      </c>
      <c r="C366" s="13" t="s">
        <v>233</v>
      </c>
      <c r="D366" s="17">
        <f>SUMIFS(ShadowLedger!$D:$D,ShadowLedger!$G:$G,A366,ShadowLedger!$C:$C,"&gt;="&amp;DATE(LEFT(SUBSTITUTE(C366,"'",""),4),MID(SUBSTITUTE(C366,"'",""),6,2),1),ShadowLedger!$C:$C,"&lt;"&amp;EOMONTH(DATE(LEFT(SUBSTITUTE(C366,"'",""),4),MID(SUBSTITUTE(C366,"'",""),6,2),1),0)+1)</f>
        <v>0</v>
      </c>
      <c r="E366" s="17">
        <f t="shared" si="1"/>
        <v>124</v>
      </c>
      <c r="F366" s="17">
        <f t="shared" si="2"/>
        <v>0</v>
      </c>
    </row>
    <row r="367">
      <c r="A367" s="5" t="s">
        <v>62</v>
      </c>
      <c r="B367" s="6">
        <v>124.0</v>
      </c>
      <c r="C367" s="13" t="s">
        <v>233</v>
      </c>
      <c r="D367" s="17">
        <f>SUMIFS(ShadowLedger!$D:$D,ShadowLedger!$G:$G,A367,ShadowLedger!$C:$C,"&gt;="&amp;DATE(LEFT(SUBSTITUTE(C367,"'",""),4),MID(SUBSTITUTE(C367,"'",""),6,2),1),ShadowLedger!$C:$C,"&lt;"&amp;EOMONTH(DATE(LEFT(SUBSTITUTE(C367,"'",""),4),MID(SUBSTITUTE(C367,"'",""),6,2),1),0)+1)</f>
        <v>0</v>
      </c>
      <c r="E367" s="17">
        <f t="shared" si="1"/>
        <v>124</v>
      </c>
      <c r="F367" s="17">
        <f t="shared" si="2"/>
        <v>0</v>
      </c>
    </row>
    <row r="368">
      <c r="A368" s="5" t="s">
        <v>63</v>
      </c>
      <c r="B368" s="6">
        <v>103.0</v>
      </c>
      <c r="C368" s="13" t="s">
        <v>233</v>
      </c>
      <c r="D368" s="17">
        <f>SUMIFS(ShadowLedger!$D:$D,ShadowLedger!$G:$G,A368,ShadowLedger!$C:$C,"&gt;="&amp;DATE(LEFT(SUBSTITUTE(C368,"'",""),4),MID(SUBSTITUTE(C368,"'",""),6,2),1),ShadowLedger!$C:$C,"&lt;"&amp;EOMONTH(DATE(LEFT(SUBSTITUTE(C368,"'",""),4),MID(SUBSTITUTE(C368,"'",""),6,2),1),0)+1)</f>
        <v>0</v>
      </c>
      <c r="E368" s="17">
        <f t="shared" si="1"/>
        <v>103</v>
      </c>
      <c r="F368" s="17">
        <f t="shared" si="2"/>
        <v>0</v>
      </c>
    </row>
    <row r="369">
      <c r="A369" s="5" t="s">
        <v>64</v>
      </c>
      <c r="B369" s="6">
        <v>103.0</v>
      </c>
      <c r="C369" s="13" t="s">
        <v>233</v>
      </c>
      <c r="D369" s="17">
        <f>SUMIFS(ShadowLedger!$D:$D,ShadowLedger!$G:$G,A369,ShadowLedger!$C:$C,"&gt;="&amp;DATE(LEFT(SUBSTITUTE(C369,"'",""),4),MID(SUBSTITUTE(C369,"'",""),6,2),1),ShadowLedger!$C:$C,"&lt;"&amp;EOMONTH(DATE(LEFT(SUBSTITUTE(C369,"'",""),4),MID(SUBSTITUTE(C369,"'",""),6,2),1),0)+1)</f>
        <v>0</v>
      </c>
      <c r="E369" s="17">
        <f t="shared" si="1"/>
        <v>103</v>
      </c>
      <c r="F369" s="17">
        <f t="shared" si="2"/>
        <v>0</v>
      </c>
    </row>
    <row r="370">
      <c r="A370" s="5" t="s">
        <v>70</v>
      </c>
      <c r="B370" s="6">
        <v>103.0</v>
      </c>
      <c r="C370" s="13" t="s">
        <v>233</v>
      </c>
      <c r="D370" s="17">
        <f>SUMIFS(ShadowLedger!$D:$D,ShadowLedger!$G:$G,A370,ShadowLedger!$C:$C,"&gt;="&amp;DATE(LEFT(SUBSTITUTE(C370,"'",""),4),MID(SUBSTITUTE(C370,"'",""),6,2),1),ShadowLedger!$C:$C,"&lt;"&amp;EOMONTH(DATE(LEFT(SUBSTITUTE(C370,"'",""),4),MID(SUBSTITUTE(C370,"'",""),6,2),1),0)+1)</f>
        <v>0</v>
      </c>
      <c r="E370" s="17">
        <f t="shared" si="1"/>
        <v>103</v>
      </c>
      <c r="F370" s="17">
        <f t="shared" si="2"/>
        <v>0</v>
      </c>
    </row>
    <row r="371">
      <c r="A371" s="5" t="s">
        <v>65</v>
      </c>
      <c r="B371" s="6">
        <v>52.0</v>
      </c>
      <c r="C371" s="13" t="s">
        <v>233</v>
      </c>
      <c r="D371" s="17">
        <f>SUMIFS(ShadowLedger!$D:$D,ShadowLedger!$G:$G,A371,ShadowLedger!$C:$C,"&gt;="&amp;DATE(LEFT(SUBSTITUTE(C371,"'",""),4),MID(SUBSTITUTE(C371,"'",""),6,2),1),ShadowLedger!$C:$C,"&lt;"&amp;EOMONTH(DATE(LEFT(SUBSTITUTE(C371,"'",""),4),MID(SUBSTITUTE(C371,"'",""),6,2),1),0)+1)</f>
        <v>0</v>
      </c>
      <c r="E371" s="17">
        <f t="shared" si="1"/>
        <v>52</v>
      </c>
      <c r="F371" s="17">
        <f t="shared" si="2"/>
        <v>0</v>
      </c>
    </row>
    <row r="372">
      <c r="A372" s="5" t="s">
        <v>66</v>
      </c>
      <c r="B372" s="6">
        <v>52.0</v>
      </c>
      <c r="C372" s="13" t="s">
        <v>233</v>
      </c>
      <c r="D372" s="17">
        <f>SUMIFS(ShadowLedger!$D:$D,ShadowLedger!$G:$G,A372,ShadowLedger!$C:$C,"&gt;="&amp;DATE(LEFT(SUBSTITUTE(C372,"'",""),4),MID(SUBSTITUTE(C372,"'",""),6,2),1),ShadowLedger!$C:$C,"&lt;"&amp;EOMONTH(DATE(LEFT(SUBSTITUTE(C372,"'",""),4),MID(SUBSTITUTE(C372,"'",""),6,2),1),0)+1)</f>
        <v>0</v>
      </c>
      <c r="E372" s="17">
        <f t="shared" si="1"/>
        <v>52</v>
      </c>
      <c r="F372" s="17">
        <f t="shared" si="2"/>
        <v>0</v>
      </c>
    </row>
    <row r="373">
      <c r="A373" s="5" t="s">
        <v>67</v>
      </c>
      <c r="B373" s="6">
        <v>52.0</v>
      </c>
      <c r="C373" s="13" t="s">
        <v>233</v>
      </c>
      <c r="D373" s="17">
        <f>SUMIFS(ShadowLedger!$D:$D,ShadowLedger!$G:$G,A373,ShadowLedger!$C:$C,"&gt;="&amp;DATE(LEFT(SUBSTITUTE(C373,"'",""),4),MID(SUBSTITUTE(C373,"'",""),6,2),1),ShadowLedger!$C:$C,"&lt;"&amp;EOMONTH(DATE(LEFT(SUBSTITUTE(C373,"'",""),4),MID(SUBSTITUTE(C373,"'",""),6,2),1),0)+1)</f>
        <v>0</v>
      </c>
      <c r="E373" s="17">
        <f t="shared" si="1"/>
        <v>52</v>
      </c>
      <c r="F373" s="17">
        <f t="shared" si="2"/>
        <v>0</v>
      </c>
    </row>
    <row r="374">
      <c r="A374" s="5" t="s">
        <v>68</v>
      </c>
      <c r="B374" s="6">
        <v>52.0</v>
      </c>
      <c r="C374" s="13" t="s">
        <v>233</v>
      </c>
      <c r="D374" s="17">
        <f>SUMIFS(ShadowLedger!$D:$D,ShadowLedger!$G:$G,A374,ShadowLedger!$C:$C,"&gt;="&amp;DATE(LEFT(SUBSTITUTE(C374,"'",""),4),MID(SUBSTITUTE(C374,"'",""),6,2),1),ShadowLedger!$C:$C,"&lt;"&amp;EOMONTH(DATE(LEFT(SUBSTITUTE(C374,"'",""),4),MID(SUBSTITUTE(C374,"'",""),6,2),1),0)+1)</f>
        <v>0</v>
      </c>
      <c r="E374" s="17">
        <f t="shared" si="1"/>
        <v>52</v>
      </c>
      <c r="F374" s="17">
        <f t="shared" si="2"/>
        <v>0</v>
      </c>
    </row>
    <row r="375">
      <c r="A375" s="5" t="s">
        <v>69</v>
      </c>
      <c r="B375" s="6">
        <v>0.0</v>
      </c>
      <c r="C375" s="13" t="s">
        <v>233</v>
      </c>
      <c r="D375" s="17">
        <f>SUMIFS(ShadowLedger!$D:$D,ShadowLedger!$G:$G,A375,ShadowLedger!$C:$C,"&gt;="&amp;DATE(LEFT(SUBSTITUTE(C375,"'",""),4),MID(SUBSTITUTE(C375,"'",""),6,2),1),ShadowLedger!$C:$C,"&lt;"&amp;EOMONTH(DATE(LEFT(SUBSTITUTE(C375,"'",""),4),MID(SUBSTITUTE(C375,"'",""),6,2),1),0)+1)</f>
        <v>0</v>
      </c>
      <c r="E375" s="17">
        <f t="shared" si="1"/>
        <v>0</v>
      </c>
      <c r="F375" s="17">
        <f t="shared" si="2"/>
        <v>0</v>
      </c>
    </row>
    <row r="376">
      <c r="A376" s="5" t="s">
        <v>54</v>
      </c>
      <c r="B376" s="6">
        <v>948.0</v>
      </c>
      <c r="C376" s="13" t="s">
        <v>234</v>
      </c>
      <c r="D376" s="17">
        <f>SUMIFS(ShadowLedger!$D:$D,ShadowLedger!$G:$G,A376,ShadowLedger!$C:$C,"&gt;="&amp;DATE(LEFT(SUBSTITUTE(C376,"'",""),4),MID(SUBSTITUTE(C376,"'",""),6,2),1),ShadowLedger!$C:$C,"&lt;"&amp;EOMONTH(DATE(LEFT(SUBSTITUTE(C376,"'",""),4),MID(SUBSTITUTE(C376,"'",""),6,2),1),0)+1)</f>
        <v>0</v>
      </c>
      <c r="E376" s="17">
        <f t="shared" si="1"/>
        <v>948</v>
      </c>
      <c r="F376" s="17">
        <f t="shared" si="2"/>
        <v>0</v>
      </c>
    </row>
    <row r="377">
      <c r="A377" s="5" t="s">
        <v>55</v>
      </c>
      <c r="B377" s="6">
        <v>721.0</v>
      </c>
      <c r="C377" s="13" t="s">
        <v>234</v>
      </c>
      <c r="D377" s="17">
        <f>SUMIFS(ShadowLedger!$D:$D,ShadowLedger!$G:$G,A377,ShadowLedger!$C:$C,"&gt;="&amp;DATE(LEFT(SUBSTITUTE(C377,"'",""),4),MID(SUBSTITUTE(C377,"'",""),6,2),1),ShadowLedger!$C:$C,"&lt;"&amp;EOMONTH(DATE(LEFT(SUBSTITUTE(C377,"'",""),4),MID(SUBSTITUTE(C377,"'",""),6,2),1),0)+1)</f>
        <v>0</v>
      </c>
      <c r="E377" s="17">
        <f t="shared" si="1"/>
        <v>721</v>
      </c>
      <c r="F377" s="17">
        <f t="shared" si="2"/>
        <v>0</v>
      </c>
    </row>
    <row r="378">
      <c r="A378" s="5" t="s">
        <v>56</v>
      </c>
      <c r="B378" s="6">
        <v>515.0</v>
      </c>
      <c r="C378" s="13" t="s">
        <v>234</v>
      </c>
      <c r="D378" s="17">
        <f>SUMIFS(ShadowLedger!$D:$D,ShadowLedger!$G:$G,A378,ShadowLedger!$C:$C,"&gt;="&amp;DATE(LEFT(SUBSTITUTE(C378,"'",""),4),MID(SUBSTITUTE(C378,"'",""),6,2),1),ShadowLedger!$C:$C,"&lt;"&amp;EOMONTH(DATE(LEFT(SUBSTITUTE(C378,"'",""),4),MID(SUBSTITUTE(C378,"'",""),6,2),1),0)+1)</f>
        <v>0</v>
      </c>
      <c r="E378" s="17">
        <f t="shared" si="1"/>
        <v>515</v>
      </c>
      <c r="F378" s="17">
        <f t="shared" si="2"/>
        <v>0</v>
      </c>
    </row>
    <row r="379">
      <c r="A379" s="5" t="s">
        <v>57</v>
      </c>
      <c r="B379" s="6">
        <v>515.0</v>
      </c>
      <c r="C379" s="13" t="s">
        <v>234</v>
      </c>
      <c r="D379" s="17">
        <f>SUMIFS(ShadowLedger!$D:$D,ShadowLedger!$G:$G,A379,ShadowLedger!$C:$C,"&gt;="&amp;DATE(LEFT(SUBSTITUTE(C379,"'",""),4),MID(SUBSTITUTE(C379,"'",""),6,2),1),ShadowLedger!$C:$C,"&lt;"&amp;EOMONTH(DATE(LEFT(SUBSTITUTE(C379,"'",""),4),MID(SUBSTITUTE(C379,"'",""),6,2),1),0)+1)</f>
        <v>0</v>
      </c>
      <c r="E379" s="17">
        <f t="shared" si="1"/>
        <v>515</v>
      </c>
      <c r="F379" s="17">
        <f t="shared" si="2"/>
        <v>0</v>
      </c>
    </row>
    <row r="380">
      <c r="A380" s="5" t="s">
        <v>58</v>
      </c>
      <c r="B380" s="6">
        <v>412.0</v>
      </c>
      <c r="C380" s="13" t="s">
        <v>234</v>
      </c>
      <c r="D380" s="17">
        <f>SUMIFS(ShadowLedger!$D:$D,ShadowLedger!$G:$G,A380,ShadowLedger!$C:$C,"&gt;="&amp;DATE(LEFT(SUBSTITUTE(C380,"'",""),4),MID(SUBSTITUTE(C380,"'",""),6,2),1),ShadowLedger!$C:$C,"&lt;"&amp;EOMONTH(DATE(LEFT(SUBSTITUTE(C380,"'",""),4),MID(SUBSTITUTE(C380,"'",""),6,2),1),0)+1)</f>
        <v>0</v>
      </c>
      <c r="E380" s="17">
        <f t="shared" si="1"/>
        <v>412</v>
      </c>
      <c r="F380" s="17">
        <f t="shared" si="2"/>
        <v>0</v>
      </c>
    </row>
    <row r="381">
      <c r="A381" s="5" t="s">
        <v>59</v>
      </c>
      <c r="B381" s="6">
        <v>206.0</v>
      </c>
      <c r="C381" s="13" t="s">
        <v>234</v>
      </c>
      <c r="D381" s="17">
        <f>SUMIFS(ShadowLedger!$D:$D,ShadowLedger!$G:$G,A381,ShadowLedger!$C:$C,"&gt;="&amp;DATE(LEFT(SUBSTITUTE(C381,"'",""),4),MID(SUBSTITUTE(C381,"'",""),6,2),1),ShadowLedger!$C:$C,"&lt;"&amp;EOMONTH(DATE(LEFT(SUBSTITUTE(C381,"'",""),4),MID(SUBSTITUTE(C381,"'",""),6,2),1),0)+1)</f>
        <v>0</v>
      </c>
      <c r="E381" s="17">
        <f t="shared" si="1"/>
        <v>206</v>
      </c>
      <c r="F381" s="17">
        <f t="shared" si="2"/>
        <v>0</v>
      </c>
    </row>
    <row r="382">
      <c r="A382" s="5" t="s">
        <v>60</v>
      </c>
      <c r="B382" s="6">
        <v>155.0</v>
      </c>
      <c r="C382" s="13" t="s">
        <v>234</v>
      </c>
      <c r="D382" s="17">
        <f>SUMIFS(ShadowLedger!$D:$D,ShadowLedger!$G:$G,A382,ShadowLedger!$C:$C,"&gt;="&amp;DATE(LEFT(SUBSTITUTE(C382,"'",""),4),MID(SUBSTITUTE(C382,"'",""),6,2),1),ShadowLedger!$C:$C,"&lt;"&amp;EOMONTH(DATE(LEFT(SUBSTITUTE(C382,"'",""),4),MID(SUBSTITUTE(C382,"'",""),6,2),1),0)+1)</f>
        <v>0</v>
      </c>
      <c r="E382" s="17">
        <f t="shared" si="1"/>
        <v>155</v>
      </c>
      <c r="F382" s="17">
        <f t="shared" si="2"/>
        <v>0</v>
      </c>
    </row>
    <row r="383">
      <c r="A383" s="5" t="s">
        <v>61</v>
      </c>
      <c r="B383" s="6">
        <v>124.0</v>
      </c>
      <c r="C383" s="13" t="s">
        <v>234</v>
      </c>
      <c r="D383" s="17">
        <f>SUMIFS(ShadowLedger!$D:$D,ShadowLedger!$G:$G,A383,ShadowLedger!$C:$C,"&gt;="&amp;DATE(LEFT(SUBSTITUTE(C383,"'",""),4),MID(SUBSTITUTE(C383,"'",""),6,2),1),ShadowLedger!$C:$C,"&lt;"&amp;EOMONTH(DATE(LEFT(SUBSTITUTE(C383,"'",""),4),MID(SUBSTITUTE(C383,"'",""),6,2),1),0)+1)</f>
        <v>0</v>
      </c>
      <c r="E383" s="17">
        <f t="shared" si="1"/>
        <v>124</v>
      </c>
      <c r="F383" s="17">
        <f t="shared" si="2"/>
        <v>0</v>
      </c>
    </row>
    <row r="384">
      <c r="A384" s="5" t="s">
        <v>62</v>
      </c>
      <c r="B384" s="6">
        <v>124.0</v>
      </c>
      <c r="C384" s="13" t="s">
        <v>234</v>
      </c>
      <c r="D384" s="17">
        <f>SUMIFS(ShadowLedger!$D:$D,ShadowLedger!$G:$G,A384,ShadowLedger!$C:$C,"&gt;="&amp;DATE(LEFT(SUBSTITUTE(C384,"'",""),4),MID(SUBSTITUTE(C384,"'",""),6,2),1),ShadowLedger!$C:$C,"&lt;"&amp;EOMONTH(DATE(LEFT(SUBSTITUTE(C384,"'",""),4),MID(SUBSTITUTE(C384,"'",""),6,2),1),0)+1)</f>
        <v>0</v>
      </c>
      <c r="E384" s="17">
        <f t="shared" si="1"/>
        <v>124</v>
      </c>
      <c r="F384" s="17">
        <f t="shared" si="2"/>
        <v>0</v>
      </c>
    </row>
    <row r="385">
      <c r="A385" s="5" t="s">
        <v>63</v>
      </c>
      <c r="B385" s="6">
        <v>103.0</v>
      </c>
      <c r="C385" s="13" t="s">
        <v>234</v>
      </c>
      <c r="D385" s="17">
        <f>SUMIFS(ShadowLedger!$D:$D,ShadowLedger!$G:$G,A385,ShadowLedger!$C:$C,"&gt;="&amp;DATE(LEFT(SUBSTITUTE(C385,"'",""),4),MID(SUBSTITUTE(C385,"'",""),6,2),1),ShadowLedger!$C:$C,"&lt;"&amp;EOMONTH(DATE(LEFT(SUBSTITUTE(C385,"'",""),4),MID(SUBSTITUTE(C385,"'",""),6,2),1),0)+1)</f>
        <v>0</v>
      </c>
      <c r="E385" s="17">
        <f t="shared" si="1"/>
        <v>103</v>
      </c>
      <c r="F385" s="17">
        <f t="shared" si="2"/>
        <v>0</v>
      </c>
    </row>
    <row r="386">
      <c r="A386" s="5" t="s">
        <v>64</v>
      </c>
      <c r="B386" s="6">
        <v>103.0</v>
      </c>
      <c r="C386" s="13" t="s">
        <v>234</v>
      </c>
      <c r="D386" s="17">
        <f>SUMIFS(ShadowLedger!$D:$D,ShadowLedger!$G:$G,A386,ShadowLedger!$C:$C,"&gt;="&amp;DATE(LEFT(SUBSTITUTE(C386,"'",""),4),MID(SUBSTITUTE(C386,"'",""),6,2),1),ShadowLedger!$C:$C,"&lt;"&amp;EOMONTH(DATE(LEFT(SUBSTITUTE(C386,"'",""),4),MID(SUBSTITUTE(C386,"'",""),6,2),1),0)+1)</f>
        <v>0</v>
      </c>
      <c r="E386" s="17">
        <f t="shared" si="1"/>
        <v>103</v>
      </c>
      <c r="F386" s="17">
        <f t="shared" si="2"/>
        <v>0</v>
      </c>
    </row>
    <row r="387">
      <c r="A387" s="5" t="s">
        <v>70</v>
      </c>
      <c r="B387" s="6">
        <v>103.0</v>
      </c>
      <c r="C387" s="13" t="s">
        <v>234</v>
      </c>
      <c r="D387" s="17">
        <f>SUMIFS(ShadowLedger!$D:$D,ShadowLedger!$G:$G,A387,ShadowLedger!$C:$C,"&gt;="&amp;DATE(LEFT(SUBSTITUTE(C387,"'",""),4),MID(SUBSTITUTE(C387,"'",""),6,2),1),ShadowLedger!$C:$C,"&lt;"&amp;EOMONTH(DATE(LEFT(SUBSTITUTE(C387,"'",""),4),MID(SUBSTITUTE(C387,"'",""),6,2),1),0)+1)</f>
        <v>0</v>
      </c>
      <c r="E387" s="17">
        <f t="shared" si="1"/>
        <v>103</v>
      </c>
      <c r="F387" s="17">
        <f t="shared" si="2"/>
        <v>0</v>
      </c>
    </row>
    <row r="388">
      <c r="A388" s="5" t="s">
        <v>65</v>
      </c>
      <c r="B388" s="6">
        <v>52.0</v>
      </c>
      <c r="C388" s="13" t="s">
        <v>234</v>
      </c>
      <c r="D388" s="17">
        <f>SUMIFS(ShadowLedger!$D:$D,ShadowLedger!$G:$G,A388,ShadowLedger!$C:$C,"&gt;="&amp;DATE(LEFT(SUBSTITUTE(C388,"'",""),4),MID(SUBSTITUTE(C388,"'",""),6,2),1),ShadowLedger!$C:$C,"&lt;"&amp;EOMONTH(DATE(LEFT(SUBSTITUTE(C388,"'",""),4),MID(SUBSTITUTE(C388,"'",""),6,2),1),0)+1)</f>
        <v>0</v>
      </c>
      <c r="E388" s="17">
        <f t="shared" si="1"/>
        <v>52</v>
      </c>
      <c r="F388" s="17">
        <f t="shared" si="2"/>
        <v>0</v>
      </c>
    </row>
    <row r="389">
      <c r="A389" s="5" t="s">
        <v>66</v>
      </c>
      <c r="B389" s="6">
        <v>52.0</v>
      </c>
      <c r="C389" s="13" t="s">
        <v>234</v>
      </c>
      <c r="D389" s="17">
        <f>SUMIFS(ShadowLedger!$D:$D,ShadowLedger!$G:$G,A389,ShadowLedger!$C:$C,"&gt;="&amp;DATE(LEFT(SUBSTITUTE(C389,"'",""),4),MID(SUBSTITUTE(C389,"'",""),6,2),1),ShadowLedger!$C:$C,"&lt;"&amp;EOMONTH(DATE(LEFT(SUBSTITUTE(C389,"'",""),4),MID(SUBSTITUTE(C389,"'",""),6,2),1),0)+1)</f>
        <v>0</v>
      </c>
      <c r="E389" s="17">
        <f t="shared" si="1"/>
        <v>52</v>
      </c>
      <c r="F389" s="17">
        <f t="shared" si="2"/>
        <v>0</v>
      </c>
    </row>
    <row r="390">
      <c r="A390" s="5" t="s">
        <v>67</v>
      </c>
      <c r="B390" s="6">
        <v>52.0</v>
      </c>
      <c r="C390" s="13" t="s">
        <v>234</v>
      </c>
      <c r="D390" s="17">
        <f>SUMIFS(ShadowLedger!$D:$D,ShadowLedger!$G:$G,A390,ShadowLedger!$C:$C,"&gt;="&amp;DATE(LEFT(SUBSTITUTE(C390,"'",""),4),MID(SUBSTITUTE(C390,"'",""),6,2),1),ShadowLedger!$C:$C,"&lt;"&amp;EOMONTH(DATE(LEFT(SUBSTITUTE(C390,"'",""),4),MID(SUBSTITUTE(C390,"'",""),6,2),1),0)+1)</f>
        <v>0</v>
      </c>
      <c r="E390" s="17">
        <f t="shared" si="1"/>
        <v>52</v>
      </c>
      <c r="F390" s="17">
        <f t="shared" si="2"/>
        <v>0</v>
      </c>
    </row>
    <row r="391">
      <c r="A391" s="5" t="s">
        <v>68</v>
      </c>
      <c r="B391" s="6">
        <v>52.0</v>
      </c>
      <c r="C391" s="13" t="s">
        <v>234</v>
      </c>
      <c r="D391" s="17">
        <f>SUMIFS(ShadowLedger!$D:$D,ShadowLedger!$G:$G,A391,ShadowLedger!$C:$C,"&gt;="&amp;DATE(LEFT(SUBSTITUTE(C391,"'",""),4),MID(SUBSTITUTE(C391,"'",""),6,2),1),ShadowLedger!$C:$C,"&lt;"&amp;EOMONTH(DATE(LEFT(SUBSTITUTE(C391,"'",""),4),MID(SUBSTITUTE(C391,"'",""),6,2),1),0)+1)</f>
        <v>0</v>
      </c>
      <c r="E391" s="17">
        <f t="shared" si="1"/>
        <v>52</v>
      </c>
      <c r="F391" s="17">
        <f t="shared" si="2"/>
        <v>0</v>
      </c>
    </row>
    <row r="392">
      <c r="A392" s="5" t="s">
        <v>69</v>
      </c>
      <c r="B392" s="6">
        <v>0.0</v>
      </c>
      <c r="C392" s="13" t="s">
        <v>234</v>
      </c>
      <c r="D392" s="17">
        <f>SUMIFS(ShadowLedger!$D:$D,ShadowLedger!$G:$G,A392,ShadowLedger!$C:$C,"&gt;="&amp;DATE(LEFT(SUBSTITUTE(C392,"'",""),4),MID(SUBSTITUTE(C392,"'",""),6,2),1),ShadowLedger!$C:$C,"&lt;"&amp;EOMONTH(DATE(LEFT(SUBSTITUTE(C392,"'",""),4),MID(SUBSTITUTE(C392,"'",""),6,2),1),0)+1)</f>
        <v>0</v>
      </c>
      <c r="E392" s="17">
        <f t="shared" si="1"/>
        <v>0</v>
      </c>
      <c r="F392" s="17">
        <f t="shared" si="2"/>
        <v>0</v>
      </c>
    </row>
    <row r="393">
      <c r="A393" s="5" t="s">
        <v>54</v>
      </c>
      <c r="B393" s="6">
        <v>948.0</v>
      </c>
      <c r="C393" s="13" t="s">
        <v>235</v>
      </c>
      <c r="D393" s="17">
        <f>SUMIFS(ShadowLedger!$D:$D,ShadowLedger!$G:$G,A393,ShadowLedger!$C:$C,"&gt;="&amp;DATE(LEFT(SUBSTITUTE(C393,"'",""),4),MID(SUBSTITUTE(C393,"'",""),6,2),1),ShadowLedger!$C:$C,"&lt;"&amp;EOMONTH(DATE(LEFT(SUBSTITUTE(C393,"'",""),4),MID(SUBSTITUTE(C393,"'",""),6,2),1),0)+1)</f>
        <v>0</v>
      </c>
      <c r="E393" s="17">
        <f t="shared" si="1"/>
        <v>948</v>
      </c>
      <c r="F393" s="17">
        <f t="shared" si="2"/>
        <v>0</v>
      </c>
    </row>
    <row r="394">
      <c r="A394" s="5" t="s">
        <v>55</v>
      </c>
      <c r="B394" s="6">
        <v>721.0</v>
      </c>
      <c r="C394" s="13" t="s">
        <v>235</v>
      </c>
      <c r="D394" s="17">
        <f>SUMIFS(ShadowLedger!$D:$D,ShadowLedger!$G:$G,A394,ShadowLedger!$C:$C,"&gt;="&amp;DATE(LEFT(SUBSTITUTE(C394,"'",""),4),MID(SUBSTITUTE(C394,"'",""),6,2),1),ShadowLedger!$C:$C,"&lt;"&amp;EOMONTH(DATE(LEFT(SUBSTITUTE(C394,"'",""),4),MID(SUBSTITUTE(C394,"'",""),6,2),1),0)+1)</f>
        <v>0</v>
      </c>
      <c r="E394" s="17">
        <f t="shared" si="1"/>
        <v>721</v>
      </c>
      <c r="F394" s="17">
        <f t="shared" si="2"/>
        <v>0</v>
      </c>
    </row>
    <row r="395">
      <c r="A395" s="5" t="s">
        <v>56</v>
      </c>
      <c r="B395" s="6">
        <v>515.0</v>
      </c>
      <c r="C395" s="13" t="s">
        <v>235</v>
      </c>
      <c r="D395" s="17">
        <f>SUMIFS(ShadowLedger!$D:$D,ShadowLedger!$G:$G,A395,ShadowLedger!$C:$C,"&gt;="&amp;DATE(LEFT(SUBSTITUTE(C395,"'",""),4),MID(SUBSTITUTE(C395,"'",""),6,2),1),ShadowLedger!$C:$C,"&lt;"&amp;EOMONTH(DATE(LEFT(SUBSTITUTE(C395,"'",""),4),MID(SUBSTITUTE(C395,"'",""),6,2),1),0)+1)</f>
        <v>0</v>
      </c>
      <c r="E395" s="17">
        <f t="shared" si="1"/>
        <v>515</v>
      </c>
      <c r="F395" s="17">
        <f t="shared" si="2"/>
        <v>0</v>
      </c>
    </row>
    <row r="396">
      <c r="A396" s="5" t="s">
        <v>57</v>
      </c>
      <c r="B396" s="6">
        <v>515.0</v>
      </c>
      <c r="C396" s="13" t="s">
        <v>235</v>
      </c>
      <c r="D396" s="17">
        <f>SUMIFS(ShadowLedger!$D:$D,ShadowLedger!$G:$G,A396,ShadowLedger!$C:$C,"&gt;="&amp;DATE(LEFT(SUBSTITUTE(C396,"'",""),4),MID(SUBSTITUTE(C396,"'",""),6,2),1),ShadowLedger!$C:$C,"&lt;"&amp;EOMONTH(DATE(LEFT(SUBSTITUTE(C396,"'",""),4),MID(SUBSTITUTE(C396,"'",""),6,2),1),0)+1)</f>
        <v>0</v>
      </c>
      <c r="E396" s="17">
        <f t="shared" si="1"/>
        <v>515</v>
      </c>
      <c r="F396" s="17">
        <f t="shared" si="2"/>
        <v>0</v>
      </c>
    </row>
    <row r="397">
      <c r="A397" s="5" t="s">
        <v>58</v>
      </c>
      <c r="B397" s="6">
        <v>412.0</v>
      </c>
      <c r="C397" s="13" t="s">
        <v>235</v>
      </c>
      <c r="D397" s="17">
        <f>SUMIFS(ShadowLedger!$D:$D,ShadowLedger!$G:$G,A397,ShadowLedger!$C:$C,"&gt;="&amp;DATE(LEFT(SUBSTITUTE(C397,"'",""),4),MID(SUBSTITUTE(C397,"'",""),6,2),1),ShadowLedger!$C:$C,"&lt;"&amp;EOMONTH(DATE(LEFT(SUBSTITUTE(C397,"'",""),4),MID(SUBSTITUTE(C397,"'",""),6,2),1),0)+1)</f>
        <v>0</v>
      </c>
      <c r="E397" s="17">
        <f t="shared" si="1"/>
        <v>412</v>
      </c>
      <c r="F397" s="17">
        <f t="shared" si="2"/>
        <v>0</v>
      </c>
    </row>
    <row r="398">
      <c r="A398" s="5" t="s">
        <v>59</v>
      </c>
      <c r="B398" s="6">
        <v>206.0</v>
      </c>
      <c r="C398" s="13" t="s">
        <v>235</v>
      </c>
      <c r="D398" s="17">
        <f>SUMIFS(ShadowLedger!$D:$D,ShadowLedger!$G:$G,A398,ShadowLedger!$C:$C,"&gt;="&amp;DATE(LEFT(SUBSTITUTE(C398,"'",""),4),MID(SUBSTITUTE(C398,"'",""),6,2),1),ShadowLedger!$C:$C,"&lt;"&amp;EOMONTH(DATE(LEFT(SUBSTITUTE(C398,"'",""),4),MID(SUBSTITUTE(C398,"'",""),6,2),1),0)+1)</f>
        <v>0</v>
      </c>
      <c r="E398" s="17">
        <f t="shared" si="1"/>
        <v>206</v>
      </c>
      <c r="F398" s="17">
        <f t="shared" si="2"/>
        <v>0</v>
      </c>
    </row>
    <row r="399">
      <c r="A399" s="5" t="s">
        <v>60</v>
      </c>
      <c r="B399" s="6">
        <v>155.0</v>
      </c>
      <c r="C399" s="13" t="s">
        <v>235</v>
      </c>
      <c r="D399" s="17">
        <f>SUMIFS(ShadowLedger!$D:$D,ShadowLedger!$G:$G,A399,ShadowLedger!$C:$C,"&gt;="&amp;DATE(LEFT(SUBSTITUTE(C399,"'",""),4),MID(SUBSTITUTE(C399,"'",""),6,2),1),ShadowLedger!$C:$C,"&lt;"&amp;EOMONTH(DATE(LEFT(SUBSTITUTE(C399,"'",""),4),MID(SUBSTITUTE(C399,"'",""),6,2),1),0)+1)</f>
        <v>0</v>
      </c>
      <c r="E399" s="17">
        <f t="shared" si="1"/>
        <v>155</v>
      </c>
      <c r="F399" s="17">
        <f t="shared" si="2"/>
        <v>0</v>
      </c>
    </row>
    <row r="400">
      <c r="A400" s="5" t="s">
        <v>61</v>
      </c>
      <c r="B400" s="6">
        <v>124.0</v>
      </c>
      <c r="C400" s="13" t="s">
        <v>235</v>
      </c>
      <c r="D400" s="17">
        <f>SUMIFS(ShadowLedger!$D:$D,ShadowLedger!$G:$G,A400,ShadowLedger!$C:$C,"&gt;="&amp;DATE(LEFT(SUBSTITUTE(C400,"'",""),4),MID(SUBSTITUTE(C400,"'",""),6,2),1),ShadowLedger!$C:$C,"&lt;"&amp;EOMONTH(DATE(LEFT(SUBSTITUTE(C400,"'",""),4),MID(SUBSTITUTE(C400,"'",""),6,2),1),0)+1)</f>
        <v>0</v>
      </c>
      <c r="E400" s="17">
        <f t="shared" si="1"/>
        <v>124</v>
      </c>
      <c r="F400" s="17">
        <f t="shared" si="2"/>
        <v>0</v>
      </c>
    </row>
    <row r="401">
      <c r="A401" s="5" t="s">
        <v>62</v>
      </c>
      <c r="B401" s="6">
        <v>124.0</v>
      </c>
      <c r="C401" s="13" t="s">
        <v>235</v>
      </c>
      <c r="D401" s="17">
        <f>SUMIFS(ShadowLedger!$D:$D,ShadowLedger!$G:$G,A401,ShadowLedger!$C:$C,"&gt;="&amp;DATE(LEFT(SUBSTITUTE(C401,"'",""),4),MID(SUBSTITUTE(C401,"'",""),6,2),1),ShadowLedger!$C:$C,"&lt;"&amp;EOMONTH(DATE(LEFT(SUBSTITUTE(C401,"'",""),4),MID(SUBSTITUTE(C401,"'",""),6,2),1),0)+1)</f>
        <v>0</v>
      </c>
      <c r="E401" s="17">
        <f t="shared" si="1"/>
        <v>124</v>
      </c>
      <c r="F401" s="17">
        <f t="shared" si="2"/>
        <v>0</v>
      </c>
    </row>
    <row r="402">
      <c r="A402" s="5" t="s">
        <v>63</v>
      </c>
      <c r="B402" s="6">
        <v>103.0</v>
      </c>
      <c r="C402" s="13" t="s">
        <v>235</v>
      </c>
      <c r="D402" s="17">
        <f>SUMIFS(ShadowLedger!$D:$D,ShadowLedger!$G:$G,A402,ShadowLedger!$C:$C,"&gt;="&amp;DATE(LEFT(SUBSTITUTE(C402,"'",""),4),MID(SUBSTITUTE(C402,"'",""),6,2),1),ShadowLedger!$C:$C,"&lt;"&amp;EOMONTH(DATE(LEFT(SUBSTITUTE(C402,"'",""),4),MID(SUBSTITUTE(C402,"'",""),6,2),1),0)+1)</f>
        <v>0</v>
      </c>
      <c r="E402" s="17">
        <f t="shared" si="1"/>
        <v>103</v>
      </c>
      <c r="F402" s="17">
        <f t="shared" si="2"/>
        <v>0</v>
      </c>
    </row>
    <row r="403">
      <c r="A403" s="5" t="s">
        <v>64</v>
      </c>
      <c r="B403" s="6">
        <v>103.0</v>
      </c>
      <c r="C403" s="13" t="s">
        <v>235</v>
      </c>
      <c r="D403" s="17">
        <f>SUMIFS(ShadowLedger!$D:$D,ShadowLedger!$G:$G,A403,ShadowLedger!$C:$C,"&gt;="&amp;DATE(LEFT(SUBSTITUTE(C403,"'",""),4),MID(SUBSTITUTE(C403,"'",""),6,2),1),ShadowLedger!$C:$C,"&lt;"&amp;EOMONTH(DATE(LEFT(SUBSTITUTE(C403,"'",""),4),MID(SUBSTITUTE(C403,"'",""),6,2),1),0)+1)</f>
        <v>0</v>
      </c>
      <c r="E403" s="17">
        <f t="shared" si="1"/>
        <v>103</v>
      </c>
      <c r="F403" s="17">
        <f t="shared" si="2"/>
        <v>0</v>
      </c>
    </row>
    <row r="404">
      <c r="A404" s="5" t="s">
        <v>70</v>
      </c>
      <c r="B404" s="6">
        <v>103.0</v>
      </c>
      <c r="C404" s="13" t="s">
        <v>235</v>
      </c>
      <c r="D404" s="17">
        <f>SUMIFS(ShadowLedger!$D:$D,ShadowLedger!$G:$G,A404,ShadowLedger!$C:$C,"&gt;="&amp;DATE(LEFT(SUBSTITUTE(C404,"'",""),4),MID(SUBSTITUTE(C404,"'",""),6,2),1),ShadowLedger!$C:$C,"&lt;"&amp;EOMONTH(DATE(LEFT(SUBSTITUTE(C404,"'",""),4),MID(SUBSTITUTE(C404,"'",""),6,2),1),0)+1)</f>
        <v>0</v>
      </c>
      <c r="E404" s="17">
        <f t="shared" si="1"/>
        <v>103</v>
      </c>
      <c r="F404" s="17">
        <f t="shared" si="2"/>
        <v>0</v>
      </c>
    </row>
    <row r="405">
      <c r="A405" s="5" t="s">
        <v>65</v>
      </c>
      <c r="B405" s="6">
        <v>52.0</v>
      </c>
      <c r="C405" s="13" t="s">
        <v>235</v>
      </c>
      <c r="D405" s="17">
        <f>SUMIFS(ShadowLedger!$D:$D,ShadowLedger!$G:$G,A405,ShadowLedger!$C:$C,"&gt;="&amp;DATE(LEFT(SUBSTITUTE(C405,"'",""),4),MID(SUBSTITUTE(C405,"'",""),6,2),1),ShadowLedger!$C:$C,"&lt;"&amp;EOMONTH(DATE(LEFT(SUBSTITUTE(C405,"'",""),4),MID(SUBSTITUTE(C405,"'",""),6,2),1),0)+1)</f>
        <v>0</v>
      </c>
      <c r="E405" s="17">
        <f t="shared" si="1"/>
        <v>52</v>
      </c>
      <c r="F405" s="17">
        <f t="shared" si="2"/>
        <v>0</v>
      </c>
    </row>
    <row r="406">
      <c r="A406" s="5" t="s">
        <v>66</v>
      </c>
      <c r="B406" s="6">
        <v>52.0</v>
      </c>
      <c r="C406" s="13" t="s">
        <v>235</v>
      </c>
      <c r="D406" s="17">
        <f>SUMIFS(ShadowLedger!$D:$D,ShadowLedger!$G:$G,A406,ShadowLedger!$C:$C,"&gt;="&amp;DATE(LEFT(SUBSTITUTE(C406,"'",""),4),MID(SUBSTITUTE(C406,"'",""),6,2),1),ShadowLedger!$C:$C,"&lt;"&amp;EOMONTH(DATE(LEFT(SUBSTITUTE(C406,"'",""),4),MID(SUBSTITUTE(C406,"'",""),6,2),1),0)+1)</f>
        <v>0</v>
      </c>
      <c r="E406" s="17">
        <f t="shared" si="1"/>
        <v>52</v>
      </c>
      <c r="F406" s="17">
        <f t="shared" si="2"/>
        <v>0</v>
      </c>
    </row>
    <row r="407">
      <c r="A407" s="5" t="s">
        <v>67</v>
      </c>
      <c r="B407" s="6">
        <v>52.0</v>
      </c>
      <c r="C407" s="13" t="s">
        <v>235</v>
      </c>
      <c r="D407" s="17">
        <f>SUMIFS(ShadowLedger!$D:$D,ShadowLedger!$G:$G,A407,ShadowLedger!$C:$C,"&gt;="&amp;DATE(LEFT(SUBSTITUTE(C407,"'",""),4),MID(SUBSTITUTE(C407,"'",""),6,2),1),ShadowLedger!$C:$C,"&lt;"&amp;EOMONTH(DATE(LEFT(SUBSTITUTE(C407,"'",""),4),MID(SUBSTITUTE(C407,"'",""),6,2),1),0)+1)</f>
        <v>0</v>
      </c>
      <c r="E407" s="17">
        <f t="shared" si="1"/>
        <v>52</v>
      </c>
      <c r="F407" s="17">
        <f t="shared" si="2"/>
        <v>0</v>
      </c>
    </row>
    <row r="408">
      <c r="A408" s="5" t="s">
        <v>68</v>
      </c>
      <c r="B408" s="6">
        <v>52.0</v>
      </c>
      <c r="C408" s="13" t="s">
        <v>235</v>
      </c>
      <c r="D408" s="17">
        <f>SUMIFS(ShadowLedger!$D:$D,ShadowLedger!$G:$G,A408,ShadowLedger!$C:$C,"&gt;="&amp;DATE(LEFT(SUBSTITUTE(C408,"'",""),4),MID(SUBSTITUTE(C408,"'",""),6,2),1),ShadowLedger!$C:$C,"&lt;"&amp;EOMONTH(DATE(LEFT(SUBSTITUTE(C408,"'",""),4),MID(SUBSTITUTE(C408,"'",""),6,2),1),0)+1)</f>
        <v>0</v>
      </c>
      <c r="E408" s="17">
        <f t="shared" si="1"/>
        <v>52</v>
      </c>
      <c r="F408" s="17">
        <f t="shared" si="2"/>
        <v>0</v>
      </c>
    </row>
    <row r="409">
      <c r="A409" s="5" t="s">
        <v>69</v>
      </c>
      <c r="B409" s="6">
        <v>0.0</v>
      </c>
      <c r="C409" s="13" t="s">
        <v>235</v>
      </c>
      <c r="D409" s="17">
        <f>SUMIFS(ShadowLedger!$D:$D,ShadowLedger!$G:$G,A409,ShadowLedger!$C:$C,"&gt;="&amp;DATE(LEFT(SUBSTITUTE(C409,"'",""),4),MID(SUBSTITUTE(C409,"'",""),6,2),1),ShadowLedger!$C:$C,"&lt;"&amp;EOMONTH(DATE(LEFT(SUBSTITUTE(C409,"'",""),4),MID(SUBSTITUTE(C409,"'",""),6,2),1),0)+1)</f>
        <v>0</v>
      </c>
      <c r="E409" s="17">
        <f t="shared" si="1"/>
        <v>0</v>
      </c>
      <c r="F409" s="17">
        <f t="shared" si="2"/>
        <v>0</v>
      </c>
    </row>
    <row r="410">
      <c r="A410" s="5" t="s">
        <v>54</v>
      </c>
      <c r="B410" s="6">
        <v>948.0</v>
      </c>
      <c r="C410" s="13" t="s">
        <v>236</v>
      </c>
      <c r="D410" s="17">
        <f>SUMIFS(ShadowLedger!$D:$D,ShadowLedger!$G:$G,A410,ShadowLedger!$C:$C,"&gt;="&amp;DATE(LEFT(SUBSTITUTE(C410,"'",""),4),MID(SUBSTITUTE(C410,"'",""),6,2),1),ShadowLedger!$C:$C,"&lt;"&amp;EOMONTH(DATE(LEFT(SUBSTITUTE(C410,"'",""),4),MID(SUBSTITUTE(C410,"'",""),6,2),1),0)+1)</f>
        <v>0</v>
      </c>
      <c r="E410" s="17">
        <f t="shared" si="1"/>
        <v>948</v>
      </c>
      <c r="F410" s="17">
        <f t="shared" si="2"/>
        <v>0</v>
      </c>
    </row>
    <row r="411">
      <c r="A411" s="5" t="s">
        <v>55</v>
      </c>
      <c r="B411" s="6">
        <v>721.0</v>
      </c>
      <c r="C411" s="13" t="s">
        <v>236</v>
      </c>
      <c r="D411" s="17">
        <f>SUMIFS(ShadowLedger!$D:$D,ShadowLedger!$G:$G,A411,ShadowLedger!$C:$C,"&gt;="&amp;DATE(LEFT(SUBSTITUTE(C411,"'",""),4),MID(SUBSTITUTE(C411,"'",""),6,2),1),ShadowLedger!$C:$C,"&lt;"&amp;EOMONTH(DATE(LEFT(SUBSTITUTE(C411,"'",""),4),MID(SUBSTITUTE(C411,"'",""),6,2),1),0)+1)</f>
        <v>0</v>
      </c>
      <c r="E411" s="17">
        <f t="shared" si="1"/>
        <v>721</v>
      </c>
      <c r="F411" s="17">
        <f t="shared" si="2"/>
        <v>0</v>
      </c>
    </row>
    <row r="412">
      <c r="A412" s="5" t="s">
        <v>56</v>
      </c>
      <c r="B412" s="6">
        <v>515.0</v>
      </c>
      <c r="C412" s="13" t="s">
        <v>236</v>
      </c>
      <c r="D412" s="17">
        <f>SUMIFS(ShadowLedger!$D:$D,ShadowLedger!$G:$G,A412,ShadowLedger!$C:$C,"&gt;="&amp;DATE(LEFT(SUBSTITUTE(C412,"'",""),4),MID(SUBSTITUTE(C412,"'",""),6,2),1),ShadowLedger!$C:$C,"&lt;"&amp;EOMONTH(DATE(LEFT(SUBSTITUTE(C412,"'",""),4),MID(SUBSTITUTE(C412,"'",""),6,2),1),0)+1)</f>
        <v>0</v>
      </c>
      <c r="E412" s="17">
        <f t="shared" si="1"/>
        <v>515</v>
      </c>
      <c r="F412" s="17">
        <f t="shared" si="2"/>
        <v>0</v>
      </c>
    </row>
    <row r="413">
      <c r="A413" s="5" t="s">
        <v>57</v>
      </c>
      <c r="B413" s="6">
        <v>515.0</v>
      </c>
      <c r="C413" s="13" t="s">
        <v>236</v>
      </c>
      <c r="D413" s="17">
        <f>SUMIFS(ShadowLedger!$D:$D,ShadowLedger!$G:$G,A413,ShadowLedger!$C:$C,"&gt;="&amp;DATE(LEFT(SUBSTITUTE(C413,"'",""),4),MID(SUBSTITUTE(C413,"'",""),6,2),1),ShadowLedger!$C:$C,"&lt;"&amp;EOMONTH(DATE(LEFT(SUBSTITUTE(C413,"'",""),4),MID(SUBSTITUTE(C413,"'",""),6,2),1),0)+1)</f>
        <v>0</v>
      </c>
      <c r="E413" s="17">
        <f t="shared" si="1"/>
        <v>515</v>
      </c>
      <c r="F413" s="17">
        <f t="shared" si="2"/>
        <v>0</v>
      </c>
    </row>
    <row r="414">
      <c r="A414" s="5" t="s">
        <v>58</v>
      </c>
      <c r="B414" s="6">
        <v>412.0</v>
      </c>
      <c r="C414" s="13" t="s">
        <v>236</v>
      </c>
      <c r="D414" s="17">
        <f>SUMIFS(ShadowLedger!$D:$D,ShadowLedger!$G:$G,A414,ShadowLedger!$C:$C,"&gt;="&amp;DATE(LEFT(SUBSTITUTE(C414,"'",""),4),MID(SUBSTITUTE(C414,"'",""),6,2),1),ShadowLedger!$C:$C,"&lt;"&amp;EOMONTH(DATE(LEFT(SUBSTITUTE(C414,"'",""),4),MID(SUBSTITUTE(C414,"'",""),6,2),1),0)+1)</f>
        <v>0</v>
      </c>
      <c r="E414" s="17">
        <f t="shared" si="1"/>
        <v>412</v>
      </c>
      <c r="F414" s="17">
        <f t="shared" si="2"/>
        <v>0</v>
      </c>
    </row>
    <row r="415">
      <c r="A415" s="5" t="s">
        <v>59</v>
      </c>
      <c r="B415" s="6">
        <v>206.0</v>
      </c>
      <c r="C415" s="13" t="s">
        <v>236</v>
      </c>
      <c r="D415" s="17">
        <f>SUMIFS(ShadowLedger!$D:$D,ShadowLedger!$G:$G,A415,ShadowLedger!$C:$C,"&gt;="&amp;DATE(LEFT(SUBSTITUTE(C415,"'",""),4),MID(SUBSTITUTE(C415,"'",""),6,2),1),ShadowLedger!$C:$C,"&lt;"&amp;EOMONTH(DATE(LEFT(SUBSTITUTE(C415,"'",""),4),MID(SUBSTITUTE(C415,"'",""),6,2),1),0)+1)</f>
        <v>0</v>
      </c>
      <c r="E415" s="17">
        <f t="shared" si="1"/>
        <v>206</v>
      </c>
      <c r="F415" s="17">
        <f t="shared" si="2"/>
        <v>0</v>
      </c>
    </row>
    <row r="416">
      <c r="A416" s="5" t="s">
        <v>60</v>
      </c>
      <c r="B416" s="6">
        <v>155.0</v>
      </c>
      <c r="C416" s="13" t="s">
        <v>236</v>
      </c>
      <c r="D416" s="17">
        <f>SUMIFS(ShadowLedger!$D:$D,ShadowLedger!$G:$G,A416,ShadowLedger!$C:$C,"&gt;="&amp;DATE(LEFT(SUBSTITUTE(C416,"'",""),4),MID(SUBSTITUTE(C416,"'",""),6,2),1),ShadowLedger!$C:$C,"&lt;"&amp;EOMONTH(DATE(LEFT(SUBSTITUTE(C416,"'",""),4),MID(SUBSTITUTE(C416,"'",""),6,2),1),0)+1)</f>
        <v>0</v>
      </c>
      <c r="E416" s="17">
        <f t="shared" si="1"/>
        <v>155</v>
      </c>
      <c r="F416" s="17">
        <f t="shared" si="2"/>
        <v>0</v>
      </c>
    </row>
    <row r="417">
      <c r="A417" s="5" t="s">
        <v>61</v>
      </c>
      <c r="B417" s="6">
        <v>124.0</v>
      </c>
      <c r="C417" s="13" t="s">
        <v>236</v>
      </c>
      <c r="D417" s="17">
        <f>SUMIFS(ShadowLedger!$D:$D,ShadowLedger!$G:$G,A417,ShadowLedger!$C:$C,"&gt;="&amp;DATE(LEFT(SUBSTITUTE(C417,"'",""),4),MID(SUBSTITUTE(C417,"'",""),6,2),1),ShadowLedger!$C:$C,"&lt;"&amp;EOMONTH(DATE(LEFT(SUBSTITUTE(C417,"'",""),4),MID(SUBSTITUTE(C417,"'",""),6,2),1),0)+1)</f>
        <v>0</v>
      </c>
      <c r="E417" s="17">
        <f t="shared" si="1"/>
        <v>124</v>
      </c>
      <c r="F417" s="17">
        <f t="shared" si="2"/>
        <v>0</v>
      </c>
    </row>
    <row r="418">
      <c r="A418" s="5" t="s">
        <v>62</v>
      </c>
      <c r="B418" s="6">
        <v>124.0</v>
      </c>
      <c r="C418" s="13" t="s">
        <v>236</v>
      </c>
      <c r="D418" s="17">
        <f>SUMIFS(ShadowLedger!$D:$D,ShadowLedger!$G:$G,A418,ShadowLedger!$C:$C,"&gt;="&amp;DATE(LEFT(SUBSTITUTE(C418,"'",""),4),MID(SUBSTITUTE(C418,"'",""),6,2),1),ShadowLedger!$C:$C,"&lt;"&amp;EOMONTH(DATE(LEFT(SUBSTITUTE(C418,"'",""),4),MID(SUBSTITUTE(C418,"'",""),6,2),1),0)+1)</f>
        <v>0</v>
      </c>
      <c r="E418" s="17">
        <f t="shared" si="1"/>
        <v>124</v>
      </c>
      <c r="F418" s="17">
        <f t="shared" si="2"/>
        <v>0</v>
      </c>
    </row>
    <row r="419">
      <c r="A419" s="5" t="s">
        <v>63</v>
      </c>
      <c r="B419" s="6">
        <v>103.0</v>
      </c>
      <c r="C419" s="13" t="s">
        <v>236</v>
      </c>
      <c r="D419" s="17">
        <f>SUMIFS(ShadowLedger!$D:$D,ShadowLedger!$G:$G,A419,ShadowLedger!$C:$C,"&gt;="&amp;DATE(LEFT(SUBSTITUTE(C419,"'",""),4),MID(SUBSTITUTE(C419,"'",""),6,2),1),ShadowLedger!$C:$C,"&lt;"&amp;EOMONTH(DATE(LEFT(SUBSTITUTE(C419,"'",""),4),MID(SUBSTITUTE(C419,"'",""),6,2),1),0)+1)</f>
        <v>0</v>
      </c>
      <c r="E419" s="17">
        <f t="shared" si="1"/>
        <v>103</v>
      </c>
      <c r="F419" s="17">
        <f t="shared" si="2"/>
        <v>0</v>
      </c>
    </row>
    <row r="420">
      <c r="A420" s="5" t="s">
        <v>64</v>
      </c>
      <c r="B420" s="6">
        <v>103.0</v>
      </c>
      <c r="C420" s="13" t="s">
        <v>236</v>
      </c>
      <c r="D420" s="17">
        <f>SUMIFS(ShadowLedger!$D:$D,ShadowLedger!$G:$G,A420,ShadowLedger!$C:$C,"&gt;="&amp;DATE(LEFT(SUBSTITUTE(C420,"'",""),4),MID(SUBSTITUTE(C420,"'",""),6,2),1),ShadowLedger!$C:$C,"&lt;"&amp;EOMONTH(DATE(LEFT(SUBSTITUTE(C420,"'",""),4),MID(SUBSTITUTE(C420,"'",""),6,2),1),0)+1)</f>
        <v>0</v>
      </c>
      <c r="E420" s="17">
        <f t="shared" si="1"/>
        <v>103</v>
      </c>
      <c r="F420" s="17">
        <f t="shared" si="2"/>
        <v>0</v>
      </c>
    </row>
    <row r="421">
      <c r="A421" s="5" t="s">
        <v>70</v>
      </c>
      <c r="B421" s="6">
        <v>103.0</v>
      </c>
      <c r="C421" s="13" t="s">
        <v>236</v>
      </c>
      <c r="D421" s="17">
        <f>SUMIFS(ShadowLedger!$D:$D,ShadowLedger!$G:$G,A421,ShadowLedger!$C:$C,"&gt;="&amp;DATE(LEFT(SUBSTITUTE(C421,"'",""),4),MID(SUBSTITUTE(C421,"'",""),6,2),1),ShadowLedger!$C:$C,"&lt;"&amp;EOMONTH(DATE(LEFT(SUBSTITUTE(C421,"'",""),4),MID(SUBSTITUTE(C421,"'",""),6,2),1),0)+1)</f>
        <v>0</v>
      </c>
      <c r="E421" s="17">
        <f t="shared" si="1"/>
        <v>103</v>
      </c>
      <c r="F421" s="17">
        <f t="shared" si="2"/>
        <v>0</v>
      </c>
    </row>
    <row r="422">
      <c r="A422" s="5" t="s">
        <v>65</v>
      </c>
      <c r="B422" s="6">
        <v>52.0</v>
      </c>
      <c r="C422" s="13" t="s">
        <v>236</v>
      </c>
      <c r="D422" s="17">
        <f>SUMIFS(ShadowLedger!$D:$D,ShadowLedger!$G:$G,A422,ShadowLedger!$C:$C,"&gt;="&amp;DATE(LEFT(SUBSTITUTE(C422,"'",""),4),MID(SUBSTITUTE(C422,"'",""),6,2),1),ShadowLedger!$C:$C,"&lt;"&amp;EOMONTH(DATE(LEFT(SUBSTITUTE(C422,"'",""),4),MID(SUBSTITUTE(C422,"'",""),6,2),1),0)+1)</f>
        <v>0</v>
      </c>
      <c r="E422" s="17">
        <f t="shared" si="1"/>
        <v>52</v>
      </c>
      <c r="F422" s="17">
        <f t="shared" si="2"/>
        <v>0</v>
      </c>
    </row>
    <row r="423">
      <c r="A423" s="5" t="s">
        <v>66</v>
      </c>
      <c r="B423" s="6">
        <v>52.0</v>
      </c>
      <c r="C423" s="13" t="s">
        <v>236</v>
      </c>
      <c r="D423" s="17">
        <f>SUMIFS(ShadowLedger!$D:$D,ShadowLedger!$G:$G,A423,ShadowLedger!$C:$C,"&gt;="&amp;DATE(LEFT(SUBSTITUTE(C423,"'",""),4),MID(SUBSTITUTE(C423,"'",""),6,2),1),ShadowLedger!$C:$C,"&lt;"&amp;EOMONTH(DATE(LEFT(SUBSTITUTE(C423,"'",""),4),MID(SUBSTITUTE(C423,"'",""),6,2),1),0)+1)</f>
        <v>0</v>
      </c>
      <c r="E423" s="17">
        <f t="shared" si="1"/>
        <v>52</v>
      </c>
      <c r="F423" s="17">
        <f t="shared" si="2"/>
        <v>0</v>
      </c>
    </row>
    <row r="424">
      <c r="A424" s="5" t="s">
        <v>67</v>
      </c>
      <c r="B424" s="6">
        <v>52.0</v>
      </c>
      <c r="C424" s="13" t="s">
        <v>236</v>
      </c>
      <c r="D424" s="17">
        <f>SUMIFS(ShadowLedger!$D:$D,ShadowLedger!$G:$G,A424,ShadowLedger!$C:$C,"&gt;="&amp;DATE(LEFT(SUBSTITUTE(C424,"'",""),4),MID(SUBSTITUTE(C424,"'",""),6,2),1),ShadowLedger!$C:$C,"&lt;"&amp;EOMONTH(DATE(LEFT(SUBSTITUTE(C424,"'",""),4),MID(SUBSTITUTE(C424,"'",""),6,2),1),0)+1)</f>
        <v>0</v>
      </c>
      <c r="E424" s="17">
        <f t="shared" si="1"/>
        <v>52</v>
      </c>
      <c r="F424" s="17">
        <f t="shared" si="2"/>
        <v>0</v>
      </c>
    </row>
    <row r="425">
      <c r="A425" s="5" t="s">
        <v>68</v>
      </c>
      <c r="B425" s="6">
        <v>52.0</v>
      </c>
      <c r="C425" s="13" t="s">
        <v>236</v>
      </c>
      <c r="D425" s="17">
        <f>SUMIFS(ShadowLedger!$D:$D,ShadowLedger!$G:$G,A425,ShadowLedger!$C:$C,"&gt;="&amp;DATE(LEFT(SUBSTITUTE(C425,"'",""),4),MID(SUBSTITUTE(C425,"'",""),6,2),1),ShadowLedger!$C:$C,"&lt;"&amp;EOMONTH(DATE(LEFT(SUBSTITUTE(C425,"'",""),4),MID(SUBSTITUTE(C425,"'",""),6,2),1),0)+1)</f>
        <v>0</v>
      </c>
      <c r="E425" s="17">
        <f t="shared" si="1"/>
        <v>52</v>
      </c>
      <c r="F425" s="17">
        <f t="shared" si="2"/>
        <v>0</v>
      </c>
    </row>
    <row r="426">
      <c r="A426" s="5" t="s">
        <v>69</v>
      </c>
      <c r="B426" s="6">
        <v>0.0</v>
      </c>
      <c r="C426" s="13" t="s">
        <v>236</v>
      </c>
      <c r="D426" s="17">
        <f>SUMIFS(ShadowLedger!$D:$D,ShadowLedger!$G:$G,A426,ShadowLedger!$C:$C,"&gt;="&amp;DATE(LEFT(SUBSTITUTE(C426,"'",""),4),MID(SUBSTITUTE(C426,"'",""),6,2),1),ShadowLedger!$C:$C,"&lt;"&amp;EOMONTH(DATE(LEFT(SUBSTITUTE(C426,"'",""),4),MID(SUBSTITUTE(C426,"'",""),6,2),1),0)+1)</f>
        <v>0</v>
      </c>
      <c r="E426" s="17">
        <f t="shared" si="1"/>
        <v>0</v>
      </c>
      <c r="F426" s="17">
        <f t="shared" si="2"/>
        <v>0</v>
      </c>
    </row>
    <row r="427">
      <c r="A427" s="5" t="s">
        <v>54</v>
      </c>
      <c r="B427" s="6">
        <v>976.0</v>
      </c>
      <c r="C427" s="13" t="s">
        <v>237</v>
      </c>
      <c r="D427" s="17">
        <f>SUMIFS(ShadowLedger!$D:$D,ShadowLedger!$G:$G,A427,ShadowLedger!$C:$C,"&gt;="&amp;DATE(LEFT(SUBSTITUTE(C427,"'",""),4),MID(SUBSTITUTE(C427,"'",""),6,2),1),ShadowLedger!$C:$C,"&lt;"&amp;EOMONTH(DATE(LEFT(SUBSTITUTE(C427,"'",""),4),MID(SUBSTITUTE(C427,"'",""),6,2),1),0)+1)</f>
        <v>0</v>
      </c>
      <c r="E427" s="17">
        <f t="shared" si="1"/>
        <v>976</v>
      </c>
      <c r="F427" s="17">
        <f t="shared" si="2"/>
        <v>0</v>
      </c>
    </row>
    <row r="428">
      <c r="A428" s="5" t="s">
        <v>55</v>
      </c>
      <c r="B428" s="6">
        <v>743.0</v>
      </c>
      <c r="C428" s="13" t="s">
        <v>237</v>
      </c>
      <c r="D428" s="17">
        <f>SUMIFS(ShadowLedger!$D:$D,ShadowLedger!$G:$G,A428,ShadowLedger!$C:$C,"&gt;="&amp;DATE(LEFT(SUBSTITUTE(C428,"'",""),4),MID(SUBSTITUTE(C428,"'",""),6,2),1),ShadowLedger!$C:$C,"&lt;"&amp;EOMONTH(DATE(LEFT(SUBSTITUTE(C428,"'",""),4),MID(SUBSTITUTE(C428,"'",""),6,2),1),0)+1)</f>
        <v>0</v>
      </c>
      <c r="E428" s="17">
        <f t="shared" si="1"/>
        <v>743</v>
      </c>
      <c r="F428" s="17">
        <f t="shared" si="2"/>
        <v>0</v>
      </c>
    </row>
    <row r="429">
      <c r="A429" s="5" t="s">
        <v>56</v>
      </c>
      <c r="B429" s="6">
        <v>530.0</v>
      </c>
      <c r="C429" s="13" t="s">
        <v>237</v>
      </c>
      <c r="D429" s="17">
        <f>SUMIFS(ShadowLedger!$D:$D,ShadowLedger!$G:$G,A429,ShadowLedger!$C:$C,"&gt;="&amp;DATE(LEFT(SUBSTITUTE(C429,"'",""),4),MID(SUBSTITUTE(C429,"'",""),6,2),1),ShadowLedger!$C:$C,"&lt;"&amp;EOMONTH(DATE(LEFT(SUBSTITUTE(C429,"'",""),4),MID(SUBSTITUTE(C429,"'",""),6,2),1),0)+1)</f>
        <v>0</v>
      </c>
      <c r="E429" s="17">
        <f t="shared" si="1"/>
        <v>530</v>
      </c>
      <c r="F429" s="17">
        <f t="shared" si="2"/>
        <v>0</v>
      </c>
    </row>
    <row r="430">
      <c r="A430" s="5" t="s">
        <v>57</v>
      </c>
      <c r="B430" s="6">
        <v>530.0</v>
      </c>
      <c r="C430" s="13" t="s">
        <v>237</v>
      </c>
      <c r="D430" s="17">
        <f>SUMIFS(ShadowLedger!$D:$D,ShadowLedger!$G:$G,A430,ShadowLedger!$C:$C,"&gt;="&amp;DATE(LEFT(SUBSTITUTE(C430,"'",""),4),MID(SUBSTITUTE(C430,"'",""),6,2),1),ShadowLedger!$C:$C,"&lt;"&amp;EOMONTH(DATE(LEFT(SUBSTITUTE(C430,"'",""),4),MID(SUBSTITUTE(C430,"'",""),6,2),1),0)+1)</f>
        <v>0</v>
      </c>
      <c r="E430" s="17">
        <f t="shared" si="1"/>
        <v>530</v>
      </c>
      <c r="F430" s="17">
        <f t="shared" si="2"/>
        <v>0</v>
      </c>
    </row>
    <row r="431">
      <c r="A431" s="5" t="s">
        <v>58</v>
      </c>
      <c r="B431" s="6">
        <v>424.0</v>
      </c>
      <c r="C431" s="13" t="s">
        <v>237</v>
      </c>
      <c r="D431" s="17">
        <f>SUMIFS(ShadowLedger!$D:$D,ShadowLedger!$G:$G,A431,ShadowLedger!$C:$C,"&gt;="&amp;DATE(LEFT(SUBSTITUTE(C431,"'",""),4),MID(SUBSTITUTE(C431,"'",""),6,2),1),ShadowLedger!$C:$C,"&lt;"&amp;EOMONTH(DATE(LEFT(SUBSTITUTE(C431,"'",""),4),MID(SUBSTITUTE(C431,"'",""),6,2),1),0)+1)</f>
        <v>0</v>
      </c>
      <c r="E431" s="17">
        <f t="shared" si="1"/>
        <v>424</v>
      </c>
      <c r="F431" s="17">
        <f t="shared" si="2"/>
        <v>0</v>
      </c>
    </row>
    <row r="432">
      <c r="A432" s="5" t="s">
        <v>59</v>
      </c>
      <c r="B432" s="6">
        <v>212.0</v>
      </c>
      <c r="C432" s="13" t="s">
        <v>237</v>
      </c>
      <c r="D432" s="17">
        <f>SUMIFS(ShadowLedger!$D:$D,ShadowLedger!$G:$G,A432,ShadowLedger!$C:$C,"&gt;="&amp;DATE(LEFT(SUBSTITUTE(C432,"'",""),4),MID(SUBSTITUTE(C432,"'",""),6,2),1),ShadowLedger!$C:$C,"&lt;"&amp;EOMONTH(DATE(LEFT(SUBSTITUTE(C432,"'",""),4),MID(SUBSTITUTE(C432,"'",""),6,2),1),0)+1)</f>
        <v>0</v>
      </c>
      <c r="E432" s="17">
        <f t="shared" si="1"/>
        <v>212</v>
      </c>
      <c r="F432" s="17">
        <f t="shared" si="2"/>
        <v>0</v>
      </c>
    </row>
    <row r="433">
      <c r="A433" s="5" t="s">
        <v>60</v>
      </c>
      <c r="B433" s="6">
        <v>159.0</v>
      </c>
      <c r="C433" s="13" t="s">
        <v>237</v>
      </c>
      <c r="D433" s="17">
        <f>SUMIFS(ShadowLedger!$D:$D,ShadowLedger!$G:$G,A433,ShadowLedger!$C:$C,"&gt;="&amp;DATE(LEFT(SUBSTITUTE(C433,"'",""),4),MID(SUBSTITUTE(C433,"'",""),6,2),1),ShadowLedger!$C:$C,"&lt;"&amp;EOMONTH(DATE(LEFT(SUBSTITUTE(C433,"'",""),4),MID(SUBSTITUTE(C433,"'",""),6,2),1),0)+1)</f>
        <v>0</v>
      </c>
      <c r="E433" s="17">
        <f t="shared" si="1"/>
        <v>159</v>
      </c>
      <c r="F433" s="17">
        <f t="shared" si="2"/>
        <v>0</v>
      </c>
    </row>
    <row r="434">
      <c r="A434" s="5" t="s">
        <v>61</v>
      </c>
      <c r="B434" s="6">
        <v>127.0</v>
      </c>
      <c r="C434" s="13" t="s">
        <v>237</v>
      </c>
      <c r="D434" s="17">
        <f>SUMIFS(ShadowLedger!$D:$D,ShadowLedger!$G:$G,A434,ShadowLedger!$C:$C,"&gt;="&amp;DATE(LEFT(SUBSTITUTE(C434,"'",""),4),MID(SUBSTITUTE(C434,"'",""),6,2),1),ShadowLedger!$C:$C,"&lt;"&amp;EOMONTH(DATE(LEFT(SUBSTITUTE(C434,"'",""),4),MID(SUBSTITUTE(C434,"'",""),6,2),1),0)+1)</f>
        <v>0</v>
      </c>
      <c r="E434" s="17">
        <f t="shared" si="1"/>
        <v>127</v>
      </c>
      <c r="F434" s="17">
        <f t="shared" si="2"/>
        <v>0</v>
      </c>
    </row>
    <row r="435">
      <c r="A435" s="5" t="s">
        <v>62</v>
      </c>
      <c r="B435" s="6">
        <v>127.0</v>
      </c>
      <c r="C435" s="13" t="s">
        <v>237</v>
      </c>
      <c r="D435" s="17">
        <f>SUMIFS(ShadowLedger!$D:$D,ShadowLedger!$G:$G,A435,ShadowLedger!$C:$C,"&gt;="&amp;DATE(LEFT(SUBSTITUTE(C435,"'",""),4),MID(SUBSTITUTE(C435,"'",""),6,2),1),ShadowLedger!$C:$C,"&lt;"&amp;EOMONTH(DATE(LEFT(SUBSTITUTE(C435,"'",""),4),MID(SUBSTITUTE(C435,"'",""),6,2),1),0)+1)</f>
        <v>0</v>
      </c>
      <c r="E435" s="17">
        <f t="shared" si="1"/>
        <v>127</v>
      </c>
      <c r="F435" s="17">
        <f t="shared" si="2"/>
        <v>0</v>
      </c>
    </row>
    <row r="436">
      <c r="A436" s="5" t="s">
        <v>63</v>
      </c>
      <c r="B436" s="6">
        <v>106.0</v>
      </c>
      <c r="C436" s="13" t="s">
        <v>237</v>
      </c>
      <c r="D436" s="17">
        <f>SUMIFS(ShadowLedger!$D:$D,ShadowLedger!$G:$G,A436,ShadowLedger!$C:$C,"&gt;="&amp;DATE(LEFT(SUBSTITUTE(C436,"'",""),4),MID(SUBSTITUTE(C436,"'",""),6,2),1),ShadowLedger!$C:$C,"&lt;"&amp;EOMONTH(DATE(LEFT(SUBSTITUTE(C436,"'",""),4),MID(SUBSTITUTE(C436,"'",""),6,2),1),0)+1)</f>
        <v>0</v>
      </c>
      <c r="E436" s="17">
        <f t="shared" si="1"/>
        <v>106</v>
      </c>
      <c r="F436" s="17">
        <f t="shared" si="2"/>
        <v>0</v>
      </c>
    </row>
    <row r="437">
      <c r="A437" s="5" t="s">
        <v>64</v>
      </c>
      <c r="B437" s="6">
        <v>106.0</v>
      </c>
      <c r="C437" s="13" t="s">
        <v>237</v>
      </c>
      <c r="D437" s="17">
        <f>SUMIFS(ShadowLedger!$D:$D,ShadowLedger!$G:$G,A437,ShadowLedger!$C:$C,"&gt;="&amp;DATE(LEFT(SUBSTITUTE(C437,"'",""),4),MID(SUBSTITUTE(C437,"'",""),6,2),1),ShadowLedger!$C:$C,"&lt;"&amp;EOMONTH(DATE(LEFT(SUBSTITUTE(C437,"'",""),4),MID(SUBSTITUTE(C437,"'",""),6,2),1),0)+1)</f>
        <v>0</v>
      </c>
      <c r="E437" s="17">
        <f t="shared" si="1"/>
        <v>106</v>
      </c>
      <c r="F437" s="17">
        <f t="shared" si="2"/>
        <v>0</v>
      </c>
    </row>
    <row r="438">
      <c r="A438" s="5" t="s">
        <v>70</v>
      </c>
      <c r="B438" s="6">
        <v>106.0</v>
      </c>
      <c r="C438" s="13" t="s">
        <v>237</v>
      </c>
      <c r="D438" s="17">
        <f>SUMIFS(ShadowLedger!$D:$D,ShadowLedger!$G:$G,A438,ShadowLedger!$C:$C,"&gt;="&amp;DATE(LEFT(SUBSTITUTE(C438,"'",""),4),MID(SUBSTITUTE(C438,"'",""),6,2),1),ShadowLedger!$C:$C,"&lt;"&amp;EOMONTH(DATE(LEFT(SUBSTITUTE(C438,"'",""),4),MID(SUBSTITUTE(C438,"'",""),6,2),1),0)+1)</f>
        <v>0</v>
      </c>
      <c r="E438" s="17">
        <f t="shared" si="1"/>
        <v>106</v>
      </c>
      <c r="F438" s="17">
        <f t="shared" si="2"/>
        <v>0</v>
      </c>
    </row>
    <row r="439">
      <c r="A439" s="5" t="s">
        <v>65</v>
      </c>
      <c r="B439" s="6">
        <v>53.0</v>
      </c>
      <c r="C439" s="13" t="s">
        <v>237</v>
      </c>
      <c r="D439" s="17">
        <f>SUMIFS(ShadowLedger!$D:$D,ShadowLedger!$G:$G,A439,ShadowLedger!$C:$C,"&gt;="&amp;DATE(LEFT(SUBSTITUTE(C439,"'",""),4),MID(SUBSTITUTE(C439,"'",""),6,2),1),ShadowLedger!$C:$C,"&lt;"&amp;EOMONTH(DATE(LEFT(SUBSTITUTE(C439,"'",""),4),MID(SUBSTITUTE(C439,"'",""),6,2),1),0)+1)</f>
        <v>0</v>
      </c>
      <c r="E439" s="17">
        <f t="shared" si="1"/>
        <v>53</v>
      </c>
      <c r="F439" s="17">
        <f t="shared" si="2"/>
        <v>0</v>
      </c>
    </row>
    <row r="440">
      <c r="A440" s="5" t="s">
        <v>66</v>
      </c>
      <c r="B440" s="6">
        <v>53.0</v>
      </c>
      <c r="C440" s="13" t="s">
        <v>237</v>
      </c>
      <c r="D440" s="17">
        <f>SUMIFS(ShadowLedger!$D:$D,ShadowLedger!$G:$G,A440,ShadowLedger!$C:$C,"&gt;="&amp;DATE(LEFT(SUBSTITUTE(C440,"'",""),4),MID(SUBSTITUTE(C440,"'",""),6,2),1),ShadowLedger!$C:$C,"&lt;"&amp;EOMONTH(DATE(LEFT(SUBSTITUTE(C440,"'",""),4),MID(SUBSTITUTE(C440,"'",""),6,2),1),0)+1)</f>
        <v>0</v>
      </c>
      <c r="E440" s="17">
        <f t="shared" si="1"/>
        <v>53</v>
      </c>
      <c r="F440" s="17">
        <f t="shared" si="2"/>
        <v>0</v>
      </c>
    </row>
    <row r="441">
      <c r="A441" s="5" t="s">
        <v>67</v>
      </c>
      <c r="B441" s="6">
        <v>53.0</v>
      </c>
      <c r="C441" s="13" t="s">
        <v>237</v>
      </c>
      <c r="D441" s="17">
        <f>SUMIFS(ShadowLedger!$D:$D,ShadowLedger!$G:$G,A441,ShadowLedger!$C:$C,"&gt;="&amp;DATE(LEFT(SUBSTITUTE(C441,"'",""),4),MID(SUBSTITUTE(C441,"'",""),6,2),1),ShadowLedger!$C:$C,"&lt;"&amp;EOMONTH(DATE(LEFT(SUBSTITUTE(C441,"'",""),4),MID(SUBSTITUTE(C441,"'",""),6,2),1),0)+1)</f>
        <v>0</v>
      </c>
      <c r="E441" s="17">
        <f t="shared" si="1"/>
        <v>53</v>
      </c>
      <c r="F441" s="17">
        <f t="shared" si="2"/>
        <v>0</v>
      </c>
    </row>
    <row r="442">
      <c r="A442" s="5" t="s">
        <v>68</v>
      </c>
      <c r="B442" s="6">
        <v>53.0</v>
      </c>
      <c r="C442" s="13" t="s">
        <v>237</v>
      </c>
      <c r="D442" s="17">
        <f>SUMIFS(ShadowLedger!$D:$D,ShadowLedger!$G:$G,A442,ShadowLedger!$C:$C,"&gt;="&amp;DATE(LEFT(SUBSTITUTE(C442,"'",""),4),MID(SUBSTITUTE(C442,"'",""),6,2),1),ShadowLedger!$C:$C,"&lt;"&amp;EOMONTH(DATE(LEFT(SUBSTITUTE(C442,"'",""),4),MID(SUBSTITUTE(C442,"'",""),6,2),1),0)+1)</f>
        <v>0</v>
      </c>
      <c r="E442" s="17">
        <f t="shared" si="1"/>
        <v>53</v>
      </c>
      <c r="F442" s="17">
        <f t="shared" si="2"/>
        <v>0</v>
      </c>
    </row>
    <row r="443">
      <c r="A443" s="5" t="s">
        <v>69</v>
      </c>
      <c r="B443" s="6">
        <v>0.0</v>
      </c>
      <c r="C443" s="13" t="s">
        <v>237</v>
      </c>
      <c r="D443" s="17">
        <f>SUMIFS(ShadowLedger!$D:$D,ShadowLedger!$G:$G,A443,ShadowLedger!$C:$C,"&gt;="&amp;DATE(LEFT(SUBSTITUTE(C443,"'",""),4),MID(SUBSTITUTE(C443,"'",""),6,2),1),ShadowLedger!$C:$C,"&lt;"&amp;EOMONTH(DATE(LEFT(SUBSTITUTE(C443,"'",""),4),MID(SUBSTITUTE(C443,"'",""),6,2),1),0)+1)</f>
        <v>0</v>
      </c>
      <c r="E443" s="17">
        <f t="shared" si="1"/>
        <v>0</v>
      </c>
      <c r="F443" s="17">
        <f t="shared" si="2"/>
        <v>0</v>
      </c>
    </row>
    <row r="444">
      <c r="A444" s="5" t="s">
        <v>54</v>
      </c>
      <c r="B444" s="6">
        <v>976.0</v>
      </c>
      <c r="C444" s="13" t="s">
        <v>238</v>
      </c>
      <c r="D444" s="17">
        <f>SUMIFS(ShadowLedger!$D:$D,ShadowLedger!$G:$G,A444,ShadowLedger!$C:$C,"&gt;="&amp;DATE(LEFT(SUBSTITUTE(C444,"'",""),4),MID(SUBSTITUTE(C444,"'",""),6,2),1),ShadowLedger!$C:$C,"&lt;"&amp;EOMONTH(DATE(LEFT(SUBSTITUTE(C444,"'",""),4),MID(SUBSTITUTE(C444,"'",""),6,2),1),0)+1)</f>
        <v>0</v>
      </c>
      <c r="E444" s="17">
        <f t="shared" si="1"/>
        <v>976</v>
      </c>
      <c r="F444" s="17">
        <f t="shared" si="2"/>
        <v>0</v>
      </c>
    </row>
    <row r="445">
      <c r="A445" s="5" t="s">
        <v>55</v>
      </c>
      <c r="B445" s="6">
        <v>743.0</v>
      </c>
      <c r="C445" s="13" t="s">
        <v>238</v>
      </c>
      <c r="D445" s="17">
        <f>SUMIFS(ShadowLedger!$D:$D,ShadowLedger!$G:$G,A445,ShadowLedger!$C:$C,"&gt;="&amp;DATE(LEFT(SUBSTITUTE(C445,"'",""),4),MID(SUBSTITUTE(C445,"'",""),6,2),1),ShadowLedger!$C:$C,"&lt;"&amp;EOMONTH(DATE(LEFT(SUBSTITUTE(C445,"'",""),4),MID(SUBSTITUTE(C445,"'",""),6,2),1),0)+1)</f>
        <v>0</v>
      </c>
      <c r="E445" s="17">
        <f t="shared" si="1"/>
        <v>743</v>
      </c>
      <c r="F445" s="17">
        <f t="shared" si="2"/>
        <v>0</v>
      </c>
    </row>
    <row r="446">
      <c r="A446" s="5" t="s">
        <v>56</v>
      </c>
      <c r="B446" s="6">
        <v>530.0</v>
      </c>
      <c r="C446" s="13" t="s">
        <v>238</v>
      </c>
      <c r="D446" s="17">
        <f>SUMIFS(ShadowLedger!$D:$D,ShadowLedger!$G:$G,A446,ShadowLedger!$C:$C,"&gt;="&amp;DATE(LEFT(SUBSTITUTE(C446,"'",""),4),MID(SUBSTITUTE(C446,"'",""),6,2),1),ShadowLedger!$C:$C,"&lt;"&amp;EOMONTH(DATE(LEFT(SUBSTITUTE(C446,"'",""),4),MID(SUBSTITUTE(C446,"'",""),6,2),1),0)+1)</f>
        <v>0</v>
      </c>
      <c r="E446" s="17">
        <f t="shared" si="1"/>
        <v>530</v>
      </c>
      <c r="F446" s="17">
        <f t="shared" si="2"/>
        <v>0</v>
      </c>
    </row>
    <row r="447">
      <c r="A447" s="5" t="s">
        <v>57</v>
      </c>
      <c r="B447" s="6">
        <v>530.0</v>
      </c>
      <c r="C447" s="13" t="s">
        <v>238</v>
      </c>
      <c r="D447" s="17">
        <f>SUMIFS(ShadowLedger!$D:$D,ShadowLedger!$G:$G,A447,ShadowLedger!$C:$C,"&gt;="&amp;DATE(LEFT(SUBSTITUTE(C447,"'",""),4),MID(SUBSTITUTE(C447,"'",""),6,2),1),ShadowLedger!$C:$C,"&lt;"&amp;EOMONTH(DATE(LEFT(SUBSTITUTE(C447,"'",""),4),MID(SUBSTITUTE(C447,"'",""),6,2),1),0)+1)</f>
        <v>0</v>
      </c>
      <c r="E447" s="17">
        <f t="shared" si="1"/>
        <v>530</v>
      </c>
      <c r="F447" s="17">
        <f t="shared" si="2"/>
        <v>0</v>
      </c>
    </row>
    <row r="448">
      <c r="A448" s="5" t="s">
        <v>58</v>
      </c>
      <c r="B448" s="6">
        <v>424.0</v>
      </c>
      <c r="C448" s="13" t="s">
        <v>238</v>
      </c>
      <c r="D448" s="17">
        <f>SUMIFS(ShadowLedger!$D:$D,ShadowLedger!$G:$G,A448,ShadowLedger!$C:$C,"&gt;="&amp;DATE(LEFT(SUBSTITUTE(C448,"'",""),4),MID(SUBSTITUTE(C448,"'",""),6,2),1),ShadowLedger!$C:$C,"&lt;"&amp;EOMONTH(DATE(LEFT(SUBSTITUTE(C448,"'",""),4),MID(SUBSTITUTE(C448,"'",""),6,2),1),0)+1)</f>
        <v>0</v>
      </c>
      <c r="E448" s="17">
        <f t="shared" si="1"/>
        <v>424</v>
      </c>
      <c r="F448" s="17">
        <f t="shared" si="2"/>
        <v>0</v>
      </c>
    </row>
    <row r="449">
      <c r="A449" s="5" t="s">
        <v>59</v>
      </c>
      <c r="B449" s="6">
        <v>212.0</v>
      </c>
      <c r="C449" s="13" t="s">
        <v>238</v>
      </c>
      <c r="D449" s="17">
        <f>SUMIFS(ShadowLedger!$D:$D,ShadowLedger!$G:$G,A449,ShadowLedger!$C:$C,"&gt;="&amp;DATE(LEFT(SUBSTITUTE(C449,"'",""),4),MID(SUBSTITUTE(C449,"'",""),6,2),1),ShadowLedger!$C:$C,"&lt;"&amp;EOMONTH(DATE(LEFT(SUBSTITUTE(C449,"'",""),4),MID(SUBSTITUTE(C449,"'",""),6,2),1),0)+1)</f>
        <v>0</v>
      </c>
      <c r="E449" s="17">
        <f t="shared" si="1"/>
        <v>212</v>
      </c>
      <c r="F449" s="17">
        <f t="shared" si="2"/>
        <v>0</v>
      </c>
    </row>
    <row r="450">
      <c r="A450" s="5" t="s">
        <v>60</v>
      </c>
      <c r="B450" s="6">
        <v>159.0</v>
      </c>
      <c r="C450" s="13" t="s">
        <v>238</v>
      </c>
      <c r="D450" s="17">
        <f>SUMIFS(ShadowLedger!$D:$D,ShadowLedger!$G:$G,A450,ShadowLedger!$C:$C,"&gt;="&amp;DATE(LEFT(SUBSTITUTE(C450,"'",""),4),MID(SUBSTITUTE(C450,"'",""),6,2),1),ShadowLedger!$C:$C,"&lt;"&amp;EOMONTH(DATE(LEFT(SUBSTITUTE(C450,"'",""),4),MID(SUBSTITUTE(C450,"'",""),6,2),1),0)+1)</f>
        <v>0</v>
      </c>
      <c r="E450" s="17">
        <f t="shared" si="1"/>
        <v>159</v>
      </c>
      <c r="F450" s="17">
        <f t="shared" si="2"/>
        <v>0</v>
      </c>
    </row>
    <row r="451">
      <c r="A451" s="5" t="s">
        <v>61</v>
      </c>
      <c r="B451" s="6">
        <v>127.0</v>
      </c>
      <c r="C451" s="13" t="s">
        <v>238</v>
      </c>
      <c r="D451" s="17">
        <f>SUMIFS(ShadowLedger!$D:$D,ShadowLedger!$G:$G,A451,ShadowLedger!$C:$C,"&gt;="&amp;DATE(LEFT(SUBSTITUTE(C451,"'",""),4),MID(SUBSTITUTE(C451,"'",""),6,2),1),ShadowLedger!$C:$C,"&lt;"&amp;EOMONTH(DATE(LEFT(SUBSTITUTE(C451,"'",""),4),MID(SUBSTITUTE(C451,"'",""),6,2),1),0)+1)</f>
        <v>0</v>
      </c>
      <c r="E451" s="17">
        <f t="shared" si="1"/>
        <v>127</v>
      </c>
      <c r="F451" s="17">
        <f t="shared" si="2"/>
        <v>0</v>
      </c>
    </row>
    <row r="452">
      <c r="A452" s="5" t="s">
        <v>62</v>
      </c>
      <c r="B452" s="6">
        <v>127.0</v>
      </c>
      <c r="C452" s="13" t="s">
        <v>238</v>
      </c>
      <c r="D452" s="17">
        <f>SUMIFS(ShadowLedger!$D:$D,ShadowLedger!$G:$G,A452,ShadowLedger!$C:$C,"&gt;="&amp;DATE(LEFT(SUBSTITUTE(C452,"'",""),4),MID(SUBSTITUTE(C452,"'",""),6,2),1),ShadowLedger!$C:$C,"&lt;"&amp;EOMONTH(DATE(LEFT(SUBSTITUTE(C452,"'",""),4),MID(SUBSTITUTE(C452,"'",""),6,2),1),0)+1)</f>
        <v>0</v>
      </c>
      <c r="E452" s="17">
        <f t="shared" si="1"/>
        <v>127</v>
      </c>
      <c r="F452" s="17">
        <f t="shared" si="2"/>
        <v>0</v>
      </c>
    </row>
    <row r="453">
      <c r="A453" s="5" t="s">
        <v>63</v>
      </c>
      <c r="B453" s="6">
        <v>106.0</v>
      </c>
      <c r="C453" s="13" t="s">
        <v>238</v>
      </c>
      <c r="D453" s="17">
        <f>SUMIFS(ShadowLedger!$D:$D,ShadowLedger!$G:$G,A453,ShadowLedger!$C:$C,"&gt;="&amp;DATE(LEFT(SUBSTITUTE(C453,"'",""),4),MID(SUBSTITUTE(C453,"'",""),6,2),1),ShadowLedger!$C:$C,"&lt;"&amp;EOMONTH(DATE(LEFT(SUBSTITUTE(C453,"'",""),4),MID(SUBSTITUTE(C453,"'",""),6,2),1),0)+1)</f>
        <v>0</v>
      </c>
      <c r="E453" s="17">
        <f t="shared" si="1"/>
        <v>106</v>
      </c>
      <c r="F453" s="17">
        <f t="shared" si="2"/>
        <v>0</v>
      </c>
    </row>
    <row r="454">
      <c r="A454" s="5" t="s">
        <v>64</v>
      </c>
      <c r="B454" s="6">
        <v>106.0</v>
      </c>
      <c r="C454" s="13" t="s">
        <v>238</v>
      </c>
      <c r="D454" s="17">
        <f>SUMIFS(ShadowLedger!$D:$D,ShadowLedger!$G:$G,A454,ShadowLedger!$C:$C,"&gt;="&amp;DATE(LEFT(SUBSTITUTE(C454,"'",""),4),MID(SUBSTITUTE(C454,"'",""),6,2),1),ShadowLedger!$C:$C,"&lt;"&amp;EOMONTH(DATE(LEFT(SUBSTITUTE(C454,"'",""),4),MID(SUBSTITUTE(C454,"'",""),6,2),1),0)+1)</f>
        <v>0</v>
      </c>
      <c r="E454" s="17">
        <f t="shared" si="1"/>
        <v>106</v>
      </c>
      <c r="F454" s="17">
        <f t="shared" si="2"/>
        <v>0</v>
      </c>
    </row>
    <row r="455">
      <c r="A455" s="5" t="s">
        <v>70</v>
      </c>
      <c r="B455" s="6">
        <v>106.0</v>
      </c>
      <c r="C455" s="13" t="s">
        <v>238</v>
      </c>
      <c r="D455" s="17">
        <f>SUMIFS(ShadowLedger!$D:$D,ShadowLedger!$G:$G,A455,ShadowLedger!$C:$C,"&gt;="&amp;DATE(LEFT(SUBSTITUTE(C455,"'",""),4),MID(SUBSTITUTE(C455,"'",""),6,2),1),ShadowLedger!$C:$C,"&lt;"&amp;EOMONTH(DATE(LEFT(SUBSTITUTE(C455,"'",""),4),MID(SUBSTITUTE(C455,"'",""),6,2),1),0)+1)</f>
        <v>0</v>
      </c>
      <c r="E455" s="17">
        <f t="shared" si="1"/>
        <v>106</v>
      </c>
      <c r="F455" s="17">
        <f t="shared" si="2"/>
        <v>0</v>
      </c>
    </row>
    <row r="456">
      <c r="A456" s="5" t="s">
        <v>65</v>
      </c>
      <c r="B456" s="6">
        <v>53.0</v>
      </c>
      <c r="C456" s="13" t="s">
        <v>238</v>
      </c>
      <c r="D456" s="17">
        <f>SUMIFS(ShadowLedger!$D:$D,ShadowLedger!$G:$G,A456,ShadowLedger!$C:$C,"&gt;="&amp;DATE(LEFT(SUBSTITUTE(C456,"'",""),4),MID(SUBSTITUTE(C456,"'",""),6,2),1),ShadowLedger!$C:$C,"&lt;"&amp;EOMONTH(DATE(LEFT(SUBSTITUTE(C456,"'",""),4),MID(SUBSTITUTE(C456,"'",""),6,2),1),0)+1)</f>
        <v>0</v>
      </c>
      <c r="E456" s="17">
        <f t="shared" si="1"/>
        <v>53</v>
      </c>
      <c r="F456" s="17">
        <f t="shared" si="2"/>
        <v>0</v>
      </c>
    </row>
    <row r="457">
      <c r="A457" s="5" t="s">
        <v>66</v>
      </c>
      <c r="B457" s="6">
        <v>53.0</v>
      </c>
      <c r="C457" s="13" t="s">
        <v>238</v>
      </c>
      <c r="D457" s="17">
        <f>SUMIFS(ShadowLedger!$D:$D,ShadowLedger!$G:$G,A457,ShadowLedger!$C:$C,"&gt;="&amp;DATE(LEFT(SUBSTITUTE(C457,"'",""),4),MID(SUBSTITUTE(C457,"'",""),6,2),1),ShadowLedger!$C:$C,"&lt;"&amp;EOMONTH(DATE(LEFT(SUBSTITUTE(C457,"'",""),4),MID(SUBSTITUTE(C457,"'",""),6,2),1),0)+1)</f>
        <v>0</v>
      </c>
      <c r="E457" s="17">
        <f t="shared" si="1"/>
        <v>53</v>
      </c>
      <c r="F457" s="17">
        <f t="shared" si="2"/>
        <v>0</v>
      </c>
    </row>
    <row r="458">
      <c r="A458" s="5" t="s">
        <v>67</v>
      </c>
      <c r="B458" s="6">
        <v>53.0</v>
      </c>
      <c r="C458" s="13" t="s">
        <v>238</v>
      </c>
      <c r="D458" s="17">
        <f>SUMIFS(ShadowLedger!$D:$D,ShadowLedger!$G:$G,A458,ShadowLedger!$C:$C,"&gt;="&amp;DATE(LEFT(SUBSTITUTE(C458,"'",""),4),MID(SUBSTITUTE(C458,"'",""),6,2),1),ShadowLedger!$C:$C,"&lt;"&amp;EOMONTH(DATE(LEFT(SUBSTITUTE(C458,"'",""),4),MID(SUBSTITUTE(C458,"'",""),6,2),1),0)+1)</f>
        <v>0</v>
      </c>
      <c r="E458" s="17">
        <f t="shared" si="1"/>
        <v>53</v>
      </c>
      <c r="F458" s="17">
        <f t="shared" si="2"/>
        <v>0</v>
      </c>
    </row>
    <row r="459">
      <c r="A459" s="5" t="s">
        <v>68</v>
      </c>
      <c r="B459" s="6">
        <v>53.0</v>
      </c>
      <c r="C459" s="13" t="s">
        <v>238</v>
      </c>
      <c r="D459" s="17">
        <f>SUMIFS(ShadowLedger!$D:$D,ShadowLedger!$G:$G,A459,ShadowLedger!$C:$C,"&gt;="&amp;DATE(LEFT(SUBSTITUTE(C459,"'",""),4),MID(SUBSTITUTE(C459,"'",""),6,2),1),ShadowLedger!$C:$C,"&lt;"&amp;EOMONTH(DATE(LEFT(SUBSTITUTE(C459,"'",""),4),MID(SUBSTITUTE(C459,"'",""),6,2),1),0)+1)</f>
        <v>0</v>
      </c>
      <c r="E459" s="17">
        <f t="shared" si="1"/>
        <v>53</v>
      </c>
      <c r="F459" s="17">
        <f t="shared" si="2"/>
        <v>0</v>
      </c>
    </row>
    <row r="460">
      <c r="A460" s="5" t="s">
        <v>69</v>
      </c>
      <c r="B460" s="6">
        <v>0.0</v>
      </c>
      <c r="C460" s="13" t="s">
        <v>238</v>
      </c>
      <c r="D460" s="17">
        <f>SUMIFS(ShadowLedger!$D:$D,ShadowLedger!$G:$G,A460,ShadowLedger!$C:$C,"&gt;="&amp;DATE(LEFT(SUBSTITUTE(C460,"'",""),4),MID(SUBSTITUTE(C460,"'",""),6,2),1),ShadowLedger!$C:$C,"&lt;"&amp;EOMONTH(DATE(LEFT(SUBSTITUTE(C460,"'",""),4),MID(SUBSTITUTE(C460,"'",""),6,2),1),0)+1)</f>
        <v>0</v>
      </c>
      <c r="E460" s="17">
        <f t="shared" si="1"/>
        <v>0</v>
      </c>
      <c r="F460" s="17">
        <f t="shared" si="2"/>
        <v>0</v>
      </c>
    </row>
    <row r="461">
      <c r="A461" s="5" t="s">
        <v>54</v>
      </c>
      <c r="B461" s="6">
        <v>976.0</v>
      </c>
      <c r="C461" s="13" t="s">
        <v>239</v>
      </c>
      <c r="D461" s="17">
        <f>SUMIFS(ShadowLedger!$D:$D,ShadowLedger!$G:$G,A461,ShadowLedger!$C:$C,"&gt;="&amp;DATE(LEFT(SUBSTITUTE(C461,"'",""),4),MID(SUBSTITUTE(C461,"'",""),6,2),1),ShadowLedger!$C:$C,"&lt;"&amp;EOMONTH(DATE(LEFT(SUBSTITUTE(C461,"'",""),4),MID(SUBSTITUTE(C461,"'",""),6,2),1),0)+1)</f>
        <v>0</v>
      </c>
      <c r="E461" s="17">
        <f t="shared" si="1"/>
        <v>976</v>
      </c>
      <c r="F461" s="17">
        <f t="shared" si="2"/>
        <v>0</v>
      </c>
    </row>
    <row r="462">
      <c r="A462" s="5" t="s">
        <v>55</v>
      </c>
      <c r="B462" s="6">
        <v>743.0</v>
      </c>
      <c r="C462" s="13" t="s">
        <v>239</v>
      </c>
      <c r="D462" s="17">
        <f>SUMIFS(ShadowLedger!$D:$D,ShadowLedger!$G:$G,A462,ShadowLedger!$C:$C,"&gt;="&amp;DATE(LEFT(SUBSTITUTE(C462,"'",""),4),MID(SUBSTITUTE(C462,"'",""),6,2),1),ShadowLedger!$C:$C,"&lt;"&amp;EOMONTH(DATE(LEFT(SUBSTITUTE(C462,"'",""),4),MID(SUBSTITUTE(C462,"'",""),6,2),1),0)+1)</f>
        <v>0</v>
      </c>
      <c r="E462" s="17">
        <f t="shared" si="1"/>
        <v>743</v>
      </c>
      <c r="F462" s="17">
        <f t="shared" si="2"/>
        <v>0</v>
      </c>
    </row>
    <row r="463">
      <c r="A463" s="5" t="s">
        <v>56</v>
      </c>
      <c r="B463" s="6">
        <v>530.0</v>
      </c>
      <c r="C463" s="13" t="s">
        <v>239</v>
      </c>
      <c r="D463" s="17">
        <f>SUMIFS(ShadowLedger!$D:$D,ShadowLedger!$G:$G,A463,ShadowLedger!$C:$C,"&gt;="&amp;DATE(LEFT(SUBSTITUTE(C463,"'",""),4),MID(SUBSTITUTE(C463,"'",""),6,2),1),ShadowLedger!$C:$C,"&lt;"&amp;EOMONTH(DATE(LEFT(SUBSTITUTE(C463,"'",""),4),MID(SUBSTITUTE(C463,"'",""),6,2),1),0)+1)</f>
        <v>0</v>
      </c>
      <c r="E463" s="17">
        <f t="shared" si="1"/>
        <v>530</v>
      </c>
      <c r="F463" s="17">
        <f t="shared" si="2"/>
        <v>0</v>
      </c>
    </row>
    <row r="464">
      <c r="A464" s="5" t="s">
        <v>57</v>
      </c>
      <c r="B464" s="6">
        <v>530.0</v>
      </c>
      <c r="C464" s="13" t="s">
        <v>239</v>
      </c>
      <c r="D464" s="17">
        <f>SUMIFS(ShadowLedger!$D:$D,ShadowLedger!$G:$G,A464,ShadowLedger!$C:$C,"&gt;="&amp;DATE(LEFT(SUBSTITUTE(C464,"'",""),4),MID(SUBSTITUTE(C464,"'",""),6,2),1),ShadowLedger!$C:$C,"&lt;"&amp;EOMONTH(DATE(LEFT(SUBSTITUTE(C464,"'",""),4),MID(SUBSTITUTE(C464,"'",""),6,2),1),0)+1)</f>
        <v>0</v>
      </c>
      <c r="E464" s="17">
        <f t="shared" si="1"/>
        <v>530</v>
      </c>
      <c r="F464" s="17">
        <f t="shared" si="2"/>
        <v>0</v>
      </c>
    </row>
    <row r="465">
      <c r="A465" s="5" t="s">
        <v>58</v>
      </c>
      <c r="B465" s="6">
        <v>424.0</v>
      </c>
      <c r="C465" s="13" t="s">
        <v>239</v>
      </c>
      <c r="D465" s="17">
        <f>SUMIFS(ShadowLedger!$D:$D,ShadowLedger!$G:$G,A465,ShadowLedger!$C:$C,"&gt;="&amp;DATE(LEFT(SUBSTITUTE(C465,"'",""),4),MID(SUBSTITUTE(C465,"'",""),6,2),1),ShadowLedger!$C:$C,"&lt;"&amp;EOMONTH(DATE(LEFT(SUBSTITUTE(C465,"'",""),4),MID(SUBSTITUTE(C465,"'",""),6,2),1),0)+1)</f>
        <v>0</v>
      </c>
      <c r="E465" s="17">
        <f t="shared" si="1"/>
        <v>424</v>
      </c>
      <c r="F465" s="17">
        <f t="shared" si="2"/>
        <v>0</v>
      </c>
    </row>
    <row r="466">
      <c r="A466" s="5" t="s">
        <v>59</v>
      </c>
      <c r="B466" s="6">
        <v>212.0</v>
      </c>
      <c r="C466" s="13" t="s">
        <v>239</v>
      </c>
      <c r="D466" s="17">
        <f>SUMIFS(ShadowLedger!$D:$D,ShadowLedger!$G:$G,A466,ShadowLedger!$C:$C,"&gt;="&amp;DATE(LEFT(SUBSTITUTE(C466,"'",""),4),MID(SUBSTITUTE(C466,"'",""),6,2),1),ShadowLedger!$C:$C,"&lt;"&amp;EOMONTH(DATE(LEFT(SUBSTITUTE(C466,"'",""),4),MID(SUBSTITUTE(C466,"'",""),6,2),1),0)+1)</f>
        <v>0</v>
      </c>
      <c r="E466" s="17">
        <f t="shared" si="1"/>
        <v>212</v>
      </c>
      <c r="F466" s="17">
        <f t="shared" si="2"/>
        <v>0</v>
      </c>
    </row>
    <row r="467">
      <c r="A467" s="5" t="s">
        <v>60</v>
      </c>
      <c r="B467" s="6">
        <v>159.0</v>
      </c>
      <c r="C467" s="13" t="s">
        <v>239</v>
      </c>
      <c r="D467" s="17">
        <f>SUMIFS(ShadowLedger!$D:$D,ShadowLedger!$G:$G,A467,ShadowLedger!$C:$C,"&gt;="&amp;DATE(LEFT(SUBSTITUTE(C467,"'",""),4),MID(SUBSTITUTE(C467,"'",""),6,2),1),ShadowLedger!$C:$C,"&lt;"&amp;EOMONTH(DATE(LEFT(SUBSTITUTE(C467,"'",""),4),MID(SUBSTITUTE(C467,"'",""),6,2),1),0)+1)</f>
        <v>0</v>
      </c>
      <c r="E467" s="17">
        <f t="shared" si="1"/>
        <v>159</v>
      </c>
      <c r="F467" s="17">
        <f t="shared" si="2"/>
        <v>0</v>
      </c>
    </row>
    <row r="468">
      <c r="A468" s="5" t="s">
        <v>61</v>
      </c>
      <c r="B468" s="6">
        <v>127.0</v>
      </c>
      <c r="C468" s="13" t="s">
        <v>239</v>
      </c>
      <c r="D468" s="17">
        <f>SUMIFS(ShadowLedger!$D:$D,ShadowLedger!$G:$G,A468,ShadowLedger!$C:$C,"&gt;="&amp;DATE(LEFT(SUBSTITUTE(C468,"'",""),4),MID(SUBSTITUTE(C468,"'",""),6,2),1),ShadowLedger!$C:$C,"&lt;"&amp;EOMONTH(DATE(LEFT(SUBSTITUTE(C468,"'",""),4),MID(SUBSTITUTE(C468,"'",""),6,2),1),0)+1)</f>
        <v>0</v>
      </c>
      <c r="E468" s="17">
        <f t="shared" si="1"/>
        <v>127</v>
      </c>
      <c r="F468" s="17">
        <f t="shared" si="2"/>
        <v>0</v>
      </c>
    </row>
    <row r="469">
      <c r="A469" s="5" t="s">
        <v>62</v>
      </c>
      <c r="B469" s="6">
        <v>127.0</v>
      </c>
      <c r="C469" s="13" t="s">
        <v>239</v>
      </c>
      <c r="D469" s="17">
        <f>SUMIFS(ShadowLedger!$D:$D,ShadowLedger!$G:$G,A469,ShadowLedger!$C:$C,"&gt;="&amp;DATE(LEFT(SUBSTITUTE(C469,"'",""),4),MID(SUBSTITUTE(C469,"'",""),6,2),1),ShadowLedger!$C:$C,"&lt;"&amp;EOMONTH(DATE(LEFT(SUBSTITUTE(C469,"'",""),4),MID(SUBSTITUTE(C469,"'",""),6,2),1),0)+1)</f>
        <v>0</v>
      </c>
      <c r="E469" s="17">
        <f t="shared" si="1"/>
        <v>127</v>
      </c>
      <c r="F469" s="17">
        <f t="shared" si="2"/>
        <v>0</v>
      </c>
    </row>
    <row r="470">
      <c r="A470" s="5" t="s">
        <v>63</v>
      </c>
      <c r="B470" s="6">
        <v>106.0</v>
      </c>
      <c r="C470" s="13" t="s">
        <v>239</v>
      </c>
      <c r="D470" s="17">
        <f>SUMIFS(ShadowLedger!$D:$D,ShadowLedger!$G:$G,A470,ShadowLedger!$C:$C,"&gt;="&amp;DATE(LEFT(SUBSTITUTE(C470,"'",""),4),MID(SUBSTITUTE(C470,"'",""),6,2),1),ShadowLedger!$C:$C,"&lt;"&amp;EOMONTH(DATE(LEFT(SUBSTITUTE(C470,"'",""),4),MID(SUBSTITUTE(C470,"'",""),6,2),1),0)+1)</f>
        <v>0</v>
      </c>
      <c r="E470" s="17">
        <f t="shared" si="1"/>
        <v>106</v>
      </c>
      <c r="F470" s="17">
        <f t="shared" si="2"/>
        <v>0</v>
      </c>
    </row>
    <row r="471">
      <c r="A471" s="5" t="s">
        <v>64</v>
      </c>
      <c r="B471" s="6">
        <v>106.0</v>
      </c>
      <c r="C471" s="13" t="s">
        <v>239</v>
      </c>
      <c r="D471" s="17">
        <f>SUMIFS(ShadowLedger!$D:$D,ShadowLedger!$G:$G,A471,ShadowLedger!$C:$C,"&gt;="&amp;DATE(LEFT(SUBSTITUTE(C471,"'",""),4),MID(SUBSTITUTE(C471,"'",""),6,2),1),ShadowLedger!$C:$C,"&lt;"&amp;EOMONTH(DATE(LEFT(SUBSTITUTE(C471,"'",""),4),MID(SUBSTITUTE(C471,"'",""),6,2),1),0)+1)</f>
        <v>0</v>
      </c>
      <c r="E471" s="17">
        <f t="shared" si="1"/>
        <v>106</v>
      </c>
      <c r="F471" s="17">
        <f t="shared" si="2"/>
        <v>0</v>
      </c>
    </row>
    <row r="472">
      <c r="A472" s="5" t="s">
        <v>70</v>
      </c>
      <c r="B472" s="6">
        <v>106.0</v>
      </c>
      <c r="C472" s="13" t="s">
        <v>239</v>
      </c>
      <c r="D472" s="17">
        <f>SUMIFS(ShadowLedger!$D:$D,ShadowLedger!$G:$G,A472,ShadowLedger!$C:$C,"&gt;="&amp;DATE(LEFT(SUBSTITUTE(C472,"'",""),4),MID(SUBSTITUTE(C472,"'",""),6,2),1),ShadowLedger!$C:$C,"&lt;"&amp;EOMONTH(DATE(LEFT(SUBSTITUTE(C472,"'",""),4),MID(SUBSTITUTE(C472,"'",""),6,2),1),0)+1)</f>
        <v>0</v>
      </c>
      <c r="E472" s="17">
        <f t="shared" si="1"/>
        <v>106</v>
      </c>
      <c r="F472" s="17">
        <f t="shared" si="2"/>
        <v>0</v>
      </c>
    </row>
    <row r="473">
      <c r="A473" s="5" t="s">
        <v>65</v>
      </c>
      <c r="B473" s="6">
        <v>53.0</v>
      </c>
      <c r="C473" s="13" t="s">
        <v>239</v>
      </c>
      <c r="D473" s="17">
        <f>SUMIFS(ShadowLedger!$D:$D,ShadowLedger!$G:$G,A473,ShadowLedger!$C:$C,"&gt;="&amp;DATE(LEFT(SUBSTITUTE(C473,"'",""),4),MID(SUBSTITUTE(C473,"'",""),6,2),1),ShadowLedger!$C:$C,"&lt;"&amp;EOMONTH(DATE(LEFT(SUBSTITUTE(C473,"'",""),4),MID(SUBSTITUTE(C473,"'",""),6,2),1),0)+1)</f>
        <v>0</v>
      </c>
      <c r="E473" s="17">
        <f t="shared" si="1"/>
        <v>53</v>
      </c>
      <c r="F473" s="17">
        <f t="shared" si="2"/>
        <v>0</v>
      </c>
    </row>
    <row r="474">
      <c r="A474" s="5" t="s">
        <v>66</v>
      </c>
      <c r="B474" s="6">
        <v>53.0</v>
      </c>
      <c r="C474" s="13" t="s">
        <v>239</v>
      </c>
      <c r="D474" s="17">
        <f>SUMIFS(ShadowLedger!$D:$D,ShadowLedger!$G:$G,A474,ShadowLedger!$C:$C,"&gt;="&amp;DATE(LEFT(SUBSTITUTE(C474,"'",""),4),MID(SUBSTITUTE(C474,"'",""),6,2),1),ShadowLedger!$C:$C,"&lt;"&amp;EOMONTH(DATE(LEFT(SUBSTITUTE(C474,"'",""),4),MID(SUBSTITUTE(C474,"'",""),6,2),1),0)+1)</f>
        <v>0</v>
      </c>
      <c r="E474" s="17">
        <f t="shared" si="1"/>
        <v>53</v>
      </c>
      <c r="F474" s="17">
        <f t="shared" si="2"/>
        <v>0</v>
      </c>
    </row>
    <row r="475">
      <c r="A475" s="5" t="s">
        <v>67</v>
      </c>
      <c r="B475" s="6">
        <v>53.0</v>
      </c>
      <c r="C475" s="13" t="s">
        <v>239</v>
      </c>
      <c r="D475" s="17">
        <f>SUMIFS(ShadowLedger!$D:$D,ShadowLedger!$G:$G,A475,ShadowLedger!$C:$C,"&gt;="&amp;DATE(LEFT(SUBSTITUTE(C475,"'",""),4),MID(SUBSTITUTE(C475,"'",""),6,2),1),ShadowLedger!$C:$C,"&lt;"&amp;EOMONTH(DATE(LEFT(SUBSTITUTE(C475,"'",""),4),MID(SUBSTITUTE(C475,"'",""),6,2),1),0)+1)</f>
        <v>0</v>
      </c>
      <c r="E475" s="17">
        <f t="shared" si="1"/>
        <v>53</v>
      </c>
      <c r="F475" s="17">
        <f t="shared" si="2"/>
        <v>0</v>
      </c>
    </row>
    <row r="476">
      <c r="A476" s="5" t="s">
        <v>68</v>
      </c>
      <c r="B476" s="6">
        <v>53.0</v>
      </c>
      <c r="C476" s="13" t="s">
        <v>239</v>
      </c>
      <c r="D476" s="17">
        <f>SUMIFS(ShadowLedger!$D:$D,ShadowLedger!$G:$G,A476,ShadowLedger!$C:$C,"&gt;="&amp;DATE(LEFT(SUBSTITUTE(C476,"'",""),4),MID(SUBSTITUTE(C476,"'",""),6,2),1),ShadowLedger!$C:$C,"&lt;"&amp;EOMONTH(DATE(LEFT(SUBSTITUTE(C476,"'",""),4),MID(SUBSTITUTE(C476,"'",""),6,2),1),0)+1)</f>
        <v>0</v>
      </c>
      <c r="E476" s="17">
        <f t="shared" si="1"/>
        <v>53</v>
      </c>
      <c r="F476" s="17">
        <f t="shared" si="2"/>
        <v>0</v>
      </c>
    </row>
    <row r="477">
      <c r="A477" s="5" t="s">
        <v>69</v>
      </c>
      <c r="B477" s="6">
        <v>0.0</v>
      </c>
      <c r="C477" s="13" t="s">
        <v>239</v>
      </c>
      <c r="D477" s="17">
        <f>SUMIFS(ShadowLedger!$D:$D,ShadowLedger!$G:$G,A477,ShadowLedger!$C:$C,"&gt;="&amp;DATE(LEFT(SUBSTITUTE(C477,"'",""),4),MID(SUBSTITUTE(C477,"'",""),6,2),1),ShadowLedger!$C:$C,"&lt;"&amp;EOMONTH(DATE(LEFT(SUBSTITUTE(C477,"'",""),4),MID(SUBSTITUTE(C477,"'",""),6,2),1),0)+1)</f>
        <v>0</v>
      </c>
      <c r="E477" s="17">
        <f t="shared" si="1"/>
        <v>0</v>
      </c>
      <c r="F477" s="17">
        <f t="shared" si="2"/>
        <v>0</v>
      </c>
    </row>
    <row r="478">
      <c r="A478" s="5" t="s">
        <v>54</v>
      </c>
      <c r="B478" s="6">
        <v>976.0</v>
      </c>
      <c r="C478" s="13" t="s">
        <v>240</v>
      </c>
      <c r="D478" s="17">
        <f>SUMIFS(ShadowLedger!$D:$D,ShadowLedger!$G:$G,A478,ShadowLedger!$C:$C,"&gt;="&amp;DATE(LEFT(SUBSTITUTE(C478,"'",""),4),MID(SUBSTITUTE(C478,"'",""),6,2),1),ShadowLedger!$C:$C,"&lt;"&amp;EOMONTH(DATE(LEFT(SUBSTITUTE(C478,"'",""),4),MID(SUBSTITUTE(C478,"'",""),6,2),1),0)+1)</f>
        <v>0</v>
      </c>
      <c r="E478" s="17">
        <f t="shared" si="1"/>
        <v>976</v>
      </c>
      <c r="F478" s="17">
        <f t="shared" si="2"/>
        <v>0</v>
      </c>
    </row>
    <row r="479">
      <c r="A479" s="5" t="s">
        <v>55</v>
      </c>
      <c r="B479" s="6">
        <v>743.0</v>
      </c>
      <c r="C479" s="13" t="s">
        <v>240</v>
      </c>
      <c r="D479" s="17">
        <f>SUMIFS(ShadowLedger!$D:$D,ShadowLedger!$G:$G,A479,ShadowLedger!$C:$C,"&gt;="&amp;DATE(LEFT(SUBSTITUTE(C479,"'",""),4),MID(SUBSTITUTE(C479,"'",""),6,2),1),ShadowLedger!$C:$C,"&lt;"&amp;EOMONTH(DATE(LEFT(SUBSTITUTE(C479,"'",""),4),MID(SUBSTITUTE(C479,"'",""),6,2),1),0)+1)</f>
        <v>0</v>
      </c>
      <c r="E479" s="17">
        <f t="shared" si="1"/>
        <v>743</v>
      </c>
      <c r="F479" s="17">
        <f t="shared" si="2"/>
        <v>0</v>
      </c>
    </row>
    <row r="480">
      <c r="A480" s="5" t="s">
        <v>56</v>
      </c>
      <c r="B480" s="6">
        <v>530.0</v>
      </c>
      <c r="C480" s="13" t="s">
        <v>240</v>
      </c>
      <c r="D480" s="17">
        <f>SUMIFS(ShadowLedger!$D:$D,ShadowLedger!$G:$G,A480,ShadowLedger!$C:$C,"&gt;="&amp;DATE(LEFT(SUBSTITUTE(C480,"'",""),4),MID(SUBSTITUTE(C480,"'",""),6,2),1),ShadowLedger!$C:$C,"&lt;"&amp;EOMONTH(DATE(LEFT(SUBSTITUTE(C480,"'",""),4),MID(SUBSTITUTE(C480,"'",""),6,2),1),0)+1)</f>
        <v>0</v>
      </c>
      <c r="E480" s="17">
        <f t="shared" si="1"/>
        <v>530</v>
      </c>
      <c r="F480" s="17">
        <f t="shared" si="2"/>
        <v>0</v>
      </c>
    </row>
    <row r="481">
      <c r="A481" s="5" t="s">
        <v>57</v>
      </c>
      <c r="B481" s="6">
        <v>530.0</v>
      </c>
      <c r="C481" s="13" t="s">
        <v>240</v>
      </c>
      <c r="D481" s="17">
        <f>SUMIFS(ShadowLedger!$D:$D,ShadowLedger!$G:$G,A481,ShadowLedger!$C:$C,"&gt;="&amp;DATE(LEFT(SUBSTITUTE(C481,"'",""),4),MID(SUBSTITUTE(C481,"'",""),6,2),1),ShadowLedger!$C:$C,"&lt;"&amp;EOMONTH(DATE(LEFT(SUBSTITUTE(C481,"'",""),4),MID(SUBSTITUTE(C481,"'",""),6,2),1),0)+1)</f>
        <v>0</v>
      </c>
      <c r="E481" s="17">
        <f t="shared" si="1"/>
        <v>530</v>
      </c>
      <c r="F481" s="17">
        <f t="shared" si="2"/>
        <v>0</v>
      </c>
    </row>
    <row r="482">
      <c r="A482" s="5" t="s">
        <v>58</v>
      </c>
      <c r="B482" s="6">
        <v>424.0</v>
      </c>
      <c r="C482" s="13" t="s">
        <v>240</v>
      </c>
      <c r="D482" s="17">
        <f>SUMIFS(ShadowLedger!$D:$D,ShadowLedger!$G:$G,A482,ShadowLedger!$C:$C,"&gt;="&amp;DATE(LEFT(SUBSTITUTE(C482,"'",""),4),MID(SUBSTITUTE(C482,"'",""),6,2),1),ShadowLedger!$C:$C,"&lt;"&amp;EOMONTH(DATE(LEFT(SUBSTITUTE(C482,"'",""),4),MID(SUBSTITUTE(C482,"'",""),6,2),1),0)+1)</f>
        <v>0</v>
      </c>
      <c r="E482" s="17">
        <f t="shared" si="1"/>
        <v>424</v>
      </c>
      <c r="F482" s="17">
        <f t="shared" si="2"/>
        <v>0</v>
      </c>
    </row>
    <row r="483">
      <c r="A483" s="5" t="s">
        <v>59</v>
      </c>
      <c r="B483" s="6">
        <v>212.0</v>
      </c>
      <c r="C483" s="13" t="s">
        <v>240</v>
      </c>
      <c r="D483" s="17">
        <f>SUMIFS(ShadowLedger!$D:$D,ShadowLedger!$G:$G,A483,ShadowLedger!$C:$C,"&gt;="&amp;DATE(LEFT(SUBSTITUTE(C483,"'",""),4),MID(SUBSTITUTE(C483,"'",""),6,2),1),ShadowLedger!$C:$C,"&lt;"&amp;EOMONTH(DATE(LEFT(SUBSTITUTE(C483,"'",""),4),MID(SUBSTITUTE(C483,"'",""),6,2),1),0)+1)</f>
        <v>0</v>
      </c>
      <c r="E483" s="17">
        <f t="shared" si="1"/>
        <v>212</v>
      </c>
      <c r="F483" s="17">
        <f t="shared" si="2"/>
        <v>0</v>
      </c>
    </row>
    <row r="484">
      <c r="A484" s="5" t="s">
        <v>60</v>
      </c>
      <c r="B484" s="6">
        <v>159.0</v>
      </c>
      <c r="C484" s="13" t="s">
        <v>240</v>
      </c>
      <c r="D484" s="17">
        <f>SUMIFS(ShadowLedger!$D:$D,ShadowLedger!$G:$G,A484,ShadowLedger!$C:$C,"&gt;="&amp;DATE(LEFT(SUBSTITUTE(C484,"'",""),4),MID(SUBSTITUTE(C484,"'",""),6,2),1),ShadowLedger!$C:$C,"&lt;"&amp;EOMONTH(DATE(LEFT(SUBSTITUTE(C484,"'",""),4),MID(SUBSTITUTE(C484,"'",""),6,2),1),0)+1)</f>
        <v>0</v>
      </c>
      <c r="E484" s="17">
        <f t="shared" si="1"/>
        <v>159</v>
      </c>
      <c r="F484" s="17">
        <f t="shared" si="2"/>
        <v>0</v>
      </c>
    </row>
    <row r="485">
      <c r="A485" s="5" t="s">
        <v>61</v>
      </c>
      <c r="B485" s="6">
        <v>127.0</v>
      </c>
      <c r="C485" s="13" t="s">
        <v>240</v>
      </c>
      <c r="D485" s="17">
        <f>SUMIFS(ShadowLedger!$D:$D,ShadowLedger!$G:$G,A485,ShadowLedger!$C:$C,"&gt;="&amp;DATE(LEFT(SUBSTITUTE(C485,"'",""),4),MID(SUBSTITUTE(C485,"'",""),6,2),1),ShadowLedger!$C:$C,"&lt;"&amp;EOMONTH(DATE(LEFT(SUBSTITUTE(C485,"'",""),4),MID(SUBSTITUTE(C485,"'",""),6,2),1),0)+1)</f>
        <v>0</v>
      </c>
      <c r="E485" s="17">
        <f t="shared" si="1"/>
        <v>127</v>
      </c>
      <c r="F485" s="17">
        <f t="shared" si="2"/>
        <v>0</v>
      </c>
    </row>
    <row r="486">
      <c r="A486" s="5" t="s">
        <v>62</v>
      </c>
      <c r="B486" s="6">
        <v>127.0</v>
      </c>
      <c r="C486" s="13" t="s">
        <v>240</v>
      </c>
      <c r="D486" s="17">
        <f>SUMIFS(ShadowLedger!$D:$D,ShadowLedger!$G:$G,A486,ShadowLedger!$C:$C,"&gt;="&amp;DATE(LEFT(SUBSTITUTE(C486,"'",""),4),MID(SUBSTITUTE(C486,"'",""),6,2),1),ShadowLedger!$C:$C,"&lt;"&amp;EOMONTH(DATE(LEFT(SUBSTITUTE(C486,"'",""),4),MID(SUBSTITUTE(C486,"'",""),6,2),1),0)+1)</f>
        <v>0</v>
      </c>
      <c r="E486" s="17">
        <f t="shared" si="1"/>
        <v>127</v>
      </c>
      <c r="F486" s="17">
        <f t="shared" si="2"/>
        <v>0</v>
      </c>
    </row>
    <row r="487">
      <c r="A487" s="5" t="s">
        <v>63</v>
      </c>
      <c r="B487" s="6">
        <v>106.0</v>
      </c>
      <c r="C487" s="13" t="s">
        <v>240</v>
      </c>
      <c r="D487" s="17">
        <f>SUMIFS(ShadowLedger!$D:$D,ShadowLedger!$G:$G,A487,ShadowLedger!$C:$C,"&gt;="&amp;DATE(LEFT(SUBSTITUTE(C487,"'",""),4),MID(SUBSTITUTE(C487,"'",""),6,2),1),ShadowLedger!$C:$C,"&lt;"&amp;EOMONTH(DATE(LEFT(SUBSTITUTE(C487,"'",""),4),MID(SUBSTITUTE(C487,"'",""),6,2),1),0)+1)</f>
        <v>0</v>
      </c>
      <c r="E487" s="17">
        <f t="shared" si="1"/>
        <v>106</v>
      </c>
      <c r="F487" s="17">
        <f t="shared" si="2"/>
        <v>0</v>
      </c>
    </row>
    <row r="488">
      <c r="A488" s="5" t="s">
        <v>64</v>
      </c>
      <c r="B488" s="6">
        <v>106.0</v>
      </c>
      <c r="C488" s="13" t="s">
        <v>240</v>
      </c>
      <c r="D488" s="17">
        <f>SUMIFS(ShadowLedger!$D:$D,ShadowLedger!$G:$G,A488,ShadowLedger!$C:$C,"&gt;="&amp;DATE(LEFT(SUBSTITUTE(C488,"'",""),4),MID(SUBSTITUTE(C488,"'",""),6,2),1),ShadowLedger!$C:$C,"&lt;"&amp;EOMONTH(DATE(LEFT(SUBSTITUTE(C488,"'",""),4),MID(SUBSTITUTE(C488,"'",""),6,2),1),0)+1)</f>
        <v>0</v>
      </c>
      <c r="E488" s="17">
        <f t="shared" si="1"/>
        <v>106</v>
      </c>
      <c r="F488" s="17">
        <f t="shared" si="2"/>
        <v>0</v>
      </c>
    </row>
    <row r="489">
      <c r="A489" s="5" t="s">
        <v>70</v>
      </c>
      <c r="B489" s="6">
        <v>106.0</v>
      </c>
      <c r="C489" s="13" t="s">
        <v>240</v>
      </c>
      <c r="D489" s="17">
        <f>SUMIFS(ShadowLedger!$D:$D,ShadowLedger!$G:$G,A489,ShadowLedger!$C:$C,"&gt;="&amp;DATE(LEFT(SUBSTITUTE(C489,"'",""),4),MID(SUBSTITUTE(C489,"'",""),6,2),1),ShadowLedger!$C:$C,"&lt;"&amp;EOMONTH(DATE(LEFT(SUBSTITUTE(C489,"'",""),4),MID(SUBSTITUTE(C489,"'",""),6,2),1),0)+1)</f>
        <v>0</v>
      </c>
      <c r="E489" s="17">
        <f t="shared" si="1"/>
        <v>106</v>
      </c>
      <c r="F489" s="17">
        <f t="shared" si="2"/>
        <v>0</v>
      </c>
    </row>
    <row r="490">
      <c r="A490" s="5" t="s">
        <v>65</v>
      </c>
      <c r="B490" s="6">
        <v>53.0</v>
      </c>
      <c r="C490" s="13" t="s">
        <v>240</v>
      </c>
      <c r="D490" s="17">
        <f>SUMIFS(ShadowLedger!$D:$D,ShadowLedger!$G:$G,A490,ShadowLedger!$C:$C,"&gt;="&amp;DATE(LEFT(SUBSTITUTE(C490,"'",""),4),MID(SUBSTITUTE(C490,"'",""),6,2),1),ShadowLedger!$C:$C,"&lt;"&amp;EOMONTH(DATE(LEFT(SUBSTITUTE(C490,"'",""),4),MID(SUBSTITUTE(C490,"'",""),6,2),1),0)+1)</f>
        <v>0</v>
      </c>
      <c r="E490" s="17">
        <f t="shared" si="1"/>
        <v>53</v>
      </c>
      <c r="F490" s="17">
        <f t="shared" si="2"/>
        <v>0</v>
      </c>
    </row>
    <row r="491">
      <c r="A491" s="5" t="s">
        <v>66</v>
      </c>
      <c r="B491" s="6">
        <v>53.0</v>
      </c>
      <c r="C491" s="13" t="s">
        <v>240</v>
      </c>
      <c r="D491" s="17">
        <f>SUMIFS(ShadowLedger!$D:$D,ShadowLedger!$G:$G,A491,ShadowLedger!$C:$C,"&gt;="&amp;DATE(LEFT(SUBSTITUTE(C491,"'",""),4),MID(SUBSTITUTE(C491,"'",""),6,2),1),ShadowLedger!$C:$C,"&lt;"&amp;EOMONTH(DATE(LEFT(SUBSTITUTE(C491,"'",""),4),MID(SUBSTITUTE(C491,"'",""),6,2),1),0)+1)</f>
        <v>0</v>
      </c>
      <c r="E491" s="17">
        <f t="shared" si="1"/>
        <v>53</v>
      </c>
      <c r="F491" s="17">
        <f t="shared" si="2"/>
        <v>0</v>
      </c>
    </row>
    <row r="492">
      <c r="A492" s="5" t="s">
        <v>67</v>
      </c>
      <c r="B492" s="6">
        <v>53.0</v>
      </c>
      <c r="C492" s="13" t="s">
        <v>240</v>
      </c>
      <c r="D492" s="17">
        <f>SUMIFS(ShadowLedger!$D:$D,ShadowLedger!$G:$G,A492,ShadowLedger!$C:$C,"&gt;="&amp;DATE(LEFT(SUBSTITUTE(C492,"'",""),4),MID(SUBSTITUTE(C492,"'",""),6,2),1),ShadowLedger!$C:$C,"&lt;"&amp;EOMONTH(DATE(LEFT(SUBSTITUTE(C492,"'",""),4),MID(SUBSTITUTE(C492,"'",""),6,2),1),0)+1)</f>
        <v>0</v>
      </c>
      <c r="E492" s="17">
        <f t="shared" si="1"/>
        <v>53</v>
      </c>
      <c r="F492" s="17">
        <f t="shared" si="2"/>
        <v>0</v>
      </c>
    </row>
    <row r="493">
      <c r="A493" s="5" t="s">
        <v>68</v>
      </c>
      <c r="B493" s="6">
        <v>53.0</v>
      </c>
      <c r="C493" s="13" t="s">
        <v>240</v>
      </c>
      <c r="D493" s="17">
        <f>SUMIFS(ShadowLedger!$D:$D,ShadowLedger!$G:$G,A493,ShadowLedger!$C:$C,"&gt;="&amp;DATE(LEFT(SUBSTITUTE(C493,"'",""),4),MID(SUBSTITUTE(C493,"'",""),6,2),1),ShadowLedger!$C:$C,"&lt;"&amp;EOMONTH(DATE(LEFT(SUBSTITUTE(C493,"'",""),4),MID(SUBSTITUTE(C493,"'",""),6,2),1),0)+1)</f>
        <v>0</v>
      </c>
      <c r="E493" s="17">
        <f t="shared" si="1"/>
        <v>53</v>
      </c>
      <c r="F493" s="17">
        <f t="shared" si="2"/>
        <v>0</v>
      </c>
    </row>
    <row r="494">
      <c r="A494" s="5" t="s">
        <v>69</v>
      </c>
      <c r="B494" s="6">
        <v>0.0</v>
      </c>
      <c r="C494" s="13" t="s">
        <v>240</v>
      </c>
      <c r="D494" s="17">
        <f>SUMIFS(ShadowLedger!$D:$D,ShadowLedger!$G:$G,A494,ShadowLedger!$C:$C,"&gt;="&amp;DATE(LEFT(SUBSTITUTE(C494,"'",""),4),MID(SUBSTITUTE(C494,"'",""),6,2),1),ShadowLedger!$C:$C,"&lt;"&amp;EOMONTH(DATE(LEFT(SUBSTITUTE(C494,"'",""),4),MID(SUBSTITUTE(C494,"'",""),6,2),1),0)+1)</f>
        <v>0</v>
      </c>
      <c r="E494" s="17">
        <f t="shared" si="1"/>
        <v>0</v>
      </c>
      <c r="F494" s="17">
        <f t="shared" si="2"/>
        <v>0</v>
      </c>
    </row>
    <row r="495">
      <c r="A495" s="5" t="s">
        <v>54</v>
      </c>
      <c r="B495" s="6">
        <v>976.0</v>
      </c>
      <c r="C495" s="13" t="s">
        <v>241</v>
      </c>
      <c r="D495" s="17">
        <f>SUMIFS(ShadowLedger!$D:$D,ShadowLedger!$G:$G,A495,ShadowLedger!$C:$C,"&gt;="&amp;DATE(LEFT(SUBSTITUTE(C495,"'",""),4),MID(SUBSTITUTE(C495,"'",""),6,2),1),ShadowLedger!$C:$C,"&lt;"&amp;EOMONTH(DATE(LEFT(SUBSTITUTE(C495,"'",""),4),MID(SUBSTITUTE(C495,"'",""),6,2),1),0)+1)</f>
        <v>0</v>
      </c>
      <c r="E495" s="17">
        <f t="shared" si="1"/>
        <v>976</v>
      </c>
      <c r="F495" s="17">
        <f t="shared" si="2"/>
        <v>0</v>
      </c>
    </row>
    <row r="496">
      <c r="A496" s="5" t="s">
        <v>55</v>
      </c>
      <c r="B496" s="6">
        <v>743.0</v>
      </c>
      <c r="C496" s="13" t="s">
        <v>241</v>
      </c>
      <c r="D496" s="17">
        <f>SUMIFS(ShadowLedger!$D:$D,ShadowLedger!$G:$G,A496,ShadowLedger!$C:$C,"&gt;="&amp;DATE(LEFT(SUBSTITUTE(C496,"'",""),4),MID(SUBSTITUTE(C496,"'",""),6,2),1),ShadowLedger!$C:$C,"&lt;"&amp;EOMONTH(DATE(LEFT(SUBSTITUTE(C496,"'",""),4),MID(SUBSTITUTE(C496,"'",""),6,2),1),0)+1)</f>
        <v>0</v>
      </c>
      <c r="E496" s="17">
        <f t="shared" si="1"/>
        <v>743</v>
      </c>
      <c r="F496" s="17">
        <f t="shared" si="2"/>
        <v>0</v>
      </c>
    </row>
    <row r="497">
      <c r="A497" s="5" t="s">
        <v>56</v>
      </c>
      <c r="B497" s="6">
        <v>530.0</v>
      </c>
      <c r="C497" s="13" t="s">
        <v>241</v>
      </c>
      <c r="D497" s="17">
        <f>SUMIFS(ShadowLedger!$D:$D,ShadowLedger!$G:$G,A497,ShadowLedger!$C:$C,"&gt;="&amp;DATE(LEFT(SUBSTITUTE(C497,"'",""),4),MID(SUBSTITUTE(C497,"'",""),6,2),1),ShadowLedger!$C:$C,"&lt;"&amp;EOMONTH(DATE(LEFT(SUBSTITUTE(C497,"'",""),4),MID(SUBSTITUTE(C497,"'",""),6,2),1),0)+1)</f>
        <v>0</v>
      </c>
      <c r="E497" s="17">
        <f t="shared" si="1"/>
        <v>530</v>
      </c>
      <c r="F497" s="17">
        <f t="shared" si="2"/>
        <v>0</v>
      </c>
    </row>
    <row r="498">
      <c r="A498" s="5" t="s">
        <v>57</v>
      </c>
      <c r="B498" s="6">
        <v>530.0</v>
      </c>
      <c r="C498" s="13" t="s">
        <v>241</v>
      </c>
      <c r="D498" s="17">
        <f>SUMIFS(ShadowLedger!$D:$D,ShadowLedger!$G:$G,A498,ShadowLedger!$C:$C,"&gt;="&amp;DATE(LEFT(SUBSTITUTE(C498,"'",""),4),MID(SUBSTITUTE(C498,"'",""),6,2),1),ShadowLedger!$C:$C,"&lt;"&amp;EOMONTH(DATE(LEFT(SUBSTITUTE(C498,"'",""),4),MID(SUBSTITUTE(C498,"'",""),6,2),1),0)+1)</f>
        <v>0</v>
      </c>
      <c r="E498" s="17">
        <f t="shared" si="1"/>
        <v>530</v>
      </c>
      <c r="F498" s="17">
        <f t="shared" si="2"/>
        <v>0</v>
      </c>
    </row>
    <row r="499">
      <c r="A499" s="5" t="s">
        <v>58</v>
      </c>
      <c r="B499" s="6">
        <v>424.0</v>
      </c>
      <c r="C499" s="13" t="s">
        <v>241</v>
      </c>
      <c r="D499" s="17">
        <f>SUMIFS(ShadowLedger!$D:$D,ShadowLedger!$G:$G,A499,ShadowLedger!$C:$C,"&gt;="&amp;DATE(LEFT(SUBSTITUTE(C499,"'",""),4),MID(SUBSTITUTE(C499,"'",""),6,2),1),ShadowLedger!$C:$C,"&lt;"&amp;EOMONTH(DATE(LEFT(SUBSTITUTE(C499,"'",""),4),MID(SUBSTITUTE(C499,"'",""),6,2),1),0)+1)</f>
        <v>0</v>
      </c>
      <c r="E499" s="17">
        <f t="shared" si="1"/>
        <v>424</v>
      </c>
      <c r="F499" s="17">
        <f t="shared" si="2"/>
        <v>0</v>
      </c>
    </row>
    <row r="500">
      <c r="A500" s="5" t="s">
        <v>59</v>
      </c>
      <c r="B500" s="6">
        <v>212.0</v>
      </c>
      <c r="C500" s="13" t="s">
        <v>241</v>
      </c>
      <c r="D500" s="17">
        <f>SUMIFS(ShadowLedger!$D:$D,ShadowLedger!$G:$G,A500,ShadowLedger!$C:$C,"&gt;="&amp;DATE(LEFT(SUBSTITUTE(C500,"'",""),4),MID(SUBSTITUTE(C500,"'",""),6,2),1),ShadowLedger!$C:$C,"&lt;"&amp;EOMONTH(DATE(LEFT(SUBSTITUTE(C500,"'",""),4),MID(SUBSTITUTE(C500,"'",""),6,2),1),0)+1)</f>
        <v>0</v>
      </c>
      <c r="E500" s="17">
        <f t="shared" si="1"/>
        <v>212</v>
      </c>
      <c r="F500" s="17">
        <f t="shared" si="2"/>
        <v>0</v>
      </c>
    </row>
    <row r="501">
      <c r="A501" s="5" t="s">
        <v>60</v>
      </c>
      <c r="B501" s="6">
        <v>159.0</v>
      </c>
      <c r="C501" s="13" t="s">
        <v>241</v>
      </c>
      <c r="D501" s="17">
        <f>SUMIFS(ShadowLedger!$D:$D,ShadowLedger!$G:$G,A501,ShadowLedger!$C:$C,"&gt;="&amp;DATE(LEFT(SUBSTITUTE(C501,"'",""),4),MID(SUBSTITUTE(C501,"'",""),6,2),1),ShadowLedger!$C:$C,"&lt;"&amp;EOMONTH(DATE(LEFT(SUBSTITUTE(C501,"'",""),4),MID(SUBSTITUTE(C501,"'",""),6,2),1),0)+1)</f>
        <v>0</v>
      </c>
      <c r="E501" s="17">
        <f t="shared" si="1"/>
        <v>159</v>
      </c>
      <c r="F501" s="17">
        <f t="shared" si="2"/>
        <v>0</v>
      </c>
    </row>
    <row r="502">
      <c r="A502" s="5" t="s">
        <v>61</v>
      </c>
      <c r="B502" s="6">
        <v>127.0</v>
      </c>
      <c r="C502" s="13" t="s">
        <v>241</v>
      </c>
      <c r="D502" s="17">
        <f>SUMIFS(ShadowLedger!$D:$D,ShadowLedger!$G:$G,A502,ShadowLedger!$C:$C,"&gt;="&amp;DATE(LEFT(SUBSTITUTE(C502,"'",""),4),MID(SUBSTITUTE(C502,"'",""),6,2),1),ShadowLedger!$C:$C,"&lt;"&amp;EOMONTH(DATE(LEFT(SUBSTITUTE(C502,"'",""),4),MID(SUBSTITUTE(C502,"'",""),6,2),1),0)+1)</f>
        <v>0</v>
      </c>
      <c r="E502" s="17">
        <f t="shared" si="1"/>
        <v>127</v>
      </c>
      <c r="F502" s="17">
        <f t="shared" si="2"/>
        <v>0</v>
      </c>
    </row>
    <row r="503">
      <c r="A503" s="5" t="s">
        <v>62</v>
      </c>
      <c r="B503" s="6">
        <v>127.0</v>
      </c>
      <c r="C503" s="13" t="s">
        <v>241</v>
      </c>
      <c r="D503" s="17">
        <f>SUMIFS(ShadowLedger!$D:$D,ShadowLedger!$G:$G,A503,ShadowLedger!$C:$C,"&gt;="&amp;DATE(LEFT(SUBSTITUTE(C503,"'",""),4),MID(SUBSTITUTE(C503,"'",""),6,2),1),ShadowLedger!$C:$C,"&lt;"&amp;EOMONTH(DATE(LEFT(SUBSTITUTE(C503,"'",""),4),MID(SUBSTITUTE(C503,"'",""),6,2),1),0)+1)</f>
        <v>0</v>
      </c>
      <c r="E503" s="17">
        <f t="shared" si="1"/>
        <v>127</v>
      </c>
      <c r="F503" s="17">
        <f t="shared" si="2"/>
        <v>0</v>
      </c>
    </row>
    <row r="504">
      <c r="A504" s="5" t="s">
        <v>63</v>
      </c>
      <c r="B504" s="6">
        <v>106.0</v>
      </c>
      <c r="C504" s="13" t="s">
        <v>241</v>
      </c>
      <c r="D504" s="17">
        <f>SUMIFS(ShadowLedger!$D:$D,ShadowLedger!$G:$G,A504,ShadowLedger!$C:$C,"&gt;="&amp;DATE(LEFT(SUBSTITUTE(C504,"'",""),4),MID(SUBSTITUTE(C504,"'",""),6,2),1),ShadowLedger!$C:$C,"&lt;"&amp;EOMONTH(DATE(LEFT(SUBSTITUTE(C504,"'",""),4),MID(SUBSTITUTE(C504,"'",""),6,2),1),0)+1)</f>
        <v>0</v>
      </c>
      <c r="E504" s="17">
        <f t="shared" si="1"/>
        <v>106</v>
      </c>
      <c r="F504" s="17">
        <f t="shared" si="2"/>
        <v>0</v>
      </c>
    </row>
    <row r="505">
      <c r="A505" s="5" t="s">
        <v>64</v>
      </c>
      <c r="B505" s="6">
        <v>106.0</v>
      </c>
      <c r="C505" s="13" t="s">
        <v>241</v>
      </c>
      <c r="D505" s="17">
        <f>SUMIFS(ShadowLedger!$D:$D,ShadowLedger!$G:$G,A505,ShadowLedger!$C:$C,"&gt;="&amp;DATE(LEFT(SUBSTITUTE(C505,"'",""),4),MID(SUBSTITUTE(C505,"'",""),6,2),1),ShadowLedger!$C:$C,"&lt;"&amp;EOMONTH(DATE(LEFT(SUBSTITUTE(C505,"'",""),4),MID(SUBSTITUTE(C505,"'",""),6,2),1),0)+1)</f>
        <v>0</v>
      </c>
      <c r="E505" s="17">
        <f t="shared" si="1"/>
        <v>106</v>
      </c>
      <c r="F505" s="17">
        <f t="shared" si="2"/>
        <v>0</v>
      </c>
    </row>
    <row r="506">
      <c r="A506" s="5" t="s">
        <v>70</v>
      </c>
      <c r="B506" s="6">
        <v>106.0</v>
      </c>
      <c r="C506" s="13" t="s">
        <v>241</v>
      </c>
      <c r="D506" s="17">
        <f>SUMIFS(ShadowLedger!$D:$D,ShadowLedger!$G:$G,A506,ShadowLedger!$C:$C,"&gt;="&amp;DATE(LEFT(SUBSTITUTE(C506,"'",""),4),MID(SUBSTITUTE(C506,"'",""),6,2),1),ShadowLedger!$C:$C,"&lt;"&amp;EOMONTH(DATE(LEFT(SUBSTITUTE(C506,"'",""),4),MID(SUBSTITUTE(C506,"'",""),6,2),1),0)+1)</f>
        <v>0</v>
      </c>
      <c r="E506" s="17">
        <f t="shared" si="1"/>
        <v>106</v>
      </c>
      <c r="F506" s="17">
        <f t="shared" si="2"/>
        <v>0</v>
      </c>
    </row>
    <row r="507">
      <c r="A507" s="5" t="s">
        <v>65</v>
      </c>
      <c r="B507" s="6">
        <v>53.0</v>
      </c>
      <c r="C507" s="13" t="s">
        <v>241</v>
      </c>
      <c r="D507" s="17">
        <f>SUMIFS(ShadowLedger!$D:$D,ShadowLedger!$G:$G,A507,ShadowLedger!$C:$C,"&gt;="&amp;DATE(LEFT(SUBSTITUTE(C507,"'",""),4),MID(SUBSTITUTE(C507,"'",""),6,2),1),ShadowLedger!$C:$C,"&lt;"&amp;EOMONTH(DATE(LEFT(SUBSTITUTE(C507,"'",""),4),MID(SUBSTITUTE(C507,"'",""),6,2),1),0)+1)</f>
        <v>0</v>
      </c>
      <c r="E507" s="17">
        <f t="shared" si="1"/>
        <v>53</v>
      </c>
      <c r="F507" s="17">
        <f t="shared" si="2"/>
        <v>0</v>
      </c>
    </row>
    <row r="508">
      <c r="A508" s="5" t="s">
        <v>66</v>
      </c>
      <c r="B508" s="6">
        <v>53.0</v>
      </c>
      <c r="C508" s="13" t="s">
        <v>241</v>
      </c>
      <c r="D508" s="17">
        <f>SUMIFS(ShadowLedger!$D:$D,ShadowLedger!$G:$G,A508,ShadowLedger!$C:$C,"&gt;="&amp;DATE(LEFT(SUBSTITUTE(C508,"'",""),4),MID(SUBSTITUTE(C508,"'",""),6,2),1),ShadowLedger!$C:$C,"&lt;"&amp;EOMONTH(DATE(LEFT(SUBSTITUTE(C508,"'",""),4),MID(SUBSTITUTE(C508,"'",""),6,2),1),0)+1)</f>
        <v>0</v>
      </c>
      <c r="E508" s="17">
        <f t="shared" si="1"/>
        <v>53</v>
      </c>
      <c r="F508" s="17">
        <f t="shared" si="2"/>
        <v>0</v>
      </c>
    </row>
    <row r="509">
      <c r="A509" s="5" t="s">
        <v>67</v>
      </c>
      <c r="B509" s="6">
        <v>53.0</v>
      </c>
      <c r="C509" s="13" t="s">
        <v>241</v>
      </c>
      <c r="D509" s="17">
        <f>SUMIFS(ShadowLedger!$D:$D,ShadowLedger!$G:$G,A509,ShadowLedger!$C:$C,"&gt;="&amp;DATE(LEFT(SUBSTITUTE(C509,"'",""),4),MID(SUBSTITUTE(C509,"'",""),6,2),1),ShadowLedger!$C:$C,"&lt;"&amp;EOMONTH(DATE(LEFT(SUBSTITUTE(C509,"'",""),4),MID(SUBSTITUTE(C509,"'",""),6,2),1),0)+1)</f>
        <v>0</v>
      </c>
      <c r="E509" s="17">
        <f t="shared" si="1"/>
        <v>53</v>
      </c>
      <c r="F509" s="17">
        <f t="shared" si="2"/>
        <v>0</v>
      </c>
    </row>
    <row r="510">
      <c r="A510" s="5" t="s">
        <v>68</v>
      </c>
      <c r="B510" s="6">
        <v>53.0</v>
      </c>
      <c r="C510" s="13" t="s">
        <v>241</v>
      </c>
      <c r="D510" s="17">
        <f>SUMIFS(ShadowLedger!$D:$D,ShadowLedger!$G:$G,A510,ShadowLedger!$C:$C,"&gt;="&amp;DATE(LEFT(SUBSTITUTE(C510,"'",""),4),MID(SUBSTITUTE(C510,"'",""),6,2),1),ShadowLedger!$C:$C,"&lt;"&amp;EOMONTH(DATE(LEFT(SUBSTITUTE(C510,"'",""),4),MID(SUBSTITUTE(C510,"'",""),6,2),1),0)+1)</f>
        <v>0</v>
      </c>
      <c r="E510" s="17">
        <f t="shared" si="1"/>
        <v>53</v>
      </c>
      <c r="F510" s="17">
        <f t="shared" si="2"/>
        <v>0</v>
      </c>
    </row>
    <row r="511">
      <c r="A511" s="5" t="s">
        <v>69</v>
      </c>
      <c r="B511" s="6">
        <v>0.0</v>
      </c>
      <c r="C511" s="13" t="s">
        <v>241</v>
      </c>
      <c r="D511" s="17">
        <f>SUMIFS(ShadowLedger!$D:$D,ShadowLedger!$G:$G,A511,ShadowLedger!$C:$C,"&gt;="&amp;DATE(LEFT(SUBSTITUTE(C511,"'",""),4),MID(SUBSTITUTE(C511,"'",""),6,2),1),ShadowLedger!$C:$C,"&lt;"&amp;EOMONTH(DATE(LEFT(SUBSTITUTE(C511,"'",""),4),MID(SUBSTITUTE(C511,"'",""),6,2),1),0)+1)</f>
        <v>0</v>
      </c>
      <c r="E511" s="17">
        <f t="shared" si="1"/>
        <v>0</v>
      </c>
      <c r="F511" s="17">
        <f t="shared" si="2"/>
        <v>0</v>
      </c>
    </row>
    <row r="512">
      <c r="A512" s="5" t="s">
        <v>54</v>
      </c>
      <c r="B512" s="6">
        <v>976.0</v>
      </c>
      <c r="C512" s="13" t="s">
        <v>242</v>
      </c>
      <c r="D512" s="17">
        <f>SUMIFS(ShadowLedger!$D:$D,ShadowLedger!$G:$G,A512,ShadowLedger!$C:$C,"&gt;="&amp;DATE(LEFT(SUBSTITUTE(C512,"'",""),4),MID(SUBSTITUTE(C512,"'",""),6,2),1),ShadowLedger!$C:$C,"&lt;"&amp;EOMONTH(DATE(LEFT(SUBSTITUTE(C512,"'",""),4),MID(SUBSTITUTE(C512,"'",""),6,2),1),0)+1)</f>
        <v>0</v>
      </c>
      <c r="E512" s="17">
        <f t="shared" si="1"/>
        <v>976</v>
      </c>
      <c r="F512" s="17">
        <f t="shared" si="2"/>
        <v>0</v>
      </c>
    </row>
    <row r="513">
      <c r="A513" s="5" t="s">
        <v>55</v>
      </c>
      <c r="B513" s="6">
        <v>743.0</v>
      </c>
      <c r="C513" s="13" t="s">
        <v>242</v>
      </c>
      <c r="D513" s="17">
        <f>SUMIFS(ShadowLedger!$D:$D,ShadowLedger!$G:$G,A513,ShadowLedger!$C:$C,"&gt;="&amp;DATE(LEFT(SUBSTITUTE(C513,"'",""),4),MID(SUBSTITUTE(C513,"'",""),6,2),1),ShadowLedger!$C:$C,"&lt;"&amp;EOMONTH(DATE(LEFT(SUBSTITUTE(C513,"'",""),4),MID(SUBSTITUTE(C513,"'",""),6,2),1),0)+1)</f>
        <v>0</v>
      </c>
      <c r="E513" s="17">
        <f t="shared" si="1"/>
        <v>743</v>
      </c>
      <c r="F513" s="17">
        <f t="shared" si="2"/>
        <v>0</v>
      </c>
    </row>
    <row r="514">
      <c r="A514" s="5" t="s">
        <v>56</v>
      </c>
      <c r="B514" s="6">
        <v>530.0</v>
      </c>
      <c r="C514" s="13" t="s">
        <v>242</v>
      </c>
      <c r="D514" s="17">
        <f>SUMIFS(ShadowLedger!$D:$D,ShadowLedger!$G:$G,A514,ShadowLedger!$C:$C,"&gt;="&amp;DATE(LEFT(SUBSTITUTE(C514,"'",""),4),MID(SUBSTITUTE(C514,"'",""),6,2),1),ShadowLedger!$C:$C,"&lt;"&amp;EOMONTH(DATE(LEFT(SUBSTITUTE(C514,"'",""),4),MID(SUBSTITUTE(C514,"'",""),6,2),1),0)+1)</f>
        <v>0</v>
      </c>
      <c r="E514" s="17">
        <f t="shared" si="1"/>
        <v>530</v>
      </c>
      <c r="F514" s="17">
        <f t="shared" si="2"/>
        <v>0</v>
      </c>
    </row>
    <row r="515">
      <c r="A515" s="5" t="s">
        <v>57</v>
      </c>
      <c r="B515" s="6">
        <v>530.0</v>
      </c>
      <c r="C515" s="13" t="s">
        <v>242</v>
      </c>
      <c r="D515" s="17">
        <f>SUMIFS(ShadowLedger!$D:$D,ShadowLedger!$G:$G,A515,ShadowLedger!$C:$C,"&gt;="&amp;DATE(LEFT(SUBSTITUTE(C515,"'",""),4),MID(SUBSTITUTE(C515,"'",""),6,2),1),ShadowLedger!$C:$C,"&lt;"&amp;EOMONTH(DATE(LEFT(SUBSTITUTE(C515,"'",""),4),MID(SUBSTITUTE(C515,"'",""),6,2),1),0)+1)</f>
        <v>0</v>
      </c>
      <c r="E515" s="17">
        <f t="shared" si="1"/>
        <v>530</v>
      </c>
      <c r="F515" s="17">
        <f t="shared" si="2"/>
        <v>0</v>
      </c>
    </row>
    <row r="516">
      <c r="A516" s="5" t="s">
        <v>58</v>
      </c>
      <c r="B516" s="6">
        <v>424.0</v>
      </c>
      <c r="C516" s="13" t="s">
        <v>242</v>
      </c>
      <c r="D516" s="17">
        <f>SUMIFS(ShadowLedger!$D:$D,ShadowLedger!$G:$G,A516,ShadowLedger!$C:$C,"&gt;="&amp;DATE(LEFT(SUBSTITUTE(C516,"'",""),4),MID(SUBSTITUTE(C516,"'",""),6,2),1),ShadowLedger!$C:$C,"&lt;"&amp;EOMONTH(DATE(LEFT(SUBSTITUTE(C516,"'",""),4),MID(SUBSTITUTE(C516,"'",""),6,2),1),0)+1)</f>
        <v>0</v>
      </c>
      <c r="E516" s="17">
        <f t="shared" si="1"/>
        <v>424</v>
      </c>
      <c r="F516" s="17">
        <f t="shared" si="2"/>
        <v>0</v>
      </c>
    </row>
    <row r="517">
      <c r="A517" s="5" t="s">
        <v>59</v>
      </c>
      <c r="B517" s="6">
        <v>212.0</v>
      </c>
      <c r="C517" s="13" t="s">
        <v>242</v>
      </c>
      <c r="D517" s="17">
        <f>SUMIFS(ShadowLedger!$D:$D,ShadowLedger!$G:$G,A517,ShadowLedger!$C:$C,"&gt;="&amp;DATE(LEFT(SUBSTITUTE(C517,"'",""),4),MID(SUBSTITUTE(C517,"'",""),6,2),1),ShadowLedger!$C:$C,"&lt;"&amp;EOMONTH(DATE(LEFT(SUBSTITUTE(C517,"'",""),4),MID(SUBSTITUTE(C517,"'",""),6,2),1),0)+1)</f>
        <v>0</v>
      </c>
      <c r="E517" s="17">
        <f t="shared" si="1"/>
        <v>212</v>
      </c>
      <c r="F517" s="17">
        <f t="shared" si="2"/>
        <v>0</v>
      </c>
    </row>
    <row r="518">
      <c r="A518" s="5" t="s">
        <v>60</v>
      </c>
      <c r="B518" s="6">
        <v>159.0</v>
      </c>
      <c r="C518" s="13" t="s">
        <v>242</v>
      </c>
      <c r="D518" s="17">
        <f>SUMIFS(ShadowLedger!$D:$D,ShadowLedger!$G:$G,A518,ShadowLedger!$C:$C,"&gt;="&amp;DATE(LEFT(SUBSTITUTE(C518,"'",""),4),MID(SUBSTITUTE(C518,"'",""),6,2),1),ShadowLedger!$C:$C,"&lt;"&amp;EOMONTH(DATE(LEFT(SUBSTITUTE(C518,"'",""),4),MID(SUBSTITUTE(C518,"'",""),6,2),1),0)+1)</f>
        <v>0</v>
      </c>
      <c r="E518" s="17">
        <f t="shared" si="1"/>
        <v>159</v>
      </c>
      <c r="F518" s="17">
        <f t="shared" si="2"/>
        <v>0</v>
      </c>
    </row>
    <row r="519">
      <c r="A519" s="5" t="s">
        <v>61</v>
      </c>
      <c r="B519" s="6">
        <v>127.0</v>
      </c>
      <c r="C519" s="13" t="s">
        <v>242</v>
      </c>
      <c r="D519" s="17">
        <f>SUMIFS(ShadowLedger!$D:$D,ShadowLedger!$G:$G,A519,ShadowLedger!$C:$C,"&gt;="&amp;DATE(LEFT(SUBSTITUTE(C519,"'",""),4),MID(SUBSTITUTE(C519,"'",""),6,2),1),ShadowLedger!$C:$C,"&lt;"&amp;EOMONTH(DATE(LEFT(SUBSTITUTE(C519,"'",""),4),MID(SUBSTITUTE(C519,"'",""),6,2),1),0)+1)</f>
        <v>0</v>
      </c>
      <c r="E519" s="17">
        <f t="shared" si="1"/>
        <v>127</v>
      </c>
      <c r="F519" s="17">
        <f t="shared" si="2"/>
        <v>0</v>
      </c>
    </row>
    <row r="520">
      <c r="A520" s="5" t="s">
        <v>62</v>
      </c>
      <c r="B520" s="6">
        <v>127.0</v>
      </c>
      <c r="C520" s="13" t="s">
        <v>242</v>
      </c>
      <c r="D520" s="17">
        <f>SUMIFS(ShadowLedger!$D:$D,ShadowLedger!$G:$G,A520,ShadowLedger!$C:$C,"&gt;="&amp;DATE(LEFT(SUBSTITUTE(C520,"'",""),4),MID(SUBSTITUTE(C520,"'",""),6,2),1),ShadowLedger!$C:$C,"&lt;"&amp;EOMONTH(DATE(LEFT(SUBSTITUTE(C520,"'",""),4),MID(SUBSTITUTE(C520,"'",""),6,2),1),0)+1)</f>
        <v>0</v>
      </c>
      <c r="E520" s="17">
        <f t="shared" si="1"/>
        <v>127</v>
      </c>
      <c r="F520" s="17">
        <f t="shared" si="2"/>
        <v>0</v>
      </c>
    </row>
    <row r="521">
      <c r="A521" s="5" t="s">
        <v>63</v>
      </c>
      <c r="B521" s="6">
        <v>106.0</v>
      </c>
      <c r="C521" s="13" t="s">
        <v>242</v>
      </c>
      <c r="D521" s="17">
        <f>SUMIFS(ShadowLedger!$D:$D,ShadowLedger!$G:$G,A521,ShadowLedger!$C:$C,"&gt;="&amp;DATE(LEFT(SUBSTITUTE(C521,"'",""),4),MID(SUBSTITUTE(C521,"'",""),6,2),1),ShadowLedger!$C:$C,"&lt;"&amp;EOMONTH(DATE(LEFT(SUBSTITUTE(C521,"'",""),4),MID(SUBSTITUTE(C521,"'",""),6,2),1),0)+1)</f>
        <v>0</v>
      </c>
      <c r="E521" s="17">
        <f t="shared" si="1"/>
        <v>106</v>
      </c>
      <c r="F521" s="17">
        <f t="shared" si="2"/>
        <v>0</v>
      </c>
    </row>
    <row r="522">
      <c r="A522" s="5" t="s">
        <v>64</v>
      </c>
      <c r="B522" s="6">
        <v>106.0</v>
      </c>
      <c r="C522" s="13" t="s">
        <v>242</v>
      </c>
      <c r="D522" s="17">
        <f>SUMIFS(ShadowLedger!$D:$D,ShadowLedger!$G:$G,A522,ShadowLedger!$C:$C,"&gt;="&amp;DATE(LEFT(SUBSTITUTE(C522,"'",""),4),MID(SUBSTITUTE(C522,"'",""),6,2),1),ShadowLedger!$C:$C,"&lt;"&amp;EOMONTH(DATE(LEFT(SUBSTITUTE(C522,"'",""),4),MID(SUBSTITUTE(C522,"'",""),6,2),1),0)+1)</f>
        <v>0</v>
      </c>
      <c r="E522" s="17">
        <f t="shared" si="1"/>
        <v>106</v>
      </c>
      <c r="F522" s="17">
        <f t="shared" si="2"/>
        <v>0</v>
      </c>
    </row>
    <row r="523">
      <c r="A523" s="5" t="s">
        <v>70</v>
      </c>
      <c r="B523" s="6">
        <v>106.0</v>
      </c>
      <c r="C523" s="13" t="s">
        <v>242</v>
      </c>
      <c r="D523" s="17">
        <f>SUMIFS(ShadowLedger!$D:$D,ShadowLedger!$G:$G,A523,ShadowLedger!$C:$C,"&gt;="&amp;DATE(LEFT(SUBSTITUTE(C523,"'",""),4),MID(SUBSTITUTE(C523,"'",""),6,2),1),ShadowLedger!$C:$C,"&lt;"&amp;EOMONTH(DATE(LEFT(SUBSTITUTE(C523,"'",""),4),MID(SUBSTITUTE(C523,"'",""),6,2),1),0)+1)</f>
        <v>0</v>
      </c>
      <c r="E523" s="17">
        <f t="shared" si="1"/>
        <v>106</v>
      </c>
      <c r="F523" s="17">
        <f t="shared" si="2"/>
        <v>0</v>
      </c>
    </row>
    <row r="524">
      <c r="A524" s="5" t="s">
        <v>65</v>
      </c>
      <c r="B524" s="6">
        <v>53.0</v>
      </c>
      <c r="C524" s="13" t="s">
        <v>242</v>
      </c>
      <c r="D524" s="17">
        <f>SUMIFS(ShadowLedger!$D:$D,ShadowLedger!$G:$G,A524,ShadowLedger!$C:$C,"&gt;="&amp;DATE(LEFT(SUBSTITUTE(C524,"'",""),4),MID(SUBSTITUTE(C524,"'",""),6,2),1),ShadowLedger!$C:$C,"&lt;"&amp;EOMONTH(DATE(LEFT(SUBSTITUTE(C524,"'",""),4),MID(SUBSTITUTE(C524,"'",""),6,2),1),0)+1)</f>
        <v>0</v>
      </c>
      <c r="E524" s="17">
        <f t="shared" si="1"/>
        <v>53</v>
      </c>
      <c r="F524" s="17">
        <f t="shared" si="2"/>
        <v>0</v>
      </c>
    </row>
    <row r="525">
      <c r="A525" s="5" t="s">
        <v>66</v>
      </c>
      <c r="B525" s="6">
        <v>53.0</v>
      </c>
      <c r="C525" s="13" t="s">
        <v>242</v>
      </c>
      <c r="D525" s="17">
        <f>SUMIFS(ShadowLedger!$D:$D,ShadowLedger!$G:$G,A525,ShadowLedger!$C:$C,"&gt;="&amp;DATE(LEFT(SUBSTITUTE(C525,"'",""),4),MID(SUBSTITUTE(C525,"'",""),6,2),1),ShadowLedger!$C:$C,"&lt;"&amp;EOMONTH(DATE(LEFT(SUBSTITUTE(C525,"'",""),4),MID(SUBSTITUTE(C525,"'",""),6,2),1),0)+1)</f>
        <v>0</v>
      </c>
      <c r="E525" s="17">
        <f t="shared" si="1"/>
        <v>53</v>
      </c>
      <c r="F525" s="17">
        <f t="shared" si="2"/>
        <v>0</v>
      </c>
    </row>
    <row r="526">
      <c r="A526" s="5" t="s">
        <v>67</v>
      </c>
      <c r="B526" s="6">
        <v>53.0</v>
      </c>
      <c r="C526" s="13" t="s">
        <v>242</v>
      </c>
      <c r="D526" s="17">
        <f>SUMIFS(ShadowLedger!$D:$D,ShadowLedger!$G:$G,A526,ShadowLedger!$C:$C,"&gt;="&amp;DATE(LEFT(SUBSTITUTE(C526,"'",""),4),MID(SUBSTITUTE(C526,"'",""),6,2),1),ShadowLedger!$C:$C,"&lt;"&amp;EOMONTH(DATE(LEFT(SUBSTITUTE(C526,"'",""),4),MID(SUBSTITUTE(C526,"'",""),6,2),1),0)+1)</f>
        <v>0</v>
      </c>
      <c r="E526" s="17">
        <f t="shared" si="1"/>
        <v>53</v>
      </c>
      <c r="F526" s="17">
        <f t="shared" si="2"/>
        <v>0</v>
      </c>
    </row>
    <row r="527">
      <c r="A527" s="5" t="s">
        <v>68</v>
      </c>
      <c r="B527" s="6">
        <v>53.0</v>
      </c>
      <c r="C527" s="13" t="s">
        <v>242</v>
      </c>
      <c r="D527" s="17">
        <f>SUMIFS(ShadowLedger!$D:$D,ShadowLedger!$G:$G,A527,ShadowLedger!$C:$C,"&gt;="&amp;DATE(LEFT(SUBSTITUTE(C527,"'",""),4),MID(SUBSTITUTE(C527,"'",""),6,2),1),ShadowLedger!$C:$C,"&lt;"&amp;EOMONTH(DATE(LEFT(SUBSTITUTE(C527,"'",""),4),MID(SUBSTITUTE(C527,"'",""),6,2),1),0)+1)</f>
        <v>0</v>
      </c>
      <c r="E527" s="17">
        <f t="shared" si="1"/>
        <v>53</v>
      </c>
      <c r="F527" s="17">
        <f t="shared" si="2"/>
        <v>0</v>
      </c>
    </row>
    <row r="528">
      <c r="A528" s="5" t="s">
        <v>69</v>
      </c>
      <c r="B528" s="6">
        <v>0.0</v>
      </c>
      <c r="C528" s="13" t="s">
        <v>242</v>
      </c>
      <c r="D528" s="17">
        <f>SUMIFS(ShadowLedger!$D:$D,ShadowLedger!$G:$G,A528,ShadowLedger!$C:$C,"&gt;="&amp;DATE(LEFT(SUBSTITUTE(C528,"'",""),4),MID(SUBSTITUTE(C528,"'",""),6,2),1),ShadowLedger!$C:$C,"&lt;"&amp;EOMONTH(DATE(LEFT(SUBSTITUTE(C528,"'",""),4),MID(SUBSTITUTE(C528,"'",""),6,2),1),0)+1)</f>
        <v>0</v>
      </c>
      <c r="E528" s="17">
        <f t="shared" si="1"/>
        <v>0</v>
      </c>
      <c r="F528" s="17">
        <f t="shared" si="2"/>
        <v>0</v>
      </c>
    </row>
    <row r="529">
      <c r="A529" s="5" t="s">
        <v>54</v>
      </c>
      <c r="B529" s="6">
        <v>976.0</v>
      </c>
      <c r="C529" s="13" t="s">
        <v>243</v>
      </c>
      <c r="D529" s="17">
        <f>SUMIFS(ShadowLedger!$D:$D,ShadowLedger!$G:$G,A529,ShadowLedger!$C:$C,"&gt;="&amp;DATE(LEFT(SUBSTITUTE(C529,"'",""),4),MID(SUBSTITUTE(C529,"'",""),6,2),1),ShadowLedger!$C:$C,"&lt;"&amp;EOMONTH(DATE(LEFT(SUBSTITUTE(C529,"'",""),4),MID(SUBSTITUTE(C529,"'",""),6,2),1),0)+1)</f>
        <v>0</v>
      </c>
      <c r="E529" s="17">
        <f t="shared" si="1"/>
        <v>976</v>
      </c>
      <c r="F529" s="17">
        <f t="shared" si="2"/>
        <v>0</v>
      </c>
    </row>
    <row r="530">
      <c r="A530" s="5" t="s">
        <v>55</v>
      </c>
      <c r="B530" s="6">
        <v>743.0</v>
      </c>
      <c r="C530" s="13" t="s">
        <v>243</v>
      </c>
      <c r="D530" s="17">
        <f>SUMIFS(ShadowLedger!$D:$D,ShadowLedger!$G:$G,A530,ShadowLedger!$C:$C,"&gt;="&amp;DATE(LEFT(SUBSTITUTE(C530,"'",""),4),MID(SUBSTITUTE(C530,"'",""),6,2),1),ShadowLedger!$C:$C,"&lt;"&amp;EOMONTH(DATE(LEFT(SUBSTITUTE(C530,"'",""),4),MID(SUBSTITUTE(C530,"'",""),6,2),1),0)+1)</f>
        <v>0</v>
      </c>
      <c r="E530" s="17">
        <f t="shared" si="1"/>
        <v>743</v>
      </c>
      <c r="F530" s="17">
        <f t="shared" si="2"/>
        <v>0</v>
      </c>
    </row>
    <row r="531">
      <c r="A531" s="5" t="s">
        <v>56</v>
      </c>
      <c r="B531" s="6">
        <v>530.0</v>
      </c>
      <c r="C531" s="13" t="s">
        <v>243</v>
      </c>
      <c r="D531" s="17">
        <f>SUMIFS(ShadowLedger!$D:$D,ShadowLedger!$G:$G,A531,ShadowLedger!$C:$C,"&gt;="&amp;DATE(LEFT(SUBSTITUTE(C531,"'",""),4),MID(SUBSTITUTE(C531,"'",""),6,2),1),ShadowLedger!$C:$C,"&lt;"&amp;EOMONTH(DATE(LEFT(SUBSTITUTE(C531,"'",""),4),MID(SUBSTITUTE(C531,"'",""),6,2),1),0)+1)</f>
        <v>0</v>
      </c>
      <c r="E531" s="17">
        <f t="shared" si="1"/>
        <v>530</v>
      </c>
      <c r="F531" s="17">
        <f t="shared" si="2"/>
        <v>0</v>
      </c>
    </row>
    <row r="532">
      <c r="A532" s="5" t="s">
        <v>57</v>
      </c>
      <c r="B532" s="6">
        <v>530.0</v>
      </c>
      <c r="C532" s="13" t="s">
        <v>243</v>
      </c>
      <c r="D532" s="17">
        <f>SUMIFS(ShadowLedger!$D:$D,ShadowLedger!$G:$G,A532,ShadowLedger!$C:$C,"&gt;="&amp;DATE(LEFT(SUBSTITUTE(C532,"'",""),4),MID(SUBSTITUTE(C532,"'",""),6,2),1),ShadowLedger!$C:$C,"&lt;"&amp;EOMONTH(DATE(LEFT(SUBSTITUTE(C532,"'",""),4),MID(SUBSTITUTE(C532,"'",""),6,2),1),0)+1)</f>
        <v>0</v>
      </c>
      <c r="E532" s="17">
        <f t="shared" si="1"/>
        <v>530</v>
      </c>
      <c r="F532" s="17">
        <f t="shared" si="2"/>
        <v>0</v>
      </c>
    </row>
    <row r="533">
      <c r="A533" s="5" t="s">
        <v>58</v>
      </c>
      <c r="B533" s="6">
        <v>424.0</v>
      </c>
      <c r="C533" s="13" t="s">
        <v>243</v>
      </c>
      <c r="D533" s="17">
        <f>SUMIFS(ShadowLedger!$D:$D,ShadowLedger!$G:$G,A533,ShadowLedger!$C:$C,"&gt;="&amp;DATE(LEFT(SUBSTITUTE(C533,"'",""),4),MID(SUBSTITUTE(C533,"'",""),6,2),1),ShadowLedger!$C:$C,"&lt;"&amp;EOMONTH(DATE(LEFT(SUBSTITUTE(C533,"'",""),4),MID(SUBSTITUTE(C533,"'",""),6,2),1),0)+1)</f>
        <v>0</v>
      </c>
      <c r="E533" s="17">
        <f t="shared" si="1"/>
        <v>424</v>
      </c>
      <c r="F533" s="17">
        <f t="shared" si="2"/>
        <v>0</v>
      </c>
    </row>
    <row r="534">
      <c r="A534" s="5" t="s">
        <v>59</v>
      </c>
      <c r="B534" s="6">
        <v>212.0</v>
      </c>
      <c r="C534" s="13" t="s">
        <v>243</v>
      </c>
      <c r="D534" s="17">
        <f>SUMIFS(ShadowLedger!$D:$D,ShadowLedger!$G:$G,A534,ShadowLedger!$C:$C,"&gt;="&amp;DATE(LEFT(SUBSTITUTE(C534,"'",""),4),MID(SUBSTITUTE(C534,"'",""),6,2),1),ShadowLedger!$C:$C,"&lt;"&amp;EOMONTH(DATE(LEFT(SUBSTITUTE(C534,"'",""),4),MID(SUBSTITUTE(C534,"'",""),6,2),1),0)+1)</f>
        <v>0</v>
      </c>
      <c r="E534" s="17">
        <f t="shared" si="1"/>
        <v>212</v>
      </c>
      <c r="F534" s="17">
        <f t="shared" si="2"/>
        <v>0</v>
      </c>
    </row>
    <row r="535">
      <c r="A535" s="5" t="s">
        <v>60</v>
      </c>
      <c r="B535" s="6">
        <v>159.0</v>
      </c>
      <c r="C535" s="13" t="s">
        <v>243</v>
      </c>
      <c r="D535" s="17">
        <f>SUMIFS(ShadowLedger!$D:$D,ShadowLedger!$G:$G,A535,ShadowLedger!$C:$C,"&gt;="&amp;DATE(LEFT(SUBSTITUTE(C535,"'",""),4),MID(SUBSTITUTE(C535,"'",""),6,2),1),ShadowLedger!$C:$C,"&lt;"&amp;EOMONTH(DATE(LEFT(SUBSTITUTE(C535,"'",""),4),MID(SUBSTITUTE(C535,"'",""),6,2),1),0)+1)</f>
        <v>0</v>
      </c>
      <c r="E535" s="17">
        <f t="shared" si="1"/>
        <v>159</v>
      </c>
      <c r="F535" s="17">
        <f t="shared" si="2"/>
        <v>0</v>
      </c>
    </row>
    <row r="536">
      <c r="A536" s="5" t="s">
        <v>61</v>
      </c>
      <c r="B536" s="6">
        <v>127.0</v>
      </c>
      <c r="C536" s="13" t="s">
        <v>243</v>
      </c>
      <c r="D536" s="17">
        <f>SUMIFS(ShadowLedger!$D:$D,ShadowLedger!$G:$G,A536,ShadowLedger!$C:$C,"&gt;="&amp;DATE(LEFT(SUBSTITUTE(C536,"'",""),4),MID(SUBSTITUTE(C536,"'",""),6,2),1),ShadowLedger!$C:$C,"&lt;"&amp;EOMONTH(DATE(LEFT(SUBSTITUTE(C536,"'",""),4),MID(SUBSTITUTE(C536,"'",""),6,2),1),0)+1)</f>
        <v>0</v>
      </c>
      <c r="E536" s="17">
        <f t="shared" si="1"/>
        <v>127</v>
      </c>
      <c r="F536" s="17">
        <f t="shared" si="2"/>
        <v>0</v>
      </c>
    </row>
    <row r="537">
      <c r="A537" s="5" t="s">
        <v>62</v>
      </c>
      <c r="B537" s="6">
        <v>127.0</v>
      </c>
      <c r="C537" s="13" t="s">
        <v>243</v>
      </c>
      <c r="D537" s="17">
        <f>SUMIFS(ShadowLedger!$D:$D,ShadowLedger!$G:$G,A537,ShadowLedger!$C:$C,"&gt;="&amp;DATE(LEFT(SUBSTITUTE(C537,"'",""),4),MID(SUBSTITUTE(C537,"'",""),6,2),1),ShadowLedger!$C:$C,"&lt;"&amp;EOMONTH(DATE(LEFT(SUBSTITUTE(C537,"'",""),4),MID(SUBSTITUTE(C537,"'",""),6,2),1),0)+1)</f>
        <v>0</v>
      </c>
      <c r="E537" s="17">
        <f t="shared" si="1"/>
        <v>127</v>
      </c>
      <c r="F537" s="17">
        <f t="shared" si="2"/>
        <v>0</v>
      </c>
    </row>
    <row r="538">
      <c r="A538" s="5" t="s">
        <v>63</v>
      </c>
      <c r="B538" s="6">
        <v>106.0</v>
      </c>
      <c r="C538" s="13" t="s">
        <v>243</v>
      </c>
      <c r="D538" s="17">
        <f>SUMIFS(ShadowLedger!$D:$D,ShadowLedger!$G:$G,A538,ShadowLedger!$C:$C,"&gt;="&amp;DATE(LEFT(SUBSTITUTE(C538,"'",""),4),MID(SUBSTITUTE(C538,"'",""),6,2),1),ShadowLedger!$C:$C,"&lt;"&amp;EOMONTH(DATE(LEFT(SUBSTITUTE(C538,"'",""),4),MID(SUBSTITUTE(C538,"'",""),6,2),1),0)+1)</f>
        <v>0</v>
      </c>
      <c r="E538" s="17">
        <f t="shared" si="1"/>
        <v>106</v>
      </c>
      <c r="F538" s="17">
        <f t="shared" si="2"/>
        <v>0</v>
      </c>
    </row>
    <row r="539">
      <c r="A539" s="5" t="s">
        <v>64</v>
      </c>
      <c r="B539" s="6">
        <v>106.0</v>
      </c>
      <c r="C539" s="13" t="s">
        <v>243</v>
      </c>
      <c r="D539" s="17">
        <f>SUMIFS(ShadowLedger!$D:$D,ShadowLedger!$G:$G,A539,ShadowLedger!$C:$C,"&gt;="&amp;DATE(LEFT(SUBSTITUTE(C539,"'",""),4),MID(SUBSTITUTE(C539,"'",""),6,2),1),ShadowLedger!$C:$C,"&lt;"&amp;EOMONTH(DATE(LEFT(SUBSTITUTE(C539,"'",""),4),MID(SUBSTITUTE(C539,"'",""),6,2),1),0)+1)</f>
        <v>0</v>
      </c>
      <c r="E539" s="17">
        <f t="shared" si="1"/>
        <v>106</v>
      </c>
      <c r="F539" s="17">
        <f t="shared" si="2"/>
        <v>0</v>
      </c>
    </row>
    <row r="540">
      <c r="A540" s="5" t="s">
        <v>70</v>
      </c>
      <c r="B540" s="6">
        <v>106.0</v>
      </c>
      <c r="C540" s="13" t="s">
        <v>243</v>
      </c>
      <c r="D540" s="17">
        <f>SUMIFS(ShadowLedger!$D:$D,ShadowLedger!$G:$G,A540,ShadowLedger!$C:$C,"&gt;="&amp;DATE(LEFT(SUBSTITUTE(C540,"'",""),4),MID(SUBSTITUTE(C540,"'",""),6,2),1),ShadowLedger!$C:$C,"&lt;"&amp;EOMONTH(DATE(LEFT(SUBSTITUTE(C540,"'",""),4),MID(SUBSTITUTE(C540,"'",""),6,2),1),0)+1)</f>
        <v>0</v>
      </c>
      <c r="E540" s="17">
        <f t="shared" si="1"/>
        <v>106</v>
      </c>
      <c r="F540" s="17">
        <f t="shared" si="2"/>
        <v>0</v>
      </c>
    </row>
    <row r="541">
      <c r="A541" s="5" t="s">
        <v>65</v>
      </c>
      <c r="B541" s="6">
        <v>53.0</v>
      </c>
      <c r="C541" s="13" t="s">
        <v>243</v>
      </c>
      <c r="D541" s="17">
        <f>SUMIFS(ShadowLedger!$D:$D,ShadowLedger!$G:$G,A541,ShadowLedger!$C:$C,"&gt;="&amp;DATE(LEFT(SUBSTITUTE(C541,"'",""),4),MID(SUBSTITUTE(C541,"'",""),6,2),1),ShadowLedger!$C:$C,"&lt;"&amp;EOMONTH(DATE(LEFT(SUBSTITUTE(C541,"'",""),4),MID(SUBSTITUTE(C541,"'",""),6,2),1),0)+1)</f>
        <v>0</v>
      </c>
      <c r="E541" s="17">
        <f t="shared" si="1"/>
        <v>53</v>
      </c>
      <c r="F541" s="17">
        <f t="shared" si="2"/>
        <v>0</v>
      </c>
    </row>
    <row r="542">
      <c r="A542" s="5" t="s">
        <v>66</v>
      </c>
      <c r="B542" s="6">
        <v>53.0</v>
      </c>
      <c r="C542" s="13" t="s">
        <v>243</v>
      </c>
      <c r="D542" s="17">
        <f>SUMIFS(ShadowLedger!$D:$D,ShadowLedger!$G:$G,A542,ShadowLedger!$C:$C,"&gt;="&amp;DATE(LEFT(SUBSTITUTE(C542,"'",""),4),MID(SUBSTITUTE(C542,"'",""),6,2),1),ShadowLedger!$C:$C,"&lt;"&amp;EOMONTH(DATE(LEFT(SUBSTITUTE(C542,"'",""),4),MID(SUBSTITUTE(C542,"'",""),6,2),1),0)+1)</f>
        <v>0</v>
      </c>
      <c r="E542" s="17">
        <f t="shared" si="1"/>
        <v>53</v>
      </c>
      <c r="F542" s="17">
        <f t="shared" si="2"/>
        <v>0</v>
      </c>
    </row>
    <row r="543">
      <c r="A543" s="5" t="s">
        <v>67</v>
      </c>
      <c r="B543" s="6">
        <v>53.0</v>
      </c>
      <c r="C543" s="13" t="s">
        <v>243</v>
      </c>
      <c r="D543" s="17">
        <f>SUMIFS(ShadowLedger!$D:$D,ShadowLedger!$G:$G,A543,ShadowLedger!$C:$C,"&gt;="&amp;DATE(LEFT(SUBSTITUTE(C543,"'",""),4),MID(SUBSTITUTE(C543,"'",""),6,2),1),ShadowLedger!$C:$C,"&lt;"&amp;EOMONTH(DATE(LEFT(SUBSTITUTE(C543,"'",""),4),MID(SUBSTITUTE(C543,"'",""),6,2),1),0)+1)</f>
        <v>0</v>
      </c>
      <c r="E543" s="17">
        <f t="shared" si="1"/>
        <v>53</v>
      </c>
      <c r="F543" s="17">
        <f t="shared" si="2"/>
        <v>0</v>
      </c>
    </row>
    <row r="544">
      <c r="A544" s="5" t="s">
        <v>68</v>
      </c>
      <c r="B544" s="6">
        <v>53.0</v>
      </c>
      <c r="C544" s="13" t="s">
        <v>243</v>
      </c>
      <c r="D544" s="17">
        <f>SUMIFS(ShadowLedger!$D:$D,ShadowLedger!$G:$G,A544,ShadowLedger!$C:$C,"&gt;="&amp;DATE(LEFT(SUBSTITUTE(C544,"'",""),4),MID(SUBSTITUTE(C544,"'",""),6,2),1),ShadowLedger!$C:$C,"&lt;"&amp;EOMONTH(DATE(LEFT(SUBSTITUTE(C544,"'",""),4),MID(SUBSTITUTE(C544,"'",""),6,2),1),0)+1)</f>
        <v>0</v>
      </c>
      <c r="E544" s="17">
        <f t="shared" si="1"/>
        <v>53</v>
      </c>
      <c r="F544" s="17">
        <f t="shared" si="2"/>
        <v>0</v>
      </c>
    </row>
    <row r="545">
      <c r="A545" s="5" t="s">
        <v>69</v>
      </c>
      <c r="B545" s="6">
        <v>0.0</v>
      </c>
      <c r="C545" s="13" t="s">
        <v>243</v>
      </c>
      <c r="D545" s="17">
        <f>SUMIFS(ShadowLedger!$D:$D,ShadowLedger!$G:$G,A545,ShadowLedger!$C:$C,"&gt;="&amp;DATE(LEFT(SUBSTITUTE(C545,"'",""),4),MID(SUBSTITUTE(C545,"'",""),6,2),1),ShadowLedger!$C:$C,"&lt;"&amp;EOMONTH(DATE(LEFT(SUBSTITUTE(C545,"'",""),4),MID(SUBSTITUTE(C545,"'",""),6,2),1),0)+1)</f>
        <v>0</v>
      </c>
      <c r="E545" s="17">
        <f t="shared" si="1"/>
        <v>0</v>
      </c>
      <c r="F545" s="17">
        <f t="shared" si="2"/>
        <v>0</v>
      </c>
    </row>
    <row r="546">
      <c r="A546" s="5" t="s">
        <v>54</v>
      </c>
      <c r="B546" s="6">
        <v>976.0</v>
      </c>
      <c r="C546" s="13" t="s">
        <v>244</v>
      </c>
      <c r="D546" s="17">
        <f>SUMIFS(ShadowLedger!$D:$D,ShadowLedger!$G:$G,A546,ShadowLedger!$C:$C,"&gt;="&amp;DATE(LEFT(SUBSTITUTE(C546,"'",""),4),MID(SUBSTITUTE(C546,"'",""),6,2),1),ShadowLedger!$C:$C,"&lt;"&amp;EOMONTH(DATE(LEFT(SUBSTITUTE(C546,"'",""),4),MID(SUBSTITUTE(C546,"'",""),6,2),1),0)+1)</f>
        <v>0</v>
      </c>
      <c r="E546" s="17">
        <f t="shared" si="1"/>
        <v>976</v>
      </c>
      <c r="F546" s="17">
        <f t="shared" si="2"/>
        <v>0</v>
      </c>
    </row>
    <row r="547">
      <c r="A547" s="5" t="s">
        <v>55</v>
      </c>
      <c r="B547" s="6">
        <v>743.0</v>
      </c>
      <c r="C547" s="13" t="s">
        <v>244</v>
      </c>
      <c r="D547" s="17">
        <f>SUMIFS(ShadowLedger!$D:$D,ShadowLedger!$G:$G,A547,ShadowLedger!$C:$C,"&gt;="&amp;DATE(LEFT(SUBSTITUTE(C547,"'",""),4),MID(SUBSTITUTE(C547,"'",""),6,2),1),ShadowLedger!$C:$C,"&lt;"&amp;EOMONTH(DATE(LEFT(SUBSTITUTE(C547,"'",""),4),MID(SUBSTITUTE(C547,"'",""),6,2),1),0)+1)</f>
        <v>0</v>
      </c>
      <c r="E547" s="17">
        <f t="shared" si="1"/>
        <v>743</v>
      </c>
      <c r="F547" s="17">
        <f t="shared" si="2"/>
        <v>0</v>
      </c>
    </row>
    <row r="548">
      <c r="A548" s="5" t="s">
        <v>56</v>
      </c>
      <c r="B548" s="6">
        <v>530.0</v>
      </c>
      <c r="C548" s="13" t="s">
        <v>244</v>
      </c>
      <c r="D548" s="17">
        <f>SUMIFS(ShadowLedger!$D:$D,ShadowLedger!$G:$G,A548,ShadowLedger!$C:$C,"&gt;="&amp;DATE(LEFT(SUBSTITUTE(C548,"'",""),4),MID(SUBSTITUTE(C548,"'",""),6,2),1),ShadowLedger!$C:$C,"&lt;"&amp;EOMONTH(DATE(LEFT(SUBSTITUTE(C548,"'",""),4),MID(SUBSTITUTE(C548,"'",""),6,2),1),0)+1)</f>
        <v>0</v>
      </c>
      <c r="E548" s="17">
        <f t="shared" si="1"/>
        <v>530</v>
      </c>
      <c r="F548" s="17">
        <f t="shared" si="2"/>
        <v>0</v>
      </c>
    </row>
    <row r="549">
      <c r="A549" s="5" t="s">
        <v>57</v>
      </c>
      <c r="B549" s="6">
        <v>530.0</v>
      </c>
      <c r="C549" s="13" t="s">
        <v>244</v>
      </c>
      <c r="D549" s="17">
        <f>SUMIFS(ShadowLedger!$D:$D,ShadowLedger!$G:$G,A549,ShadowLedger!$C:$C,"&gt;="&amp;DATE(LEFT(SUBSTITUTE(C549,"'",""),4),MID(SUBSTITUTE(C549,"'",""),6,2),1),ShadowLedger!$C:$C,"&lt;"&amp;EOMONTH(DATE(LEFT(SUBSTITUTE(C549,"'",""),4),MID(SUBSTITUTE(C549,"'",""),6,2),1),0)+1)</f>
        <v>0</v>
      </c>
      <c r="E549" s="17">
        <f t="shared" si="1"/>
        <v>530</v>
      </c>
      <c r="F549" s="17">
        <f t="shared" si="2"/>
        <v>0</v>
      </c>
    </row>
    <row r="550">
      <c r="A550" s="5" t="s">
        <v>58</v>
      </c>
      <c r="B550" s="6">
        <v>424.0</v>
      </c>
      <c r="C550" s="13" t="s">
        <v>244</v>
      </c>
      <c r="D550" s="17">
        <f>SUMIFS(ShadowLedger!$D:$D,ShadowLedger!$G:$G,A550,ShadowLedger!$C:$C,"&gt;="&amp;DATE(LEFT(SUBSTITUTE(C550,"'",""),4),MID(SUBSTITUTE(C550,"'",""),6,2),1),ShadowLedger!$C:$C,"&lt;"&amp;EOMONTH(DATE(LEFT(SUBSTITUTE(C550,"'",""),4),MID(SUBSTITUTE(C550,"'",""),6,2),1),0)+1)</f>
        <v>0</v>
      </c>
      <c r="E550" s="17">
        <f t="shared" si="1"/>
        <v>424</v>
      </c>
      <c r="F550" s="17">
        <f t="shared" si="2"/>
        <v>0</v>
      </c>
    </row>
    <row r="551">
      <c r="A551" s="5" t="s">
        <v>59</v>
      </c>
      <c r="B551" s="6">
        <v>212.0</v>
      </c>
      <c r="C551" s="13" t="s">
        <v>244</v>
      </c>
      <c r="D551" s="17">
        <f>SUMIFS(ShadowLedger!$D:$D,ShadowLedger!$G:$G,A551,ShadowLedger!$C:$C,"&gt;="&amp;DATE(LEFT(SUBSTITUTE(C551,"'",""),4),MID(SUBSTITUTE(C551,"'",""),6,2),1),ShadowLedger!$C:$C,"&lt;"&amp;EOMONTH(DATE(LEFT(SUBSTITUTE(C551,"'",""),4),MID(SUBSTITUTE(C551,"'",""),6,2),1),0)+1)</f>
        <v>0</v>
      </c>
      <c r="E551" s="17">
        <f t="shared" si="1"/>
        <v>212</v>
      </c>
      <c r="F551" s="17">
        <f t="shared" si="2"/>
        <v>0</v>
      </c>
    </row>
    <row r="552">
      <c r="A552" s="5" t="s">
        <v>60</v>
      </c>
      <c r="B552" s="6">
        <v>159.0</v>
      </c>
      <c r="C552" s="13" t="s">
        <v>244</v>
      </c>
      <c r="D552" s="17">
        <f>SUMIFS(ShadowLedger!$D:$D,ShadowLedger!$G:$G,A552,ShadowLedger!$C:$C,"&gt;="&amp;DATE(LEFT(SUBSTITUTE(C552,"'",""),4),MID(SUBSTITUTE(C552,"'",""),6,2),1),ShadowLedger!$C:$C,"&lt;"&amp;EOMONTH(DATE(LEFT(SUBSTITUTE(C552,"'",""),4),MID(SUBSTITUTE(C552,"'",""),6,2),1),0)+1)</f>
        <v>0</v>
      </c>
      <c r="E552" s="17">
        <f t="shared" si="1"/>
        <v>159</v>
      </c>
      <c r="F552" s="17">
        <f t="shared" si="2"/>
        <v>0</v>
      </c>
    </row>
    <row r="553">
      <c r="A553" s="5" t="s">
        <v>61</v>
      </c>
      <c r="B553" s="6">
        <v>127.0</v>
      </c>
      <c r="C553" s="13" t="s">
        <v>244</v>
      </c>
      <c r="D553" s="17">
        <f>SUMIFS(ShadowLedger!$D:$D,ShadowLedger!$G:$G,A553,ShadowLedger!$C:$C,"&gt;="&amp;DATE(LEFT(SUBSTITUTE(C553,"'",""),4),MID(SUBSTITUTE(C553,"'",""),6,2),1),ShadowLedger!$C:$C,"&lt;"&amp;EOMONTH(DATE(LEFT(SUBSTITUTE(C553,"'",""),4),MID(SUBSTITUTE(C553,"'",""),6,2),1),0)+1)</f>
        <v>0</v>
      </c>
      <c r="E553" s="17">
        <f t="shared" si="1"/>
        <v>127</v>
      </c>
      <c r="F553" s="17">
        <f t="shared" si="2"/>
        <v>0</v>
      </c>
    </row>
    <row r="554">
      <c r="A554" s="5" t="s">
        <v>62</v>
      </c>
      <c r="B554" s="6">
        <v>127.0</v>
      </c>
      <c r="C554" s="13" t="s">
        <v>244</v>
      </c>
      <c r="D554" s="17">
        <f>SUMIFS(ShadowLedger!$D:$D,ShadowLedger!$G:$G,A554,ShadowLedger!$C:$C,"&gt;="&amp;DATE(LEFT(SUBSTITUTE(C554,"'",""),4),MID(SUBSTITUTE(C554,"'",""),6,2),1),ShadowLedger!$C:$C,"&lt;"&amp;EOMONTH(DATE(LEFT(SUBSTITUTE(C554,"'",""),4),MID(SUBSTITUTE(C554,"'",""),6,2),1),0)+1)</f>
        <v>0</v>
      </c>
      <c r="E554" s="17">
        <f t="shared" si="1"/>
        <v>127</v>
      </c>
      <c r="F554" s="17">
        <f t="shared" si="2"/>
        <v>0</v>
      </c>
    </row>
    <row r="555">
      <c r="A555" s="5" t="s">
        <v>63</v>
      </c>
      <c r="B555" s="6">
        <v>106.0</v>
      </c>
      <c r="C555" s="13" t="s">
        <v>244</v>
      </c>
      <c r="D555" s="17">
        <f>SUMIFS(ShadowLedger!$D:$D,ShadowLedger!$G:$G,A555,ShadowLedger!$C:$C,"&gt;="&amp;DATE(LEFT(SUBSTITUTE(C555,"'",""),4),MID(SUBSTITUTE(C555,"'",""),6,2),1),ShadowLedger!$C:$C,"&lt;"&amp;EOMONTH(DATE(LEFT(SUBSTITUTE(C555,"'",""),4),MID(SUBSTITUTE(C555,"'",""),6,2),1),0)+1)</f>
        <v>0</v>
      </c>
      <c r="E555" s="17">
        <f t="shared" si="1"/>
        <v>106</v>
      </c>
      <c r="F555" s="17">
        <f t="shared" si="2"/>
        <v>0</v>
      </c>
    </row>
    <row r="556">
      <c r="A556" s="5" t="s">
        <v>64</v>
      </c>
      <c r="B556" s="6">
        <v>106.0</v>
      </c>
      <c r="C556" s="13" t="s">
        <v>244</v>
      </c>
      <c r="D556" s="17">
        <f>SUMIFS(ShadowLedger!$D:$D,ShadowLedger!$G:$G,A556,ShadowLedger!$C:$C,"&gt;="&amp;DATE(LEFT(SUBSTITUTE(C556,"'",""),4),MID(SUBSTITUTE(C556,"'",""),6,2),1),ShadowLedger!$C:$C,"&lt;"&amp;EOMONTH(DATE(LEFT(SUBSTITUTE(C556,"'",""),4),MID(SUBSTITUTE(C556,"'",""),6,2),1),0)+1)</f>
        <v>0</v>
      </c>
      <c r="E556" s="17">
        <f t="shared" si="1"/>
        <v>106</v>
      </c>
      <c r="F556" s="17">
        <f t="shared" si="2"/>
        <v>0</v>
      </c>
    </row>
    <row r="557">
      <c r="A557" s="5" t="s">
        <v>70</v>
      </c>
      <c r="B557" s="6">
        <v>106.0</v>
      </c>
      <c r="C557" s="13" t="s">
        <v>244</v>
      </c>
      <c r="D557" s="17">
        <f>SUMIFS(ShadowLedger!$D:$D,ShadowLedger!$G:$G,A557,ShadowLedger!$C:$C,"&gt;="&amp;DATE(LEFT(SUBSTITUTE(C557,"'",""),4),MID(SUBSTITUTE(C557,"'",""),6,2),1),ShadowLedger!$C:$C,"&lt;"&amp;EOMONTH(DATE(LEFT(SUBSTITUTE(C557,"'",""),4),MID(SUBSTITUTE(C557,"'",""),6,2),1),0)+1)</f>
        <v>0</v>
      </c>
      <c r="E557" s="17">
        <f t="shared" si="1"/>
        <v>106</v>
      </c>
      <c r="F557" s="17">
        <f t="shared" si="2"/>
        <v>0</v>
      </c>
    </row>
    <row r="558">
      <c r="A558" s="5" t="s">
        <v>65</v>
      </c>
      <c r="B558" s="6">
        <v>53.0</v>
      </c>
      <c r="C558" s="13" t="s">
        <v>244</v>
      </c>
      <c r="D558" s="17">
        <f>SUMIFS(ShadowLedger!$D:$D,ShadowLedger!$G:$G,A558,ShadowLedger!$C:$C,"&gt;="&amp;DATE(LEFT(SUBSTITUTE(C558,"'",""),4),MID(SUBSTITUTE(C558,"'",""),6,2),1),ShadowLedger!$C:$C,"&lt;"&amp;EOMONTH(DATE(LEFT(SUBSTITUTE(C558,"'",""),4),MID(SUBSTITUTE(C558,"'",""),6,2),1),0)+1)</f>
        <v>0</v>
      </c>
      <c r="E558" s="17">
        <f t="shared" si="1"/>
        <v>53</v>
      </c>
      <c r="F558" s="17">
        <f t="shared" si="2"/>
        <v>0</v>
      </c>
    </row>
    <row r="559">
      <c r="A559" s="5" t="s">
        <v>66</v>
      </c>
      <c r="B559" s="6">
        <v>53.0</v>
      </c>
      <c r="C559" s="13" t="s">
        <v>244</v>
      </c>
      <c r="D559" s="17">
        <f>SUMIFS(ShadowLedger!$D:$D,ShadowLedger!$G:$G,A559,ShadowLedger!$C:$C,"&gt;="&amp;DATE(LEFT(SUBSTITUTE(C559,"'",""),4),MID(SUBSTITUTE(C559,"'",""),6,2),1),ShadowLedger!$C:$C,"&lt;"&amp;EOMONTH(DATE(LEFT(SUBSTITUTE(C559,"'",""),4),MID(SUBSTITUTE(C559,"'",""),6,2),1),0)+1)</f>
        <v>0</v>
      </c>
      <c r="E559" s="17">
        <f t="shared" si="1"/>
        <v>53</v>
      </c>
      <c r="F559" s="17">
        <f t="shared" si="2"/>
        <v>0</v>
      </c>
    </row>
    <row r="560">
      <c r="A560" s="5" t="s">
        <v>67</v>
      </c>
      <c r="B560" s="6">
        <v>53.0</v>
      </c>
      <c r="C560" s="13" t="s">
        <v>244</v>
      </c>
      <c r="D560" s="17">
        <f>SUMIFS(ShadowLedger!$D:$D,ShadowLedger!$G:$G,A560,ShadowLedger!$C:$C,"&gt;="&amp;DATE(LEFT(SUBSTITUTE(C560,"'",""),4),MID(SUBSTITUTE(C560,"'",""),6,2),1),ShadowLedger!$C:$C,"&lt;"&amp;EOMONTH(DATE(LEFT(SUBSTITUTE(C560,"'",""),4),MID(SUBSTITUTE(C560,"'",""),6,2),1),0)+1)</f>
        <v>0</v>
      </c>
      <c r="E560" s="17">
        <f t="shared" si="1"/>
        <v>53</v>
      </c>
      <c r="F560" s="17">
        <f t="shared" si="2"/>
        <v>0</v>
      </c>
    </row>
    <row r="561">
      <c r="A561" s="5" t="s">
        <v>68</v>
      </c>
      <c r="B561" s="6">
        <v>53.0</v>
      </c>
      <c r="C561" s="13" t="s">
        <v>244</v>
      </c>
      <c r="D561" s="17">
        <f>SUMIFS(ShadowLedger!$D:$D,ShadowLedger!$G:$G,A561,ShadowLedger!$C:$C,"&gt;="&amp;DATE(LEFT(SUBSTITUTE(C561,"'",""),4),MID(SUBSTITUTE(C561,"'",""),6,2),1),ShadowLedger!$C:$C,"&lt;"&amp;EOMONTH(DATE(LEFT(SUBSTITUTE(C561,"'",""),4),MID(SUBSTITUTE(C561,"'",""),6,2),1),0)+1)</f>
        <v>0</v>
      </c>
      <c r="E561" s="17">
        <f t="shared" si="1"/>
        <v>53</v>
      </c>
      <c r="F561" s="17">
        <f t="shared" si="2"/>
        <v>0</v>
      </c>
    </row>
    <row r="562">
      <c r="A562" s="5" t="s">
        <v>69</v>
      </c>
      <c r="B562" s="6">
        <v>0.0</v>
      </c>
      <c r="C562" s="13" t="s">
        <v>244</v>
      </c>
      <c r="D562" s="17">
        <f>SUMIFS(ShadowLedger!$D:$D,ShadowLedger!$G:$G,A562,ShadowLedger!$C:$C,"&gt;="&amp;DATE(LEFT(SUBSTITUTE(C562,"'",""),4),MID(SUBSTITUTE(C562,"'",""),6,2),1),ShadowLedger!$C:$C,"&lt;"&amp;EOMONTH(DATE(LEFT(SUBSTITUTE(C562,"'",""),4),MID(SUBSTITUTE(C562,"'",""),6,2),1),0)+1)</f>
        <v>0</v>
      </c>
      <c r="E562" s="17">
        <f t="shared" si="1"/>
        <v>0</v>
      </c>
      <c r="F562" s="17">
        <f t="shared" si="2"/>
        <v>0</v>
      </c>
    </row>
    <row r="563">
      <c r="A563" s="5" t="s">
        <v>54</v>
      </c>
      <c r="B563" s="6">
        <v>976.0</v>
      </c>
      <c r="C563" s="13" t="s">
        <v>245</v>
      </c>
      <c r="D563" s="17">
        <f>SUMIFS(ShadowLedger!$D:$D,ShadowLedger!$G:$G,A563,ShadowLedger!$C:$C,"&gt;="&amp;DATE(LEFT(SUBSTITUTE(C563,"'",""),4),MID(SUBSTITUTE(C563,"'",""),6,2),1),ShadowLedger!$C:$C,"&lt;"&amp;EOMONTH(DATE(LEFT(SUBSTITUTE(C563,"'",""),4),MID(SUBSTITUTE(C563,"'",""),6,2),1),0)+1)</f>
        <v>0</v>
      </c>
      <c r="E563" s="17">
        <f t="shared" si="1"/>
        <v>976</v>
      </c>
      <c r="F563" s="17">
        <f t="shared" si="2"/>
        <v>0</v>
      </c>
    </row>
    <row r="564">
      <c r="A564" s="5" t="s">
        <v>55</v>
      </c>
      <c r="B564" s="6">
        <v>743.0</v>
      </c>
      <c r="C564" s="13" t="s">
        <v>245</v>
      </c>
      <c r="D564" s="17">
        <f>SUMIFS(ShadowLedger!$D:$D,ShadowLedger!$G:$G,A564,ShadowLedger!$C:$C,"&gt;="&amp;DATE(LEFT(SUBSTITUTE(C564,"'",""),4),MID(SUBSTITUTE(C564,"'",""),6,2),1),ShadowLedger!$C:$C,"&lt;"&amp;EOMONTH(DATE(LEFT(SUBSTITUTE(C564,"'",""),4),MID(SUBSTITUTE(C564,"'",""),6,2),1),0)+1)</f>
        <v>0</v>
      </c>
      <c r="E564" s="17">
        <f t="shared" si="1"/>
        <v>743</v>
      </c>
      <c r="F564" s="17">
        <f t="shared" si="2"/>
        <v>0</v>
      </c>
    </row>
    <row r="565">
      <c r="A565" s="5" t="s">
        <v>56</v>
      </c>
      <c r="B565" s="6">
        <v>530.0</v>
      </c>
      <c r="C565" s="13" t="s">
        <v>245</v>
      </c>
      <c r="D565" s="17">
        <f>SUMIFS(ShadowLedger!$D:$D,ShadowLedger!$G:$G,A565,ShadowLedger!$C:$C,"&gt;="&amp;DATE(LEFT(SUBSTITUTE(C565,"'",""),4),MID(SUBSTITUTE(C565,"'",""),6,2),1),ShadowLedger!$C:$C,"&lt;"&amp;EOMONTH(DATE(LEFT(SUBSTITUTE(C565,"'",""),4),MID(SUBSTITUTE(C565,"'",""),6,2),1),0)+1)</f>
        <v>0</v>
      </c>
      <c r="E565" s="17">
        <f t="shared" si="1"/>
        <v>530</v>
      </c>
      <c r="F565" s="17">
        <f t="shared" si="2"/>
        <v>0</v>
      </c>
    </row>
    <row r="566">
      <c r="A566" s="5" t="s">
        <v>57</v>
      </c>
      <c r="B566" s="6">
        <v>530.0</v>
      </c>
      <c r="C566" s="13" t="s">
        <v>245</v>
      </c>
      <c r="D566" s="17">
        <f>SUMIFS(ShadowLedger!$D:$D,ShadowLedger!$G:$G,A566,ShadowLedger!$C:$C,"&gt;="&amp;DATE(LEFT(SUBSTITUTE(C566,"'",""),4),MID(SUBSTITUTE(C566,"'",""),6,2),1),ShadowLedger!$C:$C,"&lt;"&amp;EOMONTH(DATE(LEFT(SUBSTITUTE(C566,"'",""),4),MID(SUBSTITUTE(C566,"'",""),6,2),1),0)+1)</f>
        <v>0</v>
      </c>
      <c r="E566" s="17">
        <f t="shared" si="1"/>
        <v>530</v>
      </c>
      <c r="F566" s="17">
        <f t="shared" si="2"/>
        <v>0</v>
      </c>
    </row>
    <row r="567">
      <c r="A567" s="5" t="s">
        <v>58</v>
      </c>
      <c r="B567" s="6">
        <v>424.0</v>
      </c>
      <c r="C567" s="13" t="s">
        <v>245</v>
      </c>
      <c r="D567" s="17">
        <f>SUMIFS(ShadowLedger!$D:$D,ShadowLedger!$G:$G,A567,ShadowLedger!$C:$C,"&gt;="&amp;DATE(LEFT(SUBSTITUTE(C567,"'",""),4),MID(SUBSTITUTE(C567,"'",""),6,2),1),ShadowLedger!$C:$C,"&lt;"&amp;EOMONTH(DATE(LEFT(SUBSTITUTE(C567,"'",""),4),MID(SUBSTITUTE(C567,"'",""),6,2),1),0)+1)</f>
        <v>0</v>
      </c>
      <c r="E567" s="17">
        <f t="shared" si="1"/>
        <v>424</v>
      </c>
      <c r="F567" s="17">
        <f t="shared" si="2"/>
        <v>0</v>
      </c>
    </row>
    <row r="568">
      <c r="A568" s="5" t="s">
        <v>59</v>
      </c>
      <c r="B568" s="6">
        <v>212.0</v>
      </c>
      <c r="C568" s="13" t="s">
        <v>245</v>
      </c>
      <c r="D568" s="17">
        <f>SUMIFS(ShadowLedger!$D:$D,ShadowLedger!$G:$G,A568,ShadowLedger!$C:$C,"&gt;="&amp;DATE(LEFT(SUBSTITUTE(C568,"'",""),4),MID(SUBSTITUTE(C568,"'",""),6,2),1),ShadowLedger!$C:$C,"&lt;"&amp;EOMONTH(DATE(LEFT(SUBSTITUTE(C568,"'",""),4),MID(SUBSTITUTE(C568,"'",""),6,2),1),0)+1)</f>
        <v>0</v>
      </c>
      <c r="E568" s="17">
        <f t="shared" si="1"/>
        <v>212</v>
      </c>
      <c r="F568" s="17">
        <f t="shared" si="2"/>
        <v>0</v>
      </c>
    </row>
    <row r="569">
      <c r="A569" s="5" t="s">
        <v>60</v>
      </c>
      <c r="B569" s="6">
        <v>159.0</v>
      </c>
      <c r="C569" s="13" t="s">
        <v>245</v>
      </c>
      <c r="D569" s="17">
        <f>SUMIFS(ShadowLedger!$D:$D,ShadowLedger!$G:$G,A569,ShadowLedger!$C:$C,"&gt;="&amp;DATE(LEFT(SUBSTITUTE(C569,"'",""),4),MID(SUBSTITUTE(C569,"'",""),6,2),1),ShadowLedger!$C:$C,"&lt;"&amp;EOMONTH(DATE(LEFT(SUBSTITUTE(C569,"'",""),4),MID(SUBSTITUTE(C569,"'",""),6,2),1),0)+1)</f>
        <v>0</v>
      </c>
      <c r="E569" s="17">
        <f t="shared" si="1"/>
        <v>159</v>
      </c>
      <c r="F569" s="17">
        <f t="shared" si="2"/>
        <v>0</v>
      </c>
    </row>
    <row r="570">
      <c r="A570" s="5" t="s">
        <v>61</v>
      </c>
      <c r="B570" s="6">
        <v>127.0</v>
      </c>
      <c r="C570" s="13" t="s">
        <v>245</v>
      </c>
      <c r="D570" s="17">
        <f>SUMIFS(ShadowLedger!$D:$D,ShadowLedger!$G:$G,A570,ShadowLedger!$C:$C,"&gt;="&amp;DATE(LEFT(SUBSTITUTE(C570,"'",""),4),MID(SUBSTITUTE(C570,"'",""),6,2),1),ShadowLedger!$C:$C,"&lt;"&amp;EOMONTH(DATE(LEFT(SUBSTITUTE(C570,"'",""),4),MID(SUBSTITUTE(C570,"'",""),6,2),1),0)+1)</f>
        <v>0</v>
      </c>
      <c r="E570" s="17">
        <f t="shared" si="1"/>
        <v>127</v>
      </c>
      <c r="F570" s="17">
        <f t="shared" si="2"/>
        <v>0</v>
      </c>
    </row>
    <row r="571">
      <c r="A571" s="5" t="s">
        <v>62</v>
      </c>
      <c r="B571" s="6">
        <v>127.0</v>
      </c>
      <c r="C571" s="13" t="s">
        <v>245</v>
      </c>
      <c r="D571" s="17">
        <f>SUMIFS(ShadowLedger!$D:$D,ShadowLedger!$G:$G,A571,ShadowLedger!$C:$C,"&gt;="&amp;DATE(LEFT(SUBSTITUTE(C571,"'",""),4),MID(SUBSTITUTE(C571,"'",""),6,2),1),ShadowLedger!$C:$C,"&lt;"&amp;EOMONTH(DATE(LEFT(SUBSTITUTE(C571,"'",""),4),MID(SUBSTITUTE(C571,"'",""),6,2),1),0)+1)</f>
        <v>0</v>
      </c>
      <c r="E571" s="17">
        <f t="shared" si="1"/>
        <v>127</v>
      </c>
      <c r="F571" s="17">
        <f t="shared" si="2"/>
        <v>0</v>
      </c>
    </row>
    <row r="572">
      <c r="A572" s="5" t="s">
        <v>63</v>
      </c>
      <c r="B572" s="6">
        <v>106.0</v>
      </c>
      <c r="C572" s="13" t="s">
        <v>245</v>
      </c>
      <c r="D572" s="17">
        <f>SUMIFS(ShadowLedger!$D:$D,ShadowLedger!$G:$G,A572,ShadowLedger!$C:$C,"&gt;="&amp;DATE(LEFT(SUBSTITUTE(C572,"'",""),4),MID(SUBSTITUTE(C572,"'",""),6,2),1),ShadowLedger!$C:$C,"&lt;"&amp;EOMONTH(DATE(LEFT(SUBSTITUTE(C572,"'",""),4),MID(SUBSTITUTE(C572,"'",""),6,2),1),0)+1)</f>
        <v>0</v>
      </c>
      <c r="E572" s="17">
        <f t="shared" si="1"/>
        <v>106</v>
      </c>
      <c r="F572" s="17">
        <f t="shared" si="2"/>
        <v>0</v>
      </c>
    </row>
    <row r="573">
      <c r="A573" s="5" t="s">
        <v>64</v>
      </c>
      <c r="B573" s="6">
        <v>106.0</v>
      </c>
      <c r="C573" s="13" t="s">
        <v>245</v>
      </c>
      <c r="D573" s="17">
        <f>SUMIFS(ShadowLedger!$D:$D,ShadowLedger!$G:$G,A573,ShadowLedger!$C:$C,"&gt;="&amp;DATE(LEFT(SUBSTITUTE(C573,"'",""),4),MID(SUBSTITUTE(C573,"'",""),6,2),1),ShadowLedger!$C:$C,"&lt;"&amp;EOMONTH(DATE(LEFT(SUBSTITUTE(C573,"'",""),4),MID(SUBSTITUTE(C573,"'",""),6,2),1),0)+1)</f>
        <v>0</v>
      </c>
      <c r="E573" s="17">
        <f t="shared" si="1"/>
        <v>106</v>
      </c>
      <c r="F573" s="17">
        <f t="shared" si="2"/>
        <v>0</v>
      </c>
    </row>
    <row r="574">
      <c r="A574" s="5" t="s">
        <v>70</v>
      </c>
      <c r="B574" s="6">
        <v>106.0</v>
      </c>
      <c r="C574" s="13" t="s">
        <v>245</v>
      </c>
      <c r="D574" s="17">
        <f>SUMIFS(ShadowLedger!$D:$D,ShadowLedger!$G:$G,A574,ShadowLedger!$C:$C,"&gt;="&amp;DATE(LEFT(SUBSTITUTE(C574,"'",""),4),MID(SUBSTITUTE(C574,"'",""),6,2),1),ShadowLedger!$C:$C,"&lt;"&amp;EOMONTH(DATE(LEFT(SUBSTITUTE(C574,"'",""),4),MID(SUBSTITUTE(C574,"'",""),6,2),1),0)+1)</f>
        <v>0</v>
      </c>
      <c r="E574" s="17">
        <f t="shared" si="1"/>
        <v>106</v>
      </c>
      <c r="F574" s="17">
        <f t="shared" si="2"/>
        <v>0</v>
      </c>
    </row>
    <row r="575">
      <c r="A575" s="5" t="s">
        <v>65</v>
      </c>
      <c r="B575" s="6">
        <v>53.0</v>
      </c>
      <c r="C575" s="13" t="s">
        <v>245</v>
      </c>
      <c r="D575" s="17">
        <f>SUMIFS(ShadowLedger!$D:$D,ShadowLedger!$G:$G,A575,ShadowLedger!$C:$C,"&gt;="&amp;DATE(LEFT(SUBSTITUTE(C575,"'",""),4),MID(SUBSTITUTE(C575,"'",""),6,2),1),ShadowLedger!$C:$C,"&lt;"&amp;EOMONTH(DATE(LEFT(SUBSTITUTE(C575,"'",""),4),MID(SUBSTITUTE(C575,"'",""),6,2),1),0)+1)</f>
        <v>0</v>
      </c>
      <c r="E575" s="17">
        <f t="shared" si="1"/>
        <v>53</v>
      </c>
      <c r="F575" s="17">
        <f t="shared" si="2"/>
        <v>0</v>
      </c>
    </row>
    <row r="576">
      <c r="A576" s="5" t="s">
        <v>66</v>
      </c>
      <c r="B576" s="6">
        <v>53.0</v>
      </c>
      <c r="C576" s="13" t="s">
        <v>245</v>
      </c>
      <c r="D576" s="17">
        <f>SUMIFS(ShadowLedger!$D:$D,ShadowLedger!$G:$G,A576,ShadowLedger!$C:$C,"&gt;="&amp;DATE(LEFT(SUBSTITUTE(C576,"'",""),4),MID(SUBSTITUTE(C576,"'",""),6,2),1),ShadowLedger!$C:$C,"&lt;"&amp;EOMONTH(DATE(LEFT(SUBSTITUTE(C576,"'",""),4),MID(SUBSTITUTE(C576,"'",""),6,2),1),0)+1)</f>
        <v>0</v>
      </c>
      <c r="E576" s="17">
        <f t="shared" si="1"/>
        <v>53</v>
      </c>
      <c r="F576" s="17">
        <f t="shared" si="2"/>
        <v>0</v>
      </c>
    </row>
    <row r="577">
      <c r="A577" s="5" t="s">
        <v>67</v>
      </c>
      <c r="B577" s="6">
        <v>53.0</v>
      </c>
      <c r="C577" s="13" t="s">
        <v>245</v>
      </c>
      <c r="D577" s="17">
        <f>SUMIFS(ShadowLedger!$D:$D,ShadowLedger!$G:$G,A577,ShadowLedger!$C:$C,"&gt;="&amp;DATE(LEFT(SUBSTITUTE(C577,"'",""),4),MID(SUBSTITUTE(C577,"'",""),6,2),1),ShadowLedger!$C:$C,"&lt;"&amp;EOMONTH(DATE(LEFT(SUBSTITUTE(C577,"'",""),4),MID(SUBSTITUTE(C577,"'",""),6,2),1),0)+1)</f>
        <v>0</v>
      </c>
      <c r="E577" s="17">
        <f t="shared" si="1"/>
        <v>53</v>
      </c>
      <c r="F577" s="17">
        <f t="shared" si="2"/>
        <v>0</v>
      </c>
    </row>
    <row r="578">
      <c r="A578" s="5" t="s">
        <v>68</v>
      </c>
      <c r="B578" s="6">
        <v>53.0</v>
      </c>
      <c r="C578" s="13" t="s">
        <v>245</v>
      </c>
      <c r="D578" s="17">
        <f>SUMIFS(ShadowLedger!$D:$D,ShadowLedger!$G:$G,A578,ShadowLedger!$C:$C,"&gt;="&amp;DATE(LEFT(SUBSTITUTE(C578,"'",""),4),MID(SUBSTITUTE(C578,"'",""),6,2),1),ShadowLedger!$C:$C,"&lt;"&amp;EOMONTH(DATE(LEFT(SUBSTITUTE(C578,"'",""),4),MID(SUBSTITUTE(C578,"'",""),6,2),1),0)+1)</f>
        <v>0</v>
      </c>
      <c r="E578" s="17">
        <f t="shared" si="1"/>
        <v>53</v>
      </c>
      <c r="F578" s="17">
        <f t="shared" si="2"/>
        <v>0</v>
      </c>
    </row>
    <row r="579">
      <c r="A579" s="5" t="s">
        <v>69</v>
      </c>
      <c r="B579" s="6">
        <v>0.0</v>
      </c>
      <c r="C579" s="13" t="s">
        <v>245</v>
      </c>
      <c r="D579" s="17">
        <f>SUMIFS(ShadowLedger!$D:$D,ShadowLedger!$G:$G,A579,ShadowLedger!$C:$C,"&gt;="&amp;DATE(LEFT(SUBSTITUTE(C579,"'",""),4),MID(SUBSTITUTE(C579,"'",""),6,2),1),ShadowLedger!$C:$C,"&lt;"&amp;EOMONTH(DATE(LEFT(SUBSTITUTE(C579,"'",""),4),MID(SUBSTITUTE(C579,"'",""),6,2),1),0)+1)</f>
        <v>0</v>
      </c>
      <c r="E579" s="17">
        <f t="shared" si="1"/>
        <v>0</v>
      </c>
      <c r="F579" s="17">
        <f t="shared" si="2"/>
        <v>0</v>
      </c>
    </row>
    <row r="580">
      <c r="A580" s="5" t="s">
        <v>54</v>
      </c>
      <c r="B580" s="6">
        <v>976.0</v>
      </c>
      <c r="C580" s="13" t="s">
        <v>246</v>
      </c>
      <c r="D580" s="17">
        <f>SUMIFS(ShadowLedger!$D:$D,ShadowLedger!$G:$G,A580,ShadowLedger!$C:$C,"&gt;="&amp;DATE(LEFT(SUBSTITUTE(C580,"'",""),4),MID(SUBSTITUTE(C580,"'",""),6,2),1),ShadowLedger!$C:$C,"&lt;"&amp;EOMONTH(DATE(LEFT(SUBSTITUTE(C580,"'",""),4),MID(SUBSTITUTE(C580,"'",""),6,2),1),0)+1)</f>
        <v>0</v>
      </c>
      <c r="E580" s="17">
        <f t="shared" si="1"/>
        <v>976</v>
      </c>
      <c r="F580" s="17">
        <f t="shared" si="2"/>
        <v>0</v>
      </c>
    </row>
    <row r="581">
      <c r="A581" s="5" t="s">
        <v>55</v>
      </c>
      <c r="B581" s="6">
        <v>743.0</v>
      </c>
      <c r="C581" s="13" t="s">
        <v>246</v>
      </c>
      <c r="D581" s="17">
        <f>SUMIFS(ShadowLedger!$D:$D,ShadowLedger!$G:$G,A581,ShadowLedger!$C:$C,"&gt;="&amp;DATE(LEFT(SUBSTITUTE(C581,"'",""),4),MID(SUBSTITUTE(C581,"'",""),6,2),1),ShadowLedger!$C:$C,"&lt;"&amp;EOMONTH(DATE(LEFT(SUBSTITUTE(C581,"'",""),4),MID(SUBSTITUTE(C581,"'",""),6,2),1),0)+1)</f>
        <v>0</v>
      </c>
      <c r="E581" s="17">
        <f t="shared" si="1"/>
        <v>743</v>
      </c>
      <c r="F581" s="17">
        <f t="shared" si="2"/>
        <v>0</v>
      </c>
    </row>
    <row r="582">
      <c r="A582" s="5" t="s">
        <v>56</v>
      </c>
      <c r="B582" s="6">
        <v>530.0</v>
      </c>
      <c r="C582" s="13" t="s">
        <v>246</v>
      </c>
      <c r="D582" s="17">
        <f>SUMIFS(ShadowLedger!$D:$D,ShadowLedger!$G:$G,A582,ShadowLedger!$C:$C,"&gt;="&amp;DATE(LEFT(SUBSTITUTE(C582,"'",""),4),MID(SUBSTITUTE(C582,"'",""),6,2),1),ShadowLedger!$C:$C,"&lt;"&amp;EOMONTH(DATE(LEFT(SUBSTITUTE(C582,"'",""),4),MID(SUBSTITUTE(C582,"'",""),6,2),1),0)+1)</f>
        <v>0</v>
      </c>
      <c r="E582" s="17">
        <f t="shared" si="1"/>
        <v>530</v>
      </c>
      <c r="F582" s="17">
        <f t="shared" si="2"/>
        <v>0</v>
      </c>
    </row>
    <row r="583">
      <c r="A583" s="5" t="s">
        <v>57</v>
      </c>
      <c r="B583" s="6">
        <v>530.0</v>
      </c>
      <c r="C583" s="13" t="s">
        <v>246</v>
      </c>
      <c r="D583" s="17">
        <f>SUMIFS(ShadowLedger!$D:$D,ShadowLedger!$G:$G,A583,ShadowLedger!$C:$C,"&gt;="&amp;DATE(LEFT(SUBSTITUTE(C583,"'",""),4),MID(SUBSTITUTE(C583,"'",""),6,2),1),ShadowLedger!$C:$C,"&lt;"&amp;EOMONTH(DATE(LEFT(SUBSTITUTE(C583,"'",""),4),MID(SUBSTITUTE(C583,"'",""),6,2),1),0)+1)</f>
        <v>0</v>
      </c>
      <c r="E583" s="17">
        <f t="shared" si="1"/>
        <v>530</v>
      </c>
      <c r="F583" s="17">
        <f t="shared" si="2"/>
        <v>0</v>
      </c>
    </row>
    <row r="584">
      <c r="A584" s="5" t="s">
        <v>58</v>
      </c>
      <c r="B584" s="6">
        <v>424.0</v>
      </c>
      <c r="C584" s="13" t="s">
        <v>246</v>
      </c>
      <c r="D584" s="17">
        <f>SUMIFS(ShadowLedger!$D:$D,ShadowLedger!$G:$G,A584,ShadowLedger!$C:$C,"&gt;="&amp;DATE(LEFT(SUBSTITUTE(C584,"'",""),4),MID(SUBSTITUTE(C584,"'",""),6,2),1),ShadowLedger!$C:$C,"&lt;"&amp;EOMONTH(DATE(LEFT(SUBSTITUTE(C584,"'",""),4),MID(SUBSTITUTE(C584,"'",""),6,2),1),0)+1)</f>
        <v>0</v>
      </c>
      <c r="E584" s="17">
        <f t="shared" si="1"/>
        <v>424</v>
      </c>
      <c r="F584" s="17">
        <f t="shared" si="2"/>
        <v>0</v>
      </c>
    </row>
    <row r="585">
      <c r="A585" s="5" t="s">
        <v>59</v>
      </c>
      <c r="B585" s="6">
        <v>212.0</v>
      </c>
      <c r="C585" s="13" t="s">
        <v>246</v>
      </c>
      <c r="D585" s="17">
        <f>SUMIFS(ShadowLedger!$D:$D,ShadowLedger!$G:$G,A585,ShadowLedger!$C:$C,"&gt;="&amp;DATE(LEFT(SUBSTITUTE(C585,"'",""),4),MID(SUBSTITUTE(C585,"'",""),6,2),1),ShadowLedger!$C:$C,"&lt;"&amp;EOMONTH(DATE(LEFT(SUBSTITUTE(C585,"'",""),4),MID(SUBSTITUTE(C585,"'",""),6,2),1),0)+1)</f>
        <v>0</v>
      </c>
      <c r="E585" s="17">
        <f t="shared" si="1"/>
        <v>212</v>
      </c>
      <c r="F585" s="17">
        <f t="shared" si="2"/>
        <v>0</v>
      </c>
    </row>
    <row r="586">
      <c r="A586" s="5" t="s">
        <v>60</v>
      </c>
      <c r="B586" s="6">
        <v>159.0</v>
      </c>
      <c r="C586" s="13" t="s">
        <v>246</v>
      </c>
      <c r="D586" s="17">
        <f>SUMIFS(ShadowLedger!$D:$D,ShadowLedger!$G:$G,A586,ShadowLedger!$C:$C,"&gt;="&amp;DATE(LEFT(SUBSTITUTE(C586,"'",""),4),MID(SUBSTITUTE(C586,"'",""),6,2),1),ShadowLedger!$C:$C,"&lt;"&amp;EOMONTH(DATE(LEFT(SUBSTITUTE(C586,"'",""),4),MID(SUBSTITUTE(C586,"'",""),6,2),1),0)+1)</f>
        <v>0</v>
      </c>
      <c r="E586" s="17">
        <f t="shared" si="1"/>
        <v>159</v>
      </c>
      <c r="F586" s="17">
        <f t="shared" si="2"/>
        <v>0</v>
      </c>
    </row>
    <row r="587">
      <c r="A587" s="5" t="s">
        <v>61</v>
      </c>
      <c r="B587" s="6">
        <v>127.0</v>
      </c>
      <c r="C587" s="13" t="s">
        <v>246</v>
      </c>
      <c r="D587" s="17">
        <f>SUMIFS(ShadowLedger!$D:$D,ShadowLedger!$G:$G,A587,ShadowLedger!$C:$C,"&gt;="&amp;DATE(LEFT(SUBSTITUTE(C587,"'",""),4),MID(SUBSTITUTE(C587,"'",""),6,2),1),ShadowLedger!$C:$C,"&lt;"&amp;EOMONTH(DATE(LEFT(SUBSTITUTE(C587,"'",""),4),MID(SUBSTITUTE(C587,"'",""),6,2),1),0)+1)</f>
        <v>0</v>
      </c>
      <c r="E587" s="17">
        <f t="shared" si="1"/>
        <v>127</v>
      </c>
      <c r="F587" s="17">
        <f t="shared" si="2"/>
        <v>0</v>
      </c>
    </row>
    <row r="588">
      <c r="A588" s="5" t="s">
        <v>62</v>
      </c>
      <c r="B588" s="6">
        <v>127.0</v>
      </c>
      <c r="C588" s="13" t="s">
        <v>246</v>
      </c>
      <c r="D588" s="17">
        <f>SUMIFS(ShadowLedger!$D:$D,ShadowLedger!$G:$G,A588,ShadowLedger!$C:$C,"&gt;="&amp;DATE(LEFT(SUBSTITUTE(C588,"'",""),4),MID(SUBSTITUTE(C588,"'",""),6,2),1),ShadowLedger!$C:$C,"&lt;"&amp;EOMONTH(DATE(LEFT(SUBSTITUTE(C588,"'",""),4),MID(SUBSTITUTE(C588,"'",""),6,2),1),0)+1)</f>
        <v>0</v>
      </c>
      <c r="E588" s="17">
        <f t="shared" si="1"/>
        <v>127</v>
      </c>
      <c r="F588" s="17">
        <f t="shared" si="2"/>
        <v>0</v>
      </c>
    </row>
    <row r="589">
      <c r="A589" s="5" t="s">
        <v>63</v>
      </c>
      <c r="B589" s="6">
        <v>106.0</v>
      </c>
      <c r="C589" s="13" t="s">
        <v>246</v>
      </c>
      <c r="D589" s="17">
        <f>SUMIFS(ShadowLedger!$D:$D,ShadowLedger!$G:$G,A589,ShadowLedger!$C:$C,"&gt;="&amp;DATE(LEFT(SUBSTITUTE(C589,"'",""),4),MID(SUBSTITUTE(C589,"'",""),6,2),1),ShadowLedger!$C:$C,"&lt;"&amp;EOMONTH(DATE(LEFT(SUBSTITUTE(C589,"'",""),4),MID(SUBSTITUTE(C589,"'",""),6,2),1),0)+1)</f>
        <v>0</v>
      </c>
      <c r="E589" s="17">
        <f t="shared" si="1"/>
        <v>106</v>
      </c>
      <c r="F589" s="17">
        <f t="shared" si="2"/>
        <v>0</v>
      </c>
    </row>
    <row r="590">
      <c r="A590" s="5" t="s">
        <v>64</v>
      </c>
      <c r="B590" s="6">
        <v>106.0</v>
      </c>
      <c r="C590" s="13" t="s">
        <v>246</v>
      </c>
      <c r="D590" s="17">
        <f>SUMIFS(ShadowLedger!$D:$D,ShadowLedger!$G:$G,A590,ShadowLedger!$C:$C,"&gt;="&amp;DATE(LEFT(SUBSTITUTE(C590,"'",""),4),MID(SUBSTITUTE(C590,"'",""),6,2),1),ShadowLedger!$C:$C,"&lt;"&amp;EOMONTH(DATE(LEFT(SUBSTITUTE(C590,"'",""),4),MID(SUBSTITUTE(C590,"'",""),6,2),1),0)+1)</f>
        <v>0</v>
      </c>
      <c r="E590" s="17">
        <f t="shared" si="1"/>
        <v>106</v>
      </c>
      <c r="F590" s="17">
        <f t="shared" si="2"/>
        <v>0</v>
      </c>
    </row>
    <row r="591">
      <c r="A591" s="5" t="s">
        <v>70</v>
      </c>
      <c r="B591" s="6">
        <v>106.0</v>
      </c>
      <c r="C591" s="13" t="s">
        <v>246</v>
      </c>
      <c r="D591" s="17">
        <f>SUMIFS(ShadowLedger!$D:$D,ShadowLedger!$G:$G,A591,ShadowLedger!$C:$C,"&gt;="&amp;DATE(LEFT(SUBSTITUTE(C591,"'",""),4),MID(SUBSTITUTE(C591,"'",""),6,2),1),ShadowLedger!$C:$C,"&lt;"&amp;EOMONTH(DATE(LEFT(SUBSTITUTE(C591,"'",""),4),MID(SUBSTITUTE(C591,"'",""),6,2),1),0)+1)</f>
        <v>0</v>
      </c>
      <c r="E591" s="17">
        <f t="shared" si="1"/>
        <v>106</v>
      </c>
      <c r="F591" s="17">
        <f t="shared" si="2"/>
        <v>0</v>
      </c>
    </row>
    <row r="592">
      <c r="A592" s="5" t="s">
        <v>65</v>
      </c>
      <c r="B592" s="6">
        <v>53.0</v>
      </c>
      <c r="C592" s="13" t="s">
        <v>246</v>
      </c>
      <c r="D592" s="17">
        <f>SUMIFS(ShadowLedger!$D:$D,ShadowLedger!$G:$G,A592,ShadowLedger!$C:$C,"&gt;="&amp;DATE(LEFT(SUBSTITUTE(C592,"'",""),4),MID(SUBSTITUTE(C592,"'",""),6,2),1),ShadowLedger!$C:$C,"&lt;"&amp;EOMONTH(DATE(LEFT(SUBSTITUTE(C592,"'",""),4),MID(SUBSTITUTE(C592,"'",""),6,2),1),0)+1)</f>
        <v>0</v>
      </c>
      <c r="E592" s="17">
        <f t="shared" si="1"/>
        <v>53</v>
      </c>
      <c r="F592" s="17">
        <f t="shared" si="2"/>
        <v>0</v>
      </c>
    </row>
    <row r="593">
      <c r="A593" s="5" t="s">
        <v>66</v>
      </c>
      <c r="B593" s="6">
        <v>53.0</v>
      </c>
      <c r="C593" s="13" t="s">
        <v>246</v>
      </c>
      <c r="D593" s="17">
        <f>SUMIFS(ShadowLedger!$D:$D,ShadowLedger!$G:$G,A593,ShadowLedger!$C:$C,"&gt;="&amp;DATE(LEFT(SUBSTITUTE(C593,"'",""),4),MID(SUBSTITUTE(C593,"'",""),6,2),1),ShadowLedger!$C:$C,"&lt;"&amp;EOMONTH(DATE(LEFT(SUBSTITUTE(C593,"'",""),4),MID(SUBSTITUTE(C593,"'",""),6,2),1),0)+1)</f>
        <v>0</v>
      </c>
      <c r="E593" s="17">
        <f t="shared" si="1"/>
        <v>53</v>
      </c>
      <c r="F593" s="17">
        <f t="shared" si="2"/>
        <v>0</v>
      </c>
    </row>
    <row r="594">
      <c r="A594" s="5" t="s">
        <v>67</v>
      </c>
      <c r="B594" s="6">
        <v>53.0</v>
      </c>
      <c r="C594" s="13" t="s">
        <v>246</v>
      </c>
      <c r="D594" s="17">
        <f>SUMIFS(ShadowLedger!$D:$D,ShadowLedger!$G:$G,A594,ShadowLedger!$C:$C,"&gt;="&amp;DATE(LEFT(SUBSTITUTE(C594,"'",""),4),MID(SUBSTITUTE(C594,"'",""),6,2),1),ShadowLedger!$C:$C,"&lt;"&amp;EOMONTH(DATE(LEFT(SUBSTITUTE(C594,"'",""),4),MID(SUBSTITUTE(C594,"'",""),6,2),1),0)+1)</f>
        <v>0</v>
      </c>
      <c r="E594" s="17">
        <f t="shared" si="1"/>
        <v>53</v>
      </c>
      <c r="F594" s="17">
        <f t="shared" si="2"/>
        <v>0</v>
      </c>
    </row>
    <row r="595">
      <c r="A595" s="5" t="s">
        <v>68</v>
      </c>
      <c r="B595" s="6">
        <v>53.0</v>
      </c>
      <c r="C595" s="13" t="s">
        <v>246</v>
      </c>
      <c r="D595" s="17">
        <f>SUMIFS(ShadowLedger!$D:$D,ShadowLedger!$G:$G,A595,ShadowLedger!$C:$C,"&gt;="&amp;DATE(LEFT(SUBSTITUTE(C595,"'",""),4),MID(SUBSTITUTE(C595,"'",""),6,2),1),ShadowLedger!$C:$C,"&lt;"&amp;EOMONTH(DATE(LEFT(SUBSTITUTE(C595,"'",""),4),MID(SUBSTITUTE(C595,"'",""),6,2),1),0)+1)</f>
        <v>0</v>
      </c>
      <c r="E595" s="17">
        <f t="shared" si="1"/>
        <v>53</v>
      </c>
      <c r="F595" s="17">
        <f t="shared" si="2"/>
        <v>0</v>
      </c>
    </row>
    <row r="596">
      <c r="A596" s="5" t="s">
        <v>69</v>
      </c>
      <c r="B596" s="6">
        <v>0.0</v>
      </c>
      <c r="C596" s="13" t="s">
        <v>246</v>
      </c>
      <c r="D596" s="17">
        <f>SUMIFS(ShadowLedger!$D:$D,ShadowLedger!$G:$G,A596,ShadowLedger!$C:$C,"&gt;="&amp;DATE(LEFT(SUBSTITUTE(C596,"'",""),4),MID(SUBSTITUTE(C596,"'",""),6,2),1),ShadowLedger!$C:$C,"&lt;"&amp;EOMONTH(DATE(LEFT(SUBSTITUTE(C596,"'",""),4),MID(SUBSTITUTE(C596,"'",""),6,2),1),0)+1)</f>
        <v>0</v>
      </c>
      <c r="E596" s="17">
        <f t="shared" si="1"/>
        <v>0</v>
      </c>
      <c r="F596" s="17">
        <f t="shared" si="2"/>
        <v>0</v>
      </c>
    </row>
    <row r="597">
      <c r="A597" s="5" t="s">
        <v>54</v>
      </c>
      <c r="B597" s="6">
        <v>976.0</v>
      </c>
      <c r="C597" s="13" t="s">
        <v>247</v>
      </c>
      <c r="D597" s="17">
        <f>SUMIFS(ShadowLedger!$D:$D,ShadowLedger!$G:$G,A597,ShadowLedger!$C:$C,"&gt;="&amp;DATE(LEFT(SUBSTITUTE(C597,"'",""),4),MID(SUBSTITUTE(C597,"'",""),6,2),1),ShadowLedger!$C:$C,"&lt;"&amp;EOMONTH(DATE(LEFT(SUBSTITUTE(C597,"'",""),4),MID(SUBSTITUTE(C597,"'",""),6,2),1),0)+1)</f>
        <v>0</v>
      </c>
      <c r="E597" s="17">
        <f t="shared" si="1"/>
        <v>976</v>
      </c>
      <c r="F597" s="17">
        <f t="shared" si="2"/>
        <v>0</v>
      </c>
    </row>
    <row r="598">
      <c r="A598" s="5" t="s">
        <v>55</v>
      </c>
      <c r="B598" s="6">
        <v>743.0</v>
      </c>
      <c r="C598" s="13" t="s">
        <v>247</v>
      </c>
      <c r="D598" s="17">
        <f>SUMIFS(ShadowLedger!$D:$D,ShadowLedger!$G:$G,A598,ShadowLedger!$C:$C,"&gt;="&amp;DATE(LEFT(SUBSTITUTE(C598,"'",""),4),MID(SUBSTITUTE(C598,"'",""),6,2),1),ShadowLedger!$C:$C,"&lt;"&amp;EOMONTH(DATE(LEFT(SUBSTITUTE(C598,"'",""),4),MID(SUBSTITUTE(C598,"'",""),6,2),1),0)+1)</f>
        <v>0</v>
      </c>
      <c r="E598" s="17">
        <f t="shared" si="1"/>
        <v>743</v>
      </c>
      <c r="F598" s="17">
        <f t="shared" si="2"/>
        <v>0</v>
      </c>
    </row>
    <row r="599">
      <c r="A599" s="5" t="s">
        <v>56</v>
      </c>
      <c r="B599" s="6">
        <v>530.0</v>
      </c>
      <c r="C599" s="13" t="s">
        <v>247</v>
      </c>
      <c r="D599" s="17">
        <f>SUMIFS(ShadowLedger!$D:$D,ShadowLedger!$G:$G,A599,ShadowLedger!$C:$C,"&gt;="&amp;DATE(LEFT(SUBSTITUTE(C599,"'",""),4),MID(SUBSTITUTE(C599,"'",""),6,2),1),ShadowLedger!$C:$C,"&lt;"&amp;EOMONTH(DATE(LEFT(SUBSTITUTE(C599,"'",""),4),MID(SUBSTITUTE(C599,"'",""),6,2),1),0)+1)</f>
        <v>0</v>
      </c>
      <c r="E599" s="17">
        <f t="shared" si="1"/>
        <v>530</v>
      </c>
      <c r="F599" s="17">
        <f t="shared" si="2"/>
        <v>0</v>
      </c>
    </row>
    <row r="600">
      <c r="A600" s="5" t="s">
        <v>57</v>
      </c>
      <c r="B600" s="6">
        <v>530.0</v>
      </c>
      <c r="C600" s="13" t="s">
        <v>247</v>
      </c>
      <c r="D600" s="17">
        <f>SUMIFS(ShadowLedger!$D:$D,ShadowLedger!$G:$G,A600,ShadowLedger!$C:$C,"&gt;="&amp;DATE(LEFT(SUBSTITUTE(C600,"'",""),4),MID(SUBSTITUTE(C600,"'",""),6,2),1),ShadowLedger!$C:$C,"&lt;"&amp;EOMONTH(DATE(LEFT(SUBSTITUTE(C600,"'",""),4),MID(SUBSTITUTE(C600,"'",""),6,2),1),0)+1)</f>
        <v>0</v>
      </c>
      <c r="E600" s="17">
        <f t="shared" si="1"/>
        <v>530</v>
      </c>
      <c r="F600" s="17">
        <f t="shared" si="2"/>
        <v>0</v>
      </c>
    </row>
    <row r="601">
      <c r="A601" s="5" t="s">
        <v>58</v>
      </c>
      <c r="B601" s="6">
        <v>424.0</v>
      </c>
      <c r="C601" s="13" t="s">
        <v>247</v>
      </c>
      <c r="D601" s="17">
        <f>SUMIFS(ShadowLedger!$D:$D,ShadowLedger!$G:$G,A601,ShadowLedger!$C:$C,"&gt;="&amp;DATE(LEFT(SUBSTITUTE(C601,"'",""),4),MID(SUBSTITUTE(C601,"'",""),6,2),1),ShadowLedger!$C:$C,"&lt;"&amp;EOMONTH(DATE(LEFT(SUBSTITUTE(C601,"'",""),4),MID(SUBSTITUTE(C601,"'",""),6,2),1),0)+1)</f>
        <v>0</v>
      </c>
      <c r="E601" s="17">
        <f t="shared" si="1"/>
        <v>424</v>
      </c>
      <c r="F601" s="17">
        <f t="shared" si="2"/>
        <v>0</v>
      </c>
    </row>
    <row r="602">
      <c r="A602" s="5" t="s">
        <v>59</v>
      </c>
      <c r="B602" s="6">
        <v>212.0</v>
      </c>
      <c r="C602" s="13" t="s">
        <v>247</v>
      </c>
      <c r="D602" s="17">
        <f>SUMIFS(ShadowLedger!$D:$D,ShadowLedger!$G:$G,A602,ShadowLedger!$C:$C,"&gt;="&amp;DATE(LEFT(SUBSTITUTE(C602,"'",""),4),MID(SUBSTITUTE(C602,"'",""),6,2),1),ShadowLedger!$C:$C,"&lt;"&amp;EOMONTH(DATE(LEFT(SUBSTITUTE(C602,"'",""),4),MID(SUBSTITUTE(C602,"'",""),6,2),1),0)+1)</f>
        <v>0</v>
      </c>
      <c r="E602" s="17">
        <f t="shared" si="1"/>
        <v>212</v>
      </c>
      <c r="F602" s="17">
        <f t="shared" si="2"/>
        <v>0</v>
      </c>
    </row>
    <row r="603">
      <c r="A603" s="5" t="s">
        <v>60</v>
      </c>
      <c r="B603" s="6">
        <v>159.0</v>
      </c>
      <c r="C603" s="13" t="s">
        <v>247</v>
      </c>
      <c r="D603" s="17">
        <f>SUMIFS(ShadowLedger!$D:$D,ShadowLedger!$G:$G,A603,ShadowLedger!$C:$C,"&gt;="&amp;DATE(LEFT(SUBSTITUTE(C603,"'",""),4),MID(SUBSTITUTE(C603,"'",""),6,2),1),ShadowLedger!$C:$C,"&lt;"&amp;EOMONTH(DATE(LEFT(SUBSTITUTE(C603,"'",""),4),MID(SUBSTITUTE(C603,"'",""),6,2),1),0)+1)</f>
        <v>0</v>
      </c>
      <c r="E603" s="17">
        <f t="shared" si="1"/>
        <v>159</v>
      </c>
      <c r="F603" s="17">
        <f t="shared" si="2"/>
        <v>0</v>
      </c>
    </row>
    <row r="604">
      <c r="A604" s="5" t="s">
        <v>61</v>
      </c>
      <c r="B604" s="6">
        <v>127.0</v>
      </c>
      <c r="C604" s="13" t="s">
        <v>247</v>
      </c>
      <c r="D604" s="17">
        <f>SUMIFS(ShadowLedger!$D:$D,ShadowLedger!$G:$G,A604,ShadowLedger!$C:$C,"&gt;="&amp;DATE(LEFT(SUBSTITUTE(C604,"'",""),4),MID(SUBSTITUTE(C604,"'",""),6,2),1),ShadowLedger!$C:$C,"&lt;"&amp;EOMONTH(DATE(LEFT(SUBSTITUTE(C604,"'",""),4),MID(SUBSTITUTE(C604,"'",""),6,2),1),0)+1)</f>
        <v>0</v>
      </c>
      <c r="E604" s="17">
        <f t="shared" si="1"/>
        <v>127</v>
      </c>
      <c r="F604" s="17">
        <f t="shared" si="2"/>
        <v>0</v>
      </c>
    </row>
    <row r="605">
      <c r="A605" s="5" t="s">
        <v>62</v>
      </c>
      <c r="B605" s="6">
        <v>127.0</v>
      </c>
      <c r="C605" s="13" t="s">
        <v>247</v>
      </c>
      <c r="D605" s="17">
        <f>SUMIFS(ShadowLedger!$D:$D,ShadowLedger!$G:$G,A605,ShadowLedger!$C:$C,"&gt;="&amp;DATE(LEFT(SUBSTITUTE(C605,"'",""),4),MID(SUBSTITUTE(C605,"'",""),6,2),1),ShadowLedger!$C:$C,"&lt;"&amp;EOMONTH(DATE(LEFT(SUBSTITUTE(C605,"'",""),4),MID(SUBSTITUTE(C605,"'",""),6,2),1),0)+1)</f>
        <v>0</v>
      </c>
      <c r="E605" s="17">
        <f t="shared" si="1"/>
        <v>127</v>
      </c>
      <c r="F605" s="17">
        <f t="shared" si="2"/>
        <v>0</v>
      </c>
    </row>
    <row r="606">
      <c r="A606" s="5" t="s">
        <v>63</v>
      </c>
      <c r="B606" s="6">
        <v>106.0</v>
      </c>
      <c r="C606" s="13" t="s">
        <v>247</v>
      </c>
      <c r="D606" s="17">
        <f>SUMIFS(ShadowLedger!$D:$D,ShadowLedger!$G:$G,A606,ShadowLedger!$C:$C,"&gt;="&amp;DATE(LEFT(SUBSTITUTE(C606,"'",""),4),MID(SUBSTITUTE(C606,"'",""),6,2),1),ShadowLedger!$C:$C,"&lt;"&amp;EOMONTH(DATE(LEFT(SUBSTITUTE(C606,"'",""),4),MID(SUBSTITUTE(C606,"'",""),6,2),1),0)+1)</f>
        <v>0</v>
      </c>
      <c r="E606" s="17">
        <f t="shared" si="1"/>
        <v>106</v>
      </c>
      <c r="F606" s="17">
        <f t="shared" si="2"/>
        <v>0</v>
      </c>
    </row>
    <row r="607">
      <c r="A607" s="5" t="s">
        <v>64</v>
      </c>
      <c r="B607" s="6">
        <v>106.0</v>
      </c>
      <c r="C607" s="13" t="s">
        <v>247</v>
      </c>
      <c r="D607" s="17">
        <f>SUMIFS(ShadowLedger!$D:$D,ShadowLedger!$G:$G,A607,ShadowLedger!$C:$C,"&gt;="&amp;DATE(LEFT(SUBSTITUTE(C607,"'",""),4),MID(SUBSTITUTE(C607,"'",""),6,2),1),ShadowLedger!$C:$C,"&lt;"&amp;EOMONTH(DATE(LEFT(SUBSTITUTE(C607,"'",""),4),MID(SUBSTITUTE(C607,"'",""),6,2),1),0)+1)</f>
        <v>0</v>
      </c>
      <c r="E607" s="17">
        <f t="shared" si="1"/>
        <v>106</v>
      </c>
      <c r="F607" s="17">
        <f t="shared" si="2"/>
        <v>0</v>
      </c>
    </row>
    <row r="608">
      <c r="A608" s="5" t="s">
        <v>70</v>
      </c>
      <c r="B608" s="6">
        <v>106.0</v>
      </c>
      <c r="C608" s="13" t="s">
        <v>247</v>
      </c>
      <c r="D608" s="17">
        <f>SUMIFS(ShadowLedger!$D:$D,ShadowLedger!$G:$G,A608,ShadowLedger!$C:$C,"&gt;="&amp;DATE(LEFT(SUBSTITUTE(C608,"'",""),4),MID(SUBSTITUTE(C608,"'",""),6,2),1),ShadowLedger!$C:$C,"&lt;"&amp;EOMONTH(DATE(LEFT(SUBSTITUTE(C608,"'",""),4),MID(SUBSTITUTE(C608,"'",""),6,2),1),0)+1)</f>
        <v>0</v>
      </c>
      <c r="E608" s="17">
        <f t="shared" si="1"/>
        <v>106</v>
      </c>
      <c r="F608" s="17">
        <f t="shared" si="2"/>
        <v>0</v>
      </c>
    </row>
    <row r="609">
      <c r="A609" s="5" t="s">
        <v>65</v>
      </c>
      <c r="B609" s="6">
        <v>53.0</v>
      </c>
      <c r="C609" s="13" t="s">
        <v>247</v>
      </c>
      <c r="D609" s="17">
        <f>SUMIFS(ShadowLedger!$D:$D,ShadowLedger!$G:$G,A609,ShadowLedger!$C:$C,"&gt;="&amp;DATE(LEFT(SUBSTITUTE(C609,"'",""),4),MID(SUBSTITUTE(C609,"'",""),6,2),1),ShadowLedger!$C:$C,"&lt;"&amp;EOMONTH(DATE(LEFT(SUBSTITUTE(C609,"'",""),4),MID(SUBSTITUTE(C609,"'",""),6,2),1),0)+1)</f>
        <v>0</v>
      </c>
      <c r="E609" s="17">
        <f t="shared" si="1"/>
        <v>53</v>
      </c>
      <c r="F609" s="17">
        <f t="shared" si="2"/>
        <v>0</v>
      </c>
    </row>
    <row r="610">
      <c r="A610" s="5" t="s">
        <v>66</v>
      </c>
      <c r="B610" s="6">
        <v>53.0</v>
      </c>
      <c r="C610" s="13" t="s">
        <v>247</v>
      </c>
      <c r="D610" s="17">
        <f>SUMIFS(ShadowLedger!$D:$D,ShadowLedger!$G:$G,A610,ShadowLedger!$C:$C,"&gt;="&amp;DATE(LEFT(SUBSTITUTE(C610,"'",""),4),MID(SUBSTITUTE(C610,"'",""),6,2),1),ShadowLedger!$C:$C,"&lt;"&amp;EOMONTH(DATE(LEFT(SUBSTITUTE(C610,"'",""),4),MID(SUBSTITUTE(C610,"'",""),6,2),1),0)+1)</f>
        <v>0</v>
      </c>
      <c r="E610" s="17">
        <f t="shared" si="1"/>
        <v>53</v>
      </c>
      <c r="F610" s="17">
        <f t="shared" si="2"/>
        <v>0</v>
      </c>
    </row>
    <row r="611">
      <c r="A611" s="5" t="s">
        <v>67</v>
      </c>
      <c r="B611" s="6">
        <v>53.0</v>
      </c>
      <c r="C611" s="13" t="s">
        <v>247</v>
      </c>
      <c r="D611" s="17">
        <f>SUMIFS(ShadowLedger!$D:$D,ShadowLedger!$G:$G,A611,ShadowLedger!$C:$C,"&gt;="&amp;DATE(LEFT(SUBSTITUTE(C611,"'",""),4),MID(SUBSTITUTE(C611,"'",""),6,2),1),ShadowLedger!$C:$C,"&lt;"&amp;EOMONTH(DATE(LEFT(SUBSTITUTE(C611,"'",""),4),MID(SUBSTITUTE(C611,"'",""),6,2),1),0)+1)</f>
        <v>0</v>
      </c>
      <c r="E611" s="17">
        <f t="shared" si="1"/>
        <v>53</v>
      </c>
      <c r="F611" s="17">
        <f t="shared" si="2"/>
        <v>0</v>
      </c>
    </row>
    <row r="612">
      <c r="A612" s="5" t="s">
        <v>68</v>
      </c>
      <c r="B612" s="6">
        <v>53.0</v>
      </c>
      <c r="C612" s="13" t="s">
        <v>247</v>
      </c>
      <c r="D612" s="17">
        <f>SUMIFS(ShadowLedger!$D:$D,ShadowLedger!$G:$G,A612,ShadowLedger!$C:$C,"&gt;="&amp;DATE(LEFT(SUBSTITUTE(C612,"'",""),4),MID(SUBSTITUTE(C612,"'",""),6,2),1),ShadowLedger!$C:$C,"&lt;"&amp;EOMONTH(DATE(LEFT(SUBSTITUTE(C612,"'",""),4),MID(SUBSTITUTE(C612,"'",""),6,2),1),0)+1)</f>
        <v>0</v>
      </c>
      <c r="E612" s="17">
        <f t="shared" si="1"/>
        <v>53</v>
      </c>
      <c r="F612" s="17">
        <f t="shared" si="2"/>
        <v>0</v>
      </c>
    </row>
    <row r="613">
      <c r="A613" s="5" t="s">
        <v>69</v>
      </c>
      <c r="B613" s="6">
        <v>0.0</v>
      </c>
      <c r="C613" s="13" t="s">
        <v>247</v>
      </c>
      <c r="D613" s="17">
        <f>SUMIFS(ShadowLedger!$D:$D,ShadowLedger!$G:$G,A613,ShadowLedger!$C:$C,"&gt;="&amp;DATE(LEFT(SUBSTITUTE(C613,"'",""),4),MID(SUBSTITUTE(C613,"'",""),6,2),1),ShadowLedger!$C:$C,"&lt;"&amp;EOMONTH(DATE(LEFT(SUBSTITUTE(C613,"'",""),4),MID(SUBSTITUTE(C613,"'",""),6,2),1),0)+1)</f>
        <v>0</v>
      </c>
      <c r="E613" s="17">
        <f t="shared" si="1"/>
        <v>0</v>
      </c>
      <c r="F613" s="17">
        <f t="shared" si="2"/>
        <v>0</v>
      </c>
    </row>
    <row r="614">
      <c r="A614" s="5" t="s">
        <v>54</v>
      </c>
      <c r="B614" s="6">
        <v>976.0</v>
      </c>
      <c r="C614" s="13" t="s">
        <v>248</v>
      </c>
      <c r="D614" s="17">
        <f>SUMIFS(ShadowLedger!$D:$D,ShadowLedger!$G:$G,A614,ShadowLedger!$C:$C,"&gt;="&amp;DATE(LEFT(SUBSTITUTE(C614,"'",""),4),MID(SUBSTITUTE(C614,"'",""),6,2),1),ShadowLedger!$C:$C,"&lt;"&amp;EOMONTH(DATE(LEFT(SUBSTITUTE(C614,"'",""),4),MID(SUBSTITUTE(C614,"'",""),6,2),1),0)+1)</f>
        <v>0</v>
      </c>
      <c r="E614" s="17">
        <f t="shared" si="1"/>
        <v>976</v>
      </c>
      <c r="F614" s="17">
        <f t="shared" si="2"/>
        <v>0</v>
      </c>
    </row>
    <row r="615">
      <c r="A615" s="5" t="s">
        <v>55</v>
      </c>
      <c r="B615" s="6">
        <v>743.0</v>
      </c>
      <c r="C615" s="13" t="s">
        <v>248</v>
      </c>
      <c r="D615" s="17">
        <f>SUMIFS(ShadowLedger!$D:$D,ShadowLedger!$G:$G,A615,ShadowLedger!$C:$C,"&gt;="&amp;DATE(LEFT(SUBSTITUTE(C615,"'",""),4),MID(SUBSTITUTE(C615,"'",""),6,2),1),ShadowLedger!$C:$C,"&lt;"&amp;EOMONTH(DATE(LEFT(SUBSTITUTE(C615,"'",""),4),MID(SUBSTITUTE(C615,"'",""),6,2),1),0)+1)</f>
        <v>0</v>
      </c>
      <c r="E615" s="17">
        <f t="shared" si="1"/>
        <v>743</v>
      </c>
      <c r="F615" s="17">
        <f t="shared" si="2"/>
        <v>0</v>
      </c>
    </row>
    <row r="616">
      <c r="A616" s="5" t="s">
        <v>56</v>
      </c>
      <c r="B616" s="6">
        <v>530.0</v>
      </c>
      <c r="C616" s="13" t="s">
        <v>248</v>
      </c>
      <c r="D616" s="17">
        <f>SUMIFS(ShadowLedger!$D:$D,ShadowLedger!$G:$G,A616,ShadowLedger!$C:$C,"&gt;="&amp;DATE(LEFT(SUBSTITUTE(C616,"'",""),4),MID(SUBSTITUTE(C616,"'",""),6,2),1),ShadowLedger!$C:$C,"&lt;"&amp;EOMONTH(DATE(LEFT(SUBSTITUTE(C616,"'",""),4),MID(SUBSTITUTE(C616,"'",""),6,2),1),0)+1)</f>
        <v>0</v>
      </c>
      <c r="E616" s="17">
        <f t="shared" si="1"/>
        <v>530</v>
      </c>
      <c r="F616" s="17">
        <f t="shared" si="2"/>
        <v>0</v>
      </c>
    </row>
    <row r="617">
      <c r="A617" s="5" t="s">
        <v>57</v>
      </c>
      <c r="B617" s="6">
        <v>530.0</v>
      </c>
      <c r="C617" s="13" t="s">
        <v>248</v>
      </c>
      <c r="D617" s="17">
        <f>SUMIFS(ShadowLedger!$D:$D,ShadowLedger!$G:$G,A617,ShadowLedger!$C:$C,"&gt;="&amp;DATE(LEFT(SUBSTITUTE(C617,"'",""),4),MID(SUBSTITUTE(C617,"'",""),6,2),1),ShadowLedger!$C:$C,"&lt;"&amp;EOMONTH(DATE(LEFT(SUBSTITUTE(C617,"'",""),4),MID(SUBSTITUTE(C617,"'",""),6,2),1),0)+1)</f>
        <v>0</v>
      </c>
      <c r="E617" s="17">
        <f t="shared" si="1"/>
        <v>530</v>
      </c>
      <c r="F617" s="17">
        <f t="shared" si="2"/>
        <v>0</v>
      </c>
    </row>
    <row r="618">
      <c r="A618" s="5" t="s">
        <v>58</v>
      </c>
      <c r="B618" s="6">
        <v>424.0</v>
      </c>
      <c r="C618" s="13" t="s">
        <v>248</v>
      </c>
      <c r="D618" s="17">
        <f>SUMIFS(ShadowLedger!$D:$D,ShadowLedger!$G:$G,A618,ShadowLedger!$C:$C,"&gt;="&amp;DATE(LEFT(SUBSTITUTE(C618,"'",""),4),MID(SUBSTITUTE(C618,"'",""),6,2),1),ShadowLedger!$C:$C,"&lt;"&amp;EOMONTH(DATE(LEFT(SUBSTITUTE(C618,"'",""),4),MID(SUBSTITUTE(C618,"'",""),6,2),1),0)+1)</f>
        <v>0</v>
      </c>
      <c r="E618" s="17">
        <f t="shared" si="1"/>
        <v>424</v>
      </c>
      <c r="F618" s="17">
        <f t="shared" si="2"/>
        <v>0</v>
      </c>
    </row>
    <row r="619">
      <c r="A619" s="5" t="s">
        <v>59</v>
      </c>
      <c r="B619" s="6">
        <v>212.0</v>
      </c>
      <c r="C619" s="13" t="s">
        <v>248</v>
      </c>
      <c r="D619" s="17">
        <f>SUMIFS(ShadowLedger!$D:$D,ShadowLedger!$G:$G,A619,ShadowLedger!$C:$C,"&gt;="&amp;DATE(LEFT(SUBSTITUTE(C619,"'",""),4),MID(SUBSTITUTE(C619,"'",""),6,2),1),ShadowLedger!$C:$C,"&lt;"&amp;EOMONTH(DATE(LEFT(SUBSTITUTE(C619,"'",""),4),MID(SUBSTITUTE(C619,"'",""),6,2),1),0)+1)</f>
        <v>0</v>
      </c>
      <c r="E619" s="17">
        <f t="shared" si="1"/>
        <v>212</v>
      </c>
      <c r="F619" s="17">
        <f t="shared" si="2"/>
        <v>0</v>
      </c>
    </row>
    <row r="620">
      <c r="A620" s="5" t="s">
        <v>60</v>
      </c>
      <c r="B620" s="6">
        <v>159.0</v>
      </c>
      <c r="C620" s="13" t="s">
        <v>248</v>
      </c>
      <c r="D620" s="17">
        <f>SUMIFS(ShadowLedger!$D:$D,ShadowLedger!$G:$G,A620,ShadowLedger!$C:$C,"&gt;="&amp;DATE(LEFT(SUBSTITUTE(C620,"'",""),4),MID(SUBSTITUTE(C620,"'",""),6,2),1),ShadowLedger!$C:$C,"&lt;"&amp;EOMONTH(DATE(LEFT(SUBSTITUTE(C620,"'",""),4),MID(SUBSTITUTE(C620,"'",""),6,2),1),0)+1)</f>
        <v>0</v>
      </c>
      <c r="E620" s="17">
        <f t="shared" si="1"/>
        <v>159</v>
      </c>
      <c r="F620" s="17">
        <f t="shared" si="2"/>
        <v>0</v>
      </c>
    </row>
    <row r="621">
      <c r="A621" s="5" t="s">
        <v>61</v>
      </c>
      <c r="B621" s="6">
        <v>127.0</v>
      </c>
      <c r="C621" s="13" t="s">
        <v>248</v>
      </c>
      <c r="D621" s="17">
        <f>SUMIFS(ShadowLedger!$D:$D,ShadowLedger!$G:$G,A621,ShadowLedger!$C:$C,"&gt;="&amp;DATE(LEFT(SUBSTITUTE(C621,"'",""),4),MID(SUBSTITUTE(C621,"'",""),6,2),1),ShadowLedger!$C:$C,"&lt;"&amp;EOMONTH(DATE(LEFT(SUBSTITUTE(C621,"'",""),4),MID(SUBSTITUTE(C621,"'",""),6,2),1),0)+1)</f>
        <v>0</v>
      </c>
      <c r="E621" s="17">
        <f t="shared" si="1"/>
        <v>127</v>
      </c>
      <c r="F621" s="17">
        <f t="shared" si="2"/>
        <v>0</v>
      </c>
    </row>
    <row r="622">
      <c r="A622" s="5" t="s">
        <v>62</v>
      </c>
      <c r="B622" s="6">
        <v>127.0</v>
      </c>
      <c r="C622" s="13" t="s">
        <v>248</v>
      </c>
      <c r="D622" s="17">
        <f>SUMIFS(ShadowLedger!$D:$D,ShadowLedger!$G:$G,A622,ShadowLedger!$C:$C,"&gt;="&amp;DATE(LEFT(SUBSTITUTE(C622,"'",""),4),MID(SUBSTITUTE(C622,"'",""),6,2),1),ShadowLedger!$C:$C,"&lt;"&amp;EOMONTH(DATE(LEFT(SUBSTITUTE(C622,"'",""),4),MID(SUBSTITUTE(C622,"'",""),6,2),1),0)+1)</f>
        <v>0</v>
      </c>
      <c r="E622" s="17">
        <f t="shared" si="1"/>
        <v>127</v>
      </c>
      <c r="F622" s="17">
        <f t="shared" si="2"/>
        <v>0</v>
      </c>
    </row>
    <row r="623">
      <c r="A623" s="5" t="s">
        <v>63</v>
      </c>
      <c r="B623" s="6">
        <v>106.0</v>
      </c>
      <c r="C623" s="13" t="s">
        <v>248</v>
      </c>
      <c r="D623" s="17">
        <f>SUMIFS(ShadowLedger!$D:$D,ShadowLedger!$G:$G,A623,ShadowLedger!$C:$C,"&gt;="&amp;DATE(LEFT(SUBSTITUTE(C623,"'",""),4),MID(SUBSTITUTE(C623,"'",""),6,2),1),ShadowLedger!$C:$C,"&lt;"&amp;EOMONTH(DATE(LEFT(SUBSTITUTE(C623,"'",""),4),MID(SUBSTITUTE(C623,"'",""),6,2),1),0)+1)</f>
        <v>0</v>
      </c>
      <c r="E623" s="17">
        <f t="shared" si="1"/>
        <v>106</v>
      </c>
      <c r="F623" s="17">
        <f t="shared" si="2"/>
        <v>0</v>
      </c>
    </row>
    <row r="624">
      <c r="A624" s="5" t="s">
        <v>64</v>
      </c>
      <c r="B624" s="6">
        <v>106.0</v>
      </c>
      <c r="C624" s="13" t="s">
        <v>248</v>
      </c>
      <c r="D624" s="17">
        <f>SUMIFS(ShadowLedger!$D:$D,ShadowLedger!$G:$G,A624,ShadowLedger!$C:$C,"&gt;="&amp;DATE(LEFT(SUBSTITUTE(C624,"'",""),4),MID(SUBSTITUTE(C624,"'",""),6,2),1),ShadowLedger!$C:$C,"&lt;"&amp;EOMONTH(DATE(LEFT(SUBSTITUTE(C624,"'",""),4),MID(SUBSTITUTE(C624,"'",""),6,2),1),0)+1)</f>
        <v>0</v>
      </c>
      <c r="E624" s="17">
        <f t="shared" si="1"/>
        <v>106</v>
      </c>
      <c r="F624" s="17">
        <f t="shared" si="2"/>
        <v>0</v>
      </c>
    </row>
    <row r="625">
      <c r="A625" s="5" t="s">
        <v>70</v>
      </c>
      <c r="B625" s="6">
        <v>106.0</v>
      </c>
      <c r="C625" s="13" t="s">
        <v>248</v>
      </c>
      <c r="D625" s="17">
        <f>SUMIFS(ShadowLedger!$D:$D,ShadowLedger!$G:$G,A625,ShadowLedger!$C:$C,"&gt;="&amp;DATE(LEFT(SUBSTITUTE(C625,"'",""),4),MID(SUBSTITUTE(C625,"'",""),6,2),1),ShadowLedger!$C:$C,"&lt;"&amp;EOMONTH(DATE(LEFT(SUBSTITUTE(C625,"'",""),4),MID(SUBSTITUTE(C625,"'",""),6,2),1),0)+1)</f>
        <v>0</v>
      </c>
      <c r="E625" s="17">
        <f t="shared" si="1"/>
        <v>106</v>
      </c>
      <c r="F625" s="17">
        <f t="shared" si="2"/>
        <v>0</v>
      </c>
    </row>
    <row r="626">
      <c r="A626" s="5" t="s">
        <v>65</v>
      </c>
      <c r="B626" s="6">
        <v>53.0</v>
      </c>
      <c r="C626" s="13" t="s">
        <v>248</v>
      </c>
      <c r="D626" s="17">
        <f>SUMIFS(ShadowLedger!$D:$D,ShadowLedger!$G:$G,A626,ShadowLedger!$C:$C,"&gt;="&amp;DATE(LEFT(SUBSTITUTE(C626,"'",""),4),MID(SUBSTITUTE(C626,"'",""),6,2),1),ShadowLedger!$C:$C,"&lt;"&amp;EOMONTH(DATE(LEFT(SUBSTITUTE(C626,"'",""),4),MID(SUBSTITUTE(C626,"'",""),6,2),1),0)+1)</f>
        <v>0</v>
      </c>
      <c r="E626" s="17">
        <f t="shared" si="1"/>
        <v>53</v>
      </c>
      <c r="F626" s="17">
        <f t="shared" si="2"/>
        <v>0</v>
      </c>
    </row>
    <row r="627">
      <c r="A627" s="5" t="s">
        <v>66</v>
      </c>
      <c r="B627" s="6">
        <v>53.0</v>
      </c>
      <c r="C627" s="13" t="s">
        <v>248</v>
      </c>
      <c r="D627" s="17">
        <f>SUMIFS(ShadowLedger!$D:$D,ShadowLedger!$G:$G,A627,ShadowLedger!$C:$C,"&gt;="&amp;DATE(LEFT(SUBSTITUTE(C627,"'",""),4),MID(SUBSTITUTE(C627,"'",""),6,2),1),ShadowLedger!$C:$C,"&lt;"&amp;EOMONTH(DATE(LEFT(SUBSTITUTE(C627,"'",""),4),MID(SUBSTITUTE(C627,"'",""),6,2),1),0)+1)</f>
        <v>0</v>
      </c>
      <c r="E627" s="17">
        <f t="shared" si="1"/>
        <v>53</v>
      </c>
      <c r="F627" s="17">
        <f t="shared" si="2"/>
        <v>0</v>
      </c>
    </row>
    <row r="628">
      <c r="A628" s="5" t="s">
        <v>67</v>
      </c>
      <c r="B628" s="6">
        <v>53.0</v>
      </c>
      <c r="C628" s="13" t="s">
        <v>248</v>
      </c>
      <c r="D628" s="17">
        <f>SUMIFS(ShadowLedger!$D:$D,ShadowLedger!$G:$G,A628,ShadowLedger!$C:$C,"&gt;="&amp;DATE(LEFT(SUBSTITUTE(C628,"'",""),4),MID(SUBSTITUTE(C628,"'",""),6,2),1),ShadowLedger!$C:$C,"&lt;"&amp;EOMONTH(DATE(LEFT(SUBSTITUTE(C628,"'",""),4),MID(SUBSTITUTE(C628,"'",""),6,2),1),0)+1)</f>
        <v>0</v>
      </c>
      <c r="E628" s="17">
        <f t="shared" si="1"/>
        <v>53</v>
      </c>
      <c r="F628" s="17">
        <f t="shared" si="2"/>
        <v>0</v>
      </c>
    </row>
    <row r="629">
      <c r="A629" s="5" t="s">
        <v>68</v>
      </c>
      <c r="B629" s="6">
        <v>53.0</v>
      </c>
      <c r="C629" s="13" t="s">
        <v>248</v>
      </c>
      <c r="D629" s="17">
        <f>SUMIFS(ShadowLedger!$D:$D,ShadowLedger!$G:$G,A629,ShadowLedger!$C:$C,"&gt;="&amp;DATE(LEFT(SUBSTITUTE(C629,"'",""),4),MID(SUBSTITUTE(C629,"'",""),6,2),1),ShadowLedger!$C:$C,"&lt;"&amp;EOMONTH(DATE(LEFT(SUBSTITUTE(C629,"'",""),4),MID(SUBSTITUTE(C629,"'",""),6,2),1),0)+1)</f>
        <v>0</v>
      </c>
      <c r="E629" s="17">
        <f t="shared" si="1"/>
        <v>53</v>
      </c>
      <c r="F629" s="17">
        <f t="shared" si="2"/>
        <v>0</v>
      </c>
    </row>
    <row r="630">
      <c r="A630" s="5" t="s">
        <v>69</v>
      </c>
      <c r="B630" s="6">
        <v>0.0</v>
      </c>
      <c r="C630" s="13" t="s">
        <v>248</v>
      </c>
      <c r="D630" s="17">
        <f>SUMIFS(ShadowLedger!$D:$D,ShadowLedger!$G:$G,A630,ShadowLedger!$C:$C,"&gt;="&amp;DATE(LEFT(SUBSTITUTE(C630,"'",""),4),MID(SUBSTITUTE(C630,"'",""),6,2),1),ShadowLedger!$C:$C,"&lt;"&amp;EOMONTH(DATE(LEFT(SUBSTITUTE(C630,"'",""),4),MID(SUBSTITUTE(C630,"'",""),6,2),1),0)+1)</f>
        <v>0</v>
      </c>
      <c r="E630" s="17">
        <f t="shared" si="1"/>
        <v>0</v>
      </c>
      <c r="F630" s="17">
        <f t="shared" si="2"/>
        <v>0</v>
      </c>
    </row>
    <row r="631">
      <c r="A631" s="5" t="s">
        <v>54</v>
      </c>
      <c r="B631" s="6">
        <v>1005.0</v>
      </c>
      <c r="C631" s="13" t="s">
        <v>249</v>
      </c>
      <c r="D631" s="17">
        <f>SUMIFS(ShadowLedger!$D:$D,ShadowLedger!$G:$G,A631,ShadowLedger!$C:$C,"&gt;="&amp;DATE(LEFT(SUBSTITUTE(C631,"'",""),4),MID(SUBSTITUTE(C631,"'",""),6,2),1),ShadowLedger!$C:$C,"&lt;"&amp;EOMONTH(DATE(LEFT(SUBSTITUTE(C631,"'",""),4),MID(SUBSTITUTE(C631,"'",""),6,2),1),0)+1)</f>
        <v>0</v>
      </c>
      <c r="E631" s="17">
        <f t="shared" si="1"/>
        <v>1005</v>
      </c>
      <c r="F631" s="17">
        <f t="shared" si="2"/>
        <v>0</v>
      </c>
    </row>
    <row r="632">
      <c r="A632" s="5" t="s">
        <v>55</v>
      </c>
      <c r="B632" s="6">
        <v>765.0</v>
      </c>
      <c r="C632" s="13" t="s">
        <v>249</v>
      </c>
      <c r="D632" s="17">
        <f>SUMIFS(ShadowLedger!$D:$D,ShadowLedger!$G:$G,A632,ShadowLedger!$C:$C,"&gt;="&amp;DATE(LEFT(SUBSTITUTE(C632,"'",""),4),MID(SUBSTITUTE(C632,"'",""),6,2),1),ShadowLedger!$C:$C,"&lt;"&amp;EOMONTH(DATE(LEFT(SUBSTITUTE(C632,"'",""),4),MID(SUBSTITUTE(C632,"'",""),6,2),1),0)+1)</f>
        <v>0</v>
      </c>
      <c r="E632" s="17">
        <f t="shared" si="1"/>
        <v>765</v>
      </c>
      <c r="F632" s="17">
        <f t="shared" si="2"/>
        <v>0</v>
      </c>
    </row>
    <row r="633">
      <c r="A633" s="5" t="s">
        <v>56</v>
      </c>
      <c r="B633" s="6">
        <v>546.0</v>
      </c>
      <c r="C633" s="13" t="s">
        <v>249</v>
      </c>
      <c r="D633" s="17">
        <f>SUMIFS(ShadowLedger!$D:$D,ShadowLedger!$G:$G,A633,ShadowLedger!$C:$C,"&gt;="&amp;DATE(LEFT(SUBSTITUTE(C633,"'",""),4),MID(SUBSTITUTE(C633,"'",""),6,2),1),ShadowLedger!$C:$C,"&lt;"&amp;EOMONTH(DATE(LEFT(SUBSTITUTE(C633,"'",""),4),MID(SUBSTITUTE(C633,"'",""),6,2),1),0)+1)</f>
        <v>0</v>
      </c>
      <c r="E633" s="17">
        <f t="shared" si="1"/>
        <v>546</v>
      </c>
      <c r="F633" s="17">
        <f t="shared" si="2"/>
        <v>0</v>
      </c>
    </row>
    <row r="634">
      <c r="A634" s="5" t="s">
        <v>57</v>
      </c>
      <c r="B634" s="6">
        <v>546.0</v>
      </c>
      <c r="C634" s="13" t="s">
        <v>249</v>
      </c>
      <c r="D634" s="17">
        <f>SUMIFS(ShadowLedger!$D:$D,ShadowLedger!$G:$G,A634,ShadowLedger!$C:$C,"&gt;="&amp;DATE(LEFT(SUBSTITUTE(C634,"'",""),4),MID(SUBSTITUTE(C634,"'",""),6,2),1),ShadowLedger!$C:$C,"&lt;"&amp;EOMONTH(DATE(LEFT(SUBSTITUTE(C634,"'",""),4),MID(SUBSTITUTE(C634,"'",""),6,2),1),0)+1)</f>
        <v>0</v>
      </c>
      <c r="E634" s="17">
        <f t="shared" si="1"/>
        <v>546</v>
      </c>
      <c r="F634" s="17">
        <f t="shared" si="2"/>
        <v>0</v>
      </c>
    </row>
    <row r="635">
      <c r="A635" s="5" t="s">
        <v>58</v>
      </c>
      <c r="B635" s="6">
        <v>437.0</v>
      </c>
      <c r="C635" s="13" t="s">
        <v>249</v>
      </c>
      <c r="D635" s="17">
        <f>SUMIFS(ShadowLedger!$D:$D,ShadowLedger!$G:$G,A635,ShadowLedger!$C:$C,"&gt;="&amp;DATE(LEFT(SUBSTITUTE(C635,"'",""),4),MID(SUBSTITUTE(C635,"'",""),6,2),1),ShadowLedger!$C:$C,"&lt;"&amp;EOMONTH(DATE(LEFT(SUBSTITUTE(C635,"'",""),4),MID(SUBSTITUTE(C635,"'",""),6,2),1),0)+1)</f>
        <v>0</v>
      </c>
      <c r="E635" s="17">
        <f t="shared" si="1"/>
        <v>437</v>
      </c>
      <c r="F635" s="17">
        <f t="shared" si="2"/>
        <v>0</v>
      </c>
    </row>
    <row r="636">
      <c r="A636" s="5" t="s">
        <v>59</v>
      </c>
      <c r="B636" s="6">
        <v>219.0</v>
      </c>
      <c r="C636" s="13" t="s">
        <v>249</v>
      </c>
      <c r="D636" s="17">
        <f>SUMIFS(ShadowLedger!$D:$D,ShadowLedger!$G:$G,A636,ShadowLedger!$C:$C,"&gt;="&amp;DATE(LEFT(SUBSTITUTE(C636,"'",""),4),MID(SUBSTITUTE(C636,"'",""),6,2),1),ShadowLedger!$C:$C,"&lt;"&amp;EOMONTH(DATE(LEFT(SUBSTITUTE(C636,"'",""),4),MID(SUBSTITUTE(C636,"'",""),6,2),1),0)+1)</f>
        <v>0</v>
      </c>
      <c r="E636" s="17">
        <f t="shared" si="1"/>
        <v>219</v>
      </c>
      <c r="F636" s="17">
        <f t="shared" si="2"/>
        <v>0</v>
      </c>
    </row>
    <row r="637">
      <c r="A637" s="5" t="s">
        <v>60</v>
      </c>
      <c r="B637" s="6">
        <v>164.0</v>
      </c>
      <c r="C637" s="13" t="s">
        <v>249</v>
      </c>
      <c r="D637" s="17">
        <f>SUMIFS(ShadowLedger!$D:$D,ShadowLedger!$G:$G,A637,ShadowLedger!$C:$C,"&gt;="&amp;DATE(LEFT(SUBSTITUTE(C637,"'",""),4),MID(SUBSTITUTE(C637,"'",""),6,2),1),ShadowLedger!$C:$C,"&lt;"&amp;EOMONTH(DATE(LEFT(SUBSTITUTE(C637,"'",""),4),MID(SUBSTITUTE(C637,"'",""),6,2),1),0)+1)</f>
        <v>0</v>
      </c>
      <c r="E637" s="17">
        <f t="shared" si="1"/>
        <v>164</v>
      </c>
      <c r="F637" s="17">
        <f t="shared" si="2"/>
        <v>0</v>
      </c>
    </row>
    <row r="638">
      <c r="A638" s="5" t="s">
        <v>61</v>
      </c>
      <c r="B638" s="6">
        <v>131.0</v>
      </c>
      <c r="C638" s="13" t="s">
        <v>249</v>
      </c>
      <c r="D638" s="17">
        <f>SUMIFS(ShadowLedger!$D:$D,ShadowLedger!$G:$G,A638,ShadowLedger!$C:$C,"&gt;="&amp;DATE(LEFT(SUBSTITUTE(C638,"'",""),4),MID(SUBSTITUTE(C638,"'",""),6,2),1),ShadowLedger!$C:$C,"&lt;"&amp;EOMONTH(DATE(LEFT(SUBSTITUTE(C638,"'",""),4),MID(SUBSTITUTE(C638,"'",""),6,2),1),0)+1)</f>
        <v>0</v>
      </c>
      <c r="E638" s="17">
        <f t="shared" si="1"/>
        <v>131</v>
      </c>
      <c r="F638" s="17">
        <f t="shared" si="2"/>
        <v>0</v>
      </c>
    </row>
    <row r="639">
      <c r="A639" s="5" t="s">
        <v>62</v>
      </c>
      <c r="B639" s="6">
        <v>131.0</v>
      </c>
      <c r="C639" s="13" t="s">
        <v>249</v>
      </c>
      <c r="D639" s="17">
        <f>SUMIFS(ShadowLedger!$D:$D,ShadowLedger!$G:$G,A639,ShadowLedger!$C:$C,"&gt;="&amp;DATE(LEFT(SUBSTITUTE(C639,"'",""),4),MID(SUBSTITUTE(C639,"'",""),6,2),1),ShadowLedger!$C:$C,"&lt;"&amp;EOMONTH(DATE(LEFT(SUBSTITUTE(C639,"'",""),4),MID(SUBSTITUTE(C639,"'",""),6,2),1),0)+1)</f>
        <v>0</v>
      </c>
      <c r="E639" s="17">
        <f t="shared" si="1"/>
        <v>131</v>
      </c>
      <c r="F639" s="17">
        <f t="shared" si="2"/>
        <v>0</v>
      </c>
    </row>
    <row r="640">
      <c r="A640" s="5" t="s">
        <v>63</v>
      </c>
      <c r="B640" s="6">
        <v>109.0</v>
      </c>
      <c r="C640" s="13" t="s">
        <v>249</v>
      </c>
      <c r="D640" s="17">
        <f>SUMIFS(ShadowLedger!$D:$D,ShadowLedger!$G:$G,A640,ShadowLedger!$C:$C,"&gt;="&amp;DATE(LEFT(SUBSTITUTE(C640,"'",""),4),MID(SUBSTITUTE(C640,"'",""),6,2),1),ShadowLedger!$C:$C,"&lt;"&amp;EOMONTH(DATE(LEFT(SUBSTITUTE(C640,"'",""),4),MID(SUBSTITUTE(C640,"'",""),6,2),1),0)+1)</f>
        <v>0</v>
      </c>
      <c r="E640" s="17">
        <f t="shared" si="1"/>
        <v>109</v>
      </c>
      <c r="F640" s="17">
        <f t="shared" si="2"/>
        <v>0</v>
      </c>
    </row>
    <row r="641">
      <c r="A641" s="5" t="s">
        <v>64</v>
      </c>
      <c r="B641" s="6">
        <v>109.0</v>
      </c>
      <c r="C641" s="13" t="s">
        <v>249</v>
      </c>
      <c r="D641" s="17">
        <f>SUMIFS(ShadowLedger!$D:$D,ShadowLedger!$G:$G,A641,ShadowLedger!$C:$C,"&gt;="&amp;DATE(LEFT(SUBSTITUTE(C641,"'",""),4),MID(SUBSTITUTE(C641,"'",""),6,2),1),ShadowLedger!$C:$C,"&lt;"&amp;EOMONTH(DATE(LEFT(SUBSTITUTE(C641,"'",""),4),MID(SUBSTITUTE(C641,"'",""),6,2),1),0)+1)</f>
        <v>0</v>
      </c>
      <c r="E641" s="17">
        <f t="shared" si="1"/>
        <v>109</v>
      </c>
      <c r="F641" s="17">
        <f t="shared" si="2"/>
        <v>0</v>
      </c>
    </row>
    <row r="642">
      <c r="A642" s="5" t="s">
        <v>70</v>
      </c>
      <c r="B642" s="6">
        <v>109.0</v>
      </c>
      <c r="C642" s="13" t="s">
        <v>249</v>
      </c>
      <c r="D642" s="17">
        <f>SUMIFS(ShadowLedger!$D:$D,ShadowLedger!$G:$G,A642,ShadowLedger!$C:$C,"&gt;="&amp;DATE(LEFT(SUBSTITUTE(C642,"'",""),4),MID(SUBSTITUTE(C642,"'",""),6,2),1),ShadowLedger!$C:$C,"&lt;"&amp;EOMONTH(DATE(LEFT(SUBSTITUTE(C642,"'",""),4),MID(SUBSTITUTE(C642,"'",""),6,2),1),0)+1)</f>
        <v>0</v>
      </c>
      <c r="E642" s="17">
        <f t="shared" si="1"/>
        <v>109</v>
      </c>
      <c r="F642" s="17">
        <f t="shared" si="2"/>
        <v>0</v>
      </c>
    </row>
    <row r="643">
      <c r="A643" s="5" t="s">
        <v>65</v>
      </c>
      <c r="B643" s="6">
        <v>55.0</v>
      </c>
      <c r="C643" s="13" t="s">
        <v>249</v>
      </c>
      <c r="D643" s="17">
        <f>SUMIFS(ShadowLedger!$D:$D,ShadowLedger!$G:$G,A643,ShadowLedger!$C:$C,"&gt;="&amp;DATE(LEFT(SUBSTITUTE(C643,"'",""),4),MID(SUBSTITUTE(C643,"'",""),6,2),1),ShadowLedger!$C:$C,"&lt;"&amp;EOMONTH(DATE(LEFT(SUBSTITUTE(C643,"'",""),4),MID(SUBSTITUTE(C643,"'",""),6,2),1),0)+1)</f>
        <v>0</v>
      </c>
      <c r="E643" s="17">
        <f t="shared" si="1"/>
        <v>55</v>
      </c>
      <c r="F643" s="17">
        <f t="shared" si="2"/>
        <v>0</v>
      </c>
    </row>
    <row r="644">
      <c r="A644" s="5" t="s">
        <v>66</v>
      </c>
      <c r="B644" s="6">
        <v>55.0</v>
      </c>
      <c r="C644" s="13" t="s">
        <v>249</v>
      </c>
      <c r="D644" s="17">
        <f>SUMIFS(ShadowLedger!$D:$D,ShadowLedger!$G:$G,A644,ShadowLedger!$C:$C,"&gt;="&amp;DATE(LEFT(SUBSTITUTE(C644,"'",""),4),MID(SUBSTITUTE(C644,"'",""),6,2),1),ShadowLedger!$C:$C,"&lt;"&amp;EOMONTH(DATE(LEFT(SUBSTITUTE(C644,"'",""),4),MID(SUBSTITUTE(C644,"'",""),6,2),1),0)+1)</f>
        <v>0</v>
      </c>
      <c r="E644" s="17">
        <f t="shared" si="1"/>
        <v>55</v>
      </c>
      <c r="F644" s="17">
        <f t="shared" si="2"/>
        <v>0</v>
      </c>
    </row>
    <row r="645">
      <c r="A645" s="5" t="s">
        <v>67</v>
      </c>
      <c r="B645" s="6">
        <v>55.0</v>
      </c>
      <c r="C645" s="13" t="s">
        <v>249</v>
      </c>
      <c r="D645" s="17">
        <f>SUMIFS(ShadowLedger!$D:$D,ShadowLedger!$G:$G,A645,ShadowLedger!$C:$C,"&gt;="&amp;DATE(LEFT(SUBSTITUTE(C645,"'",""),4),MID(SUBSTITUTE(C645,"'",""),6,2),1),ShadowLedger!$C:$C,"&lt;"&amp;EOMONTH(DATE(LEFT(SUBSTITUTE(C645,"'",""),4),MID(SUBSTITUTE(C645,"'",""),6,2),1),0)+1)</f>
        <v>0</v>
      </c>
      <c r="E645" s="17">
        <f t="shared" si="1"/>
        <v>55</v>
      </c>
      <c r="F645" s="17">
        <f t="shared" si="2"/>
        <v>0</v>
      </c>
    </row>
    <row r="646">
      <c r="A646" s="5" t="s">
        <v>68</v>
      </c>
      <c r="B646" s="6">
        <v>55.0</v>
      </c>
      <c r="C646" s="13" t="s">
        <v>249</v>
      </c>
      <c r="D646" s="17">
        <f>SUMIFS(ShadowLedger!$D:$D,ShadowLedger!$G:$G,A646,ShadowLedger!$C:$C,"&gt;="&amp;DATE(LEFT(SUBSTITUTE(C646,"'",""),4),MID(SUBSTITUTE(C646,"'",""),6,2),1),ShadowLedger!$C:$C,"&lt;"&amp;EOMONTH(DATE(LEFT(SUBSTITUTE(C646,"'",""),4),MID(SUBSTITUTE(C646,"'",""),6,2),1),0)+1)</f>
        <v>0</v>
      </c>
      <c r="E646" s="17">
        <f t="shared" si="1"/>
        <v>55</v>
      </c>
      <c r="F646" s="17">
        <f t="shared" si="2"/>
        <v>0</v>
      </c>
    </row>
    <row r="647">
      <c r="A647" s="5" t="s">
        <v>69</v>
      </c>
      <c r="B647" s="6">
        <v>0.0</v>
      </c>
      <c r="C647" s="13" t="s">
        <v>249</v>
      </c>
      <c r="D647" s="17">
        <f>SUMIFS(ShadowLedger!$D:$D,ShadowLedger!$G:$G,A647,ShadowLedger!$C:$C,"&gt;="&amp;DATE(LEFT(SUBSTITUTE(C647,"'",""),4),MID(SUBSTITUTE(C647,"'",""),6,2),1),ShadowLedger!$C:$C,"&lt;"&amp;EOMONTH(DATE(LEFT(SUBSTITUTE(C647,"'",""),4),MID(SUBSTITUTE(C647,"'",""),6,2),1),0)+1)</f>
        <v>0</v>
      </c>
      <c r="E647" s="17">
        <f t="shared" si="1"/>
        <v>0</v>
      </c>
      <c r="F647" s="17">
        <f t="shared" si="2"/>
        <v>0</v>
      </c>
    </row>
    <row r="648">
      <c r="A648" s="5" t="s">
        <v>54</v>
      </c>
      <c r="B648" s="6">
        <v>1005.0</v>
      </c>
      <c r="C648" s="13" t="s">
        <v>250</v>
      </c>
      <c r="D648" s="17">
        <f>SUMIFS(ShadowLedger!$D:$D,ShadowLedger!$G:$G,A648,ShadowLedger!$C:$C,"&gt;="&amp;DATE(LEFT(SUBSTITUTE(C648,"'",""),4),MID(SUBSTITUTE(C648,"'",""),6,2),1),ShadowLedger!$C:$C,"&lt;"&amp;EOMONTH(DATE(LEFT(SUBSTITUTE(C648,"'",""),4),MID(SUBSTITUTE(C648,"'",""),6,2),1),0)+1)</f>
        <v>0</v>
      </c>
      <c r="E648" s="17">
        <f t="shared" si="1"/>
        <v>1005</v>
      </c>
      <c r="F648" s="17">
        <f t="shared" si="2"/>
        <v>0</v>
      </c>
    </row>
    <row r="649">
      <c r="A649" s="5" t="s">
        <v>55</v>
      </c>
      <c r="B649" s="6">
        <v>765.0</v>
      </c>
      <c r="C649" s="13" t="s">
        <v>250</v>
      </c>
      <c r="D649" s="17">
        <f>SUMIFS(ShadowLedger!$D:$D,ShadowLedger!$G:$G,A649,ShadowLedger!$C:$C,"&gt;="&amp;DATE(LEFT(SUBSTITUTE(C649,"'",""),4),MID(SUBSTITUTE(C649,"'",""),6,2),1),ShadowLedger!$C:$C,"&lt;"&amp;EOMONTH(DATE(LEFT(SUBSTITUTE(C649,"'",""),4),MID(SUBSTITUTE(C649,"'",""),6,2),1),0)+1)</f>
        <v>0</v>
      </c>
      <c r="E649" s="17">
        <f t="shared" si="1"/>
        <v>765</v>
      </c>
      <c r="F649" s="17">
        <f t="shared" si="2"/>
        <v>0</v>
      </c>
    </row>
    <row r="650">
      <c r="A650" s="5" t="s">
        <v>56</v>
      </c>
      <c r="B650" s="6">
        <v>546.0</v>
      </c>
      <c r="C650" s="13" t="s">
        <v>250</v>
      </c>
      <c r="D650" s="17">
        <f>SUMIFS(ShadowLedger!$D:$D,ShadowLedger!$G:$G,A650,ShadowLedger!$C:$C,"&gt;="&amp;DATE(LEFT(SUBSTITUTE(C650,"'",""),4),MID(SUBSTITUTE(C650,"'",""),6,2),1),ShadowLedger!$C:$C,"&lt;"&amp;EOMONTH(DATE(LEFT(SUBSTITUTE(C650,"'",""),4),MID(SUBSTITUTE(C650,"'",""),6,2),1),0)+1)</f>
        <v>0</v>
      </c>
      <c r="E650" s="17">
        <f t="shared" si="1"/>
        <v>546</v>
      </c>
      <c r="F650" s="17">
        <f t="shared" si="2"/>
        <v>0</v>
      </c>
    </row>
    <row r="651">
      <c r="A651" s="5" t="s">
        <v>57</v>
      </c>
      <c r="B651" s="6">
        <v>546.0</v>
      </c>
      <c r="C651" s="13" t="s">
        <v>250</v>
      </c>
      <c r="D651" s="17">
        <f>SUMIFS(ShadowLedger!$D:$D,ShadowLedger!$G:$G,A651,ShadowLedger!$C:$C,"&gt;="&amp;DATE(LEFT(SUBSTITUTE(C651,"'",""),4),MID(SUBSTITUTE(C651,"'",""),6,2),1),ShadowLedger!$C:$C,"&lt;"&amp;EOMONTH(DATE(LEFT(SUBSTITUTE(C651,"'",""),4),MID(SUBSTITUTE(C651,"'",""),6,2),1),0)+1)</f>
        <v>0</v>
      </c>
      <c r="E651" s="17">
        <f t="shared" si="1"/>
        <v>546</v>
      </c>
      <c r="F651" s="17">
        <f t="shared" si="2"/>
        <v>0</v>
      </c>
    </row>
    <row r="652">
      <c r="A652" s="5" t="s">
        <v>58</v>
      </c>
      <c r="B652" s="6">
        <v>437.0</v>
      </c>
      <c r="C652" s="13" t="s">
        <v>250</v>
      </c>
      <c r="D652" s="17">
        <f>SUMIFS(ShadowLedger!$D:$D,ShadowLedger!$G:$G,A652,ShadowLedger!$C:$C,"&gt;="&amp;DATE(LEFT(SUBSTITUTE(C652,"'",""),4),MID(SUBSTITUTE(C652,"'",""),6,2),1),ShadowLedger!$C:$C,"&lt;"&amp;EOMONTH(DATE(LEFT(SUBSTITUTE(C652,"'",""),4),MID(SUBSTITUTE(C652,"'",""),6,2),1),0)+1)</f>
        <v>0</v>
      </c>
      <c r="E652" s="17">
        <f t="shared" si="1"/>
        <v>437</v>
      </c>
      <c r="F652" s="17">
        <f t="shared" si="2"/>
        <v>0</v>
      </c>
    </row>
    <row r="653">
      <c r="A653" s="5" t="s">
        <v>59</v>
      </c>
      <c r="B653" s="6">
        <v>219.0</v>
      </c>
      <c r="C653" s="13" t="s">
        <v>250</v>
      </c>
      <c r="D653" s="17">
        <f>SUMIFS(ShadowLedger!$D:$D,ShadowLedger!$G:$G,A653,ShadowLedger!$C:$C,"&gt;="&amp;DATE(LEFT(SUBSTITUTE(C653,"'",""),4),MID(SUBSTITUTE(C653,"'",""),6,2),1),ShadowLedger!$C:$C,"&lt;"&amp;EOMONTH(DATE(LEFT(SUBSTITUTE(C653,"'",""),4),MID(SUBSTITUTE(C653,"'",""),6,2),1),0)+1)</f>
        <v>0</v>
      </c>
      <c r="E653" s="17">
        <f t="shared" si="1"/>
        <v>219</v>
      </c>
      <c r="F653" s="17">
        <f t="shared" si="2"/>
        <v>0</v>
      </c>
    </row>
    <row r="654">
      <c r="A654" s="5" t="s">
        <v>60</v>
      </c>
      <c r="B654" s="6">
        <v>164.0</v>
      </c>
      <c r="C654" s="13" t="s">
        <v>250</v>
      </c>
      <c r="D654" s="17">
        <f>SUMIFS(ShadowLedger!$D:$D,ShadowLedger!$G:$G,A654,ShadowLedger!$C:$C,"&gt;="&amp;DATE(LEFT(SUBSTITUTE(C654,"'",""),4),MID(SUBSTITUTE(C654,"'",""),6,2),1),ShadowLedger!$C:$C,"&lt;"&amp;EOMONTH(DATE(LEFT(SUBSTITUTE(C654,"'",""),4),MID(SUBSTITUTE(C654,"'",""),6,2),1),0)+1)</f>
        <v>0</v>
      </c>
      <c r="E654" s="17">
        <f t="shared" si="1"/>
        <v>164</v>
      </c>
      <c r="F654" s="17">
        <f t="shared" si="2"/>
        <v>0</v>
      </c>
    </row>
    <row r="655">
      <c r="A655" s="5" t="s">
        <v>61</v>
      </c>
      <c r="B655" s="6">
        <v>131.0</v>
      </c>
      <c r="C655" s="13" t="s">
        <v>250</v>
      </c>
      <c r="D655" s="17">
        <f>SUMIFS(ShadowLedger!$D:$D,ShadowLedger!$G:$G,A655,ShadowLedger!$C:$C,"&gt;="&amp;DATE(LEFT(SUBSTITUTE(C655,"'",""),4),MID(SUBSTITUTE(C655,"'",""),6,2),1),ShadowLedger!$C:$C,"&lt;"&amp;EOMONTH(DATE(LEFT(SUBSTITUTE(C655,"'",""),4),MID(SUBSTITUTE(C655,"'",""),6,2),1),0)+1)</f>
        <v>0</v>
      </c>
      <c r="E655" s="17">
        <f t="shared" si="1"/>
        <v>131</v>
      </c>
      <c r="F655" s="17">
        <f t="shared" si="2"/>
        <v>0</v>
      </c>
    </row>
    <row r="656">
      <c r="A656" s="5" t="s">
        <v>62</v>
      </c>
      <c r="B656" s="6">
        <v>131.0</v>
      </c>
      <c r="C656" s="13" t="s">
        <v>250</v>
      </c>
      <c r="D656" s="17">
        <f>SUMIFS(ShadowLedger!$D:$D,ShadowLedger!$G:$G,A656,ShadowLedger!$C:$C,"&gt;="&amp;DATE(LEFT(SUBSTITUTE(C656,"'",""),4),MID(SUBSTITUTE(C656,"'",""),6,2),1),ShadowLedger!$C:$C,"&lt;"&amp;EOMONTH(DATE(LEFT(SUBSTITUTE(C656,"'",""),4),MID(SUBSTITUTE(C656,"'",""),6,2),1),0)+1)</f>
        <v>0</v>
      </c>
      <c r="E656" s="17">
        <f t="shared" si="1"/>
        <v>131</v>
      </c>
      <c r="F656" s="17">
        <f t="shared" si="2"/>
        <v>0</v>
      </c>
    </row>
    <row r="657">
      <c r="A657" s="5" t="s">
        <v>63</v>
      </c>
      <c r="B657" s="6">
        <v>109.0</v>
      </c>
      <c r="C657" s="13" t="s">
        <v>250</v>
      </c>
      <c r="D657" s="17">
        <f>SUMIFS(ShadowLedger!$D:$D,ShadowLedger!$G:$G,A657,ShadowLedger!$C:$C,"&gt;="&amp;DATE(LEFT(SUBSTITUTE(C657,"'",""),4),MID(SUBSTITUTE(C657,"'",""),6,2),1),ShadowLedger!$C:$C,"&lt;"&amp;EOMONTH(DATE(LEFT(SUBSTITUTE(C657,"'",""),4),MID(SUBSTITUTE(C657,"'",""),6,2),1),0)+1)</f>
        <v>0</v>
      </c>
      <c r="E657" s="17">
        <f t="shared" si="1"/>
        <v>109</v>
      </c>
      <c r="F657" s="17">
        <f t="shared" si="2"/>
        <v>0</v>
      </c>
    </row>
    <row r="658">
      <c r="A658" s="5" t="s">
        <v>64</v>
      </c>
      <c r="B658" s="6">
        <v>109.0</v>
      </c>
      <c r="C658" s="13" t="s">
        <v>250</v>
      </c>
      <c r="D658" s="17">
        <f>SUMIFS(ShadowLedger!$D:$D,ShadowLedger!$G:$G,A658,ShadowLedger!$C:$C,"&gt;="&amp;DATE(LEFT(SUBSTITUTE(C658,"'",""),4),MID(SUBSTITUTE(C658,"'",""),6,2),1),ShadowLedger!$C:$C,"&lt;"&amp;EOMONTH(DATE(LEFT(SUBSTITUTE(C658,"'",""),4),MID(SUBSTITUTE(C658,"'",""),6,2),1),0)+1)</f>
        <v>0</v>
      </c>
      <c r="E658" s="17">
        <f t="shared" si="1"/>
        <v>109</v>
      </c>
      <c r="F658" s="17">
        <f t="shared" si="2"/>
        <v>0</v>
      </c>
    </row>
    <row r="659">
      <c r="A659" s="5" t="s">
        <v>70</v>
      </c>
      <c r="B659" s="6">
        <v>109.0</v>
      </c>
      <c r="C659" s="13" t="s">
        <v>250</v>
      </c>
      <c r="D659" s="17">
        <f>SUMIFS(ShadowLedger!$D:$D,ShadowLedger!$G:$G,A659,ShadowLedger!$C:$C,"&gt;="&amp;DATE(LEFT(SUBSTITUTE(C659,"'",""),4),MID(SUBSTITUTE(C659,"'",""),6,2),1),ShadowLedger!$C:$C,"&lt;"&amp;EOMONTH(DATE(LEFT(SUBSTITUTE(C659,"'",""),4),MID(SUBSTITUTE(C659,"'",""),6,2),1),0)+1)</f>
        <v>0</v>
      </c>
      <c r="E659" s="17">
        <f t="shared" si="1"/>
        <v>109</v>
      </c>
      <c r="F659" s="17">
        <f t="shared" si="2"/>
        <v>0</v>
      </c>
    </row>
    <row r="660">
      <c r="A660" s="5" t="s">
        <v>65</v>
      </c>
      <c r="B660" s="6">
        <v>55.0</v>
      </c>
      <c r="C660" s="13" t="s">
        <v>250</v>
      </c>
      <c r="D660" s="17">
        <f>SUMIFS(ShadowLedger!$D:$D,ShadowLedger!$G:$G,A660,ShadowLedger!$C:$C,"&gt;="&amp;DATE(LEFT(SUBSTITUTE(C660,"'",""),4),MID(SUBSTITUTE(C660,"'",""),6,2),1),ShadowLedger!$C:$C,"&lt;"&amp;EOMONTH(DATE(LEFT(SUBSTITUTE(C660,"'",""),4),MID(SUBSTITUTE(C660,"'",""),6,2),1),0)+1)</f>
        <v>0</v>
      </c>
      <c r="E660" s="17">
        <f t="shared" si="1"/>
        <v>55</v>
      </c>
      <c r="F660" s="17">
        <f t="shared" si="2"/>
        <v>0</v>
      </c>
    </row>
    <row r="661">
      <c r="A661" s="5" t="s">
        <v>66</v>
      </c>
      <c r="B661" s="6">
        <v>55.0</v>
      </c>
      <c r="C661" s="13" t="s">
        <v>250</v>
      </c>
      <c r="D661" s="17">
        <f>SUMIFS(ShadowLedger!$D:$D,ShadowLedger!$G:$G,A661,ShadowLedger!$C:$C,"&gt;="&amp;DATE(LEFT(SUBSTITUTE(C661,"'",""),4),MID(SUBSTITUTE(C661,"'",""),6,2),1),ShadowLedger!$C:$C,"&lt;"&amp;EOMONTH(DATE(LEFT(SUBSTITUTE(C661,"'",""),4),MID(SUBSTITUTE(C661,"'",""),6,2),1),0)+1)</f>
        <v>0</v>
      </c>
      <c r="E661" s="17">
        <f t="shared" si="1"/>
        <v>55</v>
      </c>
      <c r="F661" s="17">
        <f t="shared" si="2"/>
        <v>0</v>
      </c>
    </row>
    <row r="662">
      <c r="A662" s="5" t="s">
        <v>67</v>
      </c>
      <c r="B662" s="6">
        <v>55.0</v>
      </c>
      <c r="C662" s="13" t="s">
        <v>250</v>
      </c>
      <c r="D662" s="17">
        <f>SUMIFS(ShadowLedger!$D:$D,ShadowLedger!$G:$G,A662,ShadowLedger!$C:$C,"&gt;="&amp;DATE(LEFT(SUBSTITUTE(C662,"'",""),4),MID(SUBSTITUTE(C662,"'",""),6,2),1),ShadowLedger!$C:$C,"&lt;"&amp;EOMONTH(DATE(LEFT(SUBSTITUTE(C662,"'",""),4),MID(SUBSTITUTE(C662,"'",""),6,2),1),0)+1)</f>
        <v>0</v>
      </c>
      <c r="E662" s="17">
        <f t="shared" si="1"/>
        <v>55</v>
      </c>
      <c r="F662" s="17">
        <f t="shared" si="2"/>
        <v>0</v>
      </c>
    </row>
    <row r="663">
      <c r="A663" s="5" t="s">
        <v>68</v>
      </c>
      <c r="B663" s="6">
        <v>55.0</v>
      </c>
      <c r="C663" s="13" t="s">
        <v>250</v>
      </c>
      <c r="D663" s="17">
        <f>SUMIFS(ShadowLedger!$D:$D,ShadowLedger!$G:$G,A663,ShadowLedger!$C:$C,"&gt;="&amp;DATE(LEFT(SUBSTITUTE(C663,"'",""),4),MID(SUBSTITUTE(C663,"'",""),6,2),1),ShadowLedger!$C:$C,"&lt;"&amp;EOMONTH(DATE(LEFT(SUBSTITUTE(C663,"'",""),4),MID(SUBSTITUTE(C663,"'",""),6,2),1),0)+1)</f>
        <v>0</v>
      </c>
      <c r="E663" s="17">
        <f t="shared" si="1"/>
        <v>55</v>
      </c>
      <c r="F663" s="17">
        <f t="shared" si="2"/>
        <v>0</v>
      </c>
    </row>
    <row r="664">
      <c r="A664" s="5" t="s">
        <v>69</v>
      </c>
      <c r="B664" s="6">
        <v>0.0</v>
      </c>
      <c r="C664" s="13" t="s">
        <v>250</v>
      </c>
      <c r="D664" s="17">
        <f>SUMIFS(ShadowLedger!$D:$D,ShadowLedger!$G:$G,A664,ShadowLedger!$C:$C,"&gt;="&amp;DATE(LEFT(SUBSTITUTE(C664,"'",""),4),MID(SUBSTITUTE(C664,"'",""),6,2),1),ShadowLedger!$C:$C,"&lt;"&amp;EOMONTH(DATE(LEFT(SUBSTITUTE(C664,"'",""),4),MID(SUBSTITUTE(C664,"'",""),6,2),1),0)+1)</f>
        <v>0</v>
      </c>
      <c r="E664" s="17">
        <f t="shared" si="1"/>
        <v>0</v>
      </c>
      <c r="F664" s="17">
        <f t="shared" si="2"/>
        <v>0</v>
      </c>
    </row>
    <row r="665">
      <c r="A665" s="5" t="s">
        <v>54</v>
      </c>
      <c r="B665" s="6">
        <v>1005.0</v>
      </c>
      <c r="C665" s="13" t="s">
        <v>251</v>
      </c>
      <c r="D665" s="17">
        <f>SUMIFS(ShadowLedger!$D:$D,ShadowLedger!$G:$G,A665,ShadowLedger!$C:$C,"&gt;="&amp;DATE(LEFT(SUBSTITUTE(C665,"'",""),4),MID(SUBSTITUTE(C665,"'",""),6,2),1),ShadowLedger!$C:$C,"&lt;"&amp;EOMONTH(DATE(LEFT(SUBSTITUTE(C665,"'",""),4),MID(SUBSTITUTE(C665,"'",""),6,2),1),0)+1)</f>
        <v>0</v>
      </c>
      <c r="E665" s="17">
        <f t="shared" si="1"/>
        <v>1005</v>
      </c>
      <c r="F665" s="17">
        <f t="shared" si="2"/>
        <v>0</v>
      </c>
    </row>
    <row r="666">
      <c r="A666" s="5" t="s">
        <v>55</v>
      </c>
      <c r="B666" s="6">
        <v>765.0</v>
      </c>
      <c r="C666" s="13" t="s">
        <v>251</v>
      </c>
      <c r="D666" s="17">
        <f>SUMIFS(ShadowLedger!$D:$D,ShadowLedger!$G:$G,A666,ShadowLedger!$C:$C,"&gt;="&amp;DATE(LEFT(SUBSTITUTE(C666,"'",""),4),MID(SUBSTITUTE(C666,"'",""),6,2),1),ShadowLedger!$C:$C,"&lt;"&amp;EOMONTH(DATE(LEFT(SUBSTITUTE(C666,"'",""),4),MID(SUBSTITUTE(C666,"'",""),6,2),1),0)+1)</f>
        <v>0</v>
      </c>
      <c r="E666" s="17">
        <f t="shared" si="1"/>
        <v>765</v>
      </c>
      <c r="F666" s="17">
        <f t="shared" si="2"/>
        <v>0</v>
      </c>
    </row>
    <row r="667">
      <c r="A667" s="5" t="s">
        <v>56</v>
      </c>
      <c r="B667" s="6">
        <v>546.0</v>
      </c>
      <c r="C667" s="13" t="s">
        <v>251</v>
      </c>
      <c r="D667" s="17">
        <f>SUMIFS(ShadowLedger!$D:$D,ShadowLedger!$G:$G,A667,ShadowLedger!$C:$C,"&gt;="&amp;DATE(LEFT(SUBSTITUTE(C667,"'",""),4),MID(SUBSTITUTE(C667,"'",""),6,2),1),ShadowLedger!$C:$C,"&lt;"&amp;EOMONTH(DATE(LEFT(SUBSTITUTE(C667,"'",""),4),MID(SUBSTITUTE(C667,"'",""),6,2),1),0)+1)</f>
        <v>0</v>
      </c>
      <c r="E667" s="17">
        <f t="shared" si="1"/>
        <v>546</v>
      </c>
      <c r="F667" s="17">
        <f t="shared" si="2"/>
        <v>0</v>
      </c>
    </row>
    <row r="668">
      <c r="A668" s="5" t="s">
        <v>57</v>
      </c>
      <c r="B668" s="6">
        <v>546.0</v>
      </c>
      <c r="C668" s="13" t="s">
        <v>251</v>
      </c>
      <c r="D668" s="17">
        <f>SUMIFS(ShadowLedger!$D:$D,ShadowLedger!$G:$G,A668,ShadowLedger!$C:$C,"&gt;="&amp;DATE(LEFT(SUBSTITUTE(C668,"'",""),4),MID(SUBSTITUTE(C668,"'",""),6,2),1),ShadowLedger!$C:$C,"&lt;"&amp;EOMONTH(DATE(LEFT(SUBSTITUTE(C668,"'",""),4),MID(SUBSTITUTE(C668,"'",""),6,2),1),0)+1)</f>
        <v>0</v>
      </c>
      <c r="E668" s="17">
        <f t="shared" si="1"/>
        <v>546</v>
      </c>
      <c r="F668" s="17">
        <f t="shared" si="2"/>
        <v>0</v>
      </c>
    </row>
    <row r="669">
      <c r="A669" s="5" t="s">
        <v>58</v>
      </c>
      <c r="B669" s="6">
        <v>437.0</v>
      </c>
      <c r="C669" s="13" t="s">
        <v>251</v>
      </c>
      <c r="D669" s="17">
        <f>SUMIFS(ShadowLedger!$D:$D,ShadowLedger!$G:$G,A669,ShadowLedger!$C:$C,"&gt;="&amp;DATE(LEFT(SUBSTITUTE(C669,"'",""),4),MID(SUBSTITUTE(C669,"'",""),6,2),1),ShadowLedger!$C:$C,"&lt;"&amp;EOMONTH(DATE(LEFT(SUBSTITUTE(C669,"'",""),4),MID(SUBSTITUTE(C669,"'",""),6,2),1),0)+1)</f>
        <v>0</v>
      </c>
      <c r="E669" s="17">
        <f t="shared" si="1"/>
        <v>437</v>
      </c>
      <c r="F669" s="17">
        <f t="shared" si="2"/>
        <v>0</v>
      </c>
    </row>
    <row r="670">
      <c r="A670" s="5" t="s">
        <v>59</v>
      </c>
      <c r="B670" s="6">
        <v>219.0</v>
      </c>
      <c r="C670" s="13" t="s">
        <v>251</v>
      </c>
      <c r="D670" s="17">
        <f>SUMIFS(ShadowLedger!$D:$D,ShadowLedger!$G:$G,A670,ShadowLedger!$C:$C,"&gt;="&amp;DATE(LEFT(SUBSTITUTE(C670,"'",""),4),MID(SUBSTITUTE(C670,"'",""),6,2),1),ShadowLedger!$C:$C,"&lt;"&amp;EOMONTH(DATE(LEFT(SUBSTITUTE(C670,"'",""),4),MID(SUBSTITUTE(C670,"'",""),6,2),1),0)+1)</f>
        <v>0</v>
      </c>
      <c r="E670" s="17">
        <f t="shared" si="1"/>
        <v>219</v>
      </c>
      <c r="F670" s="17">
        <f t="shared" si="2"/>
        <v>0</v>
      </c>
    </row>
    <row r="671">
      <c r="A671" s="5" t="s">
        <v>60</v>
      </c>
      <c r="B671" s="6">
        <v>164.0</v>
      </c>
      <c r="C671" s="13" t="s">
        <v>251</v>
      </c>
      <c r="D671" s="17">
        <f>SUMIFS(ShadowLedger!$D:$D,ShadowLedger!$G:$G,A671,ShadowLedger!$C:$C,"&gt;="&amp;DATE(LEFT(SUBSTITUTE(C671,"'",""),4),MID(SUBSTITUTE(C671,"'",""),6,2),1),ShadowLedger!$C:$C,"&lt;"&amp;EOMONTH(DATE(LEFT(SUBSTITUTE(C671,"'",""),4),MID(SUBSTITUTE(C671,"'",""),6,2),1),0)+1)</f>
        <v>0</v>
      </c>
      <c r="E671" s="17">
        <f t="shared" si="1"/>
        <v>164</v>
      </c>
      <c r="F671" s="17">
        <f t="shared" si="2"/>
        <v>0</v>
      </c>
    </row>
    <row r="672">
      <c r="A672" s="5" t="s">
        <v>61</v>
      </c>
      <c r="B672" s="6">
        <v>131.0</v>
      </c>
      <c r="C672" s="13" t="s">
        <v>251</v>
      </c>
      <c r="D672" s="17">
        <f>SUMIFS(ShadowLedger!$D:$D,ShadowLedger!$G:$G,A672,ShadowLedger!$C:$C,"&gt;="&amp;DATE(LEFT(SUBSTITUTE(C672,"'",""),4),MID(SUBSTITUTE(C672,"'",""),6,2),1),ShadowLedger!$C:$C,"&lt;"&amp;EOMONTH(DATE(LEFT(SUBSTITUTE(C672,"'",""),4),MID(SUBSTITUTE(C672,"'",""),6,2),1),0)+1)</f>
        <v>0</v>
      </c>
      <c r="E672" s="17">
        <f t="shared" si="1"/>
        <v>131</v>
      </c>
      <c r="F672" s="17">
        <f t="shared" si="2"/>
        <v>0</v>
      </c>
    </row>
    <row r="673">
      <c r="A673" s="5" t="s">
        <v>62</v>
      </c>
      <c r="B673" s="6">
        <v>131.0</v>
      </c>
      <c r="C673" s="13" t="s">
        <v>251</v>
      </c>
      <c r="D673" s="17">
        <f>SUMIFS(ShadowLedger!$D:$D,ShadowLedger!$G:$G,A673,ShadowLedger!$C:$C,"&gt;="&amp;DATE(LEFT(SUBSTITUTE(C673,"'",""),4),MID(SUBSTITUTE(C673,"'",""),6,2),1),ShadowLedger!$C:$C,"&lt;"&amp;EOMONTH(DATE(LEFT(SUBSTITUTE(C673,"'",""),4),MID(SUBSTITUTE(C673,"'",""),6,2),1),0)+1)</f>
        <v>0</v>
      </c>
      <c r="E673" s="17">
        <f t="shared" si="1"/>
        <v>131</v>
      </c>
      <c r="F673" s="17">
        <f t="shared" si="2"/>
        <v>0</v>
      </c>
    </row>
    <row r="674">
      <c r="A674" s="5" t="s">
        <v>63</v>
      </c>
      <c r="B674" s="6">
        <v>109.0</v>
      </c>
      <c r="C674" s="13" t="s">
        <v>251</v>
      </c>
      <c r="D674" s="17">
        <f>SUMIFS(ShadowLedger!$D:$D,ShadowLedger!$G:$G,A674,ShadowLedger!$C:$C,"&gt;="&amp;DATE(LEFT(SUBSTITUTE(C674,"'",""),4),MID(SUBSTITUTE(C674,"'",""),6,2),1),ShadowLedger!$C:$C,"&lt;"&amp;EOMONTH(DATE(LEFT(SUBSTITUTE(C674,"'",""),4),MID(SUBSTITUTE(C674,"'",""),6,2),1),0)+1)</f>
        <v>0</v>
      </c>
      <c r="E674" s="17">
        <f t="shared" si="1"/>
        <v>109</v>
      </c>
      <c r="F674" s="17">
        <f t="shared" si="2"/>
        <v>0</v>
      </c>
    </row>
    <row r="675">
      <c r="A675" s="5" t="s">
        <v>64</v>
      </c>
      <c r="B675" s="6">
        <v>109.0</v>
      </c>
      <c r="C675" s="13" t="s">
        <v>251</v>
      </c>
      <c r="D675" s="17">
        <f>SUMIFS(ShadowLedger!$D:$D,ShadowLedger!$G:$G,A675,ShadowLedger!$C:$C,"&gt;="&amp;DATE(LEFT(SUBSTITUTE(C675,"'",""),4),MID(SUBSTITUTE(C675,"'",""),6,2),1),ShadowLedger!$C:$C,"&lt;"&amp;EOMONTH(DATE(LEFT(SUBSTITUTE(C675,"'",""),4),MID(SUBSTITUTE(C675,"'",""),6,2),1),0)+1)</f>
        <v>0</v>
      </c>
      <c r="E675" s="17">
        <f t="shared" si="1"/>
        <v>109</v>
      </c>
      <c r="F675" s="17">
        <f t="shared" si="2"/>
        <v>0</v>
      </c>
    </row>
    <row r="676">
      <c r="A676" s="5" t="s">
        <v>70</v>
      </c>
      <c r="B676" s="6">
        <v>109.0</v>
      </c>
      <c r="C676" s="13" t="s">
        <v>251</v>
      </c>
      <c r="D676" s="17">
        <f>SUMIFS(ShadowLedger!$D:$D,ShadowLedger!$G:$G,A676,ShadowLedger!$C:$C,"&gt;="&amp;DATE(LEFT(SUBSTITUTE(C676,"'",""),4),MID(SUBSTITUTE(C676,"'",""),6,2),1),ShadowLedger!$C:$C,"&lt;"&amp;EOMONTH(DATE(LEFT(SUBSTITUTE(C676,"'",""),4),MID(SUBSTITUTE(C676,"'",""),6,2),1),0)+1)</f>
        <v>0</v>
      </c>
      <c r="E676" s="17">
        <f t="shared" si="1"/>
        <v>109</v>
      </c>
      <c r="F676" s="17">
        <f t="shared" si="2"/>
        <v>0</v>
      </c>
    </row>
    <row r="677">
      <c r="A677" s="5" t="s">
        <v>65</v>
      </c>
      <c r="B677" s="6">
        <v>55.0</v>
      </c>
      <c r="C677" s="13" t="s">
        <v>251</v>
      </c>
      <c r="D677" s="17">
        <f>SUMIFS(ShadowLedger!$D:$D,ShadowLedger!$G:$G,A677,ShadowLedger!$C:$C,"&gt;="&amp;DATE(LEFT(SUBSTITUTE(C677,"'",""),4),MID(SUBSTITUTE(C677,"'",""),6,2),1),ShadowLedger!$C:$C,"&lt;"&amp;EOMONTH(DATE(LEFT(SUBSTITUTE(C677,"'",""),4),MID(SUBSTITUTE(C677,"'",""),6,2),1),0)+1)</f>
        <v>0</v>
      </c>
      <c r="E677" s="17">
        <f t="shared" si="1"/>
        <v>55</v>
      </c>
      <c r="F677" s="17">
        <f t="shared" si="2"/>
        <v>0</v>
      </c>
    </row>
    <row r="678">
      <c r="A678" s="5" t="s">
        <v>66</v>
      </c>
      <c r="B678" s="6">
        <v>55.0</v>
      </c>
      <c r="C678" s="13" t="s">
        <v>251</v>
      </c>
      <c r="D678" s="17">
        <f>SUMIFS(ShadowLedger!$D:$D,ShadowLedger!$G:$G,A678,ShadowLedger!$C:$C,"&gt;="&amp;DATE(LEFT(SUBSTITUTE(C678,"'",""),4),MID(SUBSTITUTE(C678,"'",""),6,2),1),ShadowLedger!$C:$C,"&lt;"&amp;EOMONTH(DATE(LEFT(SUBSTITUTE(C678,"'",""),4),MID(SUBSTITUTE(C678,"'",""),6,2),1),0)+1)</f>
        <v>0</v>
      </c>
      <c r="E678" s="17">
        <f t="shared" si="1"/>
        <v>55</v>
      </c>
      <c r="F678" s="17">
        <f t="shared" si="2"/>
        <v>0</v>
      </c>
    </row>
    <row r="679">
      <c r="A679" s="5" t="s">
        <v>67</v>
      </c>
      <c r="B679" s="6">
        <v>55.0</v>
      </c>
      <c r="C679" s="13" t="s">
        <v>251</v>
      </c>
      <c r="D679" s="17">
        <f>SUMIFS(ShadowLedger!$D:$D,ShadowLedger!$G:$G,A679,ShadowLedger!$C:$C,"&gt;="&amp;DATE(LEFT(SUBSTITUTE(C679,"'",""),4),MID(SUBSTITUTE(C679,"'",""),6,2),1),ShadowLedger!$C:$C,"&lt;"&amp;EOMONTH(DATE(LEFT(SUBSTITUTE(C679,"'",""),4),MID(SUBSTITUTE(C679,"'",""),6,2),1),0)+1)</f>
        <v>0</v>
      </c>
      <c r="E679" s="17">
        <f t="shared" si="1"/>
        <v>55</v>
      </c>
      <c r="F679" s="17">
        <f t="shared" si="2"/>
        <v>0</v>
      </c>
    </row>
    <row r="680">
      <c r="A680" s="5" t="s">
        <v>68</v>
      </c>
      <c r="B680" s="6">
        <v>55.0</v>
      </c>
      <c r="C680" s="13" t="s">
        <v>251</v>
      </c>
      <c r="D680" s="17">
        <f>SUMIFS(ShadowLedger!$D:$D,ShadowLedger!$G:$G,A680,ShadowLedger!$C:$C,"&gt;="&amp;DATE(LEFT(SUBSTITUTE(C680,"'",""),4),MID(SUBSTITUTE(C680,"'",""),6,2),1),ShadowLedger!$C:$C,"&lt;"&amp;EOMONTH(DATE(LEFT(SUBSTITUTE(C680,"'",""),4),MID(SUBSTITUTE(C680,"'",""),6,2),1),0)+1)</f>
        <v>0</v>
      </c>
      <c r="E680" s="17">
        <f t="shared" si="1"/>
        <v>55</v>
      </c>
      <c r="F680" s="17">
        <f t="shared" si="2"/>
        <v>0</v>
      </c>
    </row>
    <row r="681">
      <c r="A681" s="5" t="s">
        <v>69</v>
      </c>
      <c r="B681" s="6">
        <v>0.0</v>
      </c>
      <c r="C681" s="13" t="s">
        <v>251</v>
      </c>
      <c r="D681" s="17">
        <f>SUMIFS(ShadowLedger!$D:$D,ShadowLedger!$G:$G,A681,ShadowLedger!$C:$C,"&gt;="&amp;DATE(LEFT(SUBSTITUTE(C681,"'",""),4),MID(SUBSTITUTE(C681,"'",""),6,2),1),ShadowLedger!$C:$C,"&lt;"&amp;EOMONTH(DATE(LEFT(SUBSTITUTE(C681,"'",""),4),MID(SUBSTITUTE(C681,"'",""),6,2),1),0)+1)</f>
        <v>0</v>
      </c>
      <c r="E681" s="17">
        <f t="shared" si="1"/>
        <v>0</v>
      </c>
      <c r="F681" s="17">
        <f t="shared" si="2"/>
        <v>0</v>
      </c>
    </row>
    <row r="682">
      <c r="A682" s="5" t="s">
        <v>54</v>
      </c>
      <c r="B682" s="6">
        <v>1005.0</v>
      </c>
      <c r="C682" s="13" t="s">
        <v>252</v>
      </c>
      <c r="D682" s="17">
        <f>SUMIFS(ShadowLedger!$D:$D,ShadowLedger!$G:$G,A682,ShadowLedger!$C:$C,"&gt;="&amp;DATE(LEFT(SUBSTITUTE(C682,"'",""),4),MID(SUBSTITUTE(C682,"'",""),6,2),1),ShadowLedger!$C:$C,"&lt;"&amp;EOMONTH(DATE(LEFT(SUBSTITUTE(C682,"'",""),4),MID(SUBSTITUTE(C682,"'",""),6,2),1),0)+1)</f>
        <v>0</v>
      </c>
      <c r="E682" s="17">
        <f t="shared" si="1"/>
        <v>1005</v>
      </c>
      <c r="F682" s="17">
        <f t="shared" si="2"/>
        <v>0</v>
      </c>
    </row>
    <row r="683">
      <c r="A683" s="5" t="s">
        <v>55</v>
      </c>
      <c r="B683" s="6">
        <v>765.0</v>
      </c>
      <c r="C683" s="13" t="s">
        <v>252</v>
      </c>
      <c r="D683" s="17">
        <f>SUMIFS(ShadowLedger!$D:$D,ShadowLedger!$G:$G,A683,ShadowLedger!$C:$C,"&gt;="&amp;DATE(LEFT(SUBSTITUTE(C683,"'",""),4),MID(SUBSTITUTE(C683,"'",""),6,2),1),ShadowLedger!$C:$C,"&lt;"&amp;EOMONTH(DATE(LEFT(SUBSTITUTE(C683,"'",""),4),MID(SUBSTITUTE(C683,"'",""),6,2),1),0)+1)</f>
        <v>0</v>
      </c>
      <c r="E683" s="17">
        <f t="shared" si="1"/>
        <v>765</v>
      </c>
      <c r="F683" s="17">
        <f t="shared" si="2"/>
        <v>0</v>
      </c>
    </row>
    <row r="684">
      <c r="A684" s="5" t="s">
        <v>56</v>
      </c>
      <c r="B684" s="6">
        <v>546.0</v>
      </c>
      <c r="C684" s="13" t="s">
        <v>252</v>
      </c>
      <c r="D684" s="17">
        <f>SUMIFS(ShadowLedger!$D:$D,ShadowLedger!$G:$G,A684,ShadowLedger!$C:$C,"&gt;="&amp;DATE(LEFT(SUBSTITUTE(C684,"'",""),4),MID(SUBSTITUTE(C684,"'",""),6,2),1),ShadowLedger!$C:$C,"&lt;"&amp;EOMONTH(DATE(LEFT(SUBSTITUTE(C684,"'",""),4),MID(SUBSTITUTE(C684,"'",""),6,2),1),0)+1)</f>
        <v>0</v>
      </c>
      <c r="E684" s="17">
        <f t="shared" si="1"/>
        <v>546</v>
      </c>
      <c r="F684" s="17">
        <f t="shared" si="2"/>
        <v>0</v>
      </c>
    </row>
    <row r="685">
      <c r="A685" s="5" t="s">
        <v>57</v>
      </c>
      <c r="B685" s="6">
        <v>546.0</v>
      </c>
      <c r="C685" s="13" t="s">
        <v>252</v>
      </c>
      <c r="D685" s="17">
        <f>SUMIFS(ShadowLedger!$D:$D,ShadowLedger!$G:$G,A685,ShadowLedger!$C:$C,"&gt;="&amp;DATE(LEFT(SUBSTITUTE(C685,"'",""),4),MID(SUBSTITUTE(C685,"'",""),6,2),1),ShadowLedger!$C:$C,"&lt;"&amp;EOMONTH(DATE(LEFT(SUBSTITUTE(C685,"'",""),4),MID(SUBSTITUTE(C685,"'",""),6,2),1),0)+1)</f>
        <v>0</v>
      </c>
      <c r="E685" s="17">
        <f t="shared" si="1"/>
        <v>546</v>
      </c>
      <c r="F685" s="17">
        <f t="shared" si="2"/>
        <v>0</v>
      </c>
    </row>
    <row r="686">
      <c r="A686" s="5" t="s">
        <v>58</v>
      </c>
      <c r="B686" s="6">
        <v>437.0</v>
      </c>
      <c r="C686" s="13" t="s">
        <v>252</v>
      </c>
      <c r="D686" s="17">
        <f>SUMIFS(ShadowLedger!$D:$D,ShadowLedger!$G:$G,A686,ShadowLedger!$C:$C,"&gt;="&amp;DATE(LEFT(SUBSTITUTE(C686,"'",""),4),MID(SUBSTITUTE(C686,"'",""),6,2),1),ShadowLedger!$C:$C,"&lt;"&amp;EOMONTH(DATE(LEFT(SUBSTITUTE(C686,"'",""),4),MID(SUBSTITUTE(C686,"'",""),6,2),1),0)+1)</f>
        <v>0</v>
      </c>
      <c r="E686" s="17">
        <f t="shared" si="1"/>
        <v>437</v>
      </c>
      <c r="F686" s="17">
        <f t="shared" si="2"/>
        <v>0</v>
      </c>
    </row>
    <row r="687">
      <c r="A687" s="5" t="s">
        <v>59</v>
      </c>
      <c r="B687" s="6">
        <v>219.0</v>
      </c>
      <c r="C687" s="13" t="s">
        <v>252</v>
      </c>
      <c r="D687" s="17">
        <f>SUMIFS(ShadowLedger!$D:$D,ShadowLedger!$G:$G,A687,ShadowLedger!$C:$C,"&gt;="&amp;DATE(LEFT(SUBSTITUTE(C687,"'",""),4),MID(SUBSTITUTE(C687,"'",""),6,2),1),ShadowLedger!$C:$C,"&lt;"&amp;EOMONTH(DATE(LEFT(SUBSTITUTE(C687,"'",""),4),MID(SUBSTITUTE(C687,"'",""),6,2),1),0)+1)</f>
        <v>0</v>
      </c>
      <c r="E687" s="17">
        <f t="shared" si="1"/>
        <v>219</v>
      </c>
      <c r="F687" s="17">
        <f t="shared" si="2"/>
        <v>0</v>
      </c>
    </row>
    <row r="688">
      <c r="A688" s="5" t="s">
        <v>60</v>
      </c>
      <c r="B688" s="6">
        <v>164.0</v>
      </c>
      <c r="C688" s="13" t="s">
        <v>252</v>
      </c>
      <c r="D688" s="17">
        <f>SUMIFS(ShadowLedger!$D:$D,ShadowLedger!$G:$G,A688,ShadowLedger!$C:$C,"&gt;="&amp;DATE(LEFT(SUBSTITUTE(C688,"'",""),4),MID(SUBSTITUTE(C688,"'",""),6,2),1),ShadowLedger!$C:$C,"&lt;"&amp;EOMONTH(DATE(LEFT(SUBSTITUTE(C688,"'",""),4),MID(SUBSTITUTE(C688,"'",""),6,2),1),0)+1)</f>
        <v>0</v>
      </c>
      <c r="E688" s="17">
        <f t="shared" si="1"/>
        <v>164</v>
      </c>
      <c r="F688" s="17">
        <f t="shared" si="2"/>
        <v>0</v>
      </c>
    </row>
    <row r="689">
      <c r="A689" s="5" t="s">
        <v>61</v>
      </c>
      <c r="B689" s="6">
        <v>131.0</v>
      </c>
      <c r="C689" s="13" t="s">
        <v>252</v>
      </c>
      <c r="D689" s="17">
        <f>SUMIFS(ShadowLedger!$D:$D,ShadowLedger!$G:$G,A689,ShadowLedger!$C:$C,"&gt;="&amp;DATE(LEFT(SUBSTITUTE(C689,"'",""),4),MID(SUBSTITUTE(C689,"'",""),6,2),1),ShadowLedger!$C:$C,"&lt;"&amp;EOMONTH(DATE(LEFT(SUBSTITUTE(C689,"'",""),4),MID(SUBSTITUTE(C689,"'",""),6,2),1),0)+1)</f>
        <v>0</v>
      </c>
      <c r="E689" s="17">
        <f t="shared" si="1"/>
        <v>131</v>
      </c>
      <c r="F689" s="17">
        <f t="shared" si="2"/>
        <v>0</v>
      </c>
    </row>
    <row r="690">
      <c r="A690" s="5" t="s">
        <v>62</v>
      </c>
      <c r="B690" s="6">
        <v>131.0</v>
      </c>
      <c r="C690" s="13" t="s">
        <v>252</v>
      </c>
      <c r="D690" s="17">
        <f>SUMIFS(ShadowLedger!$D:$D,ShadowLedger!$G:$G,A690,ShadowLedger!$C:$C,"&gt;="&amp;DATE(LEFT(SUBSTITUTE(C690,"'",""),4),MID(SUBSTITUTE(C690,"'",""),6,2),1),ShadowLedger!$C:$C,"&lt;"&amp;EOMONTH(DATE(LEFT(SUBSTITUTE(C690,"'",""),4),MID(SUBSTITUTE(C690,"'",""),6,2),1),0)+1)</f>
        <v>0</v>
      </c>
      <c r="E690" s="17">
        <f t="shared" si="1"/>
        <v>131</v>
      </c>
      <c r="F690" s="17">
        <f t="shared" si="2"/>
        <v>0</v>
      </c>
    </row>
    <row r="691">
      <c r="A691" s="5" t="s">
        <v>63</v>
      </c>
      <c r="B691" s="6">
        <v>109.0</v>
      </c>
      <c r="C691" s="13" t="s">
        <v>252</v>
      </c>
      <c r="D691" s="17">
        <f>SUMIFS(ShadowLedger!$D:$D,ShadowLedger!$G:$G,A691,ShadowLedger!$C:$C,"&gt;="&amp;DATE(LEFT(SUBSTITUTE(C691,"'",""),4),MID(SUBSTITUTE(C691,"'",""),6,2),1),ShadowLedger!$C:$C,"&lt;"&amp;EOMONTH(DATE(LEFT(SUBSTITUTE(C691,"'",""),4),MID(SUBSTITUTE(C691,"'",""),6,2),1),0)+1)</f>
        <v>0</v>
      </c>
      <c r="E691" s="17">
        <f t="shared" si="1"/>
        <v>109</v>
      </c>
      <c r="F691" s="17">
        <f t="shared" si="2"/>
        <v>0</v>
      </c>
    </row>
    <row r="692">
      <c r="A692" s="5" t="s">
        <v>64</v>
      </c>
      <c r="B692" s="6">
        <v>109.0</v>
      </c>
      <c r="C692" s="13" t="s">
        <v>252</v>
      </c>
      <c r="D692" s="17">
        <f>SUMIFS(ShadowLedger!$D:$D,ShadowLedger!$G:$G,A692,ShadowLedger!$C:$C,"&gt;="&amp;DATE(LEFT(SUBSTITUTE(C692,"'",""),4),MID(SUBSTITUTE(C692,"'",""),6,2),1),ShadowLedger!$C:$C,"&lt;"&amp;EOMONTH(DATE(LEFT(SUBSTITUTE(C692,"'",""),4),MID(SUBSTITUTE(C692,"'",""),6,2),1),0)+1)</f>
        <v>0</v>
      </c>
      <c r="E692" s="17">
        <f t="shared" si="1"/>
        <v>109</v>
      </c>
      <c r="F692" s="17">
        <f t="shared" si="2"/>
        <v>0</v>
      </c>
    </row>
    <row r="693">
      <c r="A693" s="5" t="s">
        <v>70</v>
      </c>
      <c r="B693" s="6">
        <v>109.0</v>
      </c>
      <c r="C693" s="13" t="s">
        <v>252</v>
      </c>
      <c r="D693" s="17">
        <f>SUMIFS(ShadowLedger!$D:$D,ShadowLedger!$G:$G,A693,ShadowLedger!$C:$C,"&gt;="&amp;DATE(LEFT(SUBSTITUTE(C693,"'",""),4),MID(SUBSTITUTE(C693,"'",""),6,2),1),ShadowLedger!$C:$C,"&lt;"&amp;EOMONTH(DATE(LEFT(SUBSTITUTE(C693,"'",""),4),MID(SUBSTITUTE(C693,"'",""),6,2),1),0)+1)</f>
        <v>0</v>
      </c>
      <c r="E693" s="17">
        <f t="shared" si="1"/>
        <v>109</v>
      </c>
      <c r="F693" s="17">
        <f t="shared" si="2"/>
        <v>0</v>
      </c>
    </row>
    <row r="694">
      <c r="A694" s="5" t="s">
        <v>65</v>
      </c>
      <c r="B694" s="6">
        <v>55.0</v>
      </c>
      <c r="C694" s="13" t="s">
        <v>252</v>
      </c>
      <c r="D694" s="17">
        <f>SUMIFS(ShadowLedger!$D:$D,ShadowLedger!$G:$G,A694,ShadowLedger!$C:$C,"&gt;="&amp;DATE(LEFT(SUBSTITUTE(C694,"'",""),4),MID(SUBSTITUTE(C694,"'",""),6,2),1),ShadowLedger!$C:$C,"&lt;"&amp;EOMONTH(DATE(LEFT(SUBSTITUTE(C694,"'",""),4),MID(SUBSTITUTE(C694,"'",""),6,2),1),0)+1)</f>
        <v>0</v>
      </c>
      <c r="E694" s="17">
        <f t="shared" si="1"/>
        <v>55</v>
      </c>
      <c r="F694" s="17">
        <f t="shared" si="2"/>
        <v>0</v>
      </c>
    </row>
    <row r="695">
      <c r="A695" s="5" t="s">
        <v>66</v>
      </c>
      <c r="B695" s="6">
        <v>55.0</v>
      </c>
      <c r="C695" s="13" t="s">
        <v>252</v>
      </c>
      <c r="D695" s="17">
        <f>SUMIFS(ShadowLedger!$D:$D,ShadowLedger!$G:$G,A695,ShadowLedger!$C:$C,"&gt;="&amp;DATE(LEFT(SUBSTITUTE(C695,"'",""),4),MID(SUBSTITUTE(C695,"'",""),6,2),1),ShadowLedger!$C:$C,"&lt;"&amp;EOMONTH(DATE(LEFT(SUBSTITUTE(C695,"'",""),4),MID(SUBSTITUTE(C695,"'",""),6,2),1),0)+1)</f>
        <v>0</v>
      </c>
      <c r="E695" s="17">
        <f t="shared" si="1"/>
        <v>55</v>
      </c>
      <c r="F695" s="17">
        <f t="shared" si="2"/>
        <v>0</v>
      </c>
    </row>
    <row r="696">
      <c r="A696" s="5" t="s">
        <v>67</v>
      </c>
      <c r="B696" s="6">
        <v>55.0</v>
      </c>
      <c r="C696" s="13" t="s">
        <v>252</v>
      </c>
      <c r="D696" s="17">
        <f>SUMIFS(ShadowLedger!$D:$D,ShadowLedger!$G:$G,A696,ShadowLedger!$C:$C,"&gt;="&amp;DATE(LEFT(SUBSTITUTE(C696,"'",""),4),MID(SUBSTITUTE(C696,"'",""),6,2),1),ShadowLedger!$C:$C,"&lt;"&amp;EOMONTH(DATE(LEFT(SUBSTITUTE(C696,"'",""),4),MID(SUBSTITUTE(C696,"'",""),6,2),1),0)+1)</f>
        <v>0</v>
      </c>
      <c r="E696" s="17">
        <f t="shared" si="1"/>
        <v>55</v>
      </c>
      <c r="F696" s="17">
        <f t="shared" si="2"/>
        <v>0</v>
      </c>
    </row>
    <row r="697">
      <c r="A697" s="5" t="s">
        <v>68</v>
      </c>
      <c r="B697" s="6">
        <v>55.0</v>
      </c>
      <c r="C697" s="13" t="s">
        <v>252</v>
      </c>
      <c r="D697" s="17">
        <f>SUMIFS(ShadowLedger!$D:$D,ShadowLedger!$G:$G,A697,ShadowLedger!$C:$C,"&gt;="&amp;DATE(LEFT(SUBSTITUTE(C697,"'",""),4),MID(SUBSTITUTE(C697,"'",""),6,2),1),ShadowLedger!$C:$C,"&lt;"&amp;EOMONTH(DATE(LEFT(SUBSTITUTE(C697,"'",""),4),MID(SUBSTITUTE(C697,"'",""),6,2),1),0)+1)</f>
        <v>0</v>
      </c>
      <c r="E697" s="17">
        <f t="shared" si="1"/>
        <v>55</v>
      </c>
      <c r="F697" s="17">
        <f t="shared" si="2"/>
        <v>0</v>
      </c>
    </row>
    <row r="698">
      <c r="A698" s="5" t="s">
        <v>69</v>
      </c>
      <c r="B698" s="6">
        <v>0.0</v>
      </c>
      <c r="C698" s="13" t="s">
        <v>252</v>
      </c>
      <c r="D698" s="17">
        <f>SUMIFS(ShadowLedger!$D:$D,ShadowLedger!$G:$G,A698,ShadowLedger!$C:$C,"&gt;="&amp;DATE(LEFT(SUBSTITUTE(C698,"'",""),4),MID(SUBSTITUTE(C698,"'",""),6,2),1),ShadowLedger!$C:$C,"&lt;"&amp;EOMONTH(DATE(LEFT(SUBSTITUTE(C698,"'",""),4),MID(SUBSTITUTE(C698,"'",""),6,2),1),0)+1)</f>
        <v>0</v>
      </c>
      <c r="E698" s="17">
        <f t="shared" si="1"/>
        <v>0</v>
      </c>
      <c r="F698" s="17">
        <f t="shared" si="2"/>
        <v>0</v>
      </c>
    </row>
    <row r="699">
      <c r="A699" s="5" t="s">
        <v>54</v>
      </c>
      <c r="B699" s="6">
        <v>1005.0</v>
      </c>
      <c r="C699" s="13" t="s">
        <v>253</v>
      </c>
      <c r="D699" s="17">
        <f>SUMIFS(ShadowLedger!$D:$D,ShadowLedger!$G:$G,A699,ShadowLedger!$C:$C,"&gt;="&amp;DATE(LEFT(SUBSTITUTE(C699,"'",""),4),MID(SUBSTITUTE(C699,"'",""),6,2),1),ShadowLedger!$C:$C,"&lt;"&amp;EOMONTH(DATE(LEFT(SUBSTITUTE(C699,"'",""),4),MID(SUBSTITUTE(C699,"'",""),6,2),1),0)+1)</f>
        <v>0</v>
      </c>
      <c r="E699" s="17">
        <f t="shared" si="1"/>
        <v>1005</v>
      </c>
      <c r="F699" s="17">
        <f t="shared" si="2"/>
        <v>0</v>
      </c>
    </row>
    <row r="700">
      <c r="A700" s="5" t="s">
        <v>55</v>
      </c>
      <c r="B700" s="6">
        <v>765.0</v>
      </c>
      <c r="C700" s="13" t="s">
        <v>253</v>
      </c>
      <c r="D700" s="17">
        <f>SUMIFS(ShadowLedger!$D:$D,ShadowLedger!$G:$G,A700,ShadowLedger!$C:$C,"&gt;="&amp;DATE(LEFT(SUBSTITUTE(C700,"'",""),4),MID(SUBSTITUTE(C700,"'",""),6,2),1),ShadowLedger!$C:$C,"&lt;"&amp;EOMONTH(DATE(LEFT(SUBSTITUTE(C700,"'",""),4),MID(SUBSTITUTE(C700,"'",""),6,2),1),0)+1)</f>
        <v>0</v>
      </c>
      <c r="E700" s="17">
        <f t="shared" si="1"/>
        <v>765</v>
      </c>
      <c r="F700" s="17">
        <f t="shared" si="2"/>
        <v>0</v>
      </c>
    </row>
    <row r="701">
      <c r="A701" s="5" t="s">
        <v>56</v>
      </c>
      <c r="B701" s="6">
        <v>546.0</v>
      </c>
      <c r="C701" s="13" t="s">
        <v>253</v>
      </c>
      <c r="D701" s="17">
        <f>SUMIFS(ShadowLedger!$D:$D,ShadowLedger!$G:$G,A701,ShadowLedger!$C:$C,"&gt;="&amp;DATE(LEFT(SUBSTITUTE(C701,"'",""),4),MID(SUBSTITUTE(C701,"'",""),6,2),1),ShadowLedger!$C:$C,"&lt;"&amp;EOMONTH(DATE(LEFT(SUBSTITUTE(C701,"'",""),4),MID(SUBSTITUTE(C701,"'",""),6,2),1),0)+1)</f>
        <v>0</v>
      </c>
      <c r="E701" s="17">
        <f t="shared" si="1"/>
        <v>546</v>
      </c>
      <c r="F701" s="17">
        <f t="shared" si="2"/>
        <v>0</v>
      </c>
    </row>
    <row r="702">
      <c r="A702" s="5" t="s">
        <v>57</v>
      </c>
      <c r="B702" s="6">
        <v>546.0</v>
      </c>
      <c r="C702" s="13" t="s">
        <v>253</v>
      </c>
      <c r="D702" s="17">
        <f>SUMIFS(ShadowLedger!$D:$D,ShadowLedger!$G:$G,A702,ShadowLedger!$C:$C,"&gt;="&amp;DATE(LEFT(SUBSTITUTE(C702,"'",""),4),MID(SUBSTITUTE(C702,"'",""),6,2),1),ShadowLedger!$C:$C,"&lt;"&amp;EOMONTH(DATE(LEFT(SUBSTITUTE(C702,"'",""),4),MID(SUBSTITUTE(C702,"'",""),6,2),1),0)+1)</f>
        <v>0</v>
      </c>
      <c r="E702" s="17">
        <f t="shared" si="1"/>
        <v>546</v>
      </c>
      <c r="F702" s="17">
        <f t="shared" si="2"/>
        <v>0</v>
      </c>
    </row>
    <row r="703">
      <c r="A703" s="5" t="s">
        <v>58</v>
      </c>
      <c r="B703" s="6">
        <v>437.0</v>
      </c>
      <c r="C703" s="13" t="s">
        <v>253</v>
      </c>
      <c r="D703" s="17">
        <f>SUMIFS(ShadowLedger!$D:$D,ShadowLedger!$G:$G,A703,ShadowLedger!$C:$C,"&gt;="&amp;DATE(LEFT(SUBSTITUTE(C703,"'",""),4),MID(SUBSTITUTE(C703,"'",""),6,2),1),ShadowLedger!$C:$C,"&lt;"&amp;EOMONTH(DATE(LEFT(SUBSTITUTE(C703,"'",""),4),MID(SUBSTITUTE(C703,"'",""),6,2),1),0)+1)</f>
        <v>0</v>
      </c>
      <c r="E703" s="17">
        <f t="shared" si="1"/>
        <v>437</v>
      </c>
      <c r="F703" s="17">
        <f t="shared" si="2"/>
        <v>0</v>
      </c>
    </row>
    <row r="704">
      <c r="A704" s="5" t="s">
        <v>59</v>
      </c>
      <c r="B704" s="6">
        <v>219.0</v>
      </c>
      <c r="C704" s="13" t="s">
        <v>253</v>
      </c>
      <c r="D704" s="17">
        <f>SUMIFS(ShadowLedger!$D:$D,ShadowLedger!$G:$G,A704,ShadowLedger!$C:$C,"&gt;="&amp;DATE(LEFT(SUBSTITUTE(C704,"'",""),4),MID(SUBSTITUTE(C704,"'",""),6,2),1),ShadowLedger!$C:$C,"&lt;"&amp;EOMONTH(DATE(LEFT(SUBSTITUTE(C704,"'",""),4),MID(SUBSTITUTE(C704,"'",""),6,2),1),0)+1)</f>
        <v>0</v>
      </c>
      <c r="E704" s="17">
        <f t="shared" si="1"/>
        <v>219</v>
      </c>
      <c r="F704" s="17">
        <f t="shared" si="2"/>
        <v>0</v>
      </c>
    </row>
    <row r="705">
      <c r="A705" s="5" t="s">
        <v>60</v>
      </c>
      <c r="B705" s="6">
        <v>164.0</v>
      </c>
      <c r="C705" s="13" t="s">
        <v>253</v>
      </c>
      <c r="D705" s="17">
        <f>SUMIFS(ShadowLedger!$D:$D,ShadowLedger!$G:$G,A705,ShadowLedger!$C:$C,"&gt;="&amp;DATE(LEFT(SUBSTITUTE(C705,"'",""),4),MID(SUBSTITUTE(C705,"'",""),6,2),1),ShadowLedger!$C:$C,"&lt;"&amp;EOMONTH(DATE(LEFT(SUBSTITUTE(C705,"'",""),4),MID(SUBSTITUTE(C705,"'",""),6,2),1),0)+1)</f>
        <v>0</v>
      </c>
      <c r="E705" s="17">
        <f t="shared" si="1"/>
        <v>164</v>
      </c>
      <c r="F705" s="17">
        <f t="shared" si="2"/>
        <v>0</v>
      </c>
    </row>
    <row r="706">
      <c r="A706" s="5" t="s">
        <v>61</v>
      </c>
      <c r="B706" s="6">
        <v>131.0</v>
      </c>
      <c r="C706" s="13" t="s">
        <v>253</v>
      </c>
      <c r="D706" s="17">
        <f>SUMIFS(ShadowLedger!$D:$D,ShadowLedger!$G:$G,A706,ShadowLedger!$C:$C,"&gt;="&amp;DATE(LEFT(SUBSTITUTE(C706,"'",""),4),MID(SUBSTITUTE(C706,"'",""),6,2),1),ShadowLedger!$C:$C,"&lt;"&amp;EOMONTH(DATE(LEFT(SUBSTITUTE(C706,"'",""),4),MID(SUBSTITUTE(C706,"'",""),6,2),1),0)+1)</f>
        <v>0</v>
      </c>
      <c r="E706" s="17">
        <f t="shared" si="1"/>
        <v>131</v>
      </c>
      <c r="F706" s="17">
        <f t="shared" si="2"/>
        <v>0</v>
      </c>
    </row>
    <row r="707">
      <c r="A707" s="5" t="s">
        <v>62</v>
      </c>
      <c r="B707" s="6">
        <v>131.0</v>
      </c>
      <c r="C707" s="13" t="s">
        <v>253</v>
      </c>
      <c r="D707" s="17">
        <f>SUMIFS(ShadowLedger!$D:$D,ShadowLedger!$G:$G,A707,ShadowLedger!$C:$C,"&gt;="&amp;DATE(LEFT(SUBSTITUTE(C707,"'",""),4),MID(SUBSTITUTE(C707,"'",""),6,2),1),ShadowLedger!$C:$C,"&lt;"&amp;EOMONTH(DATE(LEFT(SUBSTITUTE(C707,"'",""),4),MID(SUBSTITUTE(C707,"'",""),6,2),1),0)+1)</f>
        <v>0</v>
      </c>
      <c r="E707" s="17">
        <f t="shared" si="1"/>
        <v>131</v>
      </c>
      <c r="F707" s="17">
        <f t="shared" si="2"/>
        <v>0</v>
      </c>
    </row>
    <row r="708">
      <c r="A708" s="5" t="s">
        <v>63</v>
      </c>
      <c r="B708" s="6">
        <v>109.0</v>
      </c>
      <c r="C708" s="13" t="s">
        <v>253</v>
      </c>
      <c r="D708" s="17">
        <f>SUMIFS(ShadowLedger!$D:$D,ShadowLedger!$G:$G,A708,ShadowLedger!$C:$C,"&gt;="&amp;DATE(LEFT(SUBSTITUTE(C708,"'",""),4),MID(SUBSTITUTE(C708,"'",""),6,2),1),ShadowLedger!$C:$C,"&lt;"&amp;EOMONTH(DATE(LEFT(SUBSTITUTE(C708,"'",""),4),MID(SUBSTITUTE(C708,"'",""),6,2),1),0)+1)</f>
        <v>0</v>
      </c>
      <c r="E708" s="17">
        <f t="shared" si="1"/>
        <v>109</v>
      </c>
      <c r="F708" s="17">
        <f t="shared" si="2"/>
        <v>0</v>
      </c>
    </row>
    <row r="709">
      <c r="A709" s="5" t="s">
        <v>64</v>
      </c>
      <c r="B709" s="6">
        <v>109.0</v>
      </c>
      <c r="C709" s="13" t="s">
        <v>253</v>
      </c>
      <c r="D709" s="17">
        <f>SUMIFS(ShadowLedger!$D:$D,ShadowLedger!$G:$G,A709,ShadowLedger!$C:$C,"&gt;="&amp;DATE(LEFT(SUBSTITUTE(C709,"'",""),4),MID(SUBSTITUTE(C709,"'",""),6,2),1),ShadowLedger!$C:$C,"&lt;"&amp;EOMONTH(DATE(LEFT(SUBSTITUTE(C709,"'",""),4),MID(SUBSTITUTE(C709,"'",""),6,2),1),0)+1)</f>
        <v>0</v>
      </c>
      <c r="E709" s="17">
        <f t="shared" si="1"/>
        <v>109</v>
      </c>
      <c r="F709" s="17">
        <f t="shared" si="2"/>
        <v>0</v>
      </c>
    </row>
    <row r="710">
      <c r="A710" s="5" t="s">
        <v>70</v>
      </c>
      <c r="B710" s="6">
        <v>109.0</v>
      </c>
      <c r="C710" s="13" t="s">
        <v>253</v>
      </c>
      <c r="D710" s="17">
        <f>SUMIFS(ShadowLedger!$D:$D,ShadowLedger!$G:$G,A710,ShadowLedger!$C:$C,"&gt;="&amp;DATE(LEFT(SUBSTITUTE(C710,"'",""),4),MID(SUBSTITUTE(C710,"'",""),6,2),1),ShadowLedger!$C:$C,"&lt;"&amp;EOMONTH(DATE(LEFT(SUBSTITUTE(C710,"'",""),4),MID(SUBSTITUTE(C710,"'",""),6,2),1),0)+1)</f>
        <v>0</v>
      </c>
      <c r="E710" s="17">
        <f t="shared" si="1"/>
        <v>109</v>
      </c>
      <c r="F710" s="17">
        <f t="shared" si="2"/>
        <v>0</v>
      </c>
    </row>
    <row r="711">
      <c r="A711" s="5" t="s">
        <v>65</v>
      </c>
      <c r="B711" s="6">
        <v>55.0</v>
      </c>
      <c r="C711" s="13" t="s">
        <v>253</v>
      </c>
      <c r="D711" s="17">
        <f>SUMIFS(ShadowLedger!$D:$D,ShadowLedger!$G:$G,A711,ShadowLedger!$C:$C,"&gt;="&amp;DATE(LEFT(SUBSTITUTE(C711,"'",""),4),MID(SUBSTITUTE(C711,"'",""),6,2),1),ShadowLedger!$C:$C,"&lt;"&amp;EOMONTH(DATE(LEFT(SUBSTITUTE(C711,"'",""),4),MID(SUBSTITUTE(C711,"'",""),6,2),1),0)+1)</f>
        <v>0</v>
      </c>
      <c r="E711" s="17">
        <f t="shared" si="1"/>
        <v>55</v>
      </c>
      <c r="F711" s="17">
        <f t="shared" si="2"/>
        <v>0</v>
      </c>
    </row>
    <row r="712">
      <c r="A712" s="5" t="s">
        <v>66</v>
      </c>
      <c r="B712" s="6">
        <v>55.0</v>
      </c>
      <c r="C712" s="13" t="s">
        <v>253</v>
      </c>
      <c r="D712" s="17">
        <f>SUMIFS(ShadowLedger!$D:$D,ShadowLedger!$G:$G,A712,ShadowLedger!$C:$C,"&gt;="&amp;DATE(LEFT(SUBSTITUTE(C712,"'",""),4),MID(SUBSTITUTE(C712,"'",""),6,2),1),ShadowLedger!$C:$C,"&lt;"&amp;EOMONTH(DATE(LEFT(SUBSTITUTE(C712,"'",""),4),MID(SUBSTITUTE(C712,"'",""),6,2),1),0)+1)</f>
        <v>0</v>
      </c>
      <c r="E712" s="17">
        <f t="shared" si="1"/>
        <v>55</v>
      </c>
      <c r="F712" s="17">
        <f t="shared" si="2"/>
        <v>0</v>
      </c>
    </row>
    <row r="713">
      <c r="A713" s="5" t="s">
        <v>67</v>
      </c>
      <c r="B713" s="6">
        <v>55.0</v>
      </c>
      <c r="C713" s="13" t="s">
        <v>253</v>
      </c>
      <c r="D713" s="17">
        <f>SUMIFS(ShadowLedger!$D:$D,ShadowLedger!$G:$G,A713,ShadowLedger!$C:$C,"&gt;="&amp;DATE(LEFT(SUBSTITUTE(C713,"'",""),4),MID(SUBSTITUTE(C713,"'",""),6,2),1),ShadowLedger!$C:$C,"&lt;"&amp;EOMONTH(DATE(LEFT(SUBSTITUTE(C713,"'",""),4),MID(SUBSTITUTE(C713,"'",""),6,2),1),0)+1)</f>
        <v>0</v>
      </c>
      <c r="E713" s="17">
        <f t="shared" si="1"/>
        <v>55</v>
      </c>
      <c r="F713" s="17">
        <f t="shared" si="2"/>
        <v>0</v>
      </c>
    </row>
    <row r="714">
      <c r="A714" s="5" t="s">
        <v>68</v>
      </c>
      <c r="B714" s="6">
        <v>55.0</v>
      </c>
      <c r="C714" s="13" t="s">
        <v>253</v>
      </c>
      <c r="D714" s="17">
        <f>SUMIFS(ShadowLedger!$D:$D,ShadowLedger!$G:$G,A714,ShadowLedger!$C:$C,"&gt;="&amp;DATE(LEFT(SUBSTITUTE(C714,"'",""),4),MID(SUBSTITUTE(C714,"'",""),6,2),1),ShadowLedger!$C:$C,"&lt;"&amp;EOMONTH(DATE(LEFT(SUBSTITUTE(C714,"'",""),4),MID(SUBSTITUTE(C714,"'",""),6,2),1),0)+1)</f>
        <v>0</v>
      </c>
      <c r="E714" s="17">
        <f t="shared" si="1"/>
        <v>55</v>
      </c>
      <c r="F714" s="17">
        <f t="shared" si="2"/>
        <v>0</v>
      </c>
    </row>
    <row r="715">
      <c r="A715" s="5" t="s">
        <v>69</v>
      </c>
      <c r="B715" s="6">
        <v>0.0</v>
      </c>
      <c r="C715" s="13" t="s">
        <v>253</v>
      </c>
      <c r="D715" s="17">
        <f>SUMIFS(ShadowLedger!$D:$D,ShadowLedger!$G:$G,A715,ShadowLedger!$C:$C,"&gt;="&amp;DATE(LEFT(SUBSTITUTE(C715,"'",""),4),MID(SUBSTITUTE(C715,"'",""),6,2),1),ShadowLedger!$C:$C,"&lt;"&amp;EOMONTH(DATE(LEFT(SUBSTITUTE(C715,"'",""),4),MID(SUBSTITUTE(C715,"'",""),6,2),1),0)+1)</f>
        <v>0</v>
      </c>
      <c r="E715" s="17">
        <f t="shared" si="1"/>
        <v>0</v>
      </c>
      <c r="F715" s="17">
        <f t="shared" si="2"/>
        <v>0</v>
      </c>
    </row>
    <row r="716">
      <c r="A716" s="5" t="s">
        <v>54</v>
      </c>
      <c r="B716" s="6">
        <v>1005.0</v>
      </c>
      <c r="C716" s="13" t="s">
        <v>254</v>
      </c>
      <c r="D716" s="17">
        <f>SUMIFS(ShadowLedger!$D:$D,ShadowLedger!$G:$G,A716,ShadowLedger!$C:$C,"&gt;="&amp;DATE(LEFT(SUBSTITUTE(C716,"'",""),4),MID(SUBSTITUTE(C716,"'",""),6,2),1),ShadowLedger!$C:$C,"&lt;"&amp;EOMONTH(DATE(LEFT(SUBSTITUTE(C716,"'",""),4),MID(SUBSTITUTE(C716,"'",""),6,2),1),0)+1)</f>
        <v>0</v>
      </c>
      <c r="E716" s="17">
        <f t="shared" si="1"/>
        <v>1005</v>
      </c>
      <c r="F716" s="17">
        <f t="shared" si="2"/>
        <v>0</v>
      </c>
    </row>
    <row r="717">
      <c r="A717" s="5" t="s">
        <v>55</v>
      </c>
      <c r="B717" s="6">
        <v>765.0</v>
      </c>
      <c r="C717" s="13" t="s">
        <v>254</v>
      </c>
      <c r="D717" s="17">
        <f>SUMIFS(ShadowLedger!$D:$D,ShadowLedger!$G:$G,A717,ShadowLedger!$C:$C,"&gt;="&amp;DATE(LEFT(SUBSTITUTE(C717,"'",""),4),MID(SUBSTITUTE(C717,"'",""),6,2),1),ShadowLedger!$C:$C,"&lt;"&amp;EOMONTH(DATE(LEFT(SUBSTITUTE(C717,"'",""),4),MID(SUBSTITUTE(C717,"'",""),6,2),1),0)+1)</f>
        <v>0</v>
      </c>
      <c r="E717" s="17">
        <f t="shared" si="1"/>
        <v>765</v>
      </c>
      <c r="F717" s="17">
        <f t="shared" si="2"/>
        <v>0</v>
      </c>
    </row>
    <row r="718">
      <c r="A718" s="5" t="s">
        <v>56</v>
      </c>
      <c r="B718" s="6">
        <v>546.0</v>
      </c>
      <c r="C718" s="13" t="s">
        <v>254</v>
      </c>
      <c r="D718" s="17">
        <f>SUMIFS(ShadowLedger!$D:$D,ShadowLedger!$G:$G,A718,ShadowLedger!$C:$C,"&gt;="&amp;DATE(LEFT(SUBSTITUTE(C718,"'",""),4),MID(SUBSTITUTE(C718,"'",""),6,2),1),ShadowLedger!$C:$C,"&lt;"&amp;EOMONTH(DATE(LEFT(SUBSTITUTE(C718,"'",""),4),MID(SUBSTITUTE(C718,"'",""),6,2),1),0)+1)</f>
        <v>0</v>
      </c>
      <c r="E718" s="17">
        <f t="shared" si="1"/>
        <v>546</v>
      </c>
      <c r="F718" s="17">
        <f t="shared" si="2"/>
        <v>0</v>
      </c>
    </row>
    <row r="719">
      <c r="A719" s="5" t="s">
        <v>57</v>
      </c>
      <c r="B719" s="6">
        <v>546.0</v>
      </c>
      <c r="C719" s="13" t="s">
        <v>254</v>
      </c>
      <c r="D719" s="17">
        <f>SUMIFS(ShadowLedger!$D:$D,ShadowLedger!$G:$G,A719,ShadowLedger!$C:$C,"&gt;="&amp;DATE(LEFT(SUBSTITUTE(C719,"'",""),4),MID(SUBSTITUTE(C719,"'",""),6,2),1),ShadowLedger!$C:$C,"&lt;"&amp;EOMONTH(DATE(LEFT(SUBSTITUTE(C719,"'",""),4),MID(SUBSTITUTE(C719,"'",""),6,2),1),0)+1)</f>
        <v>0</v>
      </c>
      <c r="E719" s="17">
        <f t="shared" si="1"/>
        <v>546</v>
      </c>
      <c r="F719" s="17">
        <f t="shared" si="2"/>
        <v>0</v>
      </c>
    </row>
    <row r="720">
      <c r="A720" s="5" t="s">
        <v>58</v>
      </c>
      <c r="B720" s="6">
        <v>437.0</v>
      </c>
      <c r="C720" s="13" t="s">
        <v>254</v>
      </c>
      <c r="D720" s="17">
        <f>SUMIFS(ShadowLedger!$D:$D,ShadowLedger!$G:$G,A720,ShadowLedger!$C:$C,"&gt;="&amp;DATE(LEFT(SUBSTITUTE(C720,"'",""),4),MID(SUBSTITUTE(C720,"'",""),6,2),1),ShadowLedger!$C:$C,"&lt;"&amp;EOMONTH(DATE(LEFT(SUBSTITUTE(C720,"'",""),4),MID(SUBSTITUTE(C720,"'",""),6,2),1),0)+1)</f>
        <v>0</v>
      </c>
      <c r="E720" s="17">
        <f t="shared" si="1"/>
        <v>437</v>
      </c>
      <c r="F720" s="17">
        <f t="shared" si="2"/>
        <v>0</v>
      </c>
    </row>
    <row r="721">
      <c r="A721" s="5" t="s">
        <v>59</v>
      </c>
      <c r="B721" s="6">
        <v>219.0</v>
      </c>
      <c r="C721" s="13" t="s">
        <v>254</v>
      </c>
      <c r="D721" s="17">
        <f>SUMIFS(ShadowLedger!$D:$D,ShadowLedger!$G:$G,A721,ShadowLedger!$C:$C,"&gt;="&amp;DATE(LEFT(SUBSTITUTE(C721,"'",""),4),MID(SUBSTITUTE(C721,"'",""),6,2),1),ShadowLedger!$C:$C,"&lt;"&amp;EOMONTH(DATE(LEFT(SUBSTITUTE(C721,"'",""),4),MID(SUBSTITUTE(C721,"'",""),6,2),1),0)+1)</f>
        <v>0</v>
      </c>
      <c r="E721" s="17">
        <f t="shared" si="1"/>
        <v>219</v>
      </c>
      <c r="F721" s="17">
        <f t="shared" si="2"/>
        <v>0</v>
      </c>
    </row>
    <row r="722">
      <c r="A722" s="5" t="s">
        <v>60</v>
      </c>
      <c r="B722" s="6">
        <v>164.0</v>
      </c>
      <c r="C722" s="13" t="s">
        <v>254</v>
      </c>
      <c r="D722" s="17">
        <f>SUMIFS(ShadowLedger!$D:$D,ShadowLedger!$G:$G,A722,ShadowLedger!$C:$C,"&gt;="&amp;DATE(LEFT(SUBSTITUTE(C722,"'",""),4),MID(SUBSTITUTE(C722,"'",""),6,2),1),ShadowLedger!$C:$C,"&lt;"&amp;EOMONTH(DATE(LEFT(SUBSTITUTE(C722,"'",""),4),MID(SUBSTITUTE(C722,"'",""),6,2),1),0)+1)</f>
        <v>0</v>
      </c>
      <c r="E722" s="17">
        <f t="shared" si="1"/>
        <v>164</v>
      </c>
      <c r="F722" s="17">
        <f t="shared" si="2"/>
        <v>0</v>
      </c>
    </row>
    <row r="723">
      <c r="A723" s="5" t="s">
        <v>61</v>
      </c>
      <c r="B723" s="6">
        <v>131.0</v>
      </c>
      <c r="C723" s="13" t="s">
        <v>254</v>
      </c>
      <c r="D723" s="17">
        <f>SUMIFS(ShadowLedger!$D:$D,ShadowLedger!$G:$G,A723,ShadowLedger!$C:$C,"&gt;="&amp;DATE(LEFT(SUBSTITUTE(C723,"'",""),4),MID(SUBSTITUTE(C723,"'",""),6,2),1),ShadowLedger!$C:$C,"&lt;"&amp;EOMONTH(DATE(LEFT(SUBSTITUTE(C723,"'",""),4),MID(SUBSTITUTE(C723,"'",""),6,2),1),0)+1)</f>
        <v>0</v>
      </c>
      <c r="E723" s="17">
        <f t="shared" si="1"/>
        <v>131</v>
      </c>
      <c r="F723" s="17">
        <f t="shared" si="2"/>
        <v>0</v>
      </c>
    </row>
    <row r="724">
      <c r="A724" s="5" t="s">
        <v>62</v>
      </c>
      <c r="B724" s="6">
        <v>131.0</v>
      </c>
      <c r="C724" s="13" t="s">
        <v>254</v>
      </c>
      <c r="D724" s="17">
        <f>SUMIFS(ShadowLedger!$D:$D,ShadowLedger!$G:$G,A724,ShadowLedger!$C:$C,"&gt;="&amp;DATE(LEFT(SUBSTITUTE(C724,"'",""),4),MID(SUBSTITUTE(C724,"'",""),6,2),1),ShadowLedger!$C:$C,"&lt;"&amp;EOMONTH(DATE(LEFT(SUBSTITUTE(C724,"'",""),4),MID(SUBSTITUTE(C724,"'",""),6,2),1),0)+1)</f>
        <v>0</v>
      </c>
      <c r="E724" s="17">
        <f t="shared" si="1"/>
        <v>131</v>
      </c>
      <c r="F724" s="17">
        <f t="shared" si="2"/>
        <v>0</v>
      </c>
    </row>
    <row r="725">
      <c r="A725" s="5" t="s">
        <v>63</v>
      </c>
      <c r="B725" s="6">
        <v>109.0</v>
      </c>
      <c r="C725" s="13" t="s">
        <v>254</v>
      </c>
      <c r="D725" s="17">
        <f>SUMIFS(ShadowLedger!$D:$D,ShadowLedger!$G:$G,A725,ShadowLedger!$C:$C,"&gt;="&amp;DATE(LEFT(SUBSTITUTE(C725,"'",""),4),MID(SUBSTITUTE(C725,"'",""),6,2),1),ShadowLedger!$C:$C,"&lt;"&amp;EOMONTH(DATE(LEFT(SUBSTITUTE(C725,"'",""),4),MID(SUBSTITUTE(C725,"'",""),6,2),1),0)+1)</f>
        <v>0</v>
      </c>
      <c r="E725" s="17">
        <f t="shared" si="1"/>
        <v>109</v>
      </c>
      <c r="F725" s="17">
        <f t="shared" si="2"/>
        <v>0</v>
      </c>
    </row>
    <row r="726">
      <c r="A726" s="5" t="s">
        <v>64</v>
      </c>
      <c r="B726" s="6">
        <v>109.0</v>
      </c>
      <c r="C726" s="13" t="s">
        <v>254</v>
      </c>
      <c r="D726" s="17">
        <f>SUMIFS(ShadowLedger!$D:$D,ShadowLedger!$G:$G,A726,ShadowLedger!$C:$C,"&gt;="&amp;DATE(LEFT(SUBSTITUTE(C726,"'",""),4),MID(SUBSTITUTE(C726,"'",""),6,2),1),ShadowLedger!$C:$C,"&lt;"&amp;EOMONTH(DATE(LEFT(SUBSTITUTE(C726,"'",""),4),MID(SUBSTITUTE(C726,"'",""),6,2),1),0)+1)</f>
        <v>0</v>
      </c>
      <c r="E726" s="17">
        <f t="shared" si="1"/>
        <v>109</v>
      </c>
      <c r="F726" s="17">
        <f t="shared" si="2"/>
        <v>0</v>
      </c>
    </row>
    <row r="727">
      <c r="A727" s="5" t="s">
        <v>70</v>
      </c>
      <c r="B727" s="6">
        <v>109.0</v>
      </c>
      <c r="C727" s="13" t="s">
        <v>254</v>
      </c>
      <c r="D727" s="17">
        <f>SUMIFS(ShadowLedger!$D:$D,ShadowLedger!$G:$G,A727,ShadowLedger!$C:$C,"&gt;="&amp;DATE(LEFT(SUBSTITUTE(C727,"'",""),4),MID(SUBSTITUTE(C727,"'",""),6,2),1),ShadowLedger!$C:$C,"&lt;"&amp;EOMONTH(DATE(LEFT(SUBSTITUTE(C727,"'",""),4),MID(SUBSTITUTE(C727,"'",""),6,2),1),0)+1)</f>
        <v>0</v>
      </c>
      <c r="E727" s="17">
        <f t="shared" si="1"/>
        <v>109</v>
      </c>
      <c r="F727" s="17">
        <f t="shared" si="2"/>
        <v>0</v>
      </c>
    </row>
    <row r="728">
      <c r="A728" s="5" t="s">
        <v>65</v>
      </c>
      <c r="B728" s="6">
        <v>55.0</v>
      </c>
      <c r="C728" s="13" t="s">
        <v>254</v>
      </c>
      <c r="D728" s="17">
        <f>SUMIFS(ShadowLedger!$D:$D,ShadowLedger!$G:$G,A728,ShadowLedger!$C:$C,"&gt;="&amp;DATE(LEFT(SUBSTITUTE(C728,"'",""),4),MID(SUBSTITUTE(C728,"'",""),6,2),1),ShadowLedger!$C:$C,"&lt;"&amp;EOMONTH(DATE(LEFT(SUBSTITUTE(C728,"'",""),4),MID(SUBSTITUTE(C728,"'",""),6,2),1),0)+1)</f>
        <v>0</v>
      </c>
      <c r="E728" s="17">
        <f t="shared" si="1"/>
        <v>55</v>
      </c>
      <c r="F728" s="17">
        <f t="shared" si="2"/>
        <v>0</v>
      </c>
    </row>
    <row r="729">
      <c r="A729" s="5" t="s">
        <v>66</v>
      </c>
      <c r="B729" s="6">
        <v>55.0</v>
      </c>
      <c r="C729" s="13" t="s">
        <v>254</v>
      </c>
      <c r="D729" s="17">
        <f>SUMIFS(ShadowLedger!$D:$D,ShadowLedger!$G:$G,A729,ShadowLedger!$C:$C,"&gt;="&amp;DATE(LEFT(SUBSTITUTE(C729,"'",""),4),MID(SUBSTITUTE(C729,"'",""),6,2),1),ShadowLedger!$C:$C,"&lt;"&amp;EOMONTH(DATE(LEFT(SUBSTITUTE(C729,"'",""),4),MID(SUBSTITUTE(C729,"'",""),6,2),1),0)+1)</f>
        <v>0</v>
      </c>
      <c r="E729" s="17">
        <f t="shared" si="1"/>
        <v>55</v>
      </c>
      <c r="F729" s="17">
        <f t="shared" si="2"/>
        <v>0</v>
      </c>
    </row>
    <row r="730">
      <c r="A730" s="5" t="s">
        <v>67</v>
      </c>
      <c r="B730" s="6">
        <v>55.0</v>
      </c>
      <c r="C730" s="13" t="s">
        <v>254</v>
      </c>
      <c r="D730" s="17">
        <f>SUMIFS(ShadowLedger!$D:$D,ShadowLedger!$G:$G,A730,ShadowLedger!$C:$C,"&gt;="&amp;DATE(LEFT(SUBSTITUTE(C730,"'",""),4),MID(SUBSTITUTE(C730,"'",""),6,2),1),ShadowLedger!$C:$C,"&lt;"&amp;EOMONTH(DATE(LEFT(SUBSTITUTE(C730,"'",""),4),MID(SUBSTITUTE(C730,"'",""),6,2),1),0)+1)</f>
        <v>0</v>
      </c>
      <c r="E730" s="17">
        <f t="shared" si="1"/>
        <v>55</v>
      </c>
      <c r="F730" s="17">
        <f t="shared" si="2"/>
        <v>0</v>
      </c>
    </row>
    <row r="731">
      <c r="A731" s="5" t="s">
        <v>68</v>
      </c>
      <c r="B731" s="6">
        <v>55.0</v>
      </c>
      <c r="C731" s="13" t="s">
        <v>254</v>
      </c>
      <c r="D731" s="17">
        <f>SUMIFS(ShadowLedger!$D:$D,ShadowLedger!$G:$G,A731,ShadowLedger!$C:$C,"&gt;="&amp;DATE(LEFT(SUBSTITUTE(C731,"'",""),4),MID(SUBSTITUTE(C731,"'",""),6,2),1),ShadowLedger!$C:$C,"&lt;"&amp;EOMONTH(DATE(LEFT(SUBSTITUTE(C731,"'",""),4),MID(SUBSTITUTE(C731,"'",""),6,2),1),0)+1)</f>
        <v>0</v>
      </c>
      <c r="E731" s="17">
        <f t="shared" si="1"/>
        <v>55</v>
      </c>
      <c r="F731" s="17">
        <f t="shared" si="2"/>
        <v>0</v>
      </c>
    </row>
    <row r="732">
      <c r="A732" s="5" t="s">
        <v>69</v>
      </c>
      <c r="B732" s="6">
        <v>0.0</v>
      </c>
      <c r="C732" s="13" t="s">
        <v>254</v>
      </c>
      <c r="D732" s="17">
        <f>SUMIFS(ShadowLedger!$D:$D,ShadowLedger!$G:$G,A732,ShadowLedger!$C:$C,"&gt;="&amp;DATE(LEFT(SUBSTITUTE(C732,"'",""),4),MID(SUBSTITUTE(C732,"'",""),6,2),1),ShadowLedger!$C:$C,"&lt;"&amp;EOMONTH(DATE(LEFT(SUBSTITUTE(C732,"'",""),4),MID(SUBSTITUTE(C732,"'",""),6,2),1),0)+1)</f>
        <v>0</v>
      </c>
      <c r="E732" s="17">
        <f t="shared" si="1"/>
        <v>0</v>
      </c>
      <c r="F732" s="17">
        <f t="shared" si="2"/>
        <v>0</v>
      </c>
    </row>
    <row r="733">
      <c r="A733" s="5" t="s">
        <v>54</v>
      </c>
      <c r="B733" s="6">
        <v>1005.0</v>
      </c>
      <c r="C733" s="13" t="s">
        <v>255</v>
      </c>
      <c r="D733" s="17">
        <f>SUMIFS(ShadowLedger!$D:$D,ShadowLedger!$G:$G,A733,ShadowLedger!$C:$C,"&gt;="&amp;DATE(LEFT(SUBSTITUTE(C733,"'",""),4),MID(SUBSTITUTE(C733,"'",""),6,2),1),ShadowLedger!$C:$C,"&lt;"&amp;EOMONTH(DATE(LEFT(SUBSTITUTE(C733,"'",""),4),MID(SUBSTITUTE(C733,"'",""),6,2),1),0)+1)</f>
        <v>0</v>
      </c>
      <c r="E733" s="17">
        <f t="shared" si="1"/>
        <v>1005</v>
      </c>
      <c r="F733" s="17">
        <f t="shared" si="2"/>
        <v>0</v>
      </c>
    </row>
    <row r="734">
      <c r="A734" s="5" t="s">
        <v>55</v>
      </c>
      <c r="B734" s="6">
        <v>765.0</v>
      </c>
      <c r="C734" s="13" t="s">
        <v>255</v>
      </c>
      <c r="D734" s="17">
        <f>SUMIFS(ShadowLedger!$D:$D,ShadowLedger!$G:$G,A734,ShadowLedger!$C:$C,"&gt;="&amp;DATE(LEFT(SUBSTITUTE(C734,"'",""),4),MID(SUBSTITUTE(C734,"'",""),6,2),1),ShadowLedger!$C:$C,"&lt;"&amp;EOMONTH(DATE(LEFT(SUBSTITUTE(C734,"'",""),4),MID(SUBSTITUTE(C734,"'",""),6,2),1),0)+1)</f>
        <v>0</v>
      </c>
      <c r="E734" s="17">
        <f t="shared" si="1"/>
        <v>765</v>
      </c>
      <c r="F734" s="17">
        <f t="shared" si="2"/>
        <v>0</v>
      </c>
    </row>
    <row r="735">
      <c r="A735" s="5" t="s">
        <v>56</v>
      </c>
      <c r="B735" s="6">
        <v>546.0</v>
      </c>
      <c r="C735" s="13" t="s">
        <v>255</v>
      </c>
      <c r="D735" s="17">
        <f>SUMIFS(ShadowLedger!$D:$D,ShadowLedger!$G:$G,A735,ShadowLedger!$C:$C,"&gt;="&amp;DATE(LEFT(SUBSTITUTE(C735,"'",""),4),MID(SUBSTITUTE(C735,"'",""),6,2),1),ShadowLedger!$C:$C,"&lt;"&amp;EOMONTH(DATE(LEFT(SUBSTITUTE(C735,"'",""),4),MID(SUBSTITUTE(C735,"'",""),6,2),1),0)+1)</f>
        <v>0</v>
      </c>
      <c r="E735" s="17">
        <f t="shared" si="1"/>
        <v>546</v>
      </c>
      <c r="F735" s="17">
        <f t="shared" si="2"/>
        <v>0</v>
      </c>
    </row>
    <row r="736">
      <c r="A736" s="5" t="s">
        <v>57</v>
      </c>
      <c r="B736" s="6">
        <v>546.0</v>
      </c>
      <c r="C736" s="13" t="s">
        <v>255</v>
      </c>
      <c r="D736" s="17">
        <f>SUMIFS(ShadowLedger!$D:$D,ShadowLedger!$G:$G,A736,ShadowLedger!$C:$C,"&gt;="&amp;DATE(LEFT(SUBSTITUTE(C736,"'",""),4),MID(SUBSTITUTE(C736,"'",""),6,2),1),ShadowLedger!$C:$C,"&lt;"&amp;EOMONTH(DATE(LEFT(SUBSTITUTE(C736,"'",""),4),MID(SUBSTITUTE(C736,"'",""),6,2),1),0)+1)</f>
        <v>0</v>
      </c>
      <c r="E736" s="17">
        <f t="shared" si="1"/>
        <v>546</v>
      </c>
      <c r="F736" s="17">
        <f t="shared" si="2"/>
        <v>0</v>
      </c>
    </row>
    <row r="737">
      <c r="A737" s="5" t="s">
        <v>58</v>
      </c>
      <c r="B737" s="6">
        <v>437.0</v>
      </c>
      <c r="C737" s="13" t="s">
        <v>255</v>
      </c>
      <c r="D737" s="17">
        <f>SUMIFS(ShadowLedger!$D:$D,ShadowLedger!$G:$G,A737,ShadowLedger!$C:$C,"&gt;="&amp;DATE(LEFT(SUBSTITUTE(C737,"'",""),4),MID(SUBSTITUTE(C737,"'",""),6,2),1),ShadowLedger!$C:$C,"&lt;"&amp;EOMONTH(DATE(LEFT(SUBSTITUTE(C737,"'",""),4),MID(SUBSTITUTE(C737,"'",""),6,2),1),0)+1)</f>
        <v>0</v>
      </c>
      <c r="E737" s="17">
        <f t="shared" si="1"/>
        <v>437</v>
      </c>
      <c r="F737" s="17">
        <f t="shared" si="2"/>
        <v>0</v>
      </c>
    </row>
    <row r="738">
      <c r="A738" s="5" t="s">
        <v>59</v>
      </c>
      <c r="B738" s="6">
        <v>219.0</v>
      </c>
      <c r="C738" s="13" t="s">
        <v>255</v>
      </c>
      <c r="D738" s="17">
        <f>SUMIFS(ShadowLedger!$D:$D,ShadowLedger!$G:$G,A738,ShadowLedger!$C:$C,"&gt;="&amp;DATE(LEFT(SUBSTITUTE(C738,"'",""),4),MID(SUBSTITUTE(C738,"'",""),6,2),1),ShadowLedger!$C:$C,"&lt;"&amp;EOMONTH(DATE(LEFT(SUBSTITUTE(C738,"'",""),4),MID(SUBSTITUTE(C738,"'",""),6,2),1),0)+1)</f>
        <v>0</v>
      </c>
      <c r="E738" s="17">
        <f t="shared" si="1"/>
        <v>219</v>
      </c>
      <c r="F738" s="17">
        <f t="shared" si="2"/>
        <v>0</v>
      </c>
    </row>
    <row r="739">
      <c r="A739" s="5" t="s">
        <v>60</v>
      </c>
      <c r="B739" s="6">
        <v>164.0</v>
      </c>
      <c r="C739" s="13" t="s">
        <v>255</v>
      </c>
      <c r="D739" s="17">
        <f>SUMIFS(ShadowLedger!$D:$D,ShadowLedger!$G:$G,A739,ShadowLedger!$C:$C,"&gt;="&amp;DATE(LEFT(SUBSTITUTE(C739,"'",""),4),MID(SUBSTITUTE(C739,"'",""),6,2),1),ShadowLedger!$C:$C,"&lt;"&amp;EOMONTH(DATE(LEFT(SUBSTITUTE(C739,"'",""),4),MID(SUBSTITUTE(C739,"'",""),6,2),1),0)+1)</f>
        <v>0</v>
      </c>
      <c r="E739" s="17">
        <f t="shared" si="1"/>
        <v>164</v>
      </c>
      <c r="F739" s="17">
        <f t="shared" si="2"/>
        <v>0</v>
      </c>
    </row>
    <row r="740">
      <c r="A740" s="5" t="s">
        <v>61</v>
      </c>
      <c r="B740" s="6">
        <v>131.0</v>
      </c>
      <c r="C740" s="13" t="s">
        <v>255</v>
      </c>
      <c r="D740" s="17">
        <f>SUMIFS(ShadowLedger!$D:$D,ShadowLedger!$G:$G,A740,ShadowLedger!$C:$C,"&gt;="&amp;DATE(LEFT(SUBSTITUTE(C740,"'",""),4),MID(SUBSTITUTE(C740,"'",""),6,2),1),ShadowLedger!$C:$C,"&lt;"&amp;EOMONTH(DATE(LEFT(SUBSTITUTE(C740,"'",""),4),MID(SUBSTITUTE(C740,"'",""),6,2),1),0)+1)</f>
        <v>0</v>
      </c>
      <c r="E740" s="17">
        <f t="shared" si="1"/>
        <v>131</v>
      </c>
      <c r="F740" s="17">
        <f t="shared" si="2"/>
        <v>0</v>
      </c>
    </row>
    <row r="741">
      <c r="A741" s="5" t="s">
        <v>62</v>
      </c>
      <c r="B741" s="6">
        <v>131.0</v>
      </c>
      <c r="C741" s="13" t="s">
        <v>255</v>
      </c>
      <c r="D741" s="17">
        <f>SUMIFS(ShadowLedger!$D:$D,ShadowLedger!$G:$G,A741,ShadowLedger!$C:$C,"&gt;="&amp;DATE(LEFT(SUBSTITUTE(C741,"'",""),4),MID(SUBSTITUTE(C741,"'",""),6,2),1),ShadowLedger!$C:$C,"&lt;"&amp;EOMONTH(DATE(LEFT(SUBSTITUTE(C741,"'",""),4),MID(SUBSTITUTE(C741,"'",""),6,2),1),0)+1)</f>
        <v>0</v>
      </c>
      <c r="E741" s="17">
        <f t="shared" si="1"/>
        <v>131</v>
      </c>
      <c r="F741" s="17">
        <f t="shared" si="2"/>
        <v>0</v>
      </c>
    </row>
    <row r="742">
      <c r="A742" s="5" t="s">
        <v>63</v>
      </c>
      <c r="B742" s="6">
        <v>109.0</v>
      </c>
      <c r="C742" s="13" t="s">
        <v>255</v>
      </c>
      <c r="D742" s="17">
        <f>SUMIFS(ShadowLedger!$D:$D,ShadowLedger!$G:$G,A742,ShadowLedger!$C:$C,"&gt;="&amp;DATE(LEFT(SUBSTITUTE(C742,"'",""),4),MID(SUBSTITUTE(C742,"'",""),6,2),1),ShadowLedger!$C:$C,"&lt;"&amp;EOMONTH(DATE(LEFT(SUBSTITUTE(C742,"'",""),4),MID(SUBSTITUTE(C742,"'",""),6,2),1),0)+1)</f>
        <v>0</v>
      </c>
      <c r="E742" s="17">
        <f t="shared" si="1"/>
        <v>109</v>
      </c>
      <c r="F742" s="17">
        <f t="shared" si="2"/>
        <v>0</v>
      </c>
    </row>
    <row r="743">
      <c r="A743" s="5" t="s">
        <v>64</v>
      </c>
      <c r="B743" s="6">
        <v>109.0</v>
      </c>
      <c r="C743" s="13" t="s">
        <v>255</v>
      </c>
      <c r="D743" s="17">
        <f>SUMIFS(ShadowLedger!$D:$D,ShadowLedger!$G:$G,A743,ShadowLedger!$C:$C,"&gt;="&amp;DATE(LEFT(SUBSTITUTE(C743,"'",""),4),MID(SUBSTITUTE(C743,"'",""),6,2),1),ShadowLedger!$C:$C,"&lt;"&amp;EOMONTH(DATE(LEFT(SUBSTITUTE(C743,"'",""),4),MID(SUBSTITUTE(C743,"'",""),6,2),1),0)+1)</f>
        <v>0</v>
      </c>
      <c r="E743" s="17">
        <f t="shared" si="1"/>
        <v>109</v>
      </c>
      <c r="F743" s="17">
        <f t="shared" si="2"/>
        <v>0</v>
      </c>
    </row>
    <row r="744">
      <c r="A744" s="5" t="s">
        <v>70</v>
      </c>
      <c r="B744" s="6">
        <v>109.0</v>
      </c>
      <c r="C744" s="13" t="s">
        <v>255</v>
      </c>
      <c r="D744" s="17">
        <f>SUMIFS(ShadowLedger!$D:$D,ShadowLedger!$G:$G,A744,ShadowLedger!$C:$C,"&gt;="&amp;DATE(LEFT(SUBSTITUTE(C744,"'",""),4),MID(SUBSTITUTE(C744,"'",""),6,2),1),ShadowLedger!$C:$C,"&lt;"&amp;EOMONTH(DATE(LEFT(SUBSTITUTE(C744,"'",""),4),MID(SUBSTITUTE(C744,"'",""),6,2),1),0)+1)</f>
        <v>0</v>
      </c>
      <c r="E744" s="17">
        <f t="shared" si="1"/>
        <v>109</v>
      </c>
      <c r="F744" s="17">
        <f t="shared" si="2"/>
        <v>0</v>
      </c>
    </row>
    <row r="745">
      <c r="A745" s="5" t="s">
        <v>65</v>
      </c>
      <c r="B745" s="6">
        <v>55.0</v>
      </c>
      <c r="C745" s="13" t="s">
        <v>255</v>
      </c>
      <c r="D745" s="17">
        <f>SUMIFS(ShadowLedger!$D:$D,ShadowLedger!$G:$G,A745,ShadowLedger!$C:$C,"&gt;="&amp;DATE(LEFT(SUBSTITUTE(C745,"'",""),4),MID(SUBSTITUTE(C745,"'",""),6,2),1),ShadowLedger!$C:$C,"&lt;"&amp;EOMONTH(DATE(LEFT(SUBSTITUTE(C745,"'",""),4),MID(SUBSTITUTE(C745,"'",""),6,2),1),0)+1)</f>
        <v>0</v>
      </c>
      <c r="E745" s="17">
        <f t="shared" si="1"/>
        <v>55</v>
      </c>
      <c r="F745" s="17">
        <f t="shared" si="2"/>
        <v>0</v>
      </c>
    </row>
    <row r="746">
      <c r="A746" s="5" t="s">
        <v>66</v>
      </c>
      <c r="B746" s="6">
        <v>55.0</v>
      </c>
      <c r="C746" s="13" t="s">
        <v>255</v>
      </c>
      <c r="D746" s="17">
        <f>SUMIFS(ShadowLedger!$D:$D,ShadowLedger!$G:$G,A746,ShadowLedger!$C:$C,"&gt;="&amp;DATE(LEFT(SUBSTITUTE(C746,"'",""),4),MID(SUBSTITUTE(C746,"'",""),6,2),1),ShadowLedger!$C:$C,"&lt;"&amp;EOMONTH(DATE(LEFT(SUBSTITUTE(C746,"'",""),4),MID(SUBSTITUTE(C746,"'",""),6,2),1),0)+1)</f>
        <v>0</v>
      </c>
      <c r="E746" s="17">
        <f t="shared" si="1"/>
        <v>55</v>
      </c>
      <c r="F746" s="17">
        <f t="shared" si="2"/>
        <v>0</v>
      </c>
    </row>
    <row r="747">
      <c r="A747" s="5" t="s">
        <v>67</v>
      </c>
      <c r="B747" s="6">
        <v>55.0</v>
      </c>
      <c r="C747" s="13" t="s">
        <v>255</v>
      </c>
      <c r="D747" s="17">
        <f>SUMIFS(ShadowLedger!$D:$D,ShadowLedger!$G:$G,A747,ShadowLedger!$C:$C,"&gt;="&amp;DATE(LEFT(SUBSTITUTE(C747,"'",""),4),MID(SUBSTITUTE(C747,"'",""),6,2),1),ShadowLedger!$C:$C,"&lt;"&amp;EOMONTH(DATE(LEFT(SUBSTITUTE(C747,"'",""),4),MID(SUBSTITUTE(C747,"'",""),6,2),1),0)+1)</f>
        <v>0</v>
      </c>
      <c r="E747" s="17">
        <f t="shared" si="1"/>
        <v>55</v>
      </c>
      <c r="F747" s="17">
        <f t="shared" si="2"/>
        <v>0</v>
      </c>
    </row>
    <row r="748">
      <c r="A748" s="5" t="s">
        <v>68</v>
      </c>
      <c r="B748" s="6">
        <v>55.0</v>
      </c>
      <c r="C748" s="13" t="s">
        <v>255</v>
      </c>
      <c r="D748" s="17">
        <f>SUMIFS(ShadowLedger!$D:$D,ShadowLedger!$G:$G,A748,ShadowLedger!$C:$C,"&gt;="&amp;DATE(LEFT(SUBSTITUTE(C748,"'",""),4),MID(SUBSTITUTE(C748,"'",""),6,2),1),ShadowLedger!$C:$C,"&lt;"&amp;EOMONTH(DATE(LEFT(SUBSTITUTE(C748,"'",""),4),MID(SUBSTITUTE(C748,"'",""),6,2),1),0)+1)</f>
        <v>0</v>
      </c>
      <c r="E748" s="17">
        <f t="shared" si="1"/>
        <v>55</v>
      </c>
      <c r="F748" s="17">
        <f t="shared" si="2"/>
        <v>0</v>
      </c>
    </row>
    <row r="749">
      <c r="A749" s="5" t="s">
        <v>69</v>
      </c>
      <c r="B749" s="6">
        <v>0.0</v>
      </c>
      <c r="C749" s="13" t="s">
        <v>255</v>
      </c>
      <c r="D749" s="17">
        <f>SUMIFS(ShadowLedger!$D:$D,ShadowLedger!$G:$G,A749,ShadowLedger!$C:$C,"&gt;="&amp;DATE(LEFT(SUBSTITUTE(C749,"'",""),4),MID(SUBSTITUTE(C749,"'",""),6,2),1),ShadowLedger!$C:$C,"&lt;"&amp;EOMONTH(DATE(LEFT(SUBSTITUTE(C749,"'",""),4),MID(SUBSTITUTE(C749,"'",""),6,2),1),0)+1)</f>
        <v>0</v>
      </c>
      <c r="E749" s="17">
        <f t="shared" si="1"/>
        <v>0</v>
      </c>
      <c r="F749" s="17">
        <f t="shared" si="2"/>
        <v>0</v>
      </c>
    </row>
    <row r="750">
      <c r="A750" s="5" t="s">
        <v>54</v>
      </c>
      <c r="B750" s="6">
        <v>1005.0</v>
      </c>
      <c r="C750" s="13" t="s">
        <v>256</v>
      </c>
      <c r="D750" s="17">
        <f>SUMIFS(ShadowLedger!$D:$D,ShadowLedger!$G:$G,A750,ShadowLedger!$C:$C,"&gt;="&amp;DATE(LEFT(SUBSTITUTE(C750,"'",""),4),MID(SUBSTITUTE(C750,"'",""),6,2),1),ShadowLedger!$C:$C,"&lt;"&amp;EOMONTH(DATE(LEFT(SUBSTITUTE(C750,"'",""),4),MID(SUBSTITUTE(C750,"'",""),6,2),1),0)+1)</f>
        <v>0</v>
      </c>
      <c r="E750" s="17">
        <f t="shared" si="1"/>
        <v>1005</v>
      </c>
      <c r="F750" s="17">
        <f t="shared" si="2"/>
        <v>0</v>
      </c>
    </row>
    <row r="751">
      <c r="A751" s="5" t="s">
        <v>55</v>
      </c>
      <c r="B751" s="6">
        <v>765.0</v>
      </c>
      <c r="C751" s="13" t="s">
        <v>256</v>
      </c>
      <c r="D751" s="17">
        <f>SUMIFS(ShadowLedger!$D:$D,ShadowLedger!$G:$G,A751,ShadowLedger!$C:$C,"&gt;="&amp;DATE(LEFT(SUBSTITUTE(C751,"'",""),4),MID(SUBSTITUTE(C751,"'",""),6,2),1),ShadowLedger!$C:$C,"&lt;"&amp;EOMONTH(DATE(LEFT(SUBSTITUTE(C751,"'",""),4),MID(SUBSTITUTE(C751,"'",""),6,2),1),0)+1)</f>
        <v>0</v>
      </c>
      <c r="E751" s="17">
        <f t="shared" si="1"/>
        <v>765</v>
      </c>
      <c r="F751" s="17">
        <f t="shared" si="2"/>
        <v>0</v>
      </c>
    </row>
    <row r="752">
      <c r="A752" s="5" t="s">
        <v>56</v>
      </c>
      <c r="B752" s="6">
        <v>546.0</v>
      </c>
      <c r="C752" s="13" t="s">
        <v>256</v>
      </c>
      <c r="D752" s="17">
        <f>SUMIFS(ShadowLedger!$D:$D,ShadowLedger!$G:$G,A752,ShadowLedger!$C:$C,"&gt;="&amp;DATE(LEFT(SUBSTITUTE(C752,"'",""),4),MID(SUBSTITUTE(C752,"'",""),6,2),1),ShadowLedger!$C:$C,"&lt;"&amp;EOMONTH(DATE(LEFT(SUBSTITUTE(C752,"'",""),4),MID(SUBSTITUTE(C752,"'",""),6,2),1),0)+1)</f>
        <v>0</v>
      </c>
      <c r="E752" s="17">
        <f t="shared" si="1"/>
        <v>546</v>
      </c>
      <c r="F752" s="17">
        <f t="shared" si="2"/>
        <v>0</v>
      </c>
    </row>
    <row r="753">
      <c r="A753" s="5" t="s">
        <v>57</v>
      </c>
      <c r="B753" s="6">
        <v>546.0</v>
      </c>
      <c r="C753" s="13" t="s">
        <v>256</v>
      </c>
      <c r="D753" s="17">
        <f>SUMIFS(ShadowLedger!$D:$D,ShadowLedger!$G:$G,A753,ShadowLedger!$C:$C,"&gt;="&amp;DATE(LEFT(SUBSTITUTE(C753,"'",""),4),MID(SUBSTITUTE(C753,"'",""),6,2),1),ShadowLedger!$C:$C,"&lt;"&amp;EOMONTH(DATE(LEFT(SUBSTITUTE(C753,"'",""),4),MID(SUBSTITUTE(C753,"'",""),6,2),1),0)+1)</f>
        <v>0</v>
      </c>
      <c r="E753" s="17">
        <f t="shared" si="1"/>
        <v>546</v>
      </c>
      <c r="F753" s="17">
        <f t="shared" si="2"/>
        <v>0</v>
      </c>
    </row>
    <row r="754">
      <c r="A754" s="5" t="s">
        <v>58</v>
      </c>
      <c r="B754" s="6">
        <v>437.0</v>
      </c>
      <c r="C754" s="13" t="s">
        <v>256</v>
      </c>
      <c r="D754" s="17">
        <f>SUMIFS(ShadowLedger!$D:$D,ShadowLedger!$G:$G,A754,ShadowLedger!$C:$C,"&gt;="&amp;DATE(LEFT(SUBSTITUTE(C754,"'",""),4),MID(SUBSTITUTE(C754,"'",""),6,2),1),ShadowLedger!$C:$C,"&lt;"&amp;EOMONTH(DATE(LEFT(SUBSTITUTE(C754,"'",""),4),MID(SUBSTITUTE(C754,"'",""),6,2),1),0)+1)</f>
        <v>0</v>
      </c>
      <c r="E754" s="17">
        <f t="shared" si="1"/>
        <v>437</v>
      </c>
      <c r="F754" s="17">
        <f t="shared" si="2"/>
        <v>0</v>
      </c>
    </row>
    <row r="755">
      <c r="A755" s="5" t="s">
        <v>59</v>
      </c>
      <c r="B755" s="6">
        <v>219.0</v>
      </c>
      <c r="C755" s="13" t="s">
        <v>256</v>
      </c>
      <c r="D755" s="17">
        <f>SUMIFS(ShadowLedger!$D:$D,ShadowLedger!$G:$G,A755,ShadowLedger!$C:$C,"&gt;="&amp;DATE(LEFT(SUBSTITUTE(C755,"'",""),4),MID(SUBSTITUTE(C755,"'",""),6,2),1),ShadowLedger!$C:$C,"&lt;"&amp;EOMONTH(DATE(LEFT(SUBSTITUTE(C755,"'",""),4),MID(SUBSTITUTE(C755,"'",""),6,2),1),0)+1)</f>
        <v>0</v>
      </c>
      <c r="E755" s="17">
        <f t="shared" si="1"/>
        <v>219</v>
      </c>
      <c r="F755" s="17">
        <f t="shared" si="2"/>
        <v>0</v>
      </c>
    </row>
    <row r="756">
      <c r="A756" s="5" t="s">
        <v>60</v>
      </c>
      <c r="B756" s="6">
        <v>164.0</v>
      </c>
      <c r="C756" s="13" t="s">
        <v>256</v>
      </c>
      <c r="D756" s="17">
        <f>SUMIFS(ShadowLedger!$D:$D,ShadowLedger!$G:$G,A756,ShadowLedger!$C:$C,"&gt;="&amp;DATE(LEFT(SUBSTITUTE(C756,"'",""),4),MID(SUBSTITUTE(C756,"'",""),6,2),1),ShadowLedger!$C:$C,"&lt;"&amp;EOMONTH(DATE(LEFT(SUBSTITUTE(C756,"'",""),4),MID(SUBSTITUTE(C756,"'",""),6,2),1),0)+1)</f>
        <v>0</v>
      </c>
      <c r="E756" s="17">
        <f t="shared" si="1"/>
        <v>164</v>
      </c>
      <c r="F756" s="17">
        <f t="shared" si="2"/>
        <v>0</v>
      </c>
    </row>
    <row r="757">
      <c r="A757" s="5" t="s">
        <v>61</v>
      </c>
      <c r="B757" s="6">
        <v>131.0</v>
      </c>
      <c r="C757" s="13" t="s">
        <v>256</v>
      </c>
      <c r="D757" s="17">
        <f>SUMIFS(ShadowLedger!$D:$D,ShadowLedger!$G:$G,A757,ShadowLedger!$C:$C,"&gt;="&amp;DATE(LEFT(SUBSTITUTE(C757,"'",""),4),MID(SUBSTITUTE(C757,"'",""),6,2),1),ShadowLedger!$C:$C,"&lt;"&amp;EOMONTH(DATE(LEFT(SUBSTITUTE(C757,"'",""),4),MID(SUBSTITUTE(C757,"'",""),6,2),1),0)+1)</f>
        <v>0</v>
      </c>
      <c r="E757" s="17">
        <f t="shared" si="1"/>
        <v>131</v>
      </c>
      <c r="F757" s="17">
        <f t="shared" si="2"/>
        <v>0</v>
      </c>
    </row>
    <row r="758">
      <c r="A758" s="5" t="s">
        <v>62</v>
      </c>
      <c r="B758" s="6">
        <v>131.0</v>
      </c>
      <c r="C758" s="13" t="s">
        <v>256</v>
      </c>
      <c r="D758" s="17">
        <f>SUMIFS(ShadowLedger!$D:$D,ShadowLedger!$G:$G,A758,ShadowLedger!$C:$C,"&gt;="&amp;DATE(LEFT(SUBSTITUTE(C758,"'",""),4),MID(SUBSTITUTE(C758,"'",""),6,2),1),ShadowLedger!$C:$C,"&lt;"&amp;EOMONTH(DATE(LEFT(SUBSTITUTE(C758,"'",""),4),MID(SUBSTITUTE(C758,"'",""),6,2),1),0)+1)</f>
        <v>0</v>
      </c>
      <c r="E758" s="17">
        <f t="shared" si="1"/>
        <v>131</v>
      </c>
      <c r="F758" s="17">
        <f t="shared" si="2"/>
        <v>0</v>
      </c>
    </row>
    <row r="759">
      <c r="A759" s="5" t="s">
        <v>63</v>
      </c>
      <c r="B759" s="6">
        <v>109.0</v>
      </c>
      <c r="C759" s="13" t="s">
        <v>256</v>
      </c>
      <c r="D759" s="17">
        <f>SUMIFS(ShadowLedger!$D:$D,ShadowLedger!$G:$G,A759,ShadowLedger!$C:$C,"&gt;="&amp;DATE(LEFT(SUBSTITUTE(C759,"'",""),4),MID(SUBSTITUTE(C759,"'",""),6,2),1),ShadowLedger!$C:$C,"&lt;"&amp;EOMONTH(DATE(LEFT(SUBSTITUTE(C759,"'",""),4),MID(SUBSTITUTE(C759,"'",""),6,2),1),0)+1)</f>
        <v>0</v>
      </c>
      <c r="E759" s="17">
        <f t="shared" si="1"/>
        <v>109</v>
      </c>
      <c r="F759" s="17">
        <f t="shared" si="2"/>
        <v>0</v>
      </c>
    </row>
    <row r="760">
      <c r="A760" s="5" t="s">
        <v>64</v>
      </c>
      <c r="B760" s="6">
        <v>109.0</v>
      </c>
      <c r="C760" s="13" t="s">
        <v>256</v>
      </c>
      <c r="D760" s="17">
        <f>SUMIFS(ShadowLedger!$D:$D,ShadowLedger!$G:$G,A760,ShadowLedger!$C:$C,"&gt;="&amp;DATE(LEFT(SUBSTITUTE(C760,"'",""),4),MID(SUBSTITUTE(C760,"'",""),6,2),1),ShadowLedger!$C:$C,"&lt;"&amp;EOMONTH(DATE(LEFT(SUBSTITUTE(C760,"'",""),4),MID(SUBSTITUTE(C760,"'",""),6,2),1),0)+1)</f>
        <v>0</v>
      </c>
      <c r="E760" s="17">
        <f t="shared" si="1"/>
        <v>109</v>
      </c>
      <c r="F760" s="17">
        <f t="shared" si="2"/>
        <v>0</v>
      </c>
    </row>
    <row r="761">
      <c r="A761" s="5" t="s">
        <v>70</v>
      </c>
      <c r="B761" s="6">
        <v>109.0</v>
      </c>
      <c r="C761" s="13" t="s">
        <v>256</v>
      </c>
      <c r="D761" s="17">
        <f>SUMIFS(ShadowLedger!$D:$D,ShadowLedger!$G:$G,A761,ShadowLedger!$C:$C,"&gt;="&amp;DATE(LEFT(SUBSTITUTE(C761,"'",""),4),MID(SUBSTITUTE(C761,"'",""),6,2),1),ShadowLedger!$C:$C,"&lt;"&amp;EOMONTH(DATE(LEFT(SUBSTITUTE(C761,"'",""),4),MID(SUBSTITUTE(C761,"'",""),6,2),1),0)+1)</f>
        <v>0</v>
      </c>
      <c r="E761" s="17">
        <f t="shared" si="1"/>
        <v>109</v>
      </c>
      <c r="F761" s="17">
        <f t="shared" si="2"/>
        <v>0</v>
      </c>
    </row>
    <row r="762">
      <c r="A762" s="5" t="s">
        <v>65</v>
      </c>
      <c r="B762" s="6">
        <v>55.0</v>
      </c>
      <c r="C762" s="13" t="s">
        <v>256</v>
      </c>
      <c r="D762" s="17">
        <f>SUMIFS(ShadowLedger!$D:$D,ShadowLedger!$G:$G,A762,ShadowLedger!$C:$C,"&gt;="&amp;DATE(LEFT(SUBSTITUTE(C762,"'",""),4),MID(SUBSTITUTE(C762,"'",""),6,2),1),ShadowLedger!$C:$C,"&lt;"&amp;EOMONTH(DATE(LEFT(SUBSTITUTE(C762,"'",""),4),MID(SUBSTITUTE(C762,"'",""),6,2),1),0)+1)</f>
        <v>0</v>
      </c>
      <c r="E762" s="17">
        <f t="shared" si="1"/>
        <v>55</v>
      </c>
      <c r="F762" s="17">
        <f t="shared" si="2"/>
        <v>0</v>
      </c>
    </row>
    <row r="763">
      <c r="A763" s="5" t="s">
        <v>66</v>
      </c>
      <c r="B763" s="6">
        <v>55.0</v>
      </c>
      <c r="C763" s="13" t="s">
        <v>256</v>
      </c>
      <c r="D763" s="17">
        <f>SUMIFS(ShadowLedger!$D:$D,ShadowLedger!$G:$G,A763,ShadowLedger!$C:$C,"&gt;="&amp;DATE(LEFT(SUBSTITUTE(C763,"'",""),4),MID(SUBSTITUTE(C763,"'",""),6,2),1),ShadowLedger!$C:$C,"&lt;"&amp;EOMONTH(DATE(LEFT(SUBSTITUTE(C763,"'",""),4),MID(SUBSTITUTE(C763,"'",""),6,2),1),0)+1)</f>
        <v>0</v>
      </c>
      <c r="E763" s="17">
        <f t="shared" si="1"/>
        <v>55</v>
      </c>
      <c r="F763" s="17">
        <f t="shared" si="2"/>
        <v>0</v>
      </c>
    </row>
    <row r="764">
      <c r="A764" s="5" t="s">
        <v>67</v>
      </c>
      <c r="B764" s="6">
        <v>55.0</v>
      </c>
      <c r="C764" s="13" t="s">
        <v>256</v>
      </c>
      <c r="D764" s="17">
        <f>SUMIFS(ShadowLedger!$D:$D,ShadowLedger!$G:$G,A764,ShadowLedger!$C:$C,"&gt;="&amp;DATE(LEFT(SUBSTITUTE(C764,"'",""),4),MID(SUBSTITUTE(C764,"'",""),6,2),1),ShadowLedger!$C:$C,"&lt;"&amp;EOMONTH(DATE(LEFT(SUBSTITUTE(C764,"'",""),4),MID(SUBSTITUTE(C764,"'",""),6,2),1),0)+1)</f>
        <v>0</v>
      </c>
      <c r="E764" s="17">
        <f t="shared" si="1"/>
        <v>55</v>
      </c>
      <c r="F764" s="17">
        <f t="shared" si="2"/>
        <v>0</v>
      </c>
    </row>
    <row r="765">
      <c r="A765" s="5" t="s">
        <v>68</v>
      </c>
      <c r="B765" s="6">
        <v>55.0</v>
      </c>
      <c r="C765" s="13" t="s">
        <v>256</v>
      </c>
      <c r="D765" s="17">
        <f>SUMIFS(ShadowLedger!$D:$D,ShadowLedger!$G:$G,A765,ShadowLedger!$C:$C,"&gt;="&amp;DATE(LEFT(SUBSTITUTE(C765,"'",""),4),MID(SUBSTITUTE(C765,"'",""),6,2),1),ShadowLedger!$C:$C,"&lt;"&amp;EOMONTH(DATE(LEFT(SUBSTITUTE(C765,"'",""),4),MID(SUBSTITUTE(C765,"'",""),6,2),1),0)+1)</f>
        <v>0</v>
      </c>
      <c r="E765" s="17">
        <f t="shared" si="1"/>
        <v>55</v>
      </c>
      <c r="F765" s="17">
        <f t="shared" si="2"/>
        <v>0</v>
      </c>
    </row>
    <row r="766">
      <c r="A766" s="5" t="s">
        <v>69</v>
      </c>
      <c r="B766" s="6">
        <v>0.0</v>
      </c>
      <c r="C766" s="13" t="s">
        <v>256</v>
      </c>
      <c r="D766" s="17">
        <f>SUMIFS(ShadowLedger!$D:$D,ShadowLedger!$G:$G,A766,ShadowLedger!$C:$C,"&gt;="&amp;DATE(LEFT(SUBSTITUTE(C766,"'",""),4),MID(SUBSTITUTE(C766,"'",""),6,2),1),ShadowLedger!$C:$C,"&lt;"&amp;EOMONTH(DATE(LEFT(SUBSTITUTE(C766,"'",""),4),MID(SUBSTITUTE(C766,"'",""),6,2),1),0)+1)</f>
        <v>0</v>
      </c>
      <c r="E766" s="17">
        <f t="shared" si="1"/>
        <v>0</v>
      </c>
      <c r="F766" s="17">
        <f t="shared" si="2"/>
        <v>0</v>
      </c>
    </row>
    <row r="767">
      <c r="A767" s="5" t="s">
        <v>54</v>
      </c>
      <c r="B767" s="6">
        <v>1005.0</v>
      </c>
      <c r="C767" s="13" t="s">
        <v>257</v>
      </c>
      <c r="D767" s="17">
        <f>SUMIFS(ShadowLedger!$D:$D,ShadowLedger!$G:$G,A767,ShadowLedger!$C:$C,"&gt;="&amp;DATE(LEFT(SUBSTITUTE(C767,"'",""),4),MID(SUBSTITUTE(C767,"'",""),6,2),1),ShadowLedger!$C:$C,"&lt;"&amp;EOMONTH(DATE(LEFT(SUBSTITUTE(C767,"'",""),4),MID(SUBSTITUTE(C767,"'",""),6,2),1),0)+1)</f>
        <v>0</v>
      </c>
      <c r="E767" s="17">
        <f t="shared" si="1"/>
        <v>1005</v>
      </c>
      <c r="F767" s="17">
        <f t="shared" si="2"/>
        <v>0</v>
      </c>
    </row>
    <row r="768">
      <c r="A768" s="5" t="s">
        <v>55</v>
      </c>
      <c r="B768" s="6">
        <v>765.0</v>
      </c>
      <c r="C768" s="13" t="s">
        <v>257</v>
      </c>
      <c r="D768" s="17">
        <f>SUMIFS(ShadowLedger!$D:$D,ShadowLedger!$G:$G,A768,ShadowLedger!$C:$C,"&gt;="&amp;DATE(LEFT(SUBSTITUTE(C768,"'",""),4),MID(SUBSTITUTE(C768,"'",""),6,2),1),ShadowLedger!$C:$C,"&lt;"&amp;EOMONTH(DATE(LEFT(SUBSTITUTE(C768,"'",""),4),MID(SUBSTITUTE(C768,"'",""),6,2),1),0)+1)</f>
        <v>0</v>
      </c>
      <c r="E768" s="17">
        <f t="shared" si="1"/>
        <v>765</v>
      </c>
      <c r="F768" s="17">
        <f t="shared" si="2"/>
        <v>0</v>
      </c>
    </row>
    <row r="769">
      <c r="A769" s="5" t="s">
        <v>56</v>
      </c>
      <c r="B769" s="6">
        <v>546.0</v>
      </c>
      <c r="C769" s="13" t="s">
        <v>257</v>
      </c>
      <c r="D769" s="17">
        <f>SUMIFS(ShadowLedger!$D:$D,ShadowLedger!$G:$G,A769,ShadowLedger!$C:$C,"&gt;="&amp;DATE(LEFT(SUBSTITUTE(C769,"'",""),4),MID(SUBSTITUTE(C769,"'",""),6,2),1),ShadowLedger!$C:$C,"&lt;"&amp;EOMONTH(DATE(LEFT(SUBSTITUTE(C769,"'",""),4),MID(SUBSTITUTE(C769,"'",""),6,2),1),0)+1)</f>
        <v>0</v>
      </c>
      <c r="E769" s="17">
        <f t="shared" si="1"/>
        <v>546</v>
      </c>
      <c r="F769" s="17">
        <f t="shared" si="2"/>
        <v>0</v>
      </c>
    </row>
    <row r="770">
      <c r="A770" s="5" t="s">
        <v>57</v>
      </c>
      <c r="B770" s="6">
        <v>546.0</v>
      </c>
      <c r="C770" s="13" t="s">
        <v>257</v>
      </c>
      <c r="D770" s="17">
        <f>SUMIFS(ShadowLedger!$D:$D,ShadowLedger!$G:$G,A770,ShadowLedger!$C:$C,"&gt;="&amp;DATE(LEFT(SUBSTITUTE(C770,"'",""),4),MID(SUBSTITUTE(C770,"'",""),6,2),1),ShadowLedger!$C:$C,"&lt;"&amp;EOMONTH(DATE(LEFT(SUBSTITUTE(C770,"'",""),4),MID(SUBSTITUTE(C770,"'",""),6,2),1),0)+1)</f>
        <v>0</v>
      </c>
      <c r="E770" s="17">
        <f t="shared" si="1"/>
        <v>546</v>
      </c>
      <c r="F770" s="17">
        <f t="shared" si="2"/>
        <v>0</v>
      </c>
    </row>
    <row r="771">
      <c r="A771" s="5" t="s">
        <v>58</v>
      </c>
      <c r="B771" s="6">
        <v>437.0</v>
      </c>
      <c r="C771" s="13" t="s">
        <v>257</v>
      </c>
      <c r="D771" s="17">
        <f>SUMIFS(ShadowLedger!$D:$D,ShadowLedger!$G:$G,A771,ShadowLedger!$C:$C,"&gt;="&amp;DATE(LEFT(SUBSTITUTE(C771,"'",""),4),MID(SUBSTITUTE(C771,"'",""),6,2),1),ShadowLedger!$C:$C,"&lt;"&amp;EOMONTH(DATE(LEFT(SUBSTITUTE(C771,"'",""),4),MID(SUBSTITUTE(C771,"'",""),6,2),1),0)+1)</f>
        <v>0</v>
      </c>
      <c r="E771" s="17">
        <f t="shared" si="1"/>
        <v>437</v>
      </c>
      <c r="F771" s="17">
        <f t="shared" si="2"/>
        <v>0</v>
      </c>
    </row>
    <row r="772">
      <c r="A772" s="5" t="s">
        <v>59</v>
      </c>
      <c r="B772" s="6">
        <v>219.0</v>
      </c>
      <c r="C772" s="13" t="s">
        <v>257</v>
      </c>
      <c r="D772" s="17">
        <f>SUMIFS(ShadowLedger!$D:$D,ShadowLedger!$G:$G,A772,ShadowLedger!$C:$C,"&gt;="&amp;DATE(LEFT(SUBSTITUTE(C772,"'",""),4),MID(SUBSTITUTE(C772,"'",""),6,2),1),ShadowLedger!$C:$C,"&lt;"&amp;EOMONTH(DATE(LEFT(SUBSTITUTE(C772,"'",""),4),MID(SUBSTITUTE(C772,"'",""),6,2),1),0)+1)</f>
        <v>0</v>
      </c>
      <c r="E772" s="17">
        <f t="shared" si="1"/>
        <v>219</v>
      </c>
      <c r="F772" s="17">
        <f t="shared" si="2"/>
        <v>0</v>
      </c>
    </row>
    <row r="773">
      <c r="A773" s="5" t="s">
        <v>60</v>
      </c>
      <c r="B773" s="6">
        <v>164.0</v>
      </c>
      <c r="C773" s="13" t="s">
        <v>257</v>
      </c>
      <c r="D773" s="17">
        <f>SUMIFS(ShadowLedger!$D:$D,ShadowLedger!$G:$G,A773,ShadowLedger!$C:$C,"&gt;="&amp;DATE(LEFT(SUBSTITUTE(C773,"'",""),4),MID(SUBSTITUTE(C773,"'",""),6,2),1),ShadowLedger!$C:$C,"&lt;"&amp;EOMONTH(DATE(LEFT(SUBSTITUTE(C773,"'",""),4),MID(SUBSTITUTE(C773,"'",""),6,2),1),0)+1)</f>
        <v>0</v>
      </c>
      <c r="E773" s="17">
        <f t="shared" si="1"/>
        <v>164</v>
      </c>
      <c r="F773" s="17">
        <f t="shared" si="2"/>
        <v>0</v>
      </c>
    </row>
    <row r="774">
      <c r="A774" s="5" t="s">
        <v>61</v>
      </c>
      <c r="B774" s="6">
        <v>131.0</v>
      </c>
      <c r="C774" s="13" t="s">
        <v>257</v>
      </c>
      <c r="D774" s="17">
        <f>SUMIFS(ShadowLedger!$D:$D,ShadowLedger!$G:$G,A774,ShadowLedger!$C:$C,"&gt;="&amp;DATE(LEFT(SUBSTITUTE(C774,"'",""),4),MID(SUBSTITUTE(C774,"'",""),6,2),1),ShadowLedger!$C:$C,"&lt;"&amp;EOMONTH(DATE(LEFT(SUBSTITUTE(C774,"'",""),4),MID(SUBSTITUTE(C774,"'",""),6,2),1),0)+1)</f>
        <v>0</v>
      </c>
      <c r="E774" s="17">
        <f t="shared" si="1"/>
        <v>131</v>
      </c>
      <c r="F774" s="17">
        <f t="shared" si="2"/>
        <v>0</v>
      </c>
    </row>
    <row r="775">
      <c r="A775" s="5" t="s">
        <v>62</v>
      </c>
      <c r="B775" s="6">
        <v>131.0</v>
      </c>
      <c r="C775" s="13" t="s">
        <v>257</v>
      </c>
      <c r="D775" s="17">
        <f>SUMIFS(ShadowLedger!$D:$D,ShadowLedger!$G:$G,A775,ShadowLedger!$C:$C,"&gt;="&amp;DATE(LEFT(SUBSTITUTE(C775,"'",""),4),MID(SUBSTITUTE(C775,"'",""),6,2),1),ShadowLedger!$C:$C,"&lt;"&amp;EOMONTH(DATE(LEFT(SUBSTITUTE(C775,"'",""),4),MID(SUBSTITUTE(C775,"'",""),6,2),1),0)+1)</f>
        <v>0</v>
      </c>
      <c r="E775" s="17">
        <f t="shared" si="1"/>
        <v>131</v>
      </c>
      <c r="F775" s="17">
        <f t="shared" si="2"/>
        <v>0</v>
      </c>
    </row>
    <row r="776">
      <c r="A776" s="5" t="s">
        <v>63</v>
      </c>
      <c r="B776" s="6">
        <v>109.0</v>
      </c>
      <c r="C776" s="13" t="s">
        <v>257</v>
      </c>
      <c r="D776" s="17">
        <f>SUMIFS(ShadowLedger!$D:$D,ShadowLedger!$G:$G,A776,ShadowLedger!$C:$C,"&gt;="&amp;DATE(LEFT(SUBSTITUTE(C776,"'",""),4),MID(SUBSTITUTE(C776,"'",""),6,2),1),ShadowLedger!$C:$C,"&lt;"&amp;EOMONTH(DATE(LEFT(SUBSTITUTE(C776,"'",""),4),MID(SUBSTITUTE(C776,"'",""),6,2),1),0)+1)</f>
        <v>0</v>
      </c>
      <c r="E776" s="17">
        <f t="shared" si="1"/>
        <v>109</v>
      </c>
      <c r="F776" s="17">
        <f t="shared" si="2"/>
        <v>0</v>
      </c>
    </row>
    <row r="777">
      <c r="A777" s="5" t="s">
        <v>64</v>
      </c>
      <c r="B777" s="6">
        <v>109.0</v>
      </c>
      <c r="C777" s="13" t="s">
        <v>257</v>
      </c>
      <c r="D777" s="17">
        <f>SUMIFS(ShadowLedger!$D:$D,ShadowLedger!$G:$G,A777,ShadowLedger!$C:$C,"&gt;="&amp;DATE(LEFT(SUBSTITUTE(C777,"'",""),4),MID(SUBSTITUTE(C777,"'",""),6,2),1),ShadowLedger!$C:$C,"&lt;"&amp;EOMONTH(DATE(LEFT(SUBSTITUTE(C777,"'",""),4),MID(SUBSTITUTE(C777,"'",""),6,2),1),0)+1)</f>
        <v>0</v>
      </c>
      <c r="E777" s="17">
        <f t="shared" si="1"/>
        <v>109</v>
      </c>
      <c r="F777" s="17">
        <f t="shared" si="2"/>
        <v>0</v>
      </c>
    </row>
    <row r="778">
      <c r="A778" s="5" t="s">
        <v>70</v>
      </c>
      <c r="B778" s="6">
        <v>109.0</v>
      </c>
      <c r="C778" s="13" t="s">
        <v>257</v>
      </c>
      <c r="D778" s="17">
        <f>SUMIFS(ShadowLedger!$D:$D,ShadowLedger!$G:$G,A778,ShadowLedger!$C:$C,"&gt;="&amp;DATE(LEFT(SUBSTITUTE(C778,"'",""),4),MID(SUBSTITUTE(C778,"'",""),6,2),1),ShadowLedger!$C:$C,"&lt;"&amp;EOMONTH(DATE(LEFT(SUBSTITUTE(C778,"'",""),4),MID(SUBSTITUTE(C778,"'",""),6,2),1),0)+1)</f>
        <v>0</v>
      </c>
      <c r="E778" s="17">
        <f t="shared" si="1"/>
        <v>109</v>
      </c>
      <c r="F778" s="17">
        <f t="shared" si="2"/>
        <v>0</v>
      </c>
    </row>
    <row r="779">
      <c r="A779" s="5" t="s">
        <v>65</v>
      </c>
      <c r="B779" s="6">
        <v>55.0</v>
      </c>
      <c r="C779" s="13" t="s">
        <v>257</v>
      </c>
      <c r="D779" s="17">
        <f>SUMIFS(ShadowLedger!$D:$D,ShadowLedger!$G:$G,A779,ShadowLedger!$C:$C,"&gt;="&amp;DATE(LEFT(SUBSTITUTE(C779,"'",""),4),MID(SUBSTITUTE(C779,"'",""),6,2),1),ShadowLedger!$C:$C,"&lt;"&amp;EOMONTH(DATE(LEFT(SUBSTITUTE(C779,"'",""),4),MID(SUBSTITUTE(C779,"'",""),6,2),1),0)+1)</f>
        <v>0</v>
      </c>
      <c r="E779" s="17">
        <f t="shared" si="1"/>
        <v>55</v>
      </c>
      <c r="F779" s="17">
        <f t="shared" si="2"/>
        <v>0</v>
      </c>
    </row>
    <row r="780">
      <c r="A780" s="5" t="s">
        <v>66</v>
      </c>
      <c r="B780" s="6">
        <v>55.0</v>
      </c>
      <c r="C780" s="13" t="s">
        <v>257</v>
      </c>
      <c r="D780" s="17">
        <f>SUMIFS(ShadowLedger!$D:$D,ShadowLedger!$G:$G,A780,ShadowLedger!$C:$C,"&gt;="&amp;DATE(LEFT(SUBSTITUTE(C780,"'",""),4),MID(SUBSTITUTE(C780,"'",""),6,2),1),ShadowLedger!$C:$C,"&lt;"&amp;EOMONTH(DATE(LEFT(SUBSTITUTE(C780,"'",""),4),MID(SUBSTITUTE(C780,"'",""),6,2),1),0)+1)</f>
        <v>0</v>
      </c>
      <c r="E780" s="17">
        <f t="shared" si="1"/>
        <v>55</v>
      </c>
      <c r="F780" s="17">
        <f t="shared" si="2"/>
        <v>0</v>
      </c>
    </row>
    <row r="781">
      <c r="A781" s="5" t="s">
        <v>67</v>
      </c>
      <c r="B781" s="6">
        <v>55.0</v>
      </c>
      <c r="C781" s="13" t="s">
        <v>257</v>
      </c>
      <c r="D781" s="17">
        <f>SUMIFS(ShadowLedger!$D:$D,ShadowLedger!$G:$G,A781,ShadowLedger!$C:$C,"&gt;="&amp;DATE(LEFT(SUBSTITUTE(C781,"'",""),4),MID(SUBSTITUTE(C781,"'",""),6,2),1),ShadowLedger!$C:$C,"&lt;"&amp;EOMONTH(DATE(LEFT(SUBSTITUTE(C781,"'",""),4),MID(SUBSTITUTE(C781,"'",""),6,2),1),0)+1)</f>
        <v>0</v>
      </c>
      <c r="E781" s="17">
        <f t="shared" si="1"/>
        <v>55</v>
      </c>
      <c r="F781" s="17">
        <f t="shared" si="2"/>
        <v>0</v>
      </c>
    </row>
    <row r="782">
      <c r="A782" s="5" t="s">
        <v>68</v>
      </c>
      <c r="B782" s="6">
        <v>55.0</v>
      </c>
      <c r="C782" s="13" t="s">
        <v>257</v>
      </c>
      <c r="D782" s="17">
        <f>SUMIFS(ShadowLedger!$D:$D,ShadowLedger!$G:$G,A782,ShadowLedger!$C:$C,"&gt;="&amp;DATE(LEFT(SUBSTITUTE(C782,"'",""),4),MID(SUBSTITUTE(C782,"'",""),6,2),1),ShadowLedger!$C:$C,"&lt;"&amp;EOMONTH(DATE(LEFT(SUBSTITUTE(C782,"'",""),4),MID(SUBSTITUTE(C782,"'",""),6,2),1),0)+1)</f>
        <v>0</v>
      </c>
      <c r="E782" s="17">
        <f t="shared" si="1"/>
        <v>55</v>
      </c>
      <c r="F782" s="17">
        <f t="shared" si="2"/>
        <v>0</v>
      </c>
    </row>
    <row r="783">
      <c r="A783" s="5" t="s">
        <v>69</v>
      </c>
      <c r="B783" s="6">
        <v>0.0</v>
      </c>
      <c r="C783" s="13" t="s">
        <v>257</v>
      </c>
      <c r="D783" s="17">
        <f>SUMIFS(ShadowLedger!$D:$D,ShadowLedger!$G:$G,A783,ShadowLedger!$C:$C,"&gt;="&amp;DATE(LEFT(SUBSTITUTE(C783,"'",""),4),MID(SUBSTITUTE(C783,"'",""),6,2),1),ShadowLedger!$C:$C,"&lt;"&amp;EOMONTH(DATE(LEFT(SUBSTITUTE(C783,"'",""),4),MID(SUBSTITUTE(C783,"'",""),6,2),1),0)+1)</f>
        <v>0</v>
      </c>
      <c r="E783" s="17">
        <f t="shared" si="1"/>
        <v>0</v>
      </c>
      <c r="F783" s="17">
        <f t="shared" si="2"/>
        <v>0</v>
      </c>
    </row>
    <row r="784">
      <c r="A784" s="5" t="s">
        <v>54</v>
      </c>
      <c r="B784" s="6">
        <v>1005.0</v>
      </c>
      <c r="C784" s="13" t="s">
        <v>258</v>
      </c>
      <c r="D784" s="17">
        <f>SUMIFS(ShadowLedger!$D:$D,ShadowLedger!$G:$G,A784,ShadowLedger!$C:$C,"&gt;="&amp;DATE(LEFT(SUBSTITUTE(C784,"'",""),4),MID(SUBSTITUTE(C784,"'",""),6,2),1),ShadowLedger!$C:$C,"&lt;"&amp;EOMONTH(DATE(LEFT(SUBSTITUTE(C784,"'",""),4),MID(SUBSTITUTE(C784,"'",""),6,2),1),0)+1)</f>
        <v>0</v>
      </c>
      <c r="E784" s="17">
        <f t="shared" si="1"/>
        <v>1005</v>
      </c>
      <c r="F784" s="17">
        <f t="shared" si="2"/>
        <v>0</v>
      </c>
    </row>
    <row r="785">
      <c r="A785" s="5" t="s">
        <v>55</v>
      </c>
      <c r="B785" s="6">
        <v>765.0</v>
      </c>
      <c r="C785" s="13" t="s">
        <v>258</v>
      </c>
      <c r="D785" s="17">
        <f>SUMIFS(ShadowLedger!$D:$D,ShadowLedger!$G:$G,A785,ShadowLedger!$C:$C,"&gt;="&amp;DATE(LEFT(SUBSTITUTE(C785,"'",""),4),MID(SUBSTITUTE(C785,"'",""),6,2),1),ShadowLedger!$C:$C,"&lt;"&amp;EOMONTH(DATE(LEFT(SUBSTITUTE(C785,"'",""),4),MID(SUBSTITUTE(C785,"'",""),6,2),1),0)+1)</f>
        <v>0</v>
      </c>
      <c r="E785" s="17">
        <f t="shared" si="1"/>
        <v>765</v>
      </c>
      <c r="F785" s="17">
        <f t="shared" si="2"/>
        <v>0</v>
      </c>
    </row>
    <row r="786">
      <c r="A786" s="5" t="s">
        <v>56</v>
      </c>
      <c r="B786" s="6">
        <v>546.0</v>
      </c>
      <c r="C786" s="13" t="s">
        <v>258</v>
      </c>
      <c r="D786" s="17">
        <f>SUMIFS(ShadowLedger!$D:$D,ShadowLedger!$G:$G,A786,ShadowLedger!$C:$C,"&gt;="&amp;DATE(LEFT(SUBSTITUTE(C786,"'",""),4),MID(SUBSTITUTE(C786,"'",""),6,2),1),ShadowLedger!$C:$C,"&lt;"&amp;EOMONTH(DATE(LEFT(SUBSTITUTE(C786,"'",""),4),MID(SUBSTITUTE(C786,"'",""),6,2),1),0)+1)</f>
        <v>0</v>
      </c>
      <c r="E786" s="17">
        <f t="shared" si="1"/>
        <v>546</v>
      </c>
      <c r="F786" s="17">
        <f t="shared" si="2"/>
        <v>0</v>
      </c>
    </row>
    <row r="787">
      <c r="A787" s="5" t="s">
        <v>57</v>
      </c>
      <c r="B787" s="6">
        <v>546.0</v>
      </c>
      <c r="C787" s="13" t="s">
        <v>258</v>
      </c>
      <c r="D787" s="17">
        <f>SUMIFS(ShadowLedger!$D:$D,ShadowLedger!$G:$G,A787,ShadowLedger!$C:$C,"&gt;="&amp;DATE(LEFT(SUBSTITUTE(C787,"'",""),4),MID(SUBSTITUTE(C787,"'",""),6,2),1),ShadowLedger!$C:$C,"&lt;"&amp;EOMONTH(DATE(LEFT(SUBSTITUTE(C787,"'",""),4),MID(SUBSTITUTE(C787,"'",""),6,2),1),0)+1)</f>
        <v>0</v>
      </c>
      <c r="E787" s="17">
        <f t="shared" si="1"/>
        <v>546</v>
      </c>
      <c r="F787" s="17">
        <f t="shared" si="2"/>
        <v>0</v>
      </c>
    </row>
    <row r="788">
      <c r="A788" s="5" t="s">
        <v>58</v>
      </c>
      <c r="B788" s="6">
        <v>437.0</v>
      </c>
      <c r="C788" s="13" t="s">
        <v>258</v>
      </c>
      <c r="D788" s="17">
        <f>SUMIFS(ShadowLedger!$D:$D,ShadowLedger!$G:$G,A788,ShadowLedger!$C:$C,"&gt;="&amp;DATE(LEFT(SUBSTITUTE(C788,"'",""),4),MID(SUBSTITUTE(C788,"'",""),6,2),1),ShadowLedger!$C:$C,"&lt;"&amp;EOMONTH(DATE(LEFT(SUBSTITUTE(C788,"'",""),4),MID(SUBSTITUTE(C788,"'",""),6,2),1),0)+1)</f>
        <v>0</v>
      </c>
      <c r="E788" s="17">
        <f t="shared" si="1"/>
        <v>437</v>
      </c>
      <c r="F788" s="17">
        <f t="shared" si="2"/>
        <v>0</v>
      </c>
    </row>
    <row r="789">
      <c r="A789" s="5" t="s">
        <v>59</v>
      </c>
      <c r="B789" s="6">
        <v>219.0</v>
      </c>
      <c r="C789" s="13" t="s">
        <v>258</v>
      </c>
      <c r="D789" s="17">
        <f>SUMIFS(ShadowLedger!$D:$D,ShadowLedger!$G:$G,A789,ShadowLedger!$C:$C,"&gt;="&amp;DATE(LEFT(SUBSTITUTE(C789,"'",""),4),MID(SUBSTITUTE(C789,"'",""),6,2),1),ShadowLedger!$C:$C,"&lt;"&amp;EOMONTH(DATE(LEFT(SUBSTITUTE(C789,"'",""),4),MID(SUBSTITUTE(C789,"'",""),6,2),1),0)+1)</f>
        <v>0</v>
      </c>
      <c r="E789" s="17">
        <f t="shared" si="1"/>
        <v>219</v>
      </c>
      <c r="F789" s="17">
        <f t="shared" si="2"/>
        <v>0</v>
      </c>
    </row>
    <row r="790">
      <c r="A790" s="5" t="s">
        <v>60</v>
      </c>
      <c r="B790" s="6">
        <v>164.0</v>
      </c>
      <c r="C790" s="13" t="s">
        <v>258</v>
      </c>
      <c r="D790" s="17">
        <f>SUMIFS(ShadowLedger!$D:$D,ShadowLedger!$G:$G,A790,ShadowLedger!$C:$C,"&gt;="&amp;DATE(LEFT(SUBSTITUTE(C790,"'",""),4),MID(SUBSTITUTE(C790,"'",""),6,2),1),ShadowLedger!$C:$C,"&lt;"&amp;EOMONTH(DATE(LEFT(SUBSTITUTE(C790,"'",""),4),MID(SUBSTITUTE(C790,"'",""),6,2),1),0)+1)</f>
        <v>0</v>
      </c>
      <c r="E790" s="17">
        <f t="shared" si="1"/>
        <v>164</v>
      </c>
      <c r="F790" s="17">
        <f t="shared" si="2"/>
        <v>0</v>
      </c>
    </row>
    <row r="791">
      <c r="A791" s="5" t="s">
        <v>61</v>
      </c>
      <c r="B791" s="6">
        <v>131.0</v>
      </c>
      <c r="C791" s="13" t="s">
        <v>258</v>
      </c>
      <c r="D791" s="17">
        <f>SUMIFS(ShadowLedger!$D:$D,ShadowLedger!$G:$G,A791,ShadowLedger!$C:$C,"&gt;="&amp;DATE(LEFT(SUBSTITUTE(C791,"'",""),4),MID(SUBSTITUTE(C791,"'",""),6,2),1),ShadowLedger!$C:$C,"&lt;"&amp;EOMONTH(DATE(LEFT(SUBSTITUTE(C791,"'",""),4),MID(SUBSTITUTE(C791,"'",""),6,2),1),0)+1)</f>
        <v>0</v>
      </c>
      <c r="E791" s="17">
        <f t="shared" si="1"/>
        <v>131</v>
      </c>
      <c r="F791" s="17">
        <f t="shared" si="2"/>
        <v>0</v>
      </c>
    </row>
    <row r="792">
      <c r="A792" s="5" t="s">
        <v>62</v>
      </c>
      <c r="B792" s="6">
        <v>131.0</v>
      </c>
      <c r="C792" s="13" t="s">
        <v>258</v>
      </c>
      <c r="D792" s="17">
        <f>SUMIFS(ShadowLedger!$D:$D,ShadowLedger!$G:$G,A792,ShadowLedger!$C:$C,"&gt;="&amp;DATE(LEFT(SUBSTITUTE(C792,"'",""),4),MID(SUBSTITUTE(C792,"'",""),6,2),1),ShadowLedger!$C:$C,"&lt;"&amp;EOMONTH(DATE(LEFT(SUBSTITUTE(C792,"'",""),4),MID(SUBSTITUTE(C792,"'",""),6,2),1),0)+1)</f>
        <v>0</v>
      </c>
      <c r="E792" s="17">
        <f t="shared" si="1"/>
        <v>131</v>
      </c>
      <c r="F792" s="17">
        <f t="shared" si="2"/>
        <v>0</v>
      </c>
    </row>
    <row r="793">
      <c r="A793" s="5" t="s">
        <v>63</v>
      </c>
      <c r="B793" s="6">
        <v>109.0</v>
      </c>
      <c r="C793" s="13" t="s">
        <v>258</v>
      </c>
      <c r="D793" s="17">
        <f>SUMIFS(ShadowLedger!$D:$D,ShadowLedger!$G:$G,A793,ShadowLedger!$C:$C,"&gt;="&amp;DATE(LEFT(SUBSTITUTE(C793,"'",""),4),MID(SUBSTITUTE(C793,"'",""),6,2),1),ShadowLedger!$C:$C,"&lt;"&amp;EOMONTH(DATE(LEFT(SUBSTITUTE(C793,"'",""),4),MID(SUBSTITUTE(C793,"'",""),6,2),1),0)+1)</f>
        <v>0</v>
      </c>
      <c r="E793" s="17">
        <f t="shared" si="1"/>
        <v>109</v>
      </c>
      <c r="F793" s="17">
        <f t="shared" si="2"/>
        <v>0</v>
      </c>
    </row>
    <row r="794">
      <c r="A794" s="5" t="s">
        <v>64</v>
      </c>
      <c r="B794" s="6">
        <v>109.0</v>
      </c>
      <c r="C794" s="13" t="s">
        <v>258</v>
      </c>
      <c r="D794" s="17">
        <f>SUMIFS(ShadowLedger!$D:$D,ShadowLedger!$G:$G,A794,ShadowLedger!$C:$C,"&gt;="&amp;DATE(LEFT(SUBSTITUTE(C794,"'",""),4),MID(SUBSTITUTE(C794,"'",""),6,2),1),ShadowLedger!$C:$C,"&lt;"&amp;EOMONTH(DATE(LEFT(SUBSTITUTE(C794,"'",""),4),MID(SUBSTITUTE(C794,"'",""),6,2),1),0)+1)</f>
        <v>0</v>
      </c>
      <c r="E794" s="17">
        <f t="shared" si="1"/>
        <v>109</v>
      </c>
      <c r="F794" s="17">
        <f t="shared" si="2"/>
        <v>0</v>
      </c>
    </row>
    <row r="795">
      <c r="A795" s="5" t="s">
        <v>70</v>
      </c>
      <c r="B795" s="6">
        <v>109.0</v>
      </c>
      <c r="C795" s="13" t="s">
        <v>258</v>
      </c>
      <c r="D795" s="17">
        <f>SUMIFS(ShadowLedger!$D:$D,ShadowLedger!$G:$G,A795,ShadowLedger!$C:$C,"&gt;="&amp;DATE(LEFT(SUBSTITUTE(C795,"'",""),4),MID(SUBSTITUTE(C795,"'",""),6,2),1),ShadowLedger!$C:$C,"&lt;"&amp;EOMONTH(DATE(LEFT(SUBSTITUTE(C795,"'",""),4),MID(SUBSTITUTE(C795,"'",""),6,2),1),0)+1)</f>
        <v>0</v>
      </c>
      <c r="E795" s="17">
        <f t="shared" si="1"/>
        <v>109</v>
      </c>
      <c r="F795" s="17">
        <f t="shared" si="2"/>
        <v>0</v>
      </c>
    </row>
    <row r="796">
      <c r="A796" s="5" t="s">
        <v>65</v>
      </c>
      <c r="B796" s="6">
        <v>55.0</v>
      </c>
      <c r="C796" s="13" t="s">
        <v>258</v>
      </c>
      <c r="D796" s="17">
        <f>SUMIFS(ShadowLedger!$D:$D,ShadowLedger!$G:$G,A796,ShadowLedger!$C:$C,"&gt;="&amp;DATE(LEFT(SUBSTITUTE(C796,"'",""),4),MID(SUBSTITUTE(C796,"'",""),6,2),1),ShadowLedger!$C:$C,"&lt;"&amp;EOMONTH(DATE(LEFT(SUBSTITUTE(C796,"'",""),4),MID(SUBSTITUTE(C796,"'",""),6,2),1),0)+1)</f>
        <v>0</v>
      </c>
      <c r="E796" s="17">
        <f t="shared" si="1"/>
        <v>55</v>
      </c>
      <c r="F796" s="17">
        <f t="shared" si="2"/>
        <v>0</v>
      </c>
    </row>
    <row r="797">
      <c r="A797" s="5" t="s">
        <v>66</v>
      </c>
      <c r="B797" s="6">
        <v>55.0</v>
      </c>
      <c r="C797" s="13" t="s">
        <v>258</v>
      </c>
      <c r="D797" s="17">
        <f>SUMIFS(ShadowLedger!$D:$D,ShadowLedger!$G:$G,A797,ShadowLedger!$C:$C,"&gt;="&amp;DATE(LEFT(SUBSTITUTE(C797,"'",""),4),MID(SUBSTITUTE(C797,"'",""),6,2),1),ShadowLedger!$C:$C,"&lt;"&amp;EOMONTH(DATE(LEFT(SUBSTITUTE(C797,"'",""),4),MID(SUBSTITUTE(C797,"'",""),6,2),1),0)+1)</f>
        <v>0</v>
      </c>
      <c r="E797" s="17">
        <f t="shared" si="1"/>
        <v>55</v>
      </c>
      <c r="F797" s="17">
        <f t="shared" si="2"/>
        <v>0</v>
      </c>
    </row>
    <row r="798">
      <c r="A798" s="5" t="s">
        <v>67</v>
      </c>
      <c r="B798" s="6">
        <v>55.0</v>
      </c>
      <c r="C798" s="13" t="s">
        <v>258</v>
      </c>
      <c r="D798" s="17">
        <f>SUMIFS(ShadowLedger!$D:$D,ShadowLedger!$G:$G,A798,ShadowLedger!$C:$C,"&gt;="&amp;DATE(LEFT(SUBSTITUTE(C798,"'",""),4),MID(SUBSTITUTE(C798,"'",""),6,2),1),ShadowLedger!$C:$C,"&lt;"&amp;EOMONTH(DATE(LEFT(SUBSTITUTE(C798,"'",""),4),MID(SUBSTITUTE(C798,"'",""),6,2),1),0)+1)</f>
        <v>0</v>
      </c>
      <c r="E798" s="17">
        <f t="shared" si="1"/>
        <v>55</v>
      </c>
      <c r="F798" s="17">
        <f t="shared" si="2"/>
        <v>0</v>
      </c>
    </row>
    <row r="799">
      <c r="A799" s="5" t="s">
        <v>68</v>
      </c>
      <c r="B799" s="6">
        <v>55.0</v>
      </c>
      <c r="C799" s="13" t="s">
        <v>258</v>
      </c>
      <c r="D799" s="17">
        <f>SUMIFS(ShadowLedger!$D:$D,ShadowLedger!$G:$G,A799,ShadowLedger!$C:$C,"&gt;="&amp;DATE(LEFT(SUBSTITUTE(C799,"'",""),4),MID(SUBSTITUTE(C799,"'",""),6,2),1),ShadowLedger!$C:$C,"&lt;"&amp;EOMONTH(DATE(LEFT(SUBSTITUTE(C799,"'",""),4),MID(SUBSTITUTE(C799,"'",""),6,2),1),0)+1)</f>
        <v>0</v>
      </c>
      <c r="E799" s="17">
        <f t="shared" si="1"/>
        <v>55</v>
      </c>
      <c r="F799" s="17">
        <f t="shared" si="2"/>
        <v>0</v>
      </c>
    </row>
    <row r="800">
      <c r="A800" s="5" t="s">
        <v>69</v>
      </c>
      <c r="B800" s="6">
        <v>0.0</v>
      </c>
      <c r="C800" s="13" t="s">
        <v>258</v>
      </c>
      <c r="D800" s="17">
        <f>SUMIFS(ShadowLedger!$D:$D,ShadowLedger!$G:$G,A800,ShadowLedger!$C:$C,"&gt;="&amp;DATE(LEFT(SUBSTITUTE(C800,"'",""),4),MID(SUBSTITUTE(C800,"'",""),6,2),1),ShadowLedger!$C:$C,"&lt;"&amp;EOMONTH(DATE(LEFT(SUBSTITUTE(C800,"'",""),4),MID(SUBSTITUTE(C800,"'",""),6,2),1),0)+1)</f>
        <v>0</v>
      </c>
      <c r="E800" s="17">
        <f t="shared" si="1"/>
        <v>0</v>
      </c>
      <c r="F800" s="17">
        <f t="shared" si="2"/>
        <v>0</v>
      </c>
    </row>
    <row r="801">
      <c r="A801" s="5" t="s">
        <v>54</v>
      </c>
      <c r="B801" s="6">
        <v>1005.0</v>
      </c>
      <c r="C801" s="13" t="s">
        <v>259</v>
      </c>
      <c r="D801" s="17">
        <f>SUMIFS(ShadowLedger!$D:$D,ShadowLedger!$G:$G,A801,ShadowLedger!$C:$C,"&gt;="&amp;DATE(LEFT(SUBSTITUTE(C801,"'",""),4),MID(SUBSTITUTE(C801,"'",""),6,2),1),ShadowLedger!$C:$C,"&lt;"&amp;EOMONTH(DATE(LEFT(SUBSTITUTE(C801,"'",""),4),MID(SUBSTITUTE(C801,"'",""),6,2),1),0)+1)</f>
        <v>0</v>
      </c>
      <c r="E801" s="17">
        <f t="shared" si="1"/>
        <v>1005</v>
      </c>
      <c r="F801" s="17">
        <f t="shared" si="2"/>
        <v>0</v>
      </c>
    </row>
    <row r="802">
      <c r="A802" s="5" t="s">
        <v>55</v>
      </c>
      <c r="B802" s="6">
        <v>765.0</v>
      </c>
      <c r="C802" s="13" t="s">
        <v>259</v>
      </c>
      <c r="D802" s="17">
        <f>SUMIFS(ShadowLedger!$D:$D,ShadowLedger!$G:$G,A802,ShadowLedger!$C:$C,"&gt;="&amp;DATE(LEFT(SUBSTITUTE(C802,"'",""),4),MID(SUBSTITUTE(C802,"'",""),6,2),1),ShadowLedger!$C:$C,"&lt;"&amp;EOMONTH(DATE(LEFT(SUBSTITUTE(C802,"'",""),4),MID(SUBSTITUTE(C802,"'",""),6,2),1),0)+1)</f>
        <v>0</v>
      </c>
      <c r="E802" s="17">
        <f t="shared" si="1"/>
        <v>765</v>
      </c>
      <c r="F802" s="17">
        <f t="shared" si="2"/>
        <v>0</v>
      </c>
    </row>
    <row r="803">
      <c r="A803" s="5" t="s">
        <v>56</v>
      </c>
      <c r="B803" s="6">
        <v>546.0</v>
      </c>
      <c r="C803" s="13" t="s">
        <v>259</v>
      </c>
      <c r="D803" s="17">
        <f>SUMIFS(ShadowLedger!$D:$D,ShadowLedger!$G:$G,A803,ShadowLedger!$C:$C,"&gt;="&amp;DATE(LEFT(SUBSTITUTE(C803,"'",""),4),MID(SUBSTITUTE(C803,"'",""),6,2),1),ShadowLedger!$C:$C,"&lt;"&amp;EOMONTH(DATE(LEFT(SUBSTITUTE(C803,"'",""),4),MID(SUBSTITUTE(C803,"'",""),6,2),1),0)+1)</f>
        <v>0</v>
      </c>
      <c r="E803" s="17">
        <f t="shared" si="1"/>
        <v>546</v>
      </c>
      <c r="F803" s="17">
        <f t="shared" si="2"/>
        <v>0</v>
      </c>
    </row>
    <row r="804">
      <c r="A804" s="5" t="s">
        <v>57</v>
      </c>
      <c r="B804" s="6">
        <v>546.0</v>
      </c>
      <c r="C804" s="13" t="s">
        <v>259</v>
      </c>
      <c r="D804" s="17">
        <f>SUMIFS(ShadowLedger!$D:$D,ShadowLedger!$G:$G,A804,ShadowLedger!$C:$C,"&gt;="&amp;DATE(LEFT(SUBSTITUTE(C804,"'",""),4),MID(SUBSTITUTE(C804,"'",""),6,2),1),ShadowLedger!$C:$C,"&lt;"&amp;EOMONTH(DATE(LEFT(SUBSTITUTE(C804,"'",""),4),MID(SUBSTITUTE(C804,"'",""),6,2),1),0)+1)</f>
        <v>0</v>
      </c>
      <c r="E804" s="17">
        <f t="shared" si="1"/>
        <v>546</v>
      </c>
      <c r="F804" s="17">
        <f t="shared" si="2"/>
        <v>0</v>
      </c>
    </row>
    <row r="805">
      <c r="A805" s="5" t="s">
        <v>58</v>
      </c>
      <c r="B805" s="6">
        <v>437.0</v>
      </c>
      <c r="C805" s="13" t="s">
        <v>259</v>
      </c>
      <c r="D805" s="17">
        <f>SUMIFS(ShadowLedger!$D:$D,ShadowLedger!$G:$G,A805,ShadowLedger!$C:$C,"&gt;="&amp;DATE(LEFT(SUBSTITUTE(C805,"'",""),4),MID(SUBSTITUTE(C805,"'",""),6,2),1),ShadowLedger!$C:$C,"&lt;"&amp;EOMONTH(DATE(LEFT(SUBSTITUTE(C805,"'",""),4),MID(SUBSTITUTE(C805,"'",""),6,2),1),0)+1)</f>
        <v>0</v>
      </c>
      <c r="E805" s="17">
        <f t="shared" si="1"/>
        <v>437</v>
      </c>
      <c r="F805" s="17">
        <f t="shared" si="2"/>
        <v>0</v>
      </c>
    </row>
    <row r="806">
      <c r="A806" s="5" t="s">
        <v>59</v>
      </c>
      <c r="B806" s="6">
        <v>219.0</v>
      </c>
      <c r="C806" s="13" t="s">
        <v>259</v>
      </c>
      <c r="D806" s="17">
        <f>SUMIFS(ShadowLedger!$D:$D,ShadowLedger!$G:$G,A806,ShadowLedger!$C:$C,"&gt;="&amp;DATE(LEFT(SUBSTITUTE(C806,"'",""),4),MID(SUBSTITUTE(C806,"'",""),6,2),1),ShadowLedger!$C:$C,"&lt;"&amp;EOMONTH(DATE(LEFT(SUBSTITUTE(C806,"'",""),4),MID(SUBSTITUTE(C806,"'",""),6,2),1),0)+1)</f>
        <v>0</v>
      </c>
      <c r="E806" s="17">
        <f t="shared" si="1"/>
        <v>219</v>
      </c>
      <c r="F806" s="17">
        <f t="shared" si="2"/>
        <v>0</v>
      </c>
    </row>
    <row r="807">
      <c r="A807" s="5" t="s">
        <v>60</v>
      </c>
      <c r="B807" s="6">
        <v>164.0</v>
      </c>
      <c r="C807" s="13" t="s">
        <v>259</v>
      </c>
      <c r="D807" s="17">
        <f>SUMIFS(ShadowLedger!$D:$D,ShadowLedger!$G:$G,A807,ShadowLedger!$C:$C,"&gt;="&amp;DATE(LEFT(SUBSTITUTE(C807,"'",""),4),MID(SUBSTITUTE(C807,"'",""),6,2),1),ShadowLedger!$C:$C,"&lt;"&amp;EOMONTH(DATE(LEFT(SUBSTITUTE(C807,"'",""),4),MID(SUBSTITUTE(C807,"'",""),6,2),1),0)+1)</f>
        <v>0</v>
      </c>
      <c r="E807" s="17">
        <f t="shared" si="1"/>
        <v>164</v>
      </c>
      <c r="F807" s="17">
        <f t="shared" si="2"/>
        <v>0</v>
      </c>
    </row>
    <row r="808">
      <c r="A808" s="5" t="s">
        <v>61</v>
      </c>
      <c r="B808" s="6">
        <v>131.0</v>
      </c>
      <c r="C808" s="13" t="s">
        <v>259</v>
      </c>
      <c r="D808" s="17">
        <f>SUMIFS(ShadowLedger!$D:$D,ShadowLedger!$G:$G,A808,ShadowLedger!$C:$C,"&gt;="&amp;DATE(LEFT(SUBSTITUTE(C808,"'",""),4),MID(SUBSTITUTE(C808,"'",""),6,2),1),ShadowLedger!$C:$C,"&lt;"&amp;EOMONTH(DATE(LEFT(SUBSTITUTE(C808,"'",""),4),MID(SUBSTITUTE(C808,"'",""),6,2),1),0)+1)</f>
        <v>0</v>
      </c>
      <c r="E808" s="17">
        <f t="shared" si="1"/>
        <v>131</v>
      </c>
      <c r="F808" s="17">
        <f t="shared" si="2"/>
        <v>0</v>
      </c>
    </row>
    <row r="809">
      <c r="A809" s="5" t="s">
        <v>62</v>
      </c>
      <c r="B809" s="6">
        <v>131.0</v>
      </c>
      <c r="C809" s="13" t="s">
        <v>259</v>
      </c>
      <c r="D809" s="17">
        <f>SUMIFS(ShadowLedger!$D:$D,ShadowLedger!$G:$G,A809,ShadowLedger!$C:$C,"&gt;="&amp;DATE(LEFT(SUBSTITUTE(C809,"'",""),4),MID(SUBSTITUTE(C809,"'",""),6,2),1),ShadowLedger!$C:$C,"&lt;"&amp;EOMONTH(DATE(LEFT(SUBSTITUTE(C809,"'",""),4),MID(SUBSTITUTE(C809,"'",""),6,2),1),0)+1)</f>
        <v>0</v>
      </c>
      <c r="E809" s="17">
        <f t="shared" si="1"/>
        <v>131</v>
      </c>
      <c r="F809" s="17">
        <f t="shared" si="2"/>
        <v>0</v>
      </c>
    </row>
    <row r="810">
      <c r="A810" s="5" t="s">
        <v>63</v>
      </c>
      <c r="B810" s="6">
        <v>109.0</v>
      </c>
      <c r="C810" s="13" t="s">
        <v>259</v>
      </c>
      <c r="D810" s="17">
        <f>SUMIFS(ShadowLedger!$D:$D,ShadowLedger!$G:$G,A810,ShadowLedger!$C:$C,"&gt;="&amp;DATE(LEFT(SUBSTITUTE(C810,"'",""),4),MID(SUBSTITUTE(C810,"'",""),6,2),1),ShadowLedger!$C:$C,"&lt;"&amp;EOMONTH(DATE(LEFT(SUBSTITUTE(C810,"'",""),4),MID(SUBSTITUTE(C810,"'",""),6,2),1),0)+1)</f>
        <v>0</v>
      </c>
      <c r="E810" s="17">
        <f t="shared" si="1"/>
        <v>109</v>
      </c>
      <c r="F810" s="17">
        <f t="shared" si="2"/>
        <v>0</v>
      </c>
    </row>
    <row r="811">
      <c r="A811" s="5" t="s">
        <v>64</v>
      </c>
      <c r="B811" s="6">
        <v>109.0</v>
      </c>
      <c r="C811" s="13" t="s">
        <v>259</v>
      </c>
      <c r="D811" s="17">
        <f>SUMIFS(ShadowLedger!$D:$D,ShadowLedger!$G:$G,A811,ShadowLedger!$C:$C,"&gt;="&amp;DATE(LEFT(SUBSTITUTE(C811,"'",""),4),MID(SUBSTITUTE(C811,"'",""),6,2),1),ShadowLedger!$C:$C,"&lt;"&amp;EOMONTH(DATE(LEFT(SUBSTITUTE(C811,"'",""),4),MID(SUBSTITUTE(C811,"'",""),6,2),1),0)+1)</f>
        <v>0</v>
      </c>
      <c r="E811" s="17">
        <f t="shared" si="1"/>
        <v>109</v>
      </c>
      <c r="F811" s="17">
        <f t="shared" si="2"/>
        <v>0</v>
      </c>
    </row>
    <row r="812">
      <c r="A812" s="5" t="s">
        <v>70</v>
      </c>
      <c r="B812" s="6">
        <v>109.0</v>
      </c>
      <c r="C812" s="13" t="s">
        <v>259</v>
      </c>
      <c r="D812" s="17">
        <f>SUMIFS(ShadowLedger!$D:$D,ShadowLedger!$G:$G,A812,ShadowLedger!$C:$C,"&gt;="&amp;DATE(LEFT(SUBSTITUTE(C812,"'",""),4),MID(SUBSTITUTE(C812,"'",""),6,2),1),ShadowLedger!$C:$C,"&lt;"&amp;EOMONTH(DATE(LEFT(SUBSTITUTE(C812,"'",""),4),MID(SUBSTITUTE(C812,"'",""),6,2),1),0)+1)</f>
        <v>0</v>
      </c>
      <c r="E812" s="17">
        <f t="shared" si="1"/>
        <v>109</v>
      </c>
      <c r="F812" s="17">
        <f t="shared" si="2"/>
        <v>0</v>
      </c>
    </row>
    <row r="813">
      <c r="A813" s="5" t="s">
        <v>65</v>
      </c>
      <c r="B813" s="6">
        <v>55.0</v>
      </c>
      <c r="C813" s="13" t="s">
        <v>259</v>
      </c>
      <c r="D813" s="17">
        <f>SUMIFS(ShadowLedger!$D:$D,ShadowLedger!$G:$G,A813,ShadowLedger!$C:$C,"&gt;="&amp;DATE(LEFT(SUBSTITUTE(C813,"'",""),4),MID(SUBSTITUTE(C813,"'",""),6,2),1),ShadowLedger!$C:$C,"&lt;"&amp;EOMONTH(DATE(LEFT(SUBSTITUTE(C813,"'",""),4),MID(SUBSTITUTE(C813,"'",""),6,2),1),0)+1)</f>
        <v>0</v>
      </c>
      <c r="E813" s="17">
        <f t="shared" si="1"/>
        <v>55</v>
      </c>
      <c r="F813" s="17">
        <f t="shared" si="2"/>
        <v>0</v>
      </c>
    </row>
    <row r="814">
      <c r="A814" s="5" t="s">
        <v>66</v>
      </c>
      <c r="B814" s="6">
        <v>55.0</v>
      </c>
      <c r="C814" s="13" t="s">
        <v>259</v>
      </c>
      <c r="D814" s="17">
        <f>SUMIFS(ShadowLedger!$D:$D,ShadowLedger!$G:$G,A814,ShadowLedger!$C:$C,"&gt;="&amp;DATE(LEFT(SUBSTITUTE(C814,"'",""),4),MID(SUBSTITUTE(C814,"'",""),6,2),1),ShadowLedger!$C:$C,"&lt;"&amp;EOMONTH(DATE(LEFT(SUBSTITUTE(C814,"'",""),4),MID(SUBSTITUTE(C814,"'",""),6,2),1),0)+1)</f>
        <v>0</v>
      </c>
      <c r="E814" s="17">
        <f t="shared" si="1"/>
        <v>55</v>
      </c>
      <c r="F814" s="17">
        <f t="shared" si="2"/>
        <v>0</v>
      </c>
    </row>
    <row r="815">
      <c r="A815" s="5" t="s">
        <v>67</v>
      </c>
      <c r="B815" s="6">
        <v>55.0</v>
      </c>
      <c r="C815" s="13" t="s">
        <v>259</v>
      </c>
      <c r="D815" s="17">
        <f>SUMIFS(ShadowLedger!$D:$D,ShadowLedger!$G:$G,A815,ShadowLedger!$C:$C,"&gt;="&amp;DATE(LEFT(SUBSTITUTE(C815,"'",""),4),MID(SUBSTITUTE(C815,"'",""),6,2),1),ShadowLedger!$C:$C,"&lt;"&amp;EOMONTH(DATE(LEFT(SUBSTITUTE(C815,"'",""),4),MID(SUBSTITUTE(C815,"'",""),6,2),1),0)+1)</f>
        <v>0</v>
      </c>
      <c r="E815" s="17">
        <f t="shared" si="1"/>
        <v>55</v>
      </c>
      <c r="F815" s="17">
        <f t="shared" si="2"/>
        <v>0</v>
      </c>
    </row>
    <row r="816">
      <c r="A816" s="5" t="s">
        <v>68</v>
      </c>
      <c r="B816" s="6">
        <v>55.0</v>
      </c>
      <c r="C816" s="13" t="s">
        <v>259</v>
      </c>
      <c r="D816" s="17">
        <f>SUMIFS(ShadowLedger!$D:$D,ShadowLedger!$G:$G,A816,ShadowLedger!$C:$C,"&gt;="&amp;DATE(LEFT(SUBSTITUTE(C816,"'",""),4),MID(SUBSTITUTE(C816,"'",""),6,2),1),ShadowLedger!$C:$C,"&lt;"&amp;EOMONTH(DATE(LEFT(SUBSTITUTE(C816,"'",""),4),MID(SUBSTITUTE(C816,"'",""),6,2),1),0)+1)</f>
        <v>0</v>
      </c>
      <c r="E816" s="17">
        <f t="shared" si="1"/>
        <v>55</v>
      </c>
      <c r="F816" s="17">
        <f t="shared" si="2"/>
        <v>0</v>
      </c>
    </row>
    <row r="817">
      <c r="A817" s="5" t="s">
        <v>69</v>
      </c>
      <c r="B817" s="6">
        <v>0.0</v>
      </c>
      <c r="C817" s="13" t="s">
        <v>259</v>
      </c>
      <c r="D817" s="17">
        <f>SUMIFS(ShadowLedger!$D:$D,ShadowLedger!$G:$G,A817,ShadowLedger!$C:$C,"&gt;="&amp;DATE(LEFT(SUBSTITUTE(C817,"'",""),4),MID(SUBSTITUTE(C817,"'",""),6,2),1),ShadowLedger!$C:$C,"&lt;"&amp;EOMONTH(DATE(LEFT(SUBSTITUTE(C817,"'",""),4),MID(SUBSTITUTE(C817,"'",""),6,2),1),0)+1)</f>
        <v>0</v>
      </c>
      <c r="E817" s="17">
        <f t="shared" si="1"/>
        <v>0</v>
      </c>
      <c r="F817" s="17">
        <f t="shared" si="2"/>
        <v>0</v>
      </c>
    </row>
    <row r="818">
      <c r="A818" s="5" t="s">
        <v>54</v>
      </c>
      <c r="B818" s="6">
        <v>1005.0</v>
      </c>
      <c r="C818" s="13" t="s">
        <v>260</v>
      </c>
      <c r="D818" s="17">
        <f>SUMIFS(ShadowLedger!$D:$D,ShadowLedger!$G:$G,A818,ShadowLedger!$C:$C,"&gt;="&amp;DATE(LEFT(SUBSTITUTE(C818,"'",""),4),MID(SUBSTITUTE(C818,"'",""),6,2),1),ShadowLedger!$C:$C,"&lt;"&amp;EOMONTH(DATE(LEFT(SUBSTITUTE(C818,"'",""),4),MID(SUBSTITUTE(C818,"'",""),6,2),1),0)+1)</f>
        <v>0</v>
      </c>
      <c r="E818" s="17">
        <f t="shared" si="1"/>
        <v>1005</v>
      </c>
      <c r="F818" s="17">
        <f t="shared" si="2"/>
        <v>0</v>
      </c>
    </row>
    <row r="819">
      <c r="A819" s="5" t="s">
        <v>55</v>
      </c>
      <c r="B819" s="6">
        <v>765.0</v>
      </c>
      <c r="C819" s="13" t="s">
        <v>260</v>
      </c>
      <c r="D819" s="17">
        <f>SUMIFS(ShadowLedger!$D:$D,ShadowLedger!$G:$G,A819,ShadowLedger!$C:$C,"&gt;="&amp;DATE(LEFT(SUBSTITUTE(C819,"'",""),4),MID(SUBSTITUTE(C819,"'",""),6,2),1),ShadowLedger!$C:$C,"&lt;"&amp;EOMONTH(DATE(LEFT(SUBSTITUTE(C819,"'",""),4),MID(SUBSTITUTE(C819,"'",""),6,2),1),0)+1)</f>
        <v>0</v>
      </c>
      <c r="E819" s="17">
        <f t="shared" si="1"/>
        <v>765</v>
      </c>
      <c r="F819" s="17">
        <f t="shared" si="2"/>
        <v>0</v>
      </c>
    </row>
    <row r="820">
      <c r="A820" s="5" t="s">
        <v>56</v>
      </c>
      <c r="B820" s="6">
        <v>546.0</v>
      </c>
      <c r="C820" s="13" t="s">
        <v>260</v>
      </c>
      <c r="D820" s="17">
        <f>SUMIFS(ShadowLedger!$D:$D,ShadowLedger!$G:$G,A820,ShadowLedger!$C:$C,"&gt;="&amp;DATE(LEFT(SUBSTITUTE(C820,"'",""),4),MID(SUBSTITUTE(C820,"'",""),6,2),1),ShadowLedger!$C:$C,"&lt;"&amp;EOMONTH(DATE(LEFT(SUBSTITUTE(C820,"'",""),4),MID(SUBSTITUTE(C820,"'",""),6,2),1),0)+1)</f>
        <v>0</v>
      </c>
      <c r="E820" s="17">
        <f t="shared" si="1"/>
        <v>546</v>
      </c>
      <c r="F820" s="17">
        <f t="shared" si="2"/>
        <v>0</v>
      </c>
    </row>
    <row r="821">
      <c r="A821" s="5" t="s">
        <v>57</v>
      </c>
      <c r="B821" s="6">
        <v>546.0</v>
      </c>
      <c r="C821" s="13" t="s">
        <v>260</v>
      </c>
      <c r="D821" s="17">
        <f>SUMIFS(ShadowLedger!$D:$D,ShadowLedger!$G:$G,A821,ShadowLedger!$C:$C,"&gt;="&amp;DATE(LEFT(SUBSTITUTE(C821,"'",""),4),MID(SUBSTITUTE(C821,"'",""),6,2),1),ShadowLedger!$C:$C,"&lt;"&amp;EOMONTH(DATE(LEFT(SUBSTITUTE(C821,"'",""),4),MID(SUBSTITUTE(C821,"'",""),6,2),1),0)+1)</f>
        <v>0</v>
      </c>
      <c r="E821" s="17">
        <f t="shared" si="1"/>
        <v>546</v>
      </c>
      <c r="F821" s="17">
        <f t="shared" si="2"/>
        <v>0</v>
      </c>
    </row>
    <row r="822">
      <c r="A822" s="5" t="s">
        <v>58</v>
      </c>
      <c r="B822" s="6">
        <v>437.0</v>
      </c>
      <c r="C822" s="13" t="s">
        <v>260</v>
      </c>
      <c r="D822" s="17">
        <f>SUMIFS(ShadowLedger!$D:$D,ShadowLedger!$G:$G,A822,ShadowLedger!$C:$C,"&gt;="&amp;DATE(LEFT(SUBSTITUTE(C822,"'",""),4),MID(SUBSTITUTE(C822,"'",""),6,2),1),ShadowLedger!$C:$C,"&lt;"&amp;EOMONTH(DATE(LEFT(SUBSTITUTE(C822,"'",""),4),MID(SUBSTITUTE(C822,"'",""),6,2),1),0)+1)</f>
        <v>0</v>
      </c>
      <c r="E822" s="17">
        <f t="shared" si="1"/>
        <v>437</v>
      </c>
      <c r="F822" s="17">
        <f t="shared" si="2"/>
        <v>0</v>
      </c>
    </row>
    <row r="823">
      <c r="A823" s="5" t="s">
        <v>59</v>
      </c>
      <c r="B823" s="6">
        <v>219.0</v>
      </c>
      <c r="C823" s="13" t="s">
        <v>260</v>
      </c>
      <c r="D823" s="17">
        <f>SUMIFS(ShadowLedger!$D:$D,ShadowLedger!$G:$G,A823,ShadowLedger!$C:$C,"&gt;="&amp;DATE(LEFT(SUBSTITUTE(C823,"'",""),4),MID(SUBSTITUTE(C823,"'",""),6,2),1),ShadowLedger!$C:$C,"&lt;"&amp;EOMONTH(DATE(LEFT(SUBSTITUTE(C823,"'",""),4),MID(SUBSTITUTE(C823,"'",""),6,2),1),0)+1)</f>
        <v>0</v>
      </c>
      <c r="E823" s="17">
        <f t="shared" si="1"/>
        <v>219</v>
      </c>
      <c r="F823" s="17">
        <f t="shared" si="2"/>
        <v>0</v>
      </c>
    </row>
    <row r="824">
      <c r="A824" s="5" t="s">
        <v>60</v>
      </c>
      <c r="B824" s="6">
        <v>164.0</v>
      </c>
      <c r="C824" s="13" t="s">
        <v>260</v>
      </c>
      <c r="D824" s="17">
        <f>SUMIFS(ShadowLedger!$D:$D,ShadowLedger!$G:$G,A824,ShadowLedger!$C:$C,"&gt;="&amp;DATE(LEFT(SUBSTITUTE(C824,"'",""),4),MID(SUBSTITUTE(C824,"'",""),6,2),1),ShadowLedger!$C:$C,"&lt;"&amp;EOMONTH(DATE(LEFT(SUBSTITUTE(C824,"'",""),4),MID(SUBSTITUTE(C824,"'",""),6,2),1),0)+1)</f>
        <v>0</v>
      </c>
      <c r="E824" s="17">
        <f t="shared" si="1"/>
        <v>164</v>
      </c>
      <c r="F824" s="17">
        <f t="shared" si="2"/>
        <v>0</v>
      </c>
    </row>
    <row r="825">
      <c r="A825" s="5" t="s">
        <v>61</v>
      </c>
      <c r="B825" s="6">
        <v>131.0</v>
      </c>
      <c r="C825" s="13" t="s">
        <v>260</v>
      </c>
      <c r="D825" s="17">
        <f>SUMIFS(ShadowLedger!$D:$D,ShadowLedger!$G:$G,A825,ShadowLedger!$C:$C,"&gt;="&amp;DATE(LEFT(SUBSTITUTE(C825,"'",""),4),MID(SUBSTITUTE(C825,"'",""),6,2),1),ShadowLedger!$C:$C,"&lt;"&amp;EOMONTH(DATE(LEFT(SUBSTITUTE(C825,"'",""),4),MID(SUBSTITUTE(C825,"'",""),6,2),1),0)+1)</f>
        <v>0</v>
      </c>
      <c r="E825" s="17">
        <f t="shared" si="1"/>
        <v>131</v>
      </c>
      <c r="F825" s="17">
        <f t="shared" si="2"/>
        <v>0</v>
      </c>
    </row>
    <row r="826">
      <c r="A826" s="5" t="s">
        <v>62</v>
      </c>
      <c r="B826" s="6">
        <v>131.0</v>
      </c>
      <c r="C826" s="13" t="s">
        <v>260</v>
      </c>
      <c r="D826" s="17">
        <f>SUMIFS(ShadowLedger!$D:$D,ShadowLedger!$G:$G,A826,ShadowLedger!$C:$C,"&gt;="&amp;DATE(LEFT(SUBSTITUTE(C826,"'",""),4),MID(SUBSTITUTE(C826,"'",""),6,2),1),ShadowLedger!$C:$C,"&lt;"&amp;EOMONTH(DATE(LEFT(SUBSTITUTE(C826,"'",""),4),MID(SUBSTITUTE(C826,"'",""),6,2),1),0)+1)</f>
        <v>0</v>
      </c>
      <c r="E826" s="17">
        <f t="shared" si="1"/>
        <v>131</v>
      </c>
      <c r="F826" s="17">
        <f t="shared" si="2"/>
        <v>0</v>
      </c>
    </row>
    <row r="827">
      <c r="A827" s="5" t="s">
        <v>63</v>
      </c>
      <c r="B827" s="6">
        <v>109.0</v>
      </c>
      <c r="C827" s="13" t="s">
        <v>260</v>
      </c>
      <c r="D827" s="17">
        <f>SUMIFS(ShadowLedger!$D:$D,ShadowLedger!$G:$G,A827,ShadowLedger!$C:$C,"&gt;="&amp;DATE(LEFT(SUBSTITUTE(C827,"'",""),4),MID(SUBSTITUTE(C827,"'",""),6,2),1),ShadowLedger!$C:$C,"&lt;"&amp;EOMONTH(DATE(LEFT(SUBSTITUTE(C827,"'",""),4),MID(SUBSTITUTE(C827,"'",""),6,2),1),0)+1)</f>
        <v>0</v>
      </c>
      <c r="E827" s="17">
        <f t="shared" si="1"/>
        <v>109</v>
      </c>
      <c r="F827" s="17">
        <f t="shared" si="2"/>
        <v>0</v>
      </c>
    </row>
    <row r="828">
      <c r="A828" s="5" t="s">
        <v>64</v>
      </c>
      <c r="B828" s="6">
        <v>109.0</v>
      </c>
      <c r="C828" s="13" t="s">
        <v>260</v>
      </c>
      <c r="D828" s="17">
        <f>SUMIFS(ShadowLedger!$D:$D,ShadowLedger!$G:$G,A828,ShadowLedger!$C:$C,"&gt;="&amp;DATE(LEFT(SUBSTITUTE(C828,"'",""),4),MID(SUBSTITUTE(C828,"'",""),6,2),1),ShadowLedger!$C:$C,"&lt;"&amp;EOMONTH(DATE(LEFT(SUBSTITUTE(C828,"'",""),4),MID(SUBSTITUTE(C828,"'",""),6,2),1),0)+1)</f>
        <v>0</v>
      </c>
      <c r="E828" s="17">
        <f t="shared" si="1"/>
        <v>109</v>
      </c>
      <c r="F828" s="17">
        <f t="shared" si="2"/>
        <v>0</v>
      </c>
    </row>
    <row r="829">
      <c r="A829" s="5" t="s">
        <v>70</v>
      </c>
      <c r="B829" s="6">
        <v>109.0</v>
      </c>
      <c r="C829" s="13" t="s">
        <v>260</v>
      </c>
      <c r="D829" s="17">
        <f>SUMIFS(ShadowLedger!$D:$D,ShadowLedger!$G:$G,A829,ShadowLedger!$C:$C,"&gt;="&amp;DATE(LEFT(SUBSTITUTE(C829,"'",""),4),MID(SUBSTITUTE(C829,"'",""),6,2),1),ShadowLedger!$C:$C,"&lt;"&amp;EOMONTH(DATE(LEFT(SUBSTITUTE(C829,"'",""),4),MID(SUBSTITUTE(C829,"'",""),6,2),1),0)+1)</f>
        <v>0</v>
      </c>
      <c r="E829" s="17">
        <f t="shared" si="1"/>
        <v>109</v>
      </c>
      <c r="F829" s="17">
        <f t="shared" si="2"/>
        <v>0</v>
      </c>
    </row>
    <row r="830">
      <c r="A830" s="5" t="s">
        <v>65</v>
      </c>
      <c r="B830" s="6">
        <v>55.0</v>
      </c>
      <c r="C830" s="13" t="s">
        <v>260</v>
      </c>
      <c r="D830" s="17">
        <f>SUMIFS(ShadowLedger!$D:$D,ShadowLedger!$G:$G,A830,ShadowLedger!$C:$C,"&gt;="&amp;DATE(LEFT(SUBSTITUTE(C830,"'",""),4),MID(SUBSTITUTE(C830,"'",""),6,2),1),ShadowLedger!$C:$C,"&lt;"&amp;EOMONTH(DATE(LEFT(SUBSTITUTE(C830,"'",""),4),MID(SUBSTITUTE(C830,"'",""),6,2),1),0)+1)</f>
        <v>0</v>
      </c>
      <c r="E830" s="17">
        <f t="shared" si="1"/>
        <v>55</v>
      </c>
      <c r="F830" s="17">
        <f t="shared" si="2"/>
        <v>0</v>
      </c>
    </row>
    <row r="831">
      <c r="A831" s="5" t="s">
        <v>66</v>
      </c>
      <c r="B831" s="6">
        <v>55.0</v>
      </c>
      <c r="C831" s="13" t="s">
        <v>260</v>
      </c>
      <c r="D831" s="17">
        <f>SUMIFS(ShadowLedger!$D:$D,ShadowLedger!$G:$G,A831,ShadowLedger!$C:$C,"&gt;="&amp;DATE(LEFT(SUBSTITUTE(C831,"'",""),4),MID(SUBSTITUTE(C831,"'",""),6,2),1),ShadowLedger!$C:$C,"&lt;"&amp;EOMONTH(DATE(LEFT(SUBSTITUTE(C831,"'",""),4),MID(SUBSTITUTE(C831,"'",""),6,2),1),0)+1)</f>
        <v>0</v>
      </c>
      <c r="E831" s="17">
        <f t="shared" si="1"/>
        <v>55</v>
      </c>
      <c r="F831" s="17">
        <f t="shared" si="2"/>
        <v>0</v>
      </c>
    </row>
    <row r="832">
      <c r="A832" s="5" t="s">
        <v>67</v>
      </c>
      <c r="B832" s="6">
        <v>55.0</v>
      </c>
      <c r="C832" s="13" t="s">
        <v>260</v>
      </c>
      <c r="D832" s="17">
        <f>SUMIFS(ShadowLedger!$D:$D,ShadowLedger!$G:$G,A832,ShadowLedger!$C:$C,"&gt;="&amp;DATE(LEFT(SUBSTITUTE(C832,"'",""),4),MID(SUBSTITUTE(C832,"'",""),6,2),1),ShadowLedger!$C:$C,"&lt;"&amp;EOMONTH(DATE(LEFT(SUBSTITUTE(C832,"'",""),4),MID(SUBSTITUTE(C832,"'",""),6,2),1),0)+1)</f>
        <v>0</v>
      </c>
      <c r="E832" s="17">
        <f t="shared" si="1"/>
        <v>55</v>
      </c>
      <c r="F832" s="17">
        <f t="shared" si="2"/>
        <v>0</v>
      </c>
    </row>
    <row r="833">
      <c r="A833" s="5" t="s">
        <v>68</v>
      </c>
      <c r="B833" s="6">
        <v>55.0</v>
      </c>
      <c r="C833" s="13" t="s">
        <v>260</v>
      </c>
      <c r="D833" s="17">
        <f>SUMIFS(ShadowLedger!$D:$D,ShadowLedger!$G:$G,A833,ShadowLedger!$C:$C,"&gt;="&amp;DATE(LEFT(SUBSTITUTE(C833,"'",""),4),MID(SUBSTITUTE(C833,"'",""),6,2),1),ShadowLedger!$C:$C,"&lt;"&amp;EOMONTH(DATE(LEFT(SUBSTITUTE(C833,"'",""),4),MID(SUBSTITUTE(C833,"'",""),6,2),1),0)+1)</f>
        <v>0</v>
      </c>
      <c r="E833" s="17">
        <f t="shared" si="1"/>
        <v>55</v>
      </c>
      <c r="F833" s="17">
        <f t="shared" si="2"/>
        <v>0</v>
      </c>
    </row>
    <row r="834">
      <c r="A834" s="5" t="s">
        <v>69</v>
      </c>
      <c r="B834" s="6">
        <v>0.0</v>
      </c>
      <c r="C834" s="13" t="s">
        <v>260</v>
      </c>
      <c r="D834" s="17">
        <f>SUMIFS(ShadowLedger!$D:$D,ShadowLedger!$G:$G,A834,ShadowLedger!$C:$C,"&gt;="&amp;DATE(LEFT(SUBSTITUTE(C834,"'",""),4),MID(SUBSTITUTE(C834,"'",""),6,2),1),ShadowLedger!$C:$C,"&lt;"&amp;EOMONTH(DATE(LEFT(SUBSTITUTE(C834,"'",""),4),MID(SUBSTITUTE(C834,"'",""),6,2),1),0)+1)</f>
        <v>0</v>
      </c>
      <c r="E834" s="17">
        <f t="shared" si="1"/>
        <v>0</v>
      </c>
      <c r="F834" s="17">
        <f t="shared" si="2"/>
        <v>0</v>
      </c>
    </row>
    <row r="835">
      <c r="A835" s="5" t="s">
        <v>54</v>
      </c>
      <c r="B835" s="6">
        <v>1035.0</v>
      </c>
      <c r="C835" s="13" t="s">
        <v>261</v>
      </c>
      <c r="D835" s="17">
        <f>SUMIFS(ShadowLedger!$D:$D,ShadowLedger!$G:$G,A835,ShadowLedger!$C:$C,"&gt;="&amp;DATE(LEFT(SUBSTITUTE(C835,"'",""),4),MID(SUBSTITUTE(C835,"'",""),6,2),1),ShadowLedger!$C:$C,"&lt;"&amp;EOMONTH(DATE(LEFT(SUBSTITUTE(C835,"'",""),4),MID(SUBSTITUTE(C835,"'",""),6,2),1),0)+1)</f>
        <v>0</v>
      </c>
      <c r="E835" s="17">
        <f t="shared" si="1"/>
        <v>1035</v>
      </c>
      <c r="F835" s="17">
        <f t="shared" si="2"/>
        <v>0</v>
      </c>
    </row>
    <row r="836">
      <c r="A836" s="5" t="s">
        <v>55</v>
      </c>
      <c r="B836" s="6">
        <v>788.0</v>
      </c>
      <c r="C836" s="13" t="s">
        <v>261</v>
      </c>
      <c r="D836" s="17">
        <f>SUMIFS(ShadowLedger!$D:$D,ShadowLedger!$G:$G,A836,ShadowLedger!$C:$C,"&gt;="&amp;DATE(LEFT(SUBSTITUTE(C836,"'",""),4),MID(SUBSTITUTE(C836,"'",""),6,2),1),ShadowLedger!$C:$C,"&lt;"&amp;EOMONTH(DATE(LEFT(SUBSTITUTE(C836,"'",""),4),MID(SUBSTITUTE(C836,"'",""),6,2),1),0)+1)</f>
        <v>0</v>
      </c>
      <c r="E836" s="17">
        <f t="shared" si="1"/>
        <v>788</v>
      </c>
      <c r="F836" s="17">
        <f t="shared" si="2"/>
        <v>0</v>
      </c>
    </row>
    <row r="837">
      <c r="A837" s="5" t="s">
        <v>56</v>
      </c>
      <c r="B837" s="6">
        <v>563.0</v>
      </c>
      <c r="C837" s="13" t="s">
        <v>261</v>
      </c>
      <c r="D837" s="17">
        <f>SUMIFS(ShadowLedger!$D:$D,ShadowLedger!$G:$G,A837,ShadowLedger!$C:$C,"&gt;="&amp;DATE(LEFT(SUBSTITUTE(C837,"'",""),4),MID(SUBSTITUTE(C837,"'",""),6,2),1),ShadowLedger!$C:$C,"&lt;"&amp;EOMONTH(DATE(LEFT(SUBSTITUTE(C837,"'",""),4),MID(SUBSTITUTE(C837,"'",""),6,2),1),0)+1)</f>
        <v>0</v>
      </c>
      <c r="E837" s="17">
        <f t="shared" si="1"/>
        <v>563</v>
      </c>
      <c r="F837" s="17">
        <f t="shared" si="2"/>
        <v>0</v>
      </c>
    </row>
    <row r="838">
      <c r="A838" s="5" t="s">
        <v>57</v>
      </c>
      <c r="B838" s="6">
        <v>563.0</v>
      </c>
      <c r="C838" s="13" t="s">
        <v>261</v>
      </c>
      <c r="D838" s="17">
        <f>SUMIFS(ShadowLedger!$D:$D,ShadowLedger!$G:$G,A838,ShadowLedger!$C:$C,"&gt;="&amp;DATE(LEFT(SUBSTITUTE(C838,"'",""),4),MID(SUBSTITUTE(C838,"'",""),6,2),1),ShadowLedger!$C:$C,"&lt;"&amp;EOMONTH(DATE(LEFT(SUBSTITUTE(C838,"'",""),4),MID(SUBSTITUTE(C838,"'",""),6,2),1),0)+1)</f>
        <v>0</v>
      </c>
      <c r="E838" s="17">
        <f t="shared" si="1"/>
        <v>563</v>
      </c>
      <c r="F838" s="17">
        <f t="shared" si="2"/>
        <v>0</v>
      </c>
    </row>
    <row r="839">
      <c r="A839" s="5" t="s">
        <v>58</v>
      </c>
      <c r="B839" s="6">
        <v>450.0</v>
      </c>
      <c r="C839" s="13" t="s">
        <v>261</v>
      </c>
      <c r="D839" s="17">
        <f>SUMIFS(ShadowLedger!$D:$D,ShadowLedger!$G:$G,A839,ShadowLedger!$C:$C,"&gt;="&amp;DATE(LEFT(SUBSTITUTE(C839,"'",""),4),MID(SUBSTITUTE(C839,"'",""),6,2),1),ShadowLedger!$C:$C,"&lt;"&amp;EOMONTH(DATE(LEFT(SUBSTITUTE(C839,"'",""),4),MID(SUBSTITUTE(C839,"'",""),6,2),1),0)+1)</f>
        <v>0</v>
      </c>
      <c r="E839" s="17">
        <f t="shared" si="1"/>
        <v>450</v>
      </c>
      <c r="F839" s="17">
        <f t="shared" si="2"/>
        <v>0</v>
      </c>
    </row>
    <row r="840">
      <c r="A840" s="5" t="s">
        <v>59</v>
      </c>
      <c r="B840" s="6">
        <v>225.0</v>
      </c>
      <c r="C840" s="13" t="s">
        <v>261</v>
      </c>
      <c r="D840" s="17">
        <f>SUMIFS(ShadowLedger!$D:$D,ShadowLedger!$G:$G,A840,ShadowLedger!$C:$C,"&gt;="&amp;DATE(LEFT(SUBSTITUTE(C840,"'",""),4),MID(SUBSTITUTE(C840,"'",""),6,2),1),ShadowLedger!$C:$C,"&lt;"&amp;EOMONTH(DATE(LEFT(SUBSTITUTE(C840,"'",""),4),MID(SUBSTITUTE(C840,"'",""),6,2),1),0)+1)</f>
        <v>0</v>
      </c>
      <c r="E840" s="17">
        <f t="shared" si="1"/>
        <v>225</v>
      </c>
      <c r="F840" s="17">
        <f t="shared" si="2"/>
        <v>0</v>
      </c>
    </row>
    <row r="841">
      <c r="A841" s="5" t="s">
        <v>60</v>
      </c>
      <c r="B841" s="6">
        <v>169.0</v>
      </c>
      <c r="C841" s="13" t="s">
        <v>261</v>
      </c>
      <c r="D841" s="17">
        <f>SUMIFS(ShadowLedger!$D:$D,ShadowLedger!$G:$G,A841,ShadowLedger!$C:$C,"&gt;="&amp;DATE(LEFT(SUBSTITUTE(C841,"'",""),4),MID(SUBSTITUTE(C841,"'",""),6,2),1),ShadowLedger!$C:$C,"&lt;"&amp;EOMONTH(DATE(LEFT(SUBSTITUTE(C841,"'",""),4),MID(SUBSTITUTE(C841,"'",""),6,2),1),0)+1)</f>
        <v>0</v>
      </c>
      <c r="E841" s="17">
        <f t="shared" si="1"/>
        <v>169</v>
      </c>
      <c r="F841" s="17">
        <f t="shared" si="2"/>
        <v>0</v>
      </c>
    </row>
    <row r="842">
      <c r="A842" s="5" t="s">
        <v>61</v>
      </c>
      <c r="B842" s="6">
        <v>135.0</v>
      </c>
      <c r="C842" s="13" t="s">
        <v>261</v>
      </c>
      <c r="D842" s="17">
        <f>SUMIFS(ShadowLedger!$D:$D,ShadowLedger!$G:$G,A842,ShadowLedger!$C:$C,"&gt;="&amp;DATE(LEFT(SUBSTITUTE(C842,"'",""),4),MID(SUBSTITUTE(C842,"'",""),6,2),1),ShadowLedger!$C:$C,"&lt;"&amp;EOMONTH(DATE(LEFT(SUBSTITUTE(C842,"'",""),4),MID(SUBSTITUTE(C842,"'",""),6,2),1),0)+1)</f>
        <v>0</v>
      </c>
      <c r="E842" s="17">
        <f t="shared" si="1"/>
        <v>135</v>
      </c>
      <c r="F842" s="17">
        <f t="shared" si="2"/>
        <v>0</v>
      </c>
    </row>
    <row r="843">
      <c r="A843" s="5" t="s">
        <v>62</v>
      </c>
      <c r="B843" s="6">
        <v>135.0</v>
      </c>
      <c r="C843" s="13" t="s">
        <v>261</v>
      </c>
      <c r="D843" s="17">
        <f>SUMIFS(ShadowLedger!$D:$D,ShadowLedger!$G:$G,A843,ShadowLedger!$C:$C,"&gt;="&amp;DATE(LEFT(SUBSTITUTE(C843,"'",""),4),MID(SUBSTITUTE(C843,"'",""),6,2),1),ShadowLedger!$C:$C,"&lt;"&amp;EOMONTH(DATE(LEFT(SUBSTITUTE(C843,"'",""),4),MID(SUBSTITUTE(C843,"'",""),6,2),1),0)+1)</f>
        <v>0</v>
      </c>
      <c r="E843" s="17">
        <f t="shared" si="1"/>
        <v>135</v>
      </c>
      <c r="F843" s="17">
        <f t="shared" si="2"/>
        <v>0</v>
      </c>
    </row>
    <row r="844">
      <c r="A844" s="5" t="s">
        <v>63</v>
      </c>
      <c r="B844" s="6">
        <v>113.0</v>
      </c>
      <c r="C844" s="13" t="s">
        <v>261</v>
      </c>
      <c r="D844" s="17">
        <f>SUMIFS(ShadowLedger!$D:$D,ShadowLedger!$G:$G,A844,ShadowLedger!$C:$C,"&gt;="&amp;DATE(LEFT(SUBSTITUTE(C844,"'",""),4),MID(SUBSTITUTE(C844,"'",""),6,2),1),ShadowLedger!$C:$C,"&lt;"&amp;EOMONTH(DATE(LEFT(SUBSTITUTE(C844,"'",""),4),MID(SUBSTITUTE(C844,"'",""),6,2),1),0)+1)</f>
        <v>0</v>
      </c>
      <c r="E844" s="17">
        <f t="shared" si="1"/>
        <v>113</v>
      </c>
      <c r="F844" s="17">
        <f t="shared" si="2"/>
        <v>0</v>
      </c>
    </row>
    <row r="845">
      <c r="A845" s="5" t="s">
        <v>64</v>
      </c>
      <c r="B845" s="6">
        <v>113.0</v>
      </c>
      <c r="C845" s="13" t="s">
        <v>261</v>
      </c>
      <c r="D845" s="17">
        <f>SUMIFS(ShadowLedger!$D:$D,ShadowLedger!$G:$G,A845,ShadowLedger!$C:$C,"&gt;="&amp;DATE(LEFT(SUBSTITUTE(C845,"'",""),4),MID(SUBSTITUTE(C845,"'",""),6,2),1),ShadowLedger!$C:$C,"&lt;"&amp;EOMONTH(DATE(LEFT(SUBSTITUTE(C845,"'",""),4),MID(SUBSTITUTE(C845,"'",""),6,2),1),0)+1)</f>
        <v>0</v>
      </c>
      <c r="E845" s="17">
        <f t="shared" si="1"/>
        <v>113</v>
      </c>
      <c r="F845" s="17">
        <f t="shared" si="2"/>
        <v>0</v>
      </c>
    </row>
    <row r="846">
      <c r="A846" s="5" t="s">
        <v>70</v>
      </c>
      <c r="B846" s="6">
        <v>113.0</v>
      </c>
      <c r="C846" s="13" t="s">
        <v>261</v>
      </c>
      <c r="D846" s="17">
        <f>SUMIFS(ShadowLedger!$D:$D,ShadowLedger!$G:$G,A846,ShadowLedger!$C:$C,"&gt;="&amp;DATE(LEFT(SUBSTITUTE(C846,"'",""),4),MID(SUBSTITUTE(C846,"'",""),6,2),1),ShadowLedger!$C:$C,"&lt;"&amp;EOMONTH(DATE(LEFT(SUBSTITUTE(C846,"'",""),4),MID(SUBSTITUTE(C846,"'",""),6,2),1),0)+1)</f>
        <v>0</v>
      </c>
      <c r="E846" s="17">
        <f t="shared" si="1"/>
        <v>113</v>
      </c>
      <c r="F846" s="17">
        <f t="shared" si="2"/>
        <v>0</v>
      </c>
    </row>
    <row r="847">
      <c r="A847" s="5" t="s">
        <v>65</v>
      </c>
      <c r="B847" s="6">
        <v>56.0</v>
      </c>
      <c r="C847" s="13" t="s">
        <v>261</v>
      </c>
      <c r="D847" s="17">
        <f>SUMIFS(ShadowLedger!$D:$D,ShadowLedger!$G:$G,A847,ShadowLedger!$C:$C,"&gt;="&amp;DATE(LEFT(SUBSTITUTE(C847,"'",""),4),MID(SUBSTITUTE(C847,"'",""),6,2),1),ShadowLedger!$C:$C,"&lt;"&amp;EOMONTH(DATE(LEFT(SUBSTITUTE(C847,"'",""),4),MID(SUBSTITUTE(C847,"'",""),6,2),1),0)+1)</f>
        <v>0</v>
      </c>
      <c r="E847" s="17">
        <f t="shared" si="1"/>
        <v>56</v>
      </c>
      <c r="F847" s="17">
        <f t="shared" si="2"/>
        <v>0</v>
      </c>
    </row>
    <row r="848">
      <c r="A848" s="5" t="s">
        <v>66</v>
      </c>
      <c r="B848" s="6">
        <v>56.0</v>
      </c>
      <c r="C848" s="13" t="s">
        <v>261</v>
      </c>
      <c r="D848" s="17">
        <f>SUMIFS(ShadowLedger!$D:$D,ShadowLedger!$G:$G,A848,ShadowLedger!$C:$C,"&gt;="&amp;DATE(LEFT(SUBSTITUTE(C848,"'",""),4),MID(SUBSTITUTE(C848,"'",""),6,2),1),ShadowLedger!$C:$C,"&lt;"&amp;EOMONTH(DATE(LEFT(SUBSTITUTE(C848,"'",""),4),MID(SUBSTITUTE(C848,"'",""),6,2),1),0)+1)</f>
        <v>0</v>
      </c>
      <c r="E848" s="17">
        <f t="shared" si="1"/>
        <v>56</v>
      </c>
      <c r="F848" s="17">
        <f t="shared" si="2"/>
        <v>0</v>
      </c>
    </row>
    <row r="849">
      <c r="A849" s="5" t="s">
        <v>67</v>
      </c>
      <c r="B849" s="6">
        <v>56.0</v>
      </c>
      <c r="C849" s="13" t="s">
        <v>261</v>
      </c>
      <c r="D849" s="17">
        <f>SUMIFS(ShadowLedger!$D:$D,ShadowLedger!$G:$G,A849,ShadowLedger!$C:$C,"&gt;="&amp;DATE(LEFT(SUBSTITUTE(C849,"'",""),4),MID(SUBSTITUTE(C849,"'",""),6,2),1),ShadowLedger!$C:$C,"&lt;"&amp;EOMONTH(DATE(LEFT(SUBSTITUTE(C849,"'",""),4),MID(SUBSTITUTE(C849,"'",""),6,2),1),0)+1)</f>
        <v>0</v>
      </c>
      <c r="E849" s="17">
        <f t="shared" si="1"/>
        <v>56</v>
      </c>
      <c r="F849" s="17">
        <f t="shared" si="2"/>
        <v>0</v>
      </c>
    </row>
    <row r="850">
      <c r="A850" s="5" t="s">
        <v>68</v>
      </c>
      <c r="B850" s="6">
        <v>56.0</v>
      </c>
      <c r="C850" s="13" t="s">
        <v>261</v>
      </c>
      <c r="D850" s="17">
        <f>SUMIFS(ShadowLedger!$D:$D,ShadowLedger!$G:$G,A850,ShadowLedger!$C:$C,"&gt;="&amp;DATE(LEFT(SUBSTITUTE(C850,"'",""),4),MID(SUBSTITUTE(C850,"'",""),6,2),1),ShadowLedger!$C:$C,"&lt;"&amp;EOMONTH(DATE(LEFT(SUBSTITUTE(C850,"'",""),4),MID(SUBSTITUTE(C850,"'",""),6,2),1),0)+1)</f>
        <v>0</v>
      </c>
      <c r="E850" s="17">
        <f t="shared" si="1"/>
        <v>56</v>
      </c>
      <c r="F850" s="17">
        <f t="shared" si="2"/>
        <v>0</v>
      </c>
    </row>
    <row r="851">
      <c r="A851" s="5" t="s">
        <v>69</v>
      </c>
      <c r="B851" s="6">
        <v>0.0</v>
      </c>
      <c r="C851" s="13" t="s">
        <v>261</v>
      </c>
      <c r="D851" s="17">
        <f>SUMIFS(ShadowLedger!$D:$D,ShadowLedger!$G:$G,A851,ShadowLedger!$C:$C,"&gt;="&amp;DATE(LEFT(SUBSTITUTE(C851,"'",""),4),MID(SUBSTITUTE(C851,"'",""),6,2),1),ShadowLedger!$C:$C,"&lt;"&amp;EOMONTH(DATE(LEFT(SUBSTITUTE(C851,"'",""),4),MID(SUBSTITUTE(C851,"'",""),6,2),1),0)+1)</f>
        <v>0</v>
      </c>
      <c r="E851" s="17">
        <f t="shared" si="1"/>
        <v>0</v>
      </c>
      <c r="F851" s="17">
        <f t="shared" si="2"/>
        <v>0</v>
      </c>
    </row>
    <row r="852">
      <c r="A852" s="5" t="s">
        <v>54</v>
      </c>
      <c r="B852" s="6">
        <v>1035.0</v>
      </c>
      <c r="C852" s="13" t="s">
        <v>262</v>
      </c>
      <c r="D852" s="17">
        <f>SUMIFS(ShadowLedger!$D:$D,ShadowLedger!$G:$G,A852,ShadowLedger!$C:$C,"&gt;="&amp;DATE(LEFT(SUBSTITUTE(C852,"'",""),4),MID(SUBSTITUTE(C852,"'",""),6,2),1),ShadowLedger!$C:$C,"&lt;"&amp;EOMONTH(DATE(LEFT(SUBSTITUTE(C852,"'",""),4),MID(SUBSTITUTE(C852,"'",""),6,2),1),0)+1)</f>
        <v>0</v>
      </c>
      <c r="E852" s="17">
        <f t="shared" si="1"/>
        <v>1035</v>
      </c>
      <c r="F852" s="17">
        <f t="shared" si="2"/>
        <v>0</v>
      </c>
    </row>
    <row r="853">
      <c r="A853" s="5" t="s">
        <v>55</v>
      </c>
      <c r="B853" s="6">
        <v>788.0</v>
      </c>
      <c r="C853" s="13" t="s">
        <v>262</v>
      </c>
      <c r="D853" s="17">
        <f>SUMIFS(ShadowLedger!$D:$D,ShadowLedger!$G:$G,A853,ShadowLedger!$C:$C,"&gt;="&amp;DATE(LEFT(SUBSTITUTE(C853,"'",""),4),MID(SUBSTITUTE(C853,"'",""),6,2),1),ShadowLedger!$C:$C,"&lt;"&amp;EOMONTH(DATE(LEFT(SUBSTITUTE(C853,"'",""),4),MID(SUBSTITUTE(C853,"'",""),6,2),1),0)+1)</f>
        <v>0</v>
      </c>
      <c r="E853" s="17">
        <f t="shared" si="1"/>
        <v>788</v>
      </c>
      <c r="F853" s="17">
        <f t="shared" si="2"/>
        <v>0</v>
      </c>
    </row>
    <row r="854">
      <c r="A854" s="5" t="s">
        <v>56</v>
      </c>
      <c r="B854" s="6">
        <v>563.0</v>
      </c>
      <c r="C854" s="13" t="s">
        <v>262</v>
      </c>
      <c r="D854" s="17">
        <f>SUMIFS(ShadowLedger!$D:$D,ShadowLedger!$G:$G,A854,ShadowLedger!$C:$C,"&gt;="&amp;DATE(LEFT(SUBSTITUTE(C854,"'",""),4),MID(SUBSTITUTE(C854,"'",""),6,2),1),ShadowLedger!$C:$C,"&lt;"&amp;EOMONTH(DATE(LEFT(SUBSTITUTE(C854,"'",""),4),MID(SUBSTITUTE(C854,"'",""),6,2),1),0)+1)</f>
        <v>0</v>
      </c>
      <c r="E854" s="17">
        <f t="shared" si="1"/>
        <v>563</v>
      </c>
      <c r="F854" s="17">
        <f t="shared" si="2"/>
        <v>0</v>
      </c>
    </row>
    <row r="855">
      <c r="A855" s="5" t="s">
        <v>57</v>
      </c>
      <c r="B855" s="6">
        <v>563.0</v>
      </c>
      <c r="C855" s="13" t="s">
        <v>262</v>
      </c>
      <c r="D855" s="17">
        <f>SUMIFS(ShadowLedger!$D:$D,ShadowLedger!$G:$G,A855,ShadowLedger!$C:$C,"&gt;="&amp;DATE(LEFT(SUBSTITUTE(C855,"'",""),4),MID(SUBSTITUTE(C855,"'",""),6,2),1),ShadowLedger!$C:$C,"&lt;"&amp;EOMONTH(DATE(LEFT(SUBSTITUTE(C855,"'",""),4),MID(SUBSTITUTE(C855,"'",""),6,2),1),0)+1)</f>
        <v>0</v>
      </c>
      <c r="E855" s="17">
        <f t="shared" si="1"/>
        <v>563</v>
      </c>
      <c r="F855" s="17">
        <f t="shared" si="2"/>
        <v>0</v>
      </c>
    </row>
    <row r="856">
      <c r="A856" s="5" t="s">
        <v>58</v>
      </c>
      <c r="B856" s="6">
        <v>450.0</v>
      </c>
      <c r="C856" s="13" t="s">
        <v>262</v>
      </c>
      <c r="D856" s="17">
        <f>SUMIFS(ShadowLedger!$D:$D,ShadowLedger!$G:$G,A856,ShadowLedger!$C:$C,"&gt;="&amp;DATE(LEFT(SUBSTITUTE(C856,"'",""),4),MID(SUBSTITUTE(C856,"'",""),6,2),1),ShadowLedger!$C:$C,"&lt;"&amp;EOMONTH(DATE(LEFT(SUBSTITUTE(C856,"'",""),4),MID(SUBSTITUTE(C856,"'",""),6,2),1),0)+1)</f>
        <v>0</v>
      </c>
      <c r="E856" s="17">
        <f t="shared" si="1"/>
        <v>450</v>
      </c>
      <c r="F856" s="17">
        <f t="shared" si="2"/>
        <v>0</v>
      </c>
    </row>
    <row r="857">
      <c r="A857" s="5" t="s">
        <v>59</v>
      </c>
      <c r="B857" s="6">
        <v>225.0</v>
      </c>
      <c r="C857" s="13" t="s">
        <v>262</v>
      </c>
      <c r="D857" s="17">
        <f>SUMIFS(ShadowLedger!$D:$D,ShadowLedger!$G:$G,A857,ShadowLedger!$C:$C,"&gt;="&amp;DATE(LEFT(SUBSTITUTE(C857,"'",""),4),MID(SUBSTITUTE(C857,"'",""),6,2),1),ShadowLedger!$C:$C,"&lt;"&amp;EOMONTH(DATE(LEFT(SUBSTITUTE(C857,"'",""),4),MID(SUBSTITUTE(C857,"'",""),6,2),1),0)+1)</f>
        <v>0</v>
      </c>
      <c r="E857" s="17">
        <f t="shared" si="1"/>
        <v>225</v>
      </c>
      <c r="F857" s="17">
        <f t="shared" si="2"/>
        <v>0</v>
      </c>
    </row>
    <row r="858">
      <c r="A858" s="5" t="s">
        <v>60</v>
      </c>
      <c r="B858" s="6">
        <v>169.0</v>
      </c>
      <c r="C858" s="13" t="s">
        <v>262</v>
      </c>
      <c r="D858" s="17">
        <f>SUMIFS(ShadowLedger!$D:$D,ShadowLedger!$G:$G,A858,ShadowLedger!$C:$C,"&gt;="&amp;DATE(LEFT(SUBSTITUTE(C858,"'",""),4),MID(SUBSTITUTE(C858,"'",""),6,2),1),ShadowLedger!$C:$C,"&lt;"&amp;EOMONTH(DATE(LEFT(SUBSTITUTE(C858,"'",""),4),MID(SUBSTITUTE(C858,"'",""),6,2),1),0)+1)</f>
        <v>0</v>
      </c>
      <c r="E858" s="17">
        <f t="shared" si="1"/>
        <v>169</v>
      </c>
      <c r="F858" s="17">
        <f t="shared" si="2"/>
        <v>0</v>
      </c>
    </row>
    <row r="859">
      <c r="A859" s="5" t="s">
        <v>61</v>
      </c>
      <c r="B859" s="6">
        <v>135.0</v>
      </c>
      <c r="C859" s="13" t="s">
        <v>262</v>
      </c>
      <c r="D859" s="17">
        <f>SUMIFS(ShadowLedger!$D:$D,ShadowLedger!$G:$G,A859,ShadowLedger!$C:$C,"&gt;="&amp;DATE(LEFT(SUBSTITUTE(C859,"'",""),4),MID(SUBSTITUTE(C859,"'",""),6,2),1),ShadowLedger!$C:$C,"&lt;"&amp;EOMONTH(DATE(LEFT(SUBSTITUTE(C859,"'",""),4),MID(SUBSTITUTE(C859,"'",""),6,2),1),0)+1)</f>
        <v>0</v>
      </c>
      <c r="E859" s="17">
        <f t="shared" si="1"/>
        <v>135</v>
      </c>
      <c r="F859" s="17">
        <f t="shared" si="2"/>
        <v>0</v>
      </c>
    </row>
    <row r="860">
      <c r="A860" s="5" t="s">
        <v>62</v>
      </c>
      <c r="B860" s="6">
        <v>135.0</v>
      </c>
      <c r="C860" s="13" t="s">
        <v>262</v>
      </c>
      <c r="D860" s="17">
        <f>SUMIFS(ShadowLedger!$D:$D,ShadowLedger!$G:$G,A860,ShadowLedger!$C:$C,"&gt;="&amp;DATE(LEFT(SUBSTITUTE(C860,"'",""),4),MID(SUBSTITUTE(C860,"'",""),6,2),1),ShadowLedger!$C:$C,"&lt;"&amp;EOMONTH(DATE(LEFT(SUBSTITUTE(C860,"'",""),4),MID(SUBSTITUTE(C860,"'",""),6,2),1),0)+1)</f>
        <v>0</v>
      </c>
      <c r="E860" s="17">
        <f t="shared" si="1"/>
        <v>135</v>
      </c>
      <c r="F860" s="17">
        <f t="shared" si="2"/>
        <v>0</v>
      </c>
    </row>
    <row r="861">
      <c r="A861" s="5" t="s">
        <v>63</v>
      </c>
      <c r="B861" s="6">
        <v>113.0</v>
      </c>
      <c r="C861" s="13" t="s">
        <v>262</v>
      </c>
      <c r="D861" s="17">
        <f>SUMIFS(ShadowLedger!$D:$D,ShadowLedger!$G:$G,A861,ShadowLedger!$C:$C,"&gt;="&amp;DATE(LEFT(SUBSTITUTE(C861,"'",""),4),MID(SUBSTITUTE(C861,"'",""),6,2),1),ShadowLedger!$C:$C,"&lt;"&amp;EOMONTH(DATE(LEFT(SUBSTITUTE(C861,"'",""),4),MID(SUBSTITUTE(C861,"'",""),6,2),1),0)+1)</f>
        <v>0</v>
      </c>
      <c r="E861" s="17">
        <f t="shared" si="1"/>
        <v>113</v>
      </c>
      <c r="F861" s="17">
        <f t="shared" si="2"/>
        <v>0</v>
      </c>
    </row>
    <row r="862">
      <c r="A862" s="5" t="s">
        <v>64</v>
      </c>
      <c r="B862" s="6">
        <v>113.0</v>
      </c>
      <c r="C862" s="13" t="s">
        <v>262</v>
      </c>
      <c r="D862" s="17">
        <f>SUMIFS(ShadowLedger!$D:$D,ShadowLedger!$G:$G,A862,ShadowLedger!$C:$C,"&gt;="&amp;DATE(LEFT(SUBSTITUTE(C862,"'",""),4),MID(SUBSTITUTE(C862,"'",""),6,2),1),ShadowLedger!$C:$C,"&lt;"&amp;EOMONTH(DATE(LEFT(SUBSTITUTE(C862,"'",""),4),MID(SUBSTITUTE(C862,"'",""),6,2),1),0)+1)</f>
        <v>0</v>
      </c>
      <c r="E862" s="17">
        <f t="shared" si="1"/>
        <v>113</v>
      </c>
      <c r="F862" s="17">
        <f t="shared" si="2"/>
        <v>0</v>
      </c>
    </row>
    <row r="863">
      <c r="A863" s="5" t="s">
        <v>70</v>
      </c>
      <c r="B863" s="6">
        <v>113.0</v>
      </c>
      <c r="C863" s="13" t="s">
        <v>262</v>
      </c>
      <c r="D863" s="17">
        <f>SUMIFS(ShadowLedger!$D:$D,ShadowLedger!$G:$G,A863,ShadowLedger!$C:$C,"&gt;="&amp;DATE(LEFT(SUBSTITUTE(C863,"'",""),4),MID(SUBSTITUTE(C863,"'",""),6,2),1),ShadowLedger!$C:$C,"&lt;"&amp;EOMONTH(DATE(LEFT(SUBSTITUTE(C863,"'",""),4),MID(SUBSTITUTE(C863,"'",""),6,2),1),0)+1)</f>
        <v>0</v>
      </c>
      <c r="E863" s="17">
        <f t="shared" si="1"/>
        <v>113</v>
      </c>
      <c r="F863" s="17">
        <f t="shared" si="2"/>
        <v>0</v>
      </c>
    </row>
    <row r="864">
      <c r="A864" s="5" t="s">
        <v>65</v>
      </c>
      <c r="B864" s="6">
        <v>56.0</v>
      </c>
      <c r="C864" s="13" t="s">
        <v>262</v>
      </c>
      <c r="D864" s="17">
        <f>SUMIFS(ShadowLedger!$D:$D,ShadowLedger!$G:$G,A864,ShadowLedger!$C:$C,"&gt;="&amp;DATE(LEFT(SUBSTITUTE(C864,"'",""),4),MID(SUBSTITUTE(C864,"'",""),6,2),1),ShadowLedger!$C:$C,"&lt;"&amp;EOMONTH(DATE(LEFT(SUBSTITUTE(C864,"'",""),4),MID(SUBSTITUTE(C864,"'",""),6,2),1),0)+1)</f>
        <v>0</v>
      </c>
      <c r="E864" s="17">
        <f t="shared" si="1"/>
        <v>56</v>
      </c>
      <c r="F864" s="17">
        <f t="shared" si="2"/>
        <v>0</v>
      </c>
    </row>
    <row r="865">
      <c r="A865" s="5" t="s">
        <v>66</v>
      </c>
      <c r="B865" s="6">
        <v>56.0</v>
      </c>
      <c r="C865" s="13" t="s">
        <v>262</v>
      </c>
      <c r="D865" s="17">
        <f>SUMIFS(ShadowLedger!$D:$D,ShadowLedger!$G:$G,A865,ShadowLedger!$C:$C,"&gt;="&amp;DATE(LEFT(SUBSTITUTE(C865,"'",""),4),MID(SUBSTITUTE(C865,"'",""),6,2),1),ShadowLedger!$C:$C,"&lt;"&amp;EOMONTH(DATE(LEFT(SUBSTITUTE(C865,"'",""),4),MID(SUBSTITUTE(C865,"'",""),6,2),1),0)+1)</f>
        <v>0</v>
      </c>
      <c r="E865" s="17">
        <f t="shared" si="1"/>
        <v>56</v>
      </c>
      <c r="F865" s="17">
        <f t="shared" si="2"/>
        <v>0</v>
      </c>
    </row>
    <row r="866">
      <c r="A866" s="5" t="s">
        <v>67</v>
      </c>
      <c r="B866" s="6">
        <v>56.0</v>
      </c>
      <c r="C866" s="13" t="s">
        <v>262</v>
      </c>
      <c r="D866" s="17">
        <f>SUMIFS(ShadowLedger!$D:$D,ShadowLedger!$G:$G,A866,ShadowLedger!$C:$C,"&gt;="&amp;DATE(LEFT(SUBSTITUTE(C866,"'",""),4),MID(SUBSTITUTE(C866,"'",""),6,2),1),ShadowLedger!$C:$C,"&lt;"&amp;EOMONTH(DATE(LEFT(SUBSTITUTE(C866,"'",""),4),MID(SUBSTITUTE(C866,"'",""),6,2),1),0)+1)</f>
        <v>0</v>
      </c>
      <c r="E866" s="17">
        <f t="shared" si="1"/>
        <v>56</v>
      </c>
      <c r="F866" s="17">
        <f t="shared" si="2"/>
        <v>0</v>
      </c>
    </row>
    <row r="867">
      <c r="A867" s="5" t="s">
        <v>68</v>
      </c>
      <c r="B867" s="6">
        <v>56.0</v>
      </c>
      <c r="C867" s="13" t="s">
        <v>262</v>
      </c>
      <c r="D867" s="17">
        <f>SUMIFS(ShadowLedger!$D:$D,ShadowLedger!$G:$G,A867,ShadowLedger!$C:$C,"&gt;="&amp;DATE(LEFT(SUBSTITUTE(C867,"'",""),4),MID(SUBSTITUTE(C867,"'",""),6,2),1),ShadowLedger!$C:$C,"&lt;"&amp;EOMONTH(DATE(LEFT(SUBSTITUTE(C867,"'",""),4),MID(SUBSTITUTE(C867,"'",""),6,2),1),0)+1)</f>
        <v>0</v>
      </c>
      <c r="E867" s="17">
        <f t="shared" si="1"/>
        <v>56</v>
      </c>
      <c r="F867" s="17">
        <f t="shared" si="2"/>
        <v>0</v>
      </c>
    </row>
    <row r="868">
      <c r="A868" s="5" t="s">
        <v>69</v>
      </c>
      <c r="B868" s="6">
        <v>0.0</v>
      </c>
      <c r="C868" s="13" t="s">
        <v>262</v>
      </c>
      <c r="D868" s="17">
        <f>SUMIFS(ShadowLedger!$D:$D,ShadowLedger!$G:$G,A868,ShadowLedger!$C:$C,"&gt;="&amp;DATE(LEFT(SUBSTITUTE(C868,"'",""),4),MID(SUBSTITUTE(C868,"'",""),6,2),1),ShadowLedger!$C:$C,"&lt;"&amp;EOMONTH(DATE(LEFT(SUBSTITUTE(C868,"'",""),4),MID(SUBSTITUTE(C868,"'",""),6,2),1),0)+1)</f>
        <v>0</v>
      </c>
      <c r="E868" s="17">
        <f t="shared" si="1"/>
        <v>0</v>
      </c>
      <c r="F868" s="17">
        <f t="shared" si="2"/>
        <v>0</v>
      </c>
    </row>
    <row r="869">
      <c r="A869" s="5" t="s">
        <v>54</v>
      </c>
      <c r="B869" s="6">
        <v>1035.0</v>
      </c>
      <c r="C869" s="13" t="s">
        <v>263</v>
      </c>
      <c r="D869" s="17">
        <f>SUMIFS(ShadowLedger!$D:$D,ShadowLedger!$G:$G,A869,ShadowLedger!$C:$C,"&gt;="&amp;DATE(LEFT(SUBSTITUTE(C869,"'",""),4),MID(SUBSTITUTE(C869,"'",""),6,2),1),ShadowLedger!$C:$C,"&lt;"&amp;EOMONTH(DATE(LEFT(SUBSTITUTE(C869,"'",""),4),MID(SUBSTITUTE(C869,"'",""),6,2),1),0)+1)</f>
        <v>0</v>
      </c>
      <c r="E869" s="17">
        <f t="shared" si="1"/>
        <v>1035</v>
      </c>
      <c r="F869" s="17">
        <f t="shared" si="2"/>
        <v>0</v>
      </c>
    </row>
    <row r="870">
      <c r="A870" s="5" t="s">
        <v>55</v>
      </c>
      <c r="B870" s="6">
        <v>788.0</v>
      </c>
      <c r="C870" s="13" t="s">
        <v>263</v>
      </c>
      <c r="D870" s="17">
        <f>SUMIFS(ShadowLedger!$D:$D,ShadowLedger!$G:$G,A870,ShadowLedger!$C:$C,"&gt;="&amp;DATE(LEFT(SUBSTITUTE(C870,"'",""),4),MID(SUBSTITUTE(C870,"'",""),6,2),1),ShadowLedger!$C:$C,"&lt;"&amp;EOMONTH(DATE(LEFT(SUBSTITUTE(C870,"'",""),4),MID(SUBSTITUTE(C870,"'",""),6,2),1),0)+1)</f>
        <v>0</v>
      </c>
      <c r="E870" s="17">
        <f t="shared" si="1"/>
        <v>788</v>
      </c>
      <c r="F870" s="17">
        <f t="shared" si="2"/>
        <v>0</v>
      </c>
    </row>
    <row r="871">
      <c r="A871" s="5" t="s">
        <v>56</v>
      </c>
      <c r="B871" s="6">
        <v>563.0</v>
      </c>
      <c r="C871" s="13" t="s">
        <v>263</v>
      </c>
      <c r="D871" s="17">
        <f>SUMIFS(ShadowLedger!$D:$D,ShadowLedger!$G:$G,A871,ShadowLedger!$C:$C,"&gt;="&amp;DATE(LEFT(SUBSTITUTE(C871,"'",""),4),MID(SUBSTITUTE(C871,"'",""),6,2),1),ShadowLedger!$C:$C,"&lt;"&amp;EOMONTH(DATE(LEFT(SUBSTITUTE(C871,"'",""),4),MID(SUBSTITUTE(C871,"'",""),6,2),1),0)+1)</f>
        <v>0</v>
      </c>
      <c r="E871" s="17">
        <f t="shared" si="1"/>
        <v>563</v>
      </c>
      <c r="F871" s="17">
        <f t="shared" si="2"/>
        <v>0</v>
      </c>
    </row>
    <row r="872">
      <c r="A872" s="5" t="s">
        <v>57</v>
      </c>
      <c r="B872" s="6">
        <v>563.0</v>
      </c>
      <c r="C872" s="13" t="s">
        <v>263</v>
      </c>
      <c r="D872" s="17">
        <f>SUMIFS(ShadowLedger!$D:$D,ShadowLedger!$G:$G,A872,ShadowLedger!$C:$C,"&gt;="&amp;DATE(LEFT(SUBSTITUTE(C872,"'",""),4),MID(SUBSTITUTE(C872,"'",""),6,2),1),ShadowLedger!$C:$C,"&lt;"&amp;EOMONTH(DATE(LEFT(SUBSTITUTE(C872,"'",""),4),MID(SUBSTITUTE(C872,"'",""),6,2),1),0)+1)</f>
        <v>0</v>
      </c>
      <c r="E872" s="17">
        <f t="shared" si="1"/>
        <v>563</v>
      </c>
      <c r="F872" s="17">
        <f t="shared" si="2"/>
        <v>0</v>
      </c>
    </row>
    <row r="873">
      <c r="A873" s="5" t="s">
        <v>58</v>
      </c>
      <c r="B873" s="6">
        <v>450.0</v>
      </c>
      <c r="C873" s="13" t="s">
        <v>263</v>
      </c>
      <c r="D873" s="17">
        <f>SUMIFS(ShadowLedger!$D:$D,ShadowLedger!$G:$G,A873,ShadowLedger!$C:$C,"&gt;="&amp;DATE(LEFT(SUBSTITUTE(C873,"'",""),4),MID(SUBSTITUTE(C873,"'",""),6,2),1),ShadowLedger!$C:$C,"&lt;"&amp;EOMONTH(DATE(LEFT(SUBSTITUTE(C873,"'",""),4),MID(SUBSTITUTE(C873,"'",""),6,2),1),0)+1)</f>
        <v>0</v>
      </c>
      <c r="E873" s="17">
        <f t="shared" si="1"/>
        <v>450</v>
      </c>
      <c r="F873" s="17">
        <f t="shared" si="2"/>
        <v>0</v>
      </c>
    </row>
    <row r="874">
      <c r="A874" s="5" t="s">
        <v>59</v>
      </c>
      <c r="B874" s="6">
        <v>225.0</v>
      </c>
      <c r="C874" s="13" t="s">
        <v>263</v>
      </c>
      <c r="D874" s="17">
        <f>SUMIFS(ShadowLedger!$D:$D,ShadowLedger!$G:$G,A874,ShadowLedger!$C:$C,"&gt;="&amp;DATE(LEFT(SUBSTITUTE(C874,"'",""),4),MID(SUBSTITUTE(C874,"'",""),6,2),1),ShadowLedger!$C:$C,"&lt;"&amp;EOMONTH(DATE(LEFT(SUBSTITUTE(C874,"'",""),4),MID(SUBSTITUTE(C874,"'",""),6,2),1),0)+1)</f>
        <v>0</v>
      </c>
      <c r="E874" s="17">
        <f t="shared" si="1"/>
        <v>225</v>
      </c>
      <c r="F874" s="17">
        <f t="shared" si="2"/>
        <v>0</v>
      </c>
    </row>
    <row r="875">
      <c r="A875" s="5" t="s">
        <v>60</v>
      </c>
      <c r="B875" s="6">
        <v>169.0</v>
      </c>
      <c r="C875" s="13" t="s">
        <v>263</v>
      </c>
      <c r="D875" s="17">
        <f>SUMIFS(ShadowLedger!$D:$D,ShadowLedger!$G:$G,A875,ShadowLedger!$C:$C,"&gt;="&amp;DATE(LEFT(SUBSTITUTE(C875,"'",""),4),MID(SUBSTITUTE(C875,"'",""),6,2),1),ShadowLedger!$C:$C,"&lt;"&amp;EOMONTH(DATE(LEFT(SUBSTITUTE(C875,"'",""),4),MID(SUBSTITUTE(C875,"'",""),6,2),1),0)+1)</f>
        <v>0</v>
      </c>
      <c r="E875" s="17">
        <f t="shared" si="1"/>
        <v>169</v>
      </c>
      <c r="F875" s="17">
        <f t="shared" si="2"/>
        <v>0</v>
      </c>
    </row>
    <row r="876">
      <c r="A876" s="5" t="s">
        <v>61</v>
      </c>
      <c r="B876" s="6">
        <v>135.0</v>
      </c>
      <c r="C876" s="13" t="s">
        <v>263</v>
      </c>
      <c r="D876" s="17">
        <f>SUMIFS(ShadowLedger!$D:$D,ShadowLedger!$G:$G,A876,ShadowLedger!$C:$C,"&gt;="&amp;DATE(LEFT(SUBSTITUTE(C876,"'",""),4),MID(SUBSTITUTE(C876,"'",""),6,2),1),ShadowLedger!$C:$C,"&lt;"&amp;EOMONTH(DATE(LEFT(SUBSTITUTE(C876,"'",""),4),MID(SUBSTITUTE(C876,"'",""),6,2),1),0)+1)</f>
        <v>0</v>
      </c>
      <c r="E876" s="17">
        <f t="shared" si="1"/>
        <v>135</v>
      </c>
      <c r="F876" s="17">
        <f t="shared" si="2"/>
        <v>0</v>
      </c>
    </row>
    <row r="877">
      <c r="A877" s="5" t="s">
        <v>62</v>
      </c>
      <c r="B877" s="6">
        <v>135.0</v>
      </c>
      <c r="C877" s="13" t="s">
        <v>263</v>
      </c>
      <c r="D877" s="17">
        <f>SUMIFS(ShadowLedger!$D:$D,ShadowLedger!$G:$G,A877,ShadowLedger!$C:$C,"&gt;="&amp;DATE(LEFT(SUBSTITUTE(C877,"'",""),4),MID(SUBSTITUTE(C877,"'",""),6,2),1),ShadowLedger!$C:$C,"&lt;"&amp;EOMONTH(DATE(LEFT(SUBSTITUTE(C877,"'",""),4),MID(SUBSTITUTE(C877,"'",""),6,2),1),0)+1)</f>
        <v>0</v>
      </c>
      <c r="E877" s="17">
        <f t="shared" si="1"/>
        <v>135</v>
      </c>
      <c r="F877" s="17">
        <f t="shared" si="2"/>
        <v>0</v>
      </c>
    </row>
    <row r="878">
      <c r="A878" s="5" t="s">
        <v>63</v>
      </c>
      <c r="B878" s="6">
        <v>113.0</v>
      </c>
      <c r="C878" s="13" t="s">
        <v>263</v>
      </c>
      <c r="D878" s="17">
        <f>SUMIFS(ShadowLedger!$D:$D,ShadowLedger!$G:$G,A878,ShadowLedger!$C:$C,"&gt;="&amp;DATE(LEFT(SUBSTITUTE(C878,"'",""),4),MID(SUBSTITUTE(C878,"'",""),6,2),1),ShadowLedger!$C:$C,"&lt;"&amp;EOMONTH(DATE(LEFT(SUBSTITUTE(C878,"'",""),4),MID(SUBSTITUTE(C878,"'",""),6,2),1),0)+1)</f>
        <v>0</v>
      </c>
      <c r="E878" s="17">
        <f t="shared" si="1"/>
        <v>113</v>
      </c>
      <c r="F878" s="17">
        <f t="shared" si="2"/>
        <v>0</v>
      </c>
    </row>
    <row r="879">
      <c r="A879" s="5" t="s">
        <v>64</v>
      </c>
      <c r="B879" s="6">
        <v>113.0</v>
      </c>
      <c r="C879" s="13" t="s">
        <v>263</v>
      </c>
      <c r="D879" s="17">
        <f>SUMIFS(ShadowLedger!$D:$D,ShadowLedger!$G:$G,A879,ShadowLedger!$C:$C,"&gt;="&amp;DATE(LEFT(SUBSTITUTE(C879,"'",""),4),MID(SUBSTITUTE(C879,"'",""),6,2),1),ShadowLedger!$C:$C,"&lt;"&amp;EOMONTH(DATE(LEFT(SUBSTITUTE(C879,"'",""),4),MID(SUBSTITUTE(C879,"'",""),6,2),1),0)+1)</f>
        <v>0</v>
      </c>
      <c r="E879" s="17">
        <f t="shared" si="1"/>
        <v>113</v>
      </c>
      <c r="F879" s="17">
        <f t="shared" si="2"/>
        <v>0</v>
      </c>
    </row>
    <row r="880">
      <c r="A880" s="5" t="s">
        <v>70</v>
      </c>
      <c r="B880" s="6">
        <v>113.0</v>
      </c>
      <c r="C880" s="13" t="s">
        <v>263</v>
      </c>
      <c r="D880" s="17">
        <f>SUMIFS(ShadowLedger!$D:$D,ShadowLedger!$G:$G,A880,ShadowLedger!$C:$C,"&gt;="&amp;DATE(LEFT(SUBSTITUTE(C880,"'",""),4),MID(SUBSTITUTE(C880,"'",""),6,2),1),ShadowLedger!$C:$C,"&lt;"&amp;EOMONTH(DATE(LEFT(SUBSTITUTE(C880,"'",""),4),MID(SUBSTITUTE(C880,"'",""),6,2),1),0)+1)</f>
        <v>0</v>
      </c>
      <c r="E880" s="17">
        <f t="shared" si="1"/>
        <v>113</v>
      </c>
      <c r="F880" s="17">
        <f t="shared" si="2"/>
        <v>0</v>
      </c>
    </row>
    <row r="881">
      <c r="A881" s="5" t="s">
        <v>65</v>
      </c>
      <c r="B881" s="6">
        <v>56.0</v>
      </c>
      <c r="C881" s="13" t="s">
        <v>263</v>
      </c>
      <c r="D881" s="17">
        <f>SUMIFS(ShadowLedger!$D:$D,ShadowLedger!$G:$G,A881,ShadowLedger!$C:$C,"&gt;="&amp;DATE(LEFT(SUBSTITUTE(C881,"'",""),4),MID(SUBSTITUTE(C881,"'",""),6,2),1),ShadowLedger!$C:$C,"&lt;"&amp;EOMONTH(DATE(LEFT(SUBSTITUTE(C881,"'",""),4),MID(SUBSTITUTE(C881,"'",""),6,2),1),0)+1)</f>
        <v>0</v>
      </c>
      <c r="E881" s="17">
        <f t="shared" si="1"/>
        <v>56</v>
      </c>
      <c r="F881" s="17">
        <f t="shared" si="2"/>
        <v>0</v>
      </c>
    </row>
    <row r="882">
      <c r="A882" s="5" t="s">
        <v>66</v>
      </c>
      <c r="B882" s="6">
        <v>56.0</v>
      </c>
      <c r="C882" s="13" t="s">
        <v>263</v>
      </c>
      <c r="D882" s="17">
        <f>SUMIFS(ShadowLedger!$D:$D,ShadowLedger!$G:$G,A882,ShadowLedger!$C:$C,"&gt;="&amp;DATE(LEFT(SUBSTITUTE(C882,"'",""),4),MID(SUBSTITUTE(C882,"'",""),6,2),1),ShadowLedger!$C:$C,"&lt;"&amp;EOMONTH(DATE(LEFT(SUBSTITUTE(C882,"'",""),4),MID(SUBSTITUTE(C882,"'",""),6,2),1),0)+1)</f>
        <v>0</v>
      </c>
      <c r="E882" s="17">
        <f t="shared" si="1"/>
        <v>56</v>
      </c>
      <c r="F882" s="17">
        <f t="shared" si="2"/>
        <v>0</v>
      </c>
    </row>
    <row r="883">
      <c r="A883" s="5" t="s">
        <v>67</v>
      </c>
      <c r="B883" s="6">
        <v>56.0</v>
      </c>
      <c r="C883" s="13" t="s">
        <v>263</v>
      </c>
      <c r="D883" s="17">
        <f>SUMIFS(ShadowLedger!$D:$D,ShadowLedger!$G:$G,A883,ShadowLedger!$C:$C,"&gt;="&amp;DATE(LEFT(SUBSTITUTE(C883,"'",""),4),MID(SUBSTITUTE(C883,"'",""),6,2),1),ShadowLedger!$C:$C,"&lt;"&amp;EOMONTH(DATE(LEFT(SUBSTITUTE(C883,"'",""),4),MID(SUBSTITUTE(C883,"'",""),6,2),1),0)+1)</f>
        <v>0</v>
      </c>
      <c r="E883" s="17">
        <f t="shared" si="1"/>
        <v>56</v>
      </c>
      <c r="F883" s="17">
        <f t="shared" si="2"/>
        <v>0</v>
      </c>
    </row>
    <row r="884">
      <c r="A884" s="5" t="s">
        <v>68</v>
      </c>
      <c r="B884" s="6">
        <v>56.0</v>
      </c>
      <c r="C884" s="13" t="s">
        <v>263</v>
      </c>
      <c r="D884" s="17">
        <f>SUMIFS(ShadowLedger!$D:$D,ShadowLedger!$G:$G,A884,ShadowLedger!$C:$C,"&gt;="&amp;DATE(LEFT(SUBSTITUTE(C884,"'",""),4),MID(SUBSTITUTE(C884,"'",""),6,2),1),ShadowLedger!$C:$C,"&lt;"&amp;EOMONTH(DATE(LEFT(SUBSTITUTE(C884,"'",""),4),MID(SUBSTITUTE(C884,"'",""),6,2),1),0)+1)</f>
        <v>0</v>
      </c>
      <c r="E884" s="17">
        <f t="shared" si="1"/>
        <v>56</v>
      </c>
      <c r="F884" s="17">
        <f t="shared" si="2"/>
        <v>0</v>
      </c>
    </row>
    <row r="885">
      <c r="A885" s="5" t="s">
        <v>69</v>
      </c>
      <c r="B885" s="6">
        <v>0.0</v>
      </c>
      <c r="C885" s="13" t="s">
        <v>263</v>
      </c>
      <c r="D885" s="17">
        <f>SUMIFS(ShadowLedger!$D:$D,ShadowLedger!$G:$G,A885,ShadowLedger!$C:$C,"&gt;="&amp;DATE(LEFT(SUBSTITUTE(C885,"'",""),4),MID(SUBSTITUTE(C885,"'",""),6,2),1),ShadowLedger!$C:$C,"&lt;"&amp;EOMONTH(DATE(LEFT(SUBSTITUTE(C885,"'",""),4),MID(SUBSTITUTE(C885,"'",""),6,2),1),0)+1)</f>
        <v>0</v>
      </c>
      <c r="E885" s="17">
        <f t="shared" si="1"/>
        <v>0</v>
      </c>
      <c r="F885" s="17">
        <f t="shared" si="2"/>
        <v>0</v>
      </c>
    </row>
    <row r="886">
      <c r="A886" s="5" t="s">
        <v>54</v>
      </c>
      <c r="B886" s="6">
        <v>1035.0</v>
      </c>
      <c r="C886" s="13" t="s">
        <v>264</v>
      </c>
      <c r="D886" s="17">
        <f>SUMIFS(ShadowLedger!$D:$D,ShadowLedger!$G:$G,A886,ShadowLedger!$C:$C,"&gt;="&amp;DATE(LEFT(SUBSTITUTE(C886,"'",""),4),MID(SUBSTITUTE(C886,"'",""),6,2),1),ShadowLedger!$C:$C,"&lt;"&amp;EOMONTH(DATE(LEFT(SUBSTITUTE(C886,"'",""),4),MID(SUBSTITUTE(C886,"'",""),6,2),1),0)+1)</f>
        <v>0</v>
      </c>
      <c r="E886" s="17">
        <f t="shared" si="1"/>
        <v>1035</v>
      </c>
      <c r="F886" s="17">
        <f t="shared" si="2"/>
        <v>0</v>
      </c>
    </row>
    <row r="887">
      <c r="A887" s="5" t="s">
        <v>55</v>
      </c>
      <c r="B887" s="6">
        <v>788.0</v>
      </c>
      <c r="C887" s="13" t="s">
        <v>264</v>
      </c>
      <c r="D887" s="17">
        <f>SUMIFS(ShadowLedger!$D:$D,ShadowLedger!$G:$G,A887,ShadowLedger!$C:$C,"&gt;="&amp;DATE(LEFT(SUBSTITUTE(C887,"'",""),4),MID(SUBSTITUTE(C887,"'",""),6,2),1),ShadowLedger!$C:$C,"&lt;"&amp;EOMONTH(DATE(LEFT(SUBSTITUTE(C887,"'",""),4),MID(SUBSTITUTE(C887,"'",""),6,2),1),0)+1)</f>
        <v>0</v>
      </c>
      <c r="E887" s="17">
        <f t="shared" si="1"/>
        <v>788</v>
      </c>
      <c r="F887" s="17">
        <f t="shared" si="2"/>
        <v>0</v>
      </c>
    </row>
    <row r="888">
      <c r="A888" s="5" t="s">
        <v>56</v>
      </c>
      <c r="B888" s="6">
        <v>563.0</v>
      </c>
      <c r="C888" s="13" t="s">
        <v>264</v>
      </c>
      <c r="D888" s="17">
        <f>SUMIFS(ShadowLedger!$D:$D,ShadowLedger!$G:$G,A888,ShadowLedger!$C:$C,"&gt;="&amp;DATE(LEFT(SUBSTITUTE(C888,"'",""),4),MID(SUBSTITUTE(C888,"'",""),6,2),1),ShadowLedger!$C:$C,"&lt;"&amp;EOMONTH(DATE(LEFT(SUBSTITUTE(C888,"'",""),4),MID(SUBSTITUTE(C888,"'",""),6,2),1),0)+1)</f>
        <v>0</v>
      </c>
      <c r="E888" s="17">
        <f t="shared" si="1"/>
        <v>563</v>
      </c>
      <c r="F888" s="17">
        <f t="shared" si="2"/>
        <v>0</v>
      </c>
    </row>
    <row r="889">
      <c r="A889" s="5" t="s">
        <v>57</v>
      </c>
      <c r="B889" s="6">
        <v>563.0</v>
      </c>
      <c r="C889" s="13" t="s">
        <v>264</v>
      </c>
      <c r="D889" s="17">
        <f>SUMIFS(ShadowLedger!$D:$D,ShadowLedger!$G:$G,A889,ShadowLedger!$C:$C,"&gt;="&amp;DATE(LEFT(SUBSTITUTE(C889,"'",""),4),MID(SUBSTITUTE(C889,"'",""),6,2),1),ShadowLedger!$C:$C,"&lt;"&amp;EOMONTH(DATE(LEFT(SUBSTITUTE(C889,"'",""),4),MID(SUBSTITUTE(C889,"'",""),6,2),1),0)+1)</f>
        <v>0</v>
      </c>
      <c r="E889" s="17">
        <f t="shared" si="1"/>
        <v>563</v>
      </c>
      <c r="F889" s="17">
        <f t="shared" si="2"/>
        <v>0</v>
      </c>
    </row>
    <row r="890">
      <c r="A890" s="5" t="s">
        <v>58</v>
      </c>
      <c r="B890" s="6">
        <v>450.0</v>
      </c>
      <c r="C890" s="13" t="s">
        <v>264</v>
      </c>
      <c r="D890" s="17">
        <f>SUMIFS(ShadowLedger!$D:$D,ShadowLedger!$G:$G,A890,ShadowLedger!$C:$C,"&gt;="&amp;DATE(LEFT(SUBSTITUTE(C890,"'",""),4),MID(SUBSTITUTE(C890,"'",""),6,2),1),ShadowLedger!$C:$C,"&lt;"&amp;EOMONTH(DATE(LEFT(SUBSTITUTE(C890,"'",""),4),MID(SUBSTITUTE(C890,"'",""),6,2),1),0)+1)</f>
        <v>0</v>
      </c>
      <c r="E890" s="17">
        <f t="shared" si="1"/>
        <v>450</v>
      </c>
      <c r="F890" s="17">
        <f t="shared" si="2"/>
        <v>0</v>
      </c>
    </row>
    <row r="891">
      <c r="A891" s="5" t="s">
        <v>59</v>
      </c>
      <c r="B891" s="6">
        <v>225.0</v>
      </c>
      <c r="C891" s="13" t="s">
        <v>264</v>
      </c>
      <c r="D891" s="17">
        <f>SUMIFS(ShadowLedger!$D:$D,ShadowLedger!$G:$G,A891,ShadowLedger!$C:$C,"&gt;="&amp;DATE(LEFT(SUBSTITUTE(C891,"'",""),4),MID(SUBSTITUTE(C891,"'",""),6,2),1),ShadowLedger!$C:$C,"&lt;"&amp;EOMONTH(DATE(LEFT(SUBSTITUTE(C891,"'",""),4),MID(SUBSTITUTE(C891,"'",""),6,2),1),0)+1)</f>
        <v>0</v>
      </c>
      <c r="E891" s="17">
        <f t="shared" si="1"/>
        <v>225</v>
      </c>
      <c r="F891" s="17">
        <f t="shared" si="2"/>
        <v>0</v>
      </c>
    </row>
    <row r="892">
      <c r="A892" s="5" t="s">
        <v>60</v>
      </c>
      <c r="B892" s="6">
        <v>169.0</v>
      </c>
      <c r="C892" s="13" t="s">
        <v>264</v>
      </c>
      <c r="D892" s="17">
        <f>SUMIFS(ShadowLedger!$D:$D,ShadowLedger!$G:$G,A892,ShadowLedger!$C:$C,"&gt;="&amp;DATE(LEFT(SUBSTITUTE(C892,"'",""),4),MID(SUBSTITUTE(C892,"'",""),6,2),1),ShadowLedger!$C:$C,"&lt;"&amp;EOMONTH(DATE(LEFT(SUBSTITUTE(C892,"'",""),4),MID(SUBSTITUTE(C892,"'",""),6,2),1),0)+1)</f>
        <v>0</v>
      </c>
      <c r="E892" s="17">
        <f t="shared" si="1"/>
        <v>169</v>
      </c>
      <c r="F892" s="17">
        <f t="shared" si="2"/>
        <v>0</v>
      </c>
    </row>
    <row r="893">
      <c r="A893" s="5" t="s">
        <v>61</v>
      </c>
      <c r="B893" s="6">
        <v>135.0</v>
      </c>
      <c r="C893" s="13" t="s">
        <v>264</v>
      </c>
      <c r="D893" s="17">
        <f>SUMIFS(ShadowLedger!$D:$D,ShadowLedger!$G:$G,A893,ShadowLedger!$C:$C,"&gt;="&amp;DATE(LEFT(SUBSTITUTE(C893,"'",""),4),MID(SUBSTITUTE(C893,"'",""),6,2),1),ShadowLedger!$C:$C,"&lt;"&amp;EOMONTH(DATE(LEFT(SUBSTITUTE(C893,"'",""),4),MID(SUBSTITUTE(C893,"'",""),6,2),1),0)+1)</f>
        <v>0</v>
      </c>
      <c r="E893" s="17">
        <f t="shared" si="1"/>
        <v>135</v>
      </c>
      <c r="F893" s="17">
        <f t="shared" si="2"/>
        <v>0</v>
      </c>
    </row>
    <row r="894">
      <c r="A894" s="5" t="s">
        <v>62</v>
      </c>
      <c r="B894" s="6">
        <v>135.0</v>
      </c>
      <c r="C894" s="13" t="s">
        <v>264</v>
      </c>
      <c r="D894" s="17">
        <f>SUMIFS(ShadowLedger!$D:$D,ShadowLedger!$G:$G,A894,ShadowLedger!$C:$C,"&gt;="&amp;DATE(LEFT(SUBSTITUTE(C894,"'",""),4),MID(SUBSTITUTE(C894,"'",""),6,2),1),ShadowLedger!$C:$C,"&lt;"&amp;EOMONTH(DATE(LEFT(SUBSTITUTE(C894,"'",""),4),MID(SUBSTITUTE(C894,"'",""),6,2),1),0)+1)</f>
        <v>0</v>
      </c>
      <c r="E894" s="17">
        <f t="shared" si="1"/>
        <v>135</v>
      </c>
      <c r="F894" s="17">
        <f t="shared" si="2"/>
        <v>0</v>
      </c>
    </row>
    <row r="895">
      <c r="A895" s="5" t="s">
        <v>63</v>
      </c>
      <c r="B895" s="6">
        <v>113.0</v>
      </c>
      <c r="C895" s="13" t="s">
        <v>264</v>
      </c>
      <c r="D895" s="17">
        <f>SUMIFS(ShadowLedger!$D:$D,ShadowLedger!$G:$G,A895,ShadowLedger!$C:$C,"&gt;="&amp;DATE(LEFT(SUBSTITUTE(C895,"'",""),4),MID(SUBSTITUTE(C895,"'",""),6,2),1),ShadowLedger!$C:$C,"&lt;"&amp;EOMONTH(DATE(LEFT(SUBSTITUTE(C895,"'",""),4),MID(SUBSTITUTE(C895,"'",""),6,2),1),0)+1)</f>
        <v>0</v>
      </c>
      <c r="E895" s="17">
        <f t="shared" si="1"/>
        <v>113</v>
      </c>
      <c r="F895" s="17">
        <f t="shared" si="2"/>
        <v>0</v>
      </c>
    </row>
    <row r="896">
      <c r="A896" s="5" t="s">
        <v>64</v>
      </c>
      <c r="B896" s="6">
        <v>113.0</v>
      </c>
      <c r="C896" s="13" t="s">
        <v>264</v>
      </c>
      <c r="D896" s="17">
        <f>SUMIFS(ShadowLedger!$D:$D,ShadowLedger!$G:$G,A896,ShadowLedger!$C:$C,"&gt;="&amp;DATE(LEFT(SUBSTITUTE(C896,"'",""),4),MID(SUBSTITUTE(C896,"'",""),6,2),1),ShadowLedger!$C:$C,"&lt;"&amp;EOMONTH(DATE(LEFT(SUBSTITUTE(C896,"'",""),4),MID(SUBSTITUTE(C896,"'",""),6,2),1),0)+1)</f>
        <v>0</v>
      </c>
      <c r="E896" s="17">
        <f t="shared" si="1"/>
        <v>113</v>
      </c>
      <c r="F896" s="17">
        <f t="shared" si="2"/>
        <v>0</v>
      </c>
    </row>
    <row r="897">
      <c r="A897" s="5" t="s">
        <v>70</v>
      </c>
      <c r="B897" s="6">
        <v>113.0</v>
      </c>
      <c r="C897" s="13" t="s">
        <v>264</v>
      </c>
      <c r="D897" s="17">
        <f>SUMIFS(ShadowLedger!$D:$D,ShadowLedger!$G:$G,A897,ShadowLedger!$C:$C,"&gt;="&amp;DATE(LEFT(SUBSTITUTE(C897,"'",""),4),MID(SUBSTITUTE(C897,"'",""),6,2),1),ShadowLedger!$C:$C,"&lt;"&amp;EOMONTH(DATE(LEFT(SUBSTITUTE(C897,"'",""),4),MID(SUBSTITUTE(C897,"'",""),6,2),1),0)+1)</f>
        <v>0</v>
      </c>
      <c r="E897" s="17">
        <f t="shared" si="1"/>
        <v>113</v>
      </c>
      <c r="F897" s="17">
        <f t="shared" si="2"/>
        <v>0</v>
      </c>
    </row>
    <row r="898">
      <c r="A898" s="5" t="s">
        <v>65</v>
      </c>
      <c r="B898" s="6">
        <v>56.0</v>
      </c>
      <c r="C898" s="13" t="s">
        <v>264</v>
      </c>
      <c r="D898" s="17">
        <f>SUMIFS(ShadowLedger!$D:$D,ShadowLedger!$G:$G,A898,ShadowLedger!$C:$C,"&gt;="&amp;DATE(LEFT(SUBSTITUTE(C898,"'",""),4),MID(SUBSTITUTE(C898,"'",""),6,2),1),ShadowLedger!$C:$C,"&lt;"&amp;EOMONTH(DATE(LEFT(SUBSTITUTE(C898,"'",""),4),MID(SUBSTITUTE(C898,"'",""),6,2),1),0)+1)</f>
        <v>0</v>
      </c>
      <c r="E898" s="17">
        <f t="shared" si="1"/>
        <v>56</v>
      </c>
      <c r="F898" s="17">
        <f t="shared" si="2"/>
        <v>0</v>
      </c>
    </row>
    <row r="899">
      <c r="A899" s="5" t="s">
        <v>66</v>
      </c>
      <c r="B899" s="6">
        <v>56.0</v>
      </c>
      <c r="C899" s="13" t="s">
        <v>264</v>
      </c>
      <c r="D899" s="17">
        <f>SUMIFS(ShadowLedger!$D:$D,ShadowLedger!$G:$G,A899,ShadowLedger!$C:$C,"&gt;="&amp;DATE(LEFT(SUBSTITUTE(C899,"'",""),4),MID(SUBSTITUTE(C899,"'",""),6,2),1),ShadowLedger!$C:$C,"&lt;"&amp;EOMONTH(DATE(LEFT(SUBSTITUTE(C899,"'",""),4),MID(SUBSTITUTE(C899,"'",""),6,2),1),0)+1)</f>
        <v>0</v>
      </c>
      <c r="E899" s="17">
        <f t="shared" si="1"/>
        <v>56</v>
      </c>
      <c r="F899" s="17">
        <f t="shared" si="2"/>
        <v>0</v>
      </c>
    </row>
    <row r="900">
      <c r="A900" s="5" t="s">
        <v>67</v>
      </c>
      <c r="B900" s="6">
        <v>56.0</v>
      </c>
      <c r="C900" s="13" t="s">
        <v>264</v>
      </c>
      <c r="D900" s="17">
        <f>SUMIFS(ShadowLedger!$D:$D,ShadowLedger!$G:$G,A900,ShadowLedger!$C:$C,"&gt;="&amp;DATE(LEFT(SUBSTITUTE(C900,"'",""),4),MID(SUBSTITUTE(C900,"'",""),6,2),1),ShadowLedger!$C:$C,"&lt;"&amp;EOMONTH(DATE(LEFT(SUBSTITUTE(C900,"'",""),4),MID(SUBSTITUTE(C900,"'",""),6,2),1),0)+1)</f>
        <v>0</v>
      </c>
      <c r="E900" s="17">
        <f t="shared" si="1"/>
        <v>56</v>
      </c>
      <c r="F900" s="17">
        <f t="shared" si="2"/>
        <v>0</v>
      </c>
    </row>
    <row r="901">
      <c r="A901" s="5" t="s">
        <v>68</v>
      </c>
      <c r="B901" s="6">
        <v>56.0</v>
      </c>
      <c r="C901" s="13" t="s">
        <v>264</v>
      </c>
      <c r="D901" s="17">
        <f>SUMIFS(ShadowLedger!$D:$D,ShadowLedger!$G:$G,A901,ShadowLedger!$C:$C,"&gt;="&amp;DATE(LEFT(SUBSTITUTE(C901,"'",""),4),MID(SUBSTITUTE(C901,"'",""),6,2),1),ShadowLedger!$C:$C,"&lt;"&amp;EOMONTH(DATE(LEFT(SUBSTITUTE(C901,"'",""),4),MID(SUBSTITUTE(C901,"'",""),6,2),1),0)+1)</f>
        <v>0</v>
      </c>
      <c r="E901" s="17">
        <f t="shared" si="1"/>
        <v>56</v>
      </c>
      <c r="F901" s="17">
        <f t="shared" si="2"/>
        <v>0</v>
      </c>
    </row>
    <row r="902">
      <c r="A902" s="5" t="s">
        <v>69</v>
      </c>
      <c r="B902" s="6">
        <v>0.0</v>
      </c>
      <c r="C902" s="13" t="s">
        <v>264</v>
      </c>
      <c r="D902" s="17">
        <f>SUMIFS(ShadowLedger!$D:$D,ShadowLedger!$G:$G,A902,ShadowLedger!$C:$C,"&gt;="&amp;DATE(LEFT(SUBSTITUTE(C902,"'",""),4),MID(SUBSTITUTE(C902,"'",""),6,2),1),ShadowLedger!$C:$C,"&lt;"&amp;EOMONTH(DATE(LEFT(SUBSTITUTE(C902,"'",""),4),MID(SUBSTITUTE(C902,"'",""),6,2),1),0)+1)</f>
        <v>0</v>
      </c>
      <c r="E902" s="17">
        <f t="shared" si="1"/>
        <v>0</v>
      </c>
      <c r="F902" s="17">
        <f t="shared" si="2"/>
        <v>0</v>
      </c>
    </row>
    <row r="903">
      <c r="A903" s="5" t="s">
        <v>54</v>
      </c>
      <c r="B903" s="6">
        <v>1035.0</v>
      </c>
      <c r="C903" s="13" t="s">
        <v>265</v>
      </c>
      <c r="D903" s="17">
        <f>SUMIFS(ShadowLedger!$D:$D,ShadowLedger!$G:$G,A903,ShadowLedger!$C:$C,"&gt;="&amp;DATE(LEFT(SUBSTITUTE(C903,"'",""),4),MID(SUBSTITUTE(C903,"'",""),6,2),1),ShadowLedger!$C:$C,"&lt;"&amp;EOMONTH(DATE(LEFT(SUBSTITUTE(C903,"'",""),4),MID(SUBSTITUTE(C903,"'",""),6,2),1),0)+1)</f>
        <v>0</v>
      </c>
      <c r="E903" s="17">
        <f t="shared" si="1"/>
        <v>1035</v>
      </c>
      <c r="F903" s="17">
        <f t="shared" si="2"/>
        <v>0</v>
      </c>
    </row>
    <row r="904">
      <c r="A904" s="5" t="s">
        <v>55</v>
      </c>
      <c r="B904" s="6">
        <v>788.0</v>
      </c>
      <c r="C904" s="13" t="s">
        <v>265</v>
      </c>
      <c r="D904" s="17">
        <f>SUMIFS(ShadowLedger!$D:$D,ShadowLedger!$G:$G,A904,ShadowLedger!$C:$C,"&gt;="&amp;DATE(LEFT(SUBSTITUTE(C904,"'",""),4),MID(SUBSTITUTE(C904,"'",""),6,2),1),ShadowLedger!$C:$C,"&lt;"&amp;EOMONTH(DATE(LEFT(SUBSTITUTE(C904,"'",""),4),MID(SUBSTITUTE(C904,"'",""),6,2),1),0)+1)</f>
        <v>0</v>
      </c>
      <c r="E904" s="17">
        <f t="shared" si="1"/>
        <v>788</v>
      </c>
      <c r="F904" s="17">
        <f t="shared" si="2"/>
        <v>0</v>
      </c>
    </row>
    <row r="905">
      <c r="A905" s="5" t="s">
        <v>56</v>
      </c>
      <c r="B905" s="6">
        <v>563.0</v>
      </c>
      <c r="C905" s="13" t="s">
        <v>265</v>
      </c>
      <c r="D905" s="17">
        <f>SUMIFS(ShadowLedger!$D:$D,ShadowLedger!$G:$G,A905,ShadowLedger!$C:$C,"&gt;="&amp;DATE(LEFT(SUBSTITUTE(C905,"'",""),4),MID(SUBSTITUTE(C905,"'",""),6,2),1),ShadowLedger!$C:$C,"&lt;"&amp;EOMONTH(DATE(LEFT(SUBSTITUTE(C905,"'",""),4),MID(SUBSTITUTE(C905,"'",""),6,2),1),0)+1)</f>
        <v>0</v>
      </c>
      <c r="E905" s="17">
        <f t="shared" si="1"/>
        <v>563</v>
      </c>
      <c r="F905" s="17">
        <f t="shared" si="2"/>
        <v>0</v>
      </c>
    </row>
    <row r="906">
      <c r="A906" s="5" t="s">
        <v>57</v>
      </c>
      <c r="B906" s="6">
        <v>563.0</v>
      </c>
      <c r="C906" s="13" t="s">
        <v>265</v>
      </c>
      <c r="D906" s="17">
        <f>SUMIFS(ShadowLedger!$D:$D,ShadowLedger!$G:$G,A906,ShadowLedger!$C:$C,"&gt;="&amp;DATE(LEFT(SUBSTITUTE(C906,"'",""),4),MID(SUBSTITUTE(C906,"'",""),6,2),1),ShadowLedger!$C:$C,"&lt;"&amp;EOMONTH(DATE(LEFT(SUBSTITUTE(C906,"'",""),4),MID(SUBSTITUTE(C906,"'",""),6,2),1),0)+1)</f>
        <v>0</v>
      </c>
      <c r="E906" s="17">
        <f t="shared" si="1"/>
        <v>563</v>
      </c>
      <c r="F906" s="17">
        <f t="shared" si="2"/>
        <v>0</v>
      </c>
    </row>
    <row r="907">
      <c r="A907" s="5" t="s">
        <v>58</v>
      </c>
      <c r="B907" s="6">
        <v>450.0</v>
      </c>
      <c r="C907" s="13" t="s">
        <v>265</v>
      </c>
      <c r="D907" s="17">
        <f>SUMIFS(ShadowLedger!$D:$D,ShadowLedger!$G:$G,A907,ShadowLedger!$C:$C,"&gt;="&amp;DATE(LEFT(SUBSTITUTE(C907,"'",""),4),MID(SUBSTITUTE(C907,"'",""),6,2),1),ShadowLedger!$C:$C,"&lt;"&amp;EOMONTH(DATE(LEFT(SUBSTITUTE(C907,"'",""),4),MID(SUBSTITUTE(C907,"'",""),6,2),1),0)+1)</f>
        <v>0</v>
      </c>
      <c r="E907" s="17">
        <f t="shared" si="1"/>
        <v>450</v>
      </c>
      <c r="F907" s="17">
        <f t="shared" si="2"/>
        <v>0</v>
      </c>
    </row>
    <row r="908">
      <c r="A908" s="5" t="s">
        <v>59</v>
      </c>
      <c r="B908" s="6">
        <v>225.0</v>
      </c>
      <c r="C908" s="13" t="s">
        <v>265</v>
      </c>
      <c r="D908" s="17">
        <f>SUMIFS(ShadowLedger!$D:$D,ShadowLedger!$G:$G,A908,ShadowLedger!$C:$C,"&gt;="&amp;DATE(LEFT(SUBSTITUTE(C908,"'",""),4),MID(SUBSTITUTE(C908,"'",""),6,2),1),ShadowLedger!$C:$C,"&lt;"&amp;EOMONTH(DATE(LEFT(SUBSTITUTE(C908,"'",""),4),MID(SUBSTITUTE(C908,"'",""),6,2),1),0)+1)</f>
        <v>0</v>
      </c>
      <c r="E908" s="17">
        <f t="shared" si="1"/>
        <v>225</v>
      </c>
      <c r="F908" s="17">
        <f t="shared" si="2"/>
        <v>0</v>
      </c>
    </row>
    <row r="909">
      <c r="A909" s="5" t="s">
        <v>60</v>
      </c>
      <c r="B909" s="6">
        <v>169.0</v>
      </c>
      <c r="C909" s="13" t="s">
        <v>265</v>
      </c>
      <c r="D909" s="17">
        <f>SUMIFS(ShadowLedger!$D:$D,ShadowLedger!$G:$G,A909,ShadowLedger!$C:$C,"&gt;="&amp;DATE(LEFT(SUBSTITUTE(C909,"'",""),4),MID(SUBSTITUTE(C909,"'",""),6,2),1),ShadowLedger!$C:$C,"&lt;"&amp;EOMONTH(DATE(LEFT(SUBSTITUTE(C909,"'",""),4),MID(SUBSTITUTE(C909,"'",""),6,2),1),0)+1)</f>
        <v>0</v>
      </c>
      <c r="E909" s="17">
        <f t="shared" si="1"/>
        <v>169</v>
      </c>
      <c r="F909" s="17">
        <f t="shared" si="2"/>
        <v>0</v>
      </c>
    </row>
    <row r="910">
      <c r="A910" s="5" t="s">
        <v>61</v>
      </c>
      <c r="B910" s="6">
        <v>135.0</v>
      </c>
      <c r="C910" s="13" t="s">
        <v>265</v>
      </c>
      <c r="D910" s="17">
        <f>SUMIFS(ShadowLedger!$D:$D,ShadowLedger!$G:$G,A910,ShadowLedger!$C:$C,"&gt;="&amp;DATE(LEFT(SUBSTITUTE(C910,"'",""),4),MID(SUBSTITUTE(C910,"'",""),6,2),1),ShadowLedger!$C:$C,"&lt;"&amp;EOMONTH(DATE(LEFT(SUBSTITUTE(C910,"'",""),4),MID(SUBSTITUTE(C910,"'",""),6,2),1),0)+1)</f>
        <v>0</v>
      </c>
      <c r="E910" s="17">
        <f t="shared" si="1"/>
        <v>135</v>
      </c>
      <c r="F910" s="17">
        <f t="shared" si="2"/>
        <v>0</v>
      </c>
    </row>
    <row r="911">
      <c r="A911" s="5" t="s">
        <v>62</v>
      </c>
      <c r="B911" s="6">
        <v>135.0</v>
      </c>
      <c r="C911" s="13" t="s">
        <v>265</v>
      </c>
      <c r="D911" s="17">
        <f>SUMIFS(ShadowLedger!$D:$D,ShadowLedger!$G:$G,A911,ShadowLedger!$C:$C,"&gt;="&amp;DATE(LEFT(SUBSTITUTE(C911,"'",""),4),MID(SUBSTITUTE(C911,"'",""),6,2),1),ShadowLedger!$C:$C,"&lt;"&amp;EOMONTH(DATE(LEFT(SUBSTITUTE(C911,"'",""),4),MID(SUBSTITUTE(C911,"'",""),6,2),1),0)+1)</f>
        <v>0</v>
      </c>
      <c r="E911" s="17">
        <f t="shared" si="1"/>
        <v>135</v>
      </c>
      <c r="F911" s="17">
        <f t="shared" si="2"/>
        <v>0</v>
      </c>
    </row>
    <row r="912">
      <c r="A912" s="5" t="s">
        <v>63</v>
      </c>
      <c r="B912" s="6">
        <v>113.0</v>
      </c>
      <c r="C912" s="13" t="s">
        <v>265</v>
      </c>
      <c r="D912" s="17">
        <f>SUMIFS(ShadowLedger!$D:$D,ShadowLedger!$G:$G,A912,ShadowLedger!$C:$C,"&gt;="&amp;DATE(LEFT(SUBSTITUTE(C912,"'",""),4),MID(SUBSTITUTE(C912,"'",""),6,2),1),ShadowLedger!$C:$C,"&lt;"&amp;EOMONTH(DATE(LEFT(SUBSTITUTE(C912,"'",""),4),MID(SUBSTITUTE(C912,"'",""),6,2),1),0)+1)</f>
        <v>0</v>
      </c>
      <c r="E912" s="17">
        <f t="shared" si="1"/>
        <v>113</v>
      </c>
      <c r="F912" s="17">
        <f t="shared" si="2"/>
        <v>0</v>
      </c>
    </row>
    <row r="913">
      <c r="A913" s="5" t="s">
        <v>64</v>
      </c>
      <c r="B913" s="6">
        <v>113.0</v>
      </c>
      <c r="C913" s="13" t="s">
        <v>265</v>
      </c>
      <c r="D913" s="17">
        <f>SUMIFS(ShadowLedger!$D:$D,ShadowLedger!$G:$G,A913,ShadowLedger!$C:$C,"&gt;="&amp;DATE(LEFT(SUBSTITUTE(C913,"'",""),4),MID(SUBSTITUTE(C913,"'",""),6,2),1),ShadowLedger!$C:$C,"&lt;"&amp;EOMONTH(DATE(LEFT(SUBSTITUTE(C913,"'",""),4),MID(SUBSTITUTE(C913,"'",""),6,2),1),0)+1)</f>
        <v>0</v>
      </c>
      <c r="E913" s="17">
        <f t="shared" si="1"/>
        <v>113</v>
      </c>
      <c r="F913" s="17">
        <f t="shared" si="2"/>
        <v>0</v>
      </c>
    </row>
    <row r="914">
      <c r="A914" s="5" t="s">
        <v>70</v>
      </c>
      <c r="B914" s="6">
        <v>113.0</v>
      </c>
      <c r="C914" s="13" t="s">
        <v>265</v>
      </c>
      <c r="D914" s="17">
        <f>SUMIFS(ShadowLedger!$D:$D,ShadowLedger!$G:$G,A914,ShadowLedger!$C:$C,"&gt;="&amp;DATE(LEFT(SUBSTITUTE(C914,"'",""),4),MID(SUBSTITUTE(C914,"'",""),6,2),1),ShadowLedger!$C:$C,"&lt;"&amp;EOMONTH(DATE(LEFT(SUBSTITUTE(C914,"'",""),4),MID(SUBSTITUTE(C914,"'",""),6,2),1),0)+1)</f>
        <v>0</v>
      </c>
      <c r="E914" s="17">
        <f t="shared" si="1"/>
        <v>113</v>
      </c>
      <c r="F914" s="17">
        <f t="shared" si="2"/>
        <v>0</v>
      </c>
    </row>
    <row r="915">
      <c r="A915" s="5" t="s">
        <v>65</v>
      </c>
      <c r="B915" s="6">
        <v>56.0</v>
      </c>
      <c r="C915" s="13" t="s">
        <v>265</v>
      </c>
      <c r="D915" s="17">
        <f>SUMIFS(ShadowLedger!$D:$D,ShadowLedger!$G:$G,A915,ShadowLedger!$C:$C,"&gt;="&amp;DATE(LEFT(SUBSTITUTE(C915,"'",""),4),MID(SUBSTITUTE(C915,"'",""),6,2),1),ShadowLedger!$C:$C,"&lt;"&amp;EOMONTH(DATE(LEFT(SUBSTITUTE(C915,"'",""),4),MID(SUBSTITUTE(C915,"'",""),6,2),1),0)+1)</f>
        <v>0</v>
      </c>
      <c r="E915" s="17">
        <f t="shared" si="1"/>
        <v>56</v>
      </c>
      <c r="F915" s="17">
        <f t="shared" si="2"/>
        <v>0</v>
      </c>
    </row>
    <row r="916">
      <c r="A916" s="5" t="s">
        <v>66</v>
      </c>
      <c r="B916" s="6">
        <v>56.0</v>
      </c>
      <c r="C916" s="13" t="s">
        <v>265</v>
      </c>
      <c r="D916" s="17">
        <f>SUMIFS(ShadowLedger!$D:$D,ShadowLedger!$G:$G,A916,ShadowLedger!$C:$C,"&gt;="&amp;DATE(LEFT(SUBSTITUTE(C916,"'",""),4),MID(SUBSTITUTE(C916,"'",""),6,2),1),ShadowLedger!$C:$C,"&lt;"&amp;EOMONTH(DATE(LEFT(SUBSTITUTE(C916,"'",""),4),MID(SUBSTITUTE(C916,"'",""),6,2),1),0)+1)</f>
        <v>0</v>
      </c>
      <c r="E916" s="17">
        <f t="shared" si="1"/>
        <v>56</v>
      </c>
      <c r="F916" s="17">
        <f t="shared" si="2"/>
        <v>0</v>
      </c>
    </row>
    <row r="917">
      <c r="A917" s="5" t="s">
        <v>67</v>
      </c>
      <c r="B917" s="6">
        <v>56.0</v>
      </c>
      <c r="C917" s="13" t="s">
        <v>265</v>
      </c>
      <c r="D917" s="17">
        <f>SUMIFS(ShadowLedger!$D:$D,ShadowLedger!$G:$G,A917,ShadowLedger!$C:$C,"&gt;="&amp;DATE(LEFT(SUBSTITUTE(C917,"'",""),4),MID(SUBSTITUTE(C917,"'",""),6,2),1),ShadowLedger!$C:$C,"&lt;"&amp;EOMONTH(DATE(LEFT(SUBSTITUTE(C917,"'",""),4),MID(SUBSTITUTE(C917,"'",""),6,2),1),0)+1)</f>
        <v>0</v>
      </c>
      <c r="E917" s="17">
        <f t="shared" si="1"/>
        <v>56</v>
      </c>
      <c r="F917" s="17">
        <f t="shared" si="2"/>
        <v>0</v>
      </c>
    </row>
    <row r="918">
      <c r="A918" s="5" t="s">
        <v>68</v>
      </c>
      <c r="B918" s="6">
        <v>56.0</v>
      </c>
      <c r="C918" s="13" t="s">
        <v>265</v>
      </c>
      <c r="D918" s="17">
        <f>SUMIFS(ShadowLedger!$D:$D,ShadowLedger!$G:$G,A918,ShadowLedger!$C:$C,"&gt;="&amp;DATE(LEFT(SUBSTITUTE(C918,"'",""),4),MID(SUBSTITUTE(C918,"'",""),6,2),1),ShadowLedger!$C:$C,"&lt;"&amp;EOMONTH(DATE(LEFT(SUBSTITUTE(C918,"'",""),4),MID(SUBSTITUTE(C918,"'",""),6,2),1),0)+1)</f>
        <v>0</v>
      </c>
      <c r="E918" s="17">
        <f t="shared" si="1"/>
        <v>56</v>
      </c>
      <c r="F918" s="17">
        <f t="shared" si="2"/>
        <v>0</v>
      </c>
    </row>
    <row r="919">
      <c r="A919" s="5" t="s">
        <v>69</v>
      </c>
      <c r="B919" s="6">
        <v>0.0</v>
      </c>
      <c r="C919" s="13" t="s">
        <v>265</v>
      </c>
      <c r="D919" s="17">
        <f>SUMIFS(ShadowLedger!$D:$D,ShadowLedger!$G:$G,A919,ShadowLedger!$C:$C,"&gt;="&amp;DATE(LEFT(SUBSTITUTE(C919,"'",""),4),MID(SUBSTITUTE(C919,"'",""),6,2),1),ShadowLedger!$C:$C,"&lt;"&amp;EOMONTH(DATE(LEFT(SUBSTITUTE(C919,"'",""),4),MID(SUBSTITUTE(C919,"'",""),6,2),1),0)+1)</f>
        <v>0</v>
      </c>
      <c r="E919" s="17">
        <f t="shared" si="1"/>
        <v>0</v>
      </c>
      <c r="F919" s="17">
        <f t="shared" si="2"/>
        <v>0</v>
      </c>
    </row>
    <row r="920">
      <c r="A920" s="5" t="s">
        <v>54</v>
      </c>
      <c r="B920" s="6">
        <v>1035.0</v>
      </c>
      <c r="C920" s="13" t="s">
        <v>266</v>
      </c>
      <c r="D920" s="17">
        <f>SUMIFS(ShadowLedger!$D:$D,ShadowLedger!$G:$G,A920,ShadowLedger!$C:$C,"&gt;="&amp;DATE(LEFT(SUBSTITUTE(C920,"'",""),4),MID(SUBSTITUTE(C920,"'",""),6,2),1),ShadowLedger!$C:$C,"&lt;"&amp;EOMONTH(DATE(LEFT(SUBSTITUTE(C920,"'",""),4),MID(SUBSTITUTE(C920,"'",""),6,2),1),0)+1)</f>
        <v>0</v>
      </c>
      <c r="E920" s="17">
        <f t="shared" si="1"/>
        <v>1035</v>
      </c>
      <c r="F920" s="17">
        <f t="shared" si="2"/>
        <v>0</v>
      </c>
    </row>
    <row r="921">
      <c r="A921" s="5" t="s">
        <v>55</v>
      </c>
      <c r="B921" s="6">
        <v>788.0</v>
      </c>
      <c r="C921" s="13" t="s">
        <v>266</v>
      </c>
      <c r="D921" s="17">
        <f>SUMIFS(ShadowLedger!$D:$D,ShadowLedger!$G:$G,A921,ShadowLedger!$C:$C,"&gt;="&amp;DATE(LEFT(SUBSTITUTE(C921,"'",""),4),MID(SUBSTITUTE(C921,"'",""),6,2),1),ShadowLedger!$C:$C,"&lt;"&amp;EOMONTH(DATE(LEFT(SUBSTITUTE(C921,"'",""),4),MID(SUBSTITUTE(C921,"'",""),6,2),1),0)+1)</f>
        <v>0</v>
      </c>
      <c r="E921" s="17">
        <f t="shared" si="1"/>
        <v>788</v>
      </c>
      <c r="F921" s="17">
        <f t="shared" si="2"/>
        <v>0</v>
      </c>
    </row>
    <row r="922">
      <c r="A922" s="5" t="s">
        <v>56</v>
      </c>
      <c r="B922" s="6">
        <v>563.0</v>
      </c>
      <c r="C922" s="13" t="s">
        <v>266</v>
      </c>
      <c r="D922" s="17">
        <f>SUMIFS(ShadowLedger!$D:$D,ShadowLedger!$G:$G,A922,ShadowLedger!$C:$C,"&gt;="&amp;DATE(LEFT(SUBSTITUTE(C922,"'",""),4),MID(SUBSTITUTE(C922,"'",""),6,2),1),ShadowLedger!$C:$C,"&lt;"&amp;EOMONTH(DATE(LEFT(SUBSTITUTE(C922,"'",""),4),MID(SUBSTITUTE(C922,"'",""),6,2),1),0)+1)</f>
        <v>0</v>
      </c>
      <c r="E922" s="17">
        <f t="shared" si="1"/>
        <v>563</v>
      </c>
      <c r="F922" s="17">
        <f t="shared" si="2"/>
        <v>0</v>
      </c>
    </row>
    <row r="923">
      <c r="A923" s="5" t="s">
        <v>57</v>
      </c>
      <c r="B923" s="6">
        <v>563.0</v>
      </c>
      <c r="C923" s="13" t="s">
        <v>266</v>
      </c>
      <c r="D923" s="17">
        <f>SUMIFS(ShadowLedger!$D:$D,ShadowLedger!$G:$G,A923,ShadowLedger!$C:$C,"&gt;="&amp;DATE(LEFT(SUBSTITUTE(C923,"'",""),4),MID(SUBSTITUTE(C923,"'",""),6,2),1),ShadowLedger!$C:$C,"&lt;"&amp;EOMONTH(DATE(LEFT(SUBSTITUTE(C923,"'",""),4),MID(SUBSTITUTE(C923,"'",""),6,2),1),0)+1)</f>
        <v>0</v>
      </c>
      <c r="E923" s="17">
        <f t="shared" si="1"/>
        <v>563</v>
      </c>
      <c r="F923" s="17">
        <f t="shared" si="2"/>
        <v>0</v>
      </c>
    </row>
    <row r="924">
      <c r="A924" s="5" t="s">
        <v>58</v>
      </c>
      <c r="B924" s="6">
        <v>450.0</v>
      </c>
      <c r="C924" s="13" t="s">
        <v>266</v>
      </c>
      <c r="D924" s="17">
        <f>SUMIFS(ShadowLedger!$D:$D,ShadowLedger!$G:$G,A924,ShadowLedger!$C:$C,"&gt;="&amp;DATE(LEFT(SUBSTITUTE(C924,"'",""),4),MID(SUBSTITUTE(C924,"'",""),6,2),1),ShadowLedger!$C:$C,"&lt;"&amp;EOMONTH(DATE(LEFT(SUBSTITUTE(C924,"'",""),4),MID(SUBSTITUTE(C924,"'",""),6,2),1),0)+1)</f>
        <v>0</v>
      </c>
      <c r="E924" s="17">
        <f t="shared" si="1"/>
        <v>450</v>
      </c>
      <c r="F924" s="17">
        <f t="shared" si="2"/>
        <v>0</v>
      </c>
    </row>
    <row r="925">
      <c r="A925" s="5" t="s">
        <v>59</v>
      </c>
      <c r="B925" s="6">
        <v>225.0</v>
      </c>
      <c r="C925" s="13" t="s">
        <v>266</v>
      </c>
      <c r="D925" s="17">
        <f>SUMIFS(ShadowLedger!$D:$D,ShadowLedger!$G:$G,A925,ShadowLedger!$C:$C,"&gt;="&amp;DATE(LEFT(SUBSTITUTE(C925,"'",""),4),MID(SUBSTITUTE(C925,"'",""),6,2),1),ShadowLedger!$C:$C,"&lt;"&amp;EOMONTH(DATE(LEFT(SUBSTITUTE(C925,"'",""),4),MID(SUBSTITUTE(C925,"'",""),6,2),1),0)+1)</f>
        <v>0</v>
      </c>
      <c r="E925" s="17">
        <f t="shared" si="1"/>
        <v>225</v>
      </c>
      <c r="F925" s="17">
        <f t="shared" si="2"/>
        <v>0</v>
      </c>
    </row>
    <row r="926">
      <c r="A926" s="5" t="s">
        <v>60</v>
      </c>
      <c r="B926" s="6">
        <v>169.0</v>
      </c>
      <c r="C926" s="13" t="s">
        <v>266</v>
      </c>
      <c r="D926" s="17">
        <f>SUMIFS(ShadowLedger!$D:$D,ShadowLedger!$G:$G,A926,ShadowLedger!$C:$C,"&gt;="&amp;DATE(LEFT(SUBSTITUTE(C926,"'",""),4),MID(SUBSTITUTE(C926,"'",""),6,2),1),ShadowLedger!$C:$C,"&lt;"&amp;EOMONTH(DATE(LEFT(SUBSTITUTE(C926,"'",""),4),MID(SUBSTITUTE(C926,"'",""),6,2),1),0)+1)</f>
        <v>0</v>
      </c>
      <c r="E926" s="17">
        <f t="shared" si="1"/>
        <v>169</v>
      </c>
      <c r="F926" s="17">
        <f t="shared" si="2"/>
        <v>0</v>
      </c>
    </row>
    <row r="927">
      <c r="A927" s="5" t="s">
        <v>61</v>
      </c>
      <c r="B927" s="6">
        <v>135.0</v>
      </c>
      <c r="C927" s="13" t="s">
        <v>266</v>
      </c>
      <c r="D927" s="17">
        <f>SUMIFS(ShadowLedger!$D:$D,ShadowLedger!$G:$G,A927,ShadowLedger!$C:$C,"&gt;="&amp;DATE(LEFT(SUBSTITUTE(C927,"'",""),4),MID(SUBSTITUTE(C927,"'",""),6,2),1),ShadowLedger!$C:$C,"&lt;"&amp;EOMONTH(DATE(LEFT(SUBSTITUTE(C927,"'",""),4),MID(SUBSTITUTE(C927,"'",""),6,2),1),0)+1)</f>
        <v>0</v>
      </c>
      <c r="E927" s="17">
        <f t="shared" si="1"/>
        <v>135</v>
      </c>
      <c r="F927" s="17">
        <f t="shared" si="2"/>
        <v>0</v>
      </c>
    </row>
    <row r="928">
      <c r="A928" s="5" t="s">
        <v>62</v>
      </c>
      <c r="B928" s="6">
        <v>135.0</v>
      </c>
      <c r="C928" s="13" t="s">
        <v>266</v>
      </c>
      <c r="D928" s="17">
        <f>SUMIFS(ShadowLedger!$D:$D,ShadowLedger!$G:$G,A928,ShadowLedger!$C:$C,"&gt;="&amp;DATE(LEFT(SUBSTITUTE(C928,"'",""),4),MID(SUBSTITUTE(C928,"'",""),6,2),1),ShadowLedger!$C:$C,"&lt;"&amp;EOMONTH(DATE(LEFT(SUBSTITUTE(C928,"'",""),4),MID(SUBSTITUTE(C928,"'",""),6,2),1),0)+1)</f>
        <v>0</v>
      </c>
      <c r="E928" s="17">
        <f t="shared" si="1"/>
        <v>135</v>
      </c>
      <c r="F928" s="17">
        <f t="shared" si="2"/>
        <v>0</v>
      </c>
    </row>
    <row r="929">
      <c r="A929" s="5" t="s">
        <v>63</v>
      </c>
      <c r="B929" s="6">
        <v>113.0</v>
      </c>
      <c r="C929" s="13" t="s">
        <v>266</v>
      </c>
      <c r="D929" s="17">
        <f>SUMIFS(ShadowLedger!$D:$D,ShadowLedger!$G:$G,A929,ShadowLedger!$C:$C,"&gt;="&amp;DATE(LEFT(SUBSTITUTE(C929,"'",""),4),MID(SUBSTITUTE(C929,"'",""),6,2),1),ShadowLedger!$C:$C,"&lt;"&amp;EOMONTH(DATE(LEFT(SUBSTITUTE(C929,"'",""),4),MID(SUBSTITUTE(C929,"'",""),6,2),1),0)+1)</f>
        <v>0</v>
      </c>
      <c r="E929" s="17">
        <f t="shared" si="1"/>
        <v>113</v>
      </c>
      <c r="F929" s="17">
        <f t="shared" si="2"/>
        <v>0</v>
      </c>
    </row>
    <row r="930">
      <c r="A930" s="5" t="s">
        <v>64</v>
      </c>
      <c r="B930" s="6">
        <v>113.0</v>
      </c>
      <c r="C930" s="13" t="s">
        <v>266</v>
      </c>
      <c r="D930" s="17">
        <f>SUMIFS(ShadowLedger!$D:$D,ShadowLedger!$G:$G,A930,ShadowLedger!$C:$C,"&gt;="&amp;DATE(LEFT(SUBSTITUTE(C930,"'",""),4),MID(SUBSTITUTE(C930,"'",""),6,2),1),ShadowLedger!$C:$C,"&lt;"&amp;EOMONTH(DATE(LEFT(SUBSTITUTE(C930,"'",""),4),MID(SUBSTITUTE(C930,"'",""),6,2),1),0)+1)</f>
        <v>0</v>
      </c>
      <c r="E930" s="17">
        <f t="shared" si="1"/>
        <v>113</v>
      </c>
      <c r="F930" s="17">
        <f t="shared" si="2"/>
        <v>0</v>
      </c>
    </row>
    <row r="931">
      <c r="A931" s="5" t="s">
        <v>70</v>
      </c>
      <c r="B931" s="6">
        <v>113.0</v>
      </c>
      <c r="C931" s="13" t="s">
        <v>266</v>
      </c>
      <c r="D931" s="17">
        <f>SUMIFS(ShadowLedger!$D:$D,ShadowLedger!$G:$G,A931,ShadowLedger!$C:$C,"&gt;="&amp;DATE(LEFT(SUBSTITUTE(C931,"'",""),4),MID(SUBSTITUTE(C931,"'",""),6,2),1),ShadowLedger!$C:$C,"&lt;"&amp;EOMONTH(DATE(LEFT(SUBSTITUTE(C931,"'",""),4),MID(SUBSTITUTE(C931,"'",""),6,2),1),0)+1)</f>
        <v>0</v>
      </c>
      <c r="E931" s="17">
        <f t="shared" si="1"/>
        <v>113</v>
      </c>
      <c r="F931" s="17">
        <f t="shared" si="2"/>
        <v>0</v>
      </c>
    </row>
    <row r="932">
      <c r="A932" s="5" t="s">
        <v>65</v>
      </c>
      <c r="B932" s="6">
        <v>56.0</v>
      </c>
      <c r="C932" s="13" t="s">
        <v>266</v>
      </c>
      <c r="D932" s="17">
        <f>SUMIFS(ShadowLedger!$D:$D,ShadowLedger!$G:$G,A932,ShadowLedger!$C:$C,"&gt;="&amp;DATE(LEFT(SUBSTITUTE(C932,"'",""),4),MID(SUBSTITUTE(C932,"'",""),6,2),1),ShadowLedger!$C:$C,"&lt;"&amp;EOMONTH(DATE(LEFT(SUBSTITUTE(C932,"'",""),4),MID(SUBSTITUTE(C932,"'",""),6,2),1),0)+1)</f>
        <v>0</v>
      </c>
      <c r="E932" s="17">
        <f t="shared" si="1"/>
        <v>56</v>
      </c>
      <c r="F932" s="17">
        <f t="shared" si="2"/>
        <v>0</v>
      </c>
    </row>
    <row r="933">
      <c r="A933" s="5" t="s">
        <v>66</v>
      </c>
      <c r="B933" s="6">
        <v>56.0</v>
      </c>
      <c r="C933" s="13" t="s">
        <v>266</v>
      </c>
      <c r="D933" s="17">
        <f>SUMIFS(ShadowLedger!$D:$D,ShadowLedger!$G:$G,A933,ShadowLedger!$C:$C,"&gt;="&amp;DATE(LEFT(SUBSTITUTE(C933,"'",""),4),MID(SUBSTITUTE(C933,"'",""),6,2),1),ShadowLedger!$C:$C,"&lt;"&amp;EOMONTH(DATE(LEFT(SUBSTITUTE(C933,"'",""),4),MID(SUBSTITUTE(C933,"'",""),6,2),1),0)+1)</f>
        <v>0</v>
      </c>
      <c r="E933" s="17">
        <f t="shared" si="1"/>
        <v>56</v>
      </c>
      <c r="F933" s="17">
        <f t="shared" si="2"/>
        <v>0</v>
      </c>
    </row>
    <row r="934">
      <c r="A934" s="5" t="s">
        <v>67</v>
      </c>
      <c r="B934" s="6">
        <v>56.0</v>
      </c>
      <c r="C934" s="13" t="s">
        <v>266</v>
      </c>
      <c r="D934" s="17">
        <f>SUMIFS(ShadowLedger!$D:$D,ShadowLedger!$G:$G,A934,ShadowLedger!$C:$C,"&gt;="&amp;DATE(LEFT(SUBSTITUTE(C934,"'",""),4),MID(SUBSTITUTE(C934,"'",""),6,2),1),ShadowLedger!$C:$C,"&lt;"&amp;EOMONTH(DATE(LEFT(SUBSTITUTE(C934,"'",""),4),MID(SUBSTITUTE(C934,"'",""),6,2),1),0)+1)</f>
        <v>0</v>
      </c>
      <c r="E934" s="17">
        <f t="shared" si="1"/>
        <v>56</v>
      </c>
      <c r="F934" s="17">
        <f t="shared" si="2"/>
        <v>0</v>
      </c>
    </row>
    <row r="935">
      <c r="A935" s="5" t="s">
        <v>68</v>
      </c>
      <c r="B935" s="6">
        <v>56.0</v>
      </c>
      <c r="C935" s="13" t="s">
        <v>266</v>
      </c>
      <c r="D935" s="17">
        <f>SUMIFS(ShadowLedger!$D:$D,ShadowLedger!$G:$G,A935,ShadowLedger!$C:$C,"&gt;="&amp;DATE(LEFT(SUBSTITUTE(C935,"'",""),4),MID(SUBSTITUTE(C935,"'",""),6,2),1),ShadowLedger!$C:$C,"&lt;"&amp;EOMONTH(DATE(LEFT(SUBSTITUTE(C935,"'",""),4),MID(SUBSTITUTE(C935,"'",""),6,2),1),0)+1)</f>
        <v>0</v>
      </c>
      <c r="E935" s="17">
        <f t="shared" si="1"/>
        <v>56</v>
      </c>
      <c r="F935" s="17">
        <f t="shared" si="2"/>
        <v>0</v>
      </c>
    </row>
    <row r="936">
      <c r="A936" s="5" t="s">
        <v>69</v>
      </c>
      <c r="B936" s="6">
        <v>0.0</v>
      </c>
      <c r="C936" s="13" t="s">
        <v>266</v>
      </c>
      <c r="D936" s="17">
        <f>SUMIFS(ShadowLedger!$D:$D,ShadowLedger!$G:$G,A936,ShadowLedger!$C:$C,"&gt;="&amp;DATE(LEFT(SUBSTITUTE(C936,"'",""),4),MID(SUBSTITUTE(C936,"'",""),6,2),1),ShadowLedger!$C:$C,"&lt;"&amp;EOMONTH(DATE(LEFT(SUBSTITUTE(C936,"'",""),4),MID(SUBSTITUTE(C936,"'",""),6,2),1),0)+1)</f>
        <v>0</v>
      </c>
      <c r="E936" s="17">
        <f t="shared" si="1"/>
        <v>0</v>
      </c>
      <c r="F936" s="17">
        <f t="shared" si="2"/>
        <v>0</v>
      </c>
    </row>
    <row r="937">
      <c r="A937" s="5" t="s">
        <v>54</v>
      </c>
      <c r="B937" s="6">
        <v>1035.0</v>
      </c>
      <c r="C937" s="13" t="s">
        <v>267</v>
      </c>
      <c r="D937" s="17">
        <f>SUMIFS(ShadowLedger!$D:$D,ShadowLedger!$G:$G,A937,ShadowLedger!$C:$C,"&gt;="&amp;DATE(LEFT(SUBSTITUTE(C937,"'",""),4),MID(SUBSTITUTE(C937,"'",""),6,2),1),ShadowLedger!$C:$C,"&lt;"&amp;EOMONTH(DATE(LEFT(SUBSTITUTE(C937,"'",""),4),MID(SUBSTITUTE(C937,"'",""),6,2),1),0)+1)</f>
        <v>0</v>
      </c>
      <c r="E937" s="17">
        <f t="shared" si="1"/>
        <v>1035</v>
      </c>
      <c r="F937" s="17">
        <f t="shared" si="2"/>
        <v>0</v>
      </c>
    </row>
    <row r="938">
      <c r="A938" s="5" t="s">
        <v>55</v>
      </c>
      <c r="B938" s="6">
        <v>788.0</v>
      </c>
      <c r="C938" s="13" t="s">
        <v>267</v>
      </c>
      <c r="D938" s="17">
        <f>SUMIFS(ShadowLedger!$D:$D,ShadowLedger!$G:$G,A938,ShadowLedger!$C:$C,"&gt;="&amp;DATE(LEFT(SUBSTITUTE(C938,"'",""),4),MID(SUBSTITUTE(C938,"'",""),6,2),1),ShadowLedger!$C:$C,"&lt;"&amp;EOMONTH(DATE(LEFT(SUBSTITUTE(C938,"'",""),4),MID(SUBSTITUTE(C938,"'",""),6,2),1),0)+1)</f>
        <v>0</v>
      </c>
      <c r="E938" s="17">
        <f t="shared" si="1"/>
        <v>788</v>
      </c>
      <c r="F938" s="17">
        <f t="shared" si="2"/>
        <v>0</v>
      </c>
    </row>
    <row r="939">
      <c r="A939" s="5" t="s">
        <v>56</v>
      </c>
      <c r="B939" s="6">
        <v>563.0</v>
      </c>
      <c r="C939" s="13" t="s">
        <v>267</v>
      </c>
      <c r="D939" s="17">
        <f>SUMIFS(ShadowLedger!$D:$D,ShadowLedger!$G:$G,A939,ShadowLedger!$C:$C,"&gt;="&amp;DATE(LEFT(SUBSTITUTE(C939,"'",""),4),MID(SUBSTITUTE(C939,"'",""),6,2),1),ShadowLedger!$C:$C,"&lt;"&amp;EOMONTH(DATE(LEFT(SUBSTITUTE(C939,"'",""),4),MID(SUBSTITUTE(C939,"'",""),6,2),1),0)+1)</f>
        <v>0</v>
      </c>
      <c r="E939" s="17">
        <f t="shared" si="1"/>
        <v>563</v>
      </c>
      <c r="F939" s="17">
        <f t="shared" si="2"/>
        <v>0</v>
      </c>
    </row>
    <row r="940">
      <c r="A940" s="5" t="s">
        <v>57</v>
      </c>
      <c r="B940" s="6">
        <v>563.0</v>
      </c>
      <c r="C940" s="13" t="s">
        <v>267</v>
      </c>
      <c r="D940" s="17">
        <f>SUMIFS(ShadowLedger!$D:$D,ShadowLedger!$G:$G,A940,ShadowLedger!$C:$C,"&gt;="&amp;DATE(LEFT(SUBSTITUTE(C940,"'",""),4),MID(SUBSTITUTE(C940,"'",""),6,2),1),ShadowLedger!$C:$C,"&lt;"&amp;EOMONTH(DATE(LEFT(SUBSTITUTE(C940,"'",""),4),MID(SUBSTITUTE(C940,"'",""),6,2),1),0)+1)</f>
        <v>0</v>
      </c>
      <c r="E940" s="17">
        <f t="shared" si="1"/>
        <v>563</v>
      </c>
      <c r="F940" s="17">
        <f t="shared" si="2"/>
        <v>0</v>
      </c>
    </row>
    <row r="941">
      <c r="A941" s="5" t="s">
        <v>58</v>
      </c>
      <c r="B941" s="6">
        <v>450.0</v>
      </c>
      <c r="C941" s="13" t="s">
        <v>267</v>
      </c>
      <c r="D941" s="17">
        <f>SUMIFS(ShadowLedger!$D:$D,ShadowLedger!$G:$G,A941,ShadowLedger!$C:$C,"&gt;="&amp;DATE(LEFT(SUBSTITUTE(C941,"'",""),4),MID(SUBSTITUTE(C941,"'",""),6,2),1),ShadowLedger!$C:$C,"&lt;"&amp;EOMONTH(DATE(LEFT(SUBSTITUTE(C941,"'",""),4),MID(SUBSTITUTE(C941,"'",""),6,2),1),0)+1)</f>
        <v>0</v>
      </c>
      <c r="E941" s="17">
        <f t="shared" si="1"/>
        <v>450</v>
      </c>
      <c r="F941" s="17">
        <f t="shared" si="2"/>
        <v>0</v>
      </c>
    </row>
    <row r="942">
      <c r="A942" s="5" t="s">
        <v>59</v>
      </c>
      <c r="B942" s="6">
        <v>225.0</v>
      </c>
      <c r="C942" s="13" t="s">
        <v>267</v>
      </c>
      <c r="D942" s="17">
        <f>SUMIFS(ShadowLedger!$D:$D,ShadowLedger!$G:$G,A942,ShadowLedger!$C:$C,"&gt;="&amp;DATE(LEFT(SUBSTITUTE(C942,"'",""),4),MID(SUBSTITUTE(C942,"'",""),6,2),1),ShadowLedger!$C:$C,"&lt;"&amp;EOMONTH(DATE(LEFT(SUBSTITUTE(C942,"'",""),4),MID(SUBSTITUTE(C942,"'",""),6,2),1),0)+1)</f>
        <v>0</v>
      </c>
      <c r="E942" s="17">
        <f t="shared" si="1"/>
        <v>225</v>
      </c>
      <c r="F942" s="17">
        <f t="shared" si="2"/>
        <v>0</v>
      </c>
    </row>
    <row r="943">
      <c r="A943" s="5" t="s">
        <v>60</v>
      </c>
      <c r="B943" s="6">
        <v>169.0</v>
      </c>
      <c r="C943" s="13" t="s">
        <v>267</v>
      </c>
      <c r="D943" s="17">
        <f>SUMIFS(ShadowLedger!$D:$D,ShadowLedger!$G:$G,A943,ShadowLedger!$C:$C,"&gt;="&amp;DATE(LEFT(SUBSTITUTE(C943,"'",""),4),MID(SUBSTITUTE(C943,"'",""),6,2),1),ShadowLedger!$C:$C,"&lt;"&amp;EOMONTH(DATE(LEFT(SUBSTITUTE(C943,"'",""),4),MID(SUBSTITUTE(C943,"'",""),6,2),1),0)+1)</f>
        <v>0</v>
      </c>
      <c r="E943" s="17">
        <f t="shared" si="1"/>
        <v>169</v>
      </c>
      <c r="F943" s="17">
        <f t="shared" si="2"/>
        <v>0</v>
      </c>
    </row>
    <row r="944">
      <c r="A944" s="5" t="s">
        <v>61</v>
      </c>
      <c r="B944" s="6">
        <v>135.0</v>
      </c>
      <c r="C944" s="13" t="s">
        <v>267</v>
      </c>
      <c r="D944" s="17">
        <f>SUMIFS(ShadowLedger!$D:$D,ShadowLedger!$G:$G,A944,ShadowLedger!$C:$C,"&gt;="&amp;DATE(LEFT(SUBSTITUTE(C944,"'",""),4),MID(SUBSTITUTE(C944,"'",""),6,2),1),ShadowLedger!$C:$C,"&lt;"&amp;EOMONTH(DATE(LEFT(SUBSTITUTE(C944,"'",""),4),MID(SUBSTITUTE(C944,"'",""),6,2),1),0)+1)</f>
        <v>0</v>
      </c>
      <c r="E944" s="17">
        <f t="shared" si="1"/>
        <v>135</v>
      </c>
      <c r="F944" s="17">
        <f t="shared" si="2"/>
        <v>0</v>
      </c>
    </row>
    <row r="945">
      <c r="A945" s="5" t="s">
        <v>62</v>
      </c>
      <c r="B945" s="6">
        <v>135.0</v>
      </c>
      <c r="C945" s="13" t="s">
        <v>267</v>
      </c>
      <c r="D945" s="17">
        <f>SUMIFS(ShadowLedger!$D:$D,ShadowLedger!$G:$G,A945,ShadowLedger!$C:$C,"&gt;="&amp;DATE(LEFT(SUBSTITUTE(C945,"'",""),4),MID(SUBSTITUTE(C945,"'",""),6,2),1),ShadowLedger!$C:$C,"&lt;"&amp;EOMONTH(DATE(LEFT(SUBSTITUTE(C945,"'",""),4),MID(SUBSTITUTE(C945,"'",""),6,2),1),0)+1)</f>
        <v>0</v>
      </c>
      <c r="E945" s="17">
        <f t="shared" si="1"/>
        <v>135</v>
      </c>
      <c r="F945" s="17">
        <f t="shared" si="2"/>
        <v>0</v>
      </c>
    </row>
    <row r="946">
      <c r="A946" s="5" t="s">
        <v>63</v>
      </c>
      <c r="B946" s="6">
        <v>113.0</v>
      </c>
      <c r="C946" s="13" t="s">
        <v>267</v>
      </c>
      <c r="D946" s="17">
        <f>SUMIFS(ShadowLedger!$D:$D,ShadowLedger!$G:$G,A946,ShadowLedger!$C:$C,"&gt;="&amp;DATE(LEFT(SUBSTITUTE(C946,"'",""),4),MID(SUBSTITUTE(C946,"'",""),6,2),1),ShadowLedger!$C:$C,"&lt;"&amp;EOMONTH(DATE(LEFT(SUBSTITUTE(C946,"'",""),4),MID(SUBSTITUTE(C946,"'",""),6,2),1),0)+1)</f>
        <v>0</v>
      </c>
      <c r="E946" s="17">
        <f t="shared" si="1"/>
        <v>113</v>
      </c>
      <c r="F946" s="17">
        <f t="shared" si="2"/>
        <v>0</v>
      </c>
    </row>
    <row r="947">
      <c r="A947" s="5" t="s">
        <v>64</v>
      </c>
      <c r="B947" s="6">
        <v>113.0</v>
      </c>
      <c r="C947" s="13" t="s">
        <v>267</v>
      </c>
      <c r="D947" s="17">
        <f>SUMIFS(ShadowLedger!$D:$D,ShadowLedger!$G:$G,A947,ShadowLedger!$C:$C,"&gt;="&amp;DATE(LEFT(SUBSTITUTE(C947,"'",""),4),MID(SUBSTITUTE(C947,"'",""),6,2),1),ShadowLedger!$C:$C,"&lt;"&amp;EOMONTH(DATE(LEFT(SUBSTITUTE(C947,"'",""),4),MID(SUBSTITUTE(C947,"'",""),6,2),1),0)+1)</f>
        <v>0</v>
      </c>
      <c r="E947" s="17">
        <f t="shared" si="1"/>
        <v>113</v>
      </c>
      <c r="F947" s="17">
        <f t="shared" si="2"/>
        <v>0</v>
      </c>
    </row>
    <row r="948">
      <c r="A948" s="5" t="s">
        <v>70</v>
      </c>
      <c r="B948" s="6">
        <v>113.0</v>
      </c>
      <c r="C948" s="13" t="s">
        <v>267</v>
      </c>
      <c r="D948" s="17">
        <f>SUMIFS(ShadowLedger!$D:$D,ShadowLedger!$G:$G,A948,ShadowLedger!$C:$C,"&gt;="&amp;DATE(LEFT(SUBSTITUTE(C948,"'",""),4),MID(SUBSTITUTE(C948,"'",""),6,2),1),ShadowLedger!$C:$C,"&lt;"&amp;EOMONTH(DATE(LEFT(SUBSTITUTE(C948,"'",""),4),MID(SUBSTITUTE(C948,"'",""),6,2),1),0)+1)</f>
        <v>0</v>
      </c>
      <c r="E948" s="17">
        <f t="shared" si="1"/>
        <v>113</v>
      </c>
      <c r="F948" s="17">
        <f t="shared" si="2"/>
        <v>0</v>
      </c>
    </row>
    <row r="949">
      <c r="A949" s="5" t="s">
        <v>65</v>
      </c>
      <c r="B949" s="6">
        <v>56.0</v>
      </c>
      <c r="C949" s="13" t="s">
        <v>267</v>
      </c>
      <c r="D949" s="17">
        <f>SUMIFS(ShadowLedger!$D:$D,ShadowLedger!$G:$G,A949,ShadowLedger!$C:$C,"&gt;="&amp;DATE(LEFT(SUBSTITUTE(C949,"'",""),4),MID(SUBSTITUTE(C949,"'",""),6,2),1),ShadowLedger!$C:$C,"&lt;"&amp;EOMONTH(DATE(LEFT(SUBSTITUTE(C949,"'",""),4),MID(SUBSTITUTE(C949,"'",""),6,2),1),0)+1)</f>
        <v>0</v>
      </c>
      <c r="E949" s="17">
        <f t="shared" si="1"/>
        <v>56</v>
      </c>
      <c r="F949" s="17">
        <f t="shared" si="2"/>
        <v>0</v>
      </c>
    </row>
    <row r="950">
      <c r="A950" s="5" t="s">
        <v>66</v>
      </c>
      <c r="B950" s="6">
        <v>56.0</v>
      </c>
      <c r="C950" s="13" t="s">
        <v>267</v>
      </c>
      <c r="D950" s="17">
        <f>SUMIFS(ShadowLedger!$D:$D,ShadowLedger!$G:$G,A950,ShadowLedger!$C:$C,"&gt;="&amp;DATE(LEFT(SUBSTITUTE(C950,"'",""),4),MID(SUBSTITUTE(C950,"'",""),6,2),1),ShadowLedger!$C:$C,"&lt;"&amp;EOMONTH(DATE(LEFT(SUBSTITUTE(C950,"'",""),4),MID(SUBSTITUTE(C950,"'",""),6,2),1),0)+1)</f>
        <v>0</v>
      </c>
      <c r="E950" s="17">
        <f t="shared" si="1"/>
        <v>56</v>
      </c>
      <c r="F950" s="17">
        <f t="shared" si="2"/>
        <v>0</v>
      </c>
    </row>
    <row r="951">
      <c r="A951" s="5" t="s">
        <v>67</v>
      </c>
      <c r="B951" s="6">
        <v>56.0</v>
      </c>
      <c r="C951" s="13" t="s">
        <v>267</v>
      </c>
      <c r="D951" s="17">
        <f>SUMIFS(ShadowLedger!$D:$D,ShadowLedger!$G:$G,A951,ShadowLedger!$C:$C,"&gt;="&amp;DATE(LEFT(SUBSTITUTE(C951,"'",""),4),MID(SUBSTITUTE(C951,"'",""),6,2),1),ShadowLedger!$C:$C,"&lt;"&amp;EOMONTH(DATE(LEFT(SUBSTITUTE(C951,"'",""),4),MID(SUBSTITUTE(C951,"'",""),6,2),1),0)+1)</f>
        <v>0</v>
      </c>
      <c r="E951" s="17">
        <f t="shared" si="1"/>
        <v>56</v>
      </c>
      <c r="F951" s="17">
        <f t="shared" si="2"/>
        <v>0</v>
      </c>
    </row>
    <row r="952">
      <c r="A952" s="5" t="s">
        <v>68</v>
      </c>
      <c r="B952" s="6">
        <v>56.0</v>
      </c>
      <c r="C952" s="13" t="s">
        <v>267</v>
      </c>
      <c r="D952" s="17">
        <f>SUMIFS(ShadowLedger!$D:$D,ShadowLedger!$G:$G,A952,ShadowLedger!$C:$C,"&gt;="&amp;DATE(LEFT(SUBSTITUTE(C952,"'",""),4),MID(SUBSTITUTE(C952,"'",""),6,2),1),ShadowLedger!$C:$C,"&lt;"&amp;EOMONTH(DATE(LEFT(SUBSTITUTE(C952,"'",""),4),MID(SUBSTITUTE(C952,"'",""),6,2),1),0)+1)</f>
        <v>0</v>
      </c>
      <c r="E952" s="17">
        <f t="shared" si="1"/>
        <v>56</v>
      </c>
      <c r="F952" s="17">
        <f t="shared" si="2"/>
        <v>0</v>
      </c>
    </row>
    <row r="953">
      <c r="A953" s="5" t="s">
        <v>69</v>
      </c>
      <c r="B953" s="6">
        <v>0.0</v>
      </c>
      <c r="C953" s="13" t="s">
        <v>267</v>
      </c>
      <c r="D953" s="17">
        <f>SUMIFS(ShadowLedger!$D:$D,ShadowLedger!$G:$G,A953,ShadowLedger!$C:$C,"&gt;="&amp;DATE(LEFT(SUBSTITUTE(C953,"'",""),4),MID(SUBSTITUTE(C953,"'",""),6,2),1),ShadowLedger!$C:$C,"&lt;"&amp;EOMONTH(DATE(LEFT(SUBSTITUTE(C953,"'",""),4),MID(SUBSTITUTE(C953,"'",""),6,2),1),0)+1)</f>
        <v>0</v>
      </c>
      <c r="E953" s="17">
        <f t="shared" si="1"/>
        <v>0</v>
      </c>
      <c r="F953" s="17">
        <f t="shared" si="2"/>
        <v>0</v>
      </c>
    </row>
    <row r="954">
      <c r="A954" s="5" t="s">
        <v>54</v>
      </c>
      <c r="B954" s="6">
        <v>1035.0</v>
      </c>
      <c r="C954" s="13" t="s">
        <v>268</v>
      </c>
      <c r="D954" s="17">
        <f>SUMIFS(ShadowLedger!$D:$D,ShadowLedger!$G:$G,A954,ShadowLedger!$C:$C,"&gt;="&amp;DATE(LEFT(SUBSTITUTE(C954,"'",""),4),MID(SUBSTITUTE(C954,"'",""),6,2),1),ShadowLedger!$C:$C,"&lt;"&amp;EOMONTH(DATE(LEFT(SUBSTITUTE(C954,"'",""),4),MID(SUBSTITUTE(C954,"'",""),6,2),1),0)+1)</f>
        <v>0</v>
      </c>
      <c r="E954" s="17">
        <f t="shared" si="1"/>
        <v>1035</v>
      </c>
      <c r="F954" s="17">
        <f t="shared" si="2"/>
        <v>0</v>
      </c>
    </row>
    <row r="955">
      <c r="A955" s="5" t="s">
        <v>55</v>
      </c>
      <c r="B955" s="6">
        <v>788.0</v>
      </c>
      <c r="C955" s="13" t="s">
        <v>268</v>
      </c>
      <c r="D955" s="17">
        <f>SUMIFS(ShadowLedger!$D:$D,ShadowLedger!$G:$G,A955,ShadowLedger!$C:$C,"&gt;="&amp;DATE(LEFT(SUBSTITUTE(C955,"'",""),4),MID(SUBSTITUTE(C955,"'",""),6,2),1),ShadowLedger!$C:$C,"&lt;"&amp;EOMONTH(DATE(LEFT(SUBSTITUTE(C955,"'",""),4),MID(SUBSTITUTE(C955,"'",""),6,2),1),0)+1)</f>
        <v>0</v>
      </c>
      <c r="E955" s="17">
        <f t="shared" si="1"/>
        <v>788</v>
      </c>
      <c r="F955" s="17">
        <f t="shared" si="2"/>
        <v>0</v>
      </c>
    </row>
    <row r="956">
      <c r="A956" s="5" t="s">
        <v>56</v>
      </c>
      <c r="B956" s="6">
        <v>563.0</v>
      </c>
      <c r="C956" s="13" t="s">
        <v>268</v>
      </c>
      <c r="D956" s="17">
        <f>SUMIFS(ShadowLedger!$D:$D,ShadowLedger!$G:$G,A956,ShadowLedger!$C:$C,"&gt;="&amp;DATE(LEFT(SUBSTITUTE(C956,"'",""),4),MID(SUBSTITUTE(C956,"'",""),6,2),1),ShadowLedger!$C:$C,"&lt;"&amp;EOMONTH(DATE(LEFT(SUBSTITUTE(C956,"'",""),4),MID(SUBSTITUTE(C956,"'",""),6,2),1),0)+1)</f>
        <v>0</v>
      </c>
      <c r="E956" s="17">
        <f t="shared" si="1"/>
        <v>563</v>
      </c>
      <c r="F956" s="17">
        <f t="shared" si="2"/>
        <v>0</v>
      </c>
    </row>
    <row r="957">
      <c r="A957" s="5" t="s">
        <v>57</v>
      </c>
      <c r="B957" s="6">
        <v>563.0</v>
      </c>
      <c r="C957" s="13" t="s">
        <v>268</v>
      </c>
      <c r="D957" s="17">
        <f>SUMIFS(ShadowLedger!$D:$D,ShadowLedger!$G:$G,A957,ShadowLedger!$C:$C,"&gt;="&amp;DATE(LEFT(SUBSTITUTE(C957,"'",""),4),MID(SUBSTITUTE(C957,"'",""),6,2),1),ShadowLedger!$C:$C,"&lt;"&amp;EOMONTH(DATE(LEFT(SUBSTITUTE(C957,"'",""),4),MID(SUBSTITUTE(C957,"'",""),6,2),1),0)+1)</f>
        <v>0</v>
      </c>
      <c r="E957" s="17">
        <f t="shared" si="1"/>
        <v>563</v>
      </c>
      <c r="F957" s="17">
        <f t="shared" si="2"/>
        <v>0</v>
      </c>
    </row>
    <row r="958">
      <c r="A958" s="5" t="s">
        <v>58</v>
      </c>
      <c r="B958" s="6">
        <v>450.0</v>
      </c>
      <c r="C958" s="13" t="s">
        <v>268</v>
      </c>
      <c r="D958" s="17">
        <f>SUMIFS(ShadowLedger!$D:$D,ShadowLedger!$G:$G,A958,ShadowLedger!$C:$C,"&gt;="&amp;DATE(LEFT(SUBSTITUTE(C958,"'",""),4),MID(SUBSTITUTE(C958,"'",""),6,2),1),ShadowLedger!$C:$C,"&lt;"&amp;EOMONTH(DATE(LEFT(SUBSTITUTE(C958,"'",""),4),MID(SUBSTITUTE(C958,"'",""),6,2),1),0)+1)</f>
        <v>0</v>
      </c>
      <c r="E958" s="17">
        <f t="shared" si="1"/>
        <v>450</v>
      </c>
      <c r="F958" s="17">
        <f t="shared" si="2"/>
        <v>0</v>
      </c>
    </row>
    <row r="959">
      <c r="A959" s="5" t="s">
        <v>59</v>
      </c>
      <c r="B959" s="6">
        <v>225.0</v>
      </c>
      <c r="C959" s="13" t="s">
        <v>268</v>
      </c>
      <c r="D959" s="17">
        <f>SUMIFS(ShadowLedger!$D:$D,ShadowLedger!$G:$G,A959,ShadowLedger!$C:$C,"&gt;="&amp;DATE(LEFT(SUBSTITUTE(C959,"'",""),4),MID(SUBSTITUTE(C959,"'",""),6,2),1),ShadowLedger!$C:$C,"&lt;"&amp;EOMONTH(DATE(LEFT(SUBSTITUTE(C959,"'",""),4),MID(SUBSTITUTE(C959,"'",""),6,2),1),0)+1)</f>
        <v>0</v>
      </c>
      <c r="E959" s="17">
        <f t="shared" si="1"/>
        <v>225</v>
      </c>
      <c r="F959" s="17">
        <f t="shared" si="2"/>
        <v>0</v>
      </c>
    </row>
    <row r="960">
      <c r="A960" s="5" t="s">
        <v>60</v>
      </c>
      <c r="B960" s="6">
        <v>169.0</v>
      </c>
      <c r="C960" s="13" t="s">
        <v>268</v>
      </c>
      <c r="D960" s="17">
        <f>SUMIFS(ShadowLedger!$D:$D,ShadowLedger!$G:$G,A960,ShadowLedger!$C:$C,"&gt;="&amp;DATE(LEFT(SUBSTITUTE(C960,"'",""),4),MID(SUBSTITUTE(C960,"'",""),6,2),1),ShadowLedger!$C:$C,"&lt;"&amp;EOMONTH(DATE(LEFT(SUBSTITUTE(C960,"'",""),4),MID(SUBSTITUTE(C960,"'",""),6,2),1),0)+1)</f>
        <v>0</v>
      </c>
      <c r="E960" s="17">
        <f t="shared" si="1"/>
        <v>169</v>
      </c>
      <c r="F960" s="17">
        <f t="shared" si="2"/>
        <v>0</v>
      </c>
    </row>
    <row r="961">
      <c r="A961" s="5" t="s">
        <v>61</v>
      </c>
      <c r="B961" s="6">
        <v>135.0</v>
      </c>
      <c r="C961" s="13" t="s">
        <v>268</v>
      </c>
      <c r="D961" s="17">
        <f>SUMIFS(ShadowLedger!$D:$D,ShadowLedger!$G:$G,A961,ShadowLedger!$C:$C,"&gt;="&amp;DATE(LEFT(SUBSTITUTE(C961,"'",""),4),MID(SUBSTITUTE(C961,"'",""),6,2),1),ShadowLedger!$C:$C,"&lt;"&amp;EOMONTH(DATE(LEFT(SUBSTITUTE(C961,"'",""),4),MID(SUBSTITUTE(C961,"'",""),6,2),1),0)+1)</f>
        <v>0</v>
      </c>
      <c r="E961" s="17">
        <f t="shared" si="1"/>
        <v>135</v>
      </c>
      <c r="F961" s="17">
        <f t="shared" si="2"/>
        <v>0</v>
      </c>
    </row>
    <row r="962">
      <c r="A962" s="5" t="s">
        <v>62</v>
      </c>
      <c r="B962" s="6">
        <v>135.0</v>
      </c>
      <c r="C962" s="13" t="s">
        <v>268</v>
      </c>
      <c r="D962" s="17">
        <f>SUMIFS(ShadowLedger!$D:$D,ShadowLedger!$G:$G,A962,ShadowLedger!$C:$C,"&gt;="&amp;DATE(LEFT(SUBSTITUTE(C962,"'",""),4),MID(SUBSTITUTE(C962,"'",""),6,2),1),ShadowLedger!$C:$C,"&lt;"&amp;EOMONTH(DATE(LEFT(SUBSTITUTE(C962,"'",""),4),MID(SUBSTITUTE(C962,"'",""),6,2),1),0)+1)</f>
        <v>0</v>
      </c>
      <c r="E962" s="17">
        <f t="shared" si="1"/>
        <v>135</v>
      </c>
      <c r="F962" s="17">
        <f t="shared" si="2"/>
        <v>0</v>
      </c>
    </row>
    <row r="963">
      <c r="A963" s="5" t="s">
        <v>63</v>
      </c>
      <c r="B963" s="6">
        <v>113.0</v>
      </c>
      <c r="C963" s="13" t="s">
        <v>268</v>
      </c>
      <c r="D963" s="17">
        <f>SUMIFS(ShadowLedger!$D:$D,ShadowLedger!$G:$G,A963,ShadowLedger!$C:$C,"&gt;="&amp;DATE(LEFT(SUBSTITUTE(C963,"'",""),4),MID(SUBSTITUTE(C963,"'",""),6,2),1),ShadowLedger!$C:$C,"&lt;"&amp;EOMONTH(DATE(LEFT(SUBSTITUTE(C963,"'",""),4),MID(SUBSTITUTE(C963,"'",""),6,2),1),0)+1)</f>
        <v>0</v>
      </c>
      <c r="E963" s="17">
        <f t="shared" si="1"/>
        <v>113</v>
      </c>
      <c r="F963" s="17">
        <f t="shared" si="2"/>
        <v>0</v>
      </c>
    </row>
    <row r="964">
      <c r="A964" s="5" t="s">
        <v>64</v>
      </c>
      <c r="B964" s="6">
        <v>113.0</v>
      </c>
      <c r="C964" s="13" t="s">
        <v>268</v>
      </c>
      <c r="D964" s="17">
        <f>SUMIFS(ShadowLedger!$D:$D,ShadowLedger!$G:$G,A964,ShadowLedger!$C:$C,"&gt;="&amp;DATE(LEFT(SUBSTITUTE(C964,"'",""),4),MID(SUBSTITUTE(C964,"'",""),6,2),1),ShadowLedger!$C:$C,"&lt;"&amp;EOMONTH(DATE(LEFT(SUBSTITUTE(C964,"'",""),4),MID(SUBSTITUTE(C964,"'",""),6,2),1),0)+1)</f>
        <v>0</v>
      </c>
      <c r="E964" s="17">
        <f t="shared" si="1"/>
        <v>113</v>
      </c>
      <c r="F964" s="17">
        <f t="shared" si="2"/>
        <v>0</v>
      </c>
    </row>
    <row r="965">
      <c r="A965" s="5" t="s">
        <v>70</v>
      </c>
      <c r="B965" s="6">
        <v>113.0</v>
      </c>
      <c r="C965" s="13" t="s">
        <v>268</v>
      </c>
      <c r="D965" s="17">
        <f>SUMIFS(ShadowLedger!$D:$D,ShadowLedger!$G:$G,A965,ShadowLedger!$C:$C,"&gt;="&amp;DATE(LEFT(SUBSTITUTE(C965,"'",""),4),MID(SUBSTITUTE(C965,"'",""),6,2),1),ShadowLedger!$C:$C,"&lt;"&amp;EOMONTH(DATE(LEFT(SUBSTITUTE(C965,"'",""),4),MID(SUBSTITUTE(C965,"'",""),6,2),1),0)+1)</f>
        <v>0</v>
      </c>
      <c r="E965" s="17">
        <f t="shared" si="1"/>
        <v>113</v>
      </c>
      <c r="F965" s="17">
        <f t="shared" si="2"/>
        <v>0</v>
      </c>
    </row>
    <row r="966">
      <c r="A966" s="5" t="s">
        <v>65</v>
      </c>
      <c r="B966" s="6">
        <v>56.0</v>
      </c>
      <c r="C966" s="13" t="s">
        <v>268</v>
      </c>
      <c r="D966" s="17">
        <f>SUMIFS(ShadowLedger!$D:$D,ShadowLedger!$G:$G,A966,ShadowLedger!$C:$C,"&gt;="&amp;DATE(LEFT(SUBSTITUTE(C966,"'",""),4),MID(SUBSTITUTE(C966,"'",""),6,2),1),ShadowLedger!$C:$C,"&lt;"&amp;EOMONTH(DATE(LEFT(SUBSTITUTE(C966,"'",""),4),MID(SUBSTITUTE(C966,"'",""),6,2),1),0)+1)</f>
        <v>0</v>
      </c>
      <c r="E966" s="17">
        <f t="shared" si="1"/>
        <v>56</v>
      </c>
      <c r="F966" s="17">
        <f t="shared" si="2"/>
        <v>0</v>
      </c>
    </row>
    <row r="967">
      <c r="A967" s="5" t="s">
        <v>66</v>
      </c>
      <c r="B967" s="6">
        <v>56.0</v>
      </c>
      <c r="C967" s="13" t="s">
        <v>268</v>
      </c>
      <c r="D967" s="17">
        <f>SUMIFS(ShadowLedger!$D:$D,ShadowLedger!$G:$G,A967,ShadowLedger!$C:$C,"&gt;="&amp;DATE(LEFT(SUBSTITUTE(C967,"'",""),4),MID(SUBSTITUTE(C967,"'",""),6,2),1),ShadowLedger!$C:$C,"&lt;"&amp;EOMONTH(DATE(LEFT(SUBSTITUTE(C967,"'",""),4),MID(SUBSTITUTE(C967,"'",""),6,2),1),0)+1)</f>
        <v>0</v>
      </c>
      <c r="E967" s="17">
        <f t="shared" si="1"/>
        <v>56</v>
      </c>
      <c r="F967" s="17">
        <f t="shared" si="2"/>
        <v>0</v>
      </c>
    </row>
    <row r="968">
      <c r="A968" s="5" t="s">
        <v>67</v>
      </c>
      <c r="B968" s="6">
        <v>56.0</v>
      </c>
      <c r="C968" s="13" t="s">
        <v>268</v>
      </c>
      <c r="D968" s="17">
        <f>SUMIFS(ShadowLedger!$D:$D,ShadowLedger!$G:$G,A968,ShadowLedger!$C:$C,"&gt;="&amp;DATE(LEFT(SUBSTITUTE(C968,"'",""),4),MID(SUBSTITUTE(C968,"'",""),6,2),1),ShadowLedger!$C:$C,"&lt;"&amp;EOMONTH(DATE(LEFT(SUBSTITUTE(C968,"'",""),4),MID(SUBSTITUTE(C968,"'",""),6,2),1),0)+1)</f>
        <v>0</v>
      </c>
      <c r="E968" s="17">
        <f t="shared" si="1"/>
        <v>56</v>
      </c>
      <c r="F968" s="17">
        <f t="shared" si="2"/>
        <v>0</v>
      </c>
    </row>
    <row r="969">
      <c r="A969" s="5" t="s">
        <v>68</v>
      </c>
      <c r="B969" s="6">
        <v>56.0</v>
      </c>
      <c r="C969" s="13" t="s">
        <v>268</v>
      </c>
      <c r="D969" s="17">
        <f>SUMIFS(ShadowLedger!$D:$D,ShadowLedger!$G:$G,A969,ShadowLedger!$C:$C,"&gt;="&amp;DATE(LEFT(SUBSTITUTE(C969,"'",""),4),MID(SUBSTITUTE(C969,"'",""),6,2),1),ShadowLedger!$C:$C,"&lt;"&amp;EOMONTH(DATE(LEFT(SUBSTITUTE(C969,"'",""),4),MID(SUBSTITUTE(C969,"'",""),6,2),1),0)+1)</f>
        <v>0</v>
      </c>
      <c r="E969" s="17">
        <f t="shared" si="1"/>
        <v>56</v>
      </c>
      <c r="F969" s="17">
        <f t="shared" si="2"/>
        <v>0</v>
      </c>
    </row>
    <row r="970">
      <c r="A970" s="5" t="s">
        <v>69</v>
      </c>
      <c r="B970" s="6">
        <v>0.0</v>
      </c>
      <c r="C970" s="13" t="s">
        <v>268</v>
      </c>
      <c r="D970" s="17">
        <f>SUMIFS(ShadowLedger!$D:$D,ShadowLedger!$G:$G,A970,ShadowLedger!$C:$C,"&gt;="&amp;DATE(LEFT(SUBSTITUTE(C970,"'",""),4),MID(SUBSTITUTE(C970,"'",""),6,2),1),ShadowLedger!$C:$C,"&lt;"&amp;EOMONTH(DATE(LEFT(SUBSTITUTE(C970,"'",""),4),MID(SUBSTITUTE(C970,"'",""),6,2),1),0)+1)</f>
        <v>0</v>
      </c>
      <c r="E970" s="17">
        <f t="shared" si="1"/>
        <v>0</v>
      </c>
      <c r="F970" s="17">
        <f t="shared" si="2"/>
        <v>0</v>
      </c>
    </row>
    <row r="971">
      <c r="A971" s="5" t="s">
        <v>54</v>
      </c>
      <c r="B971" s="6">
        <v>1035.0</v>
      </c>
      <c r="C971" s="13" t="s">
        <v>269</v>
      </c>
      <c r="D971" s="17">
        <f>SUMIFS(ShadowLedger!$D:$D,ShadowLedger!$G:$G,A971,ShadowLedger!$C:$C,"&gt;="&amp;DATE(LEFT(SUBSTITUTE(C971,"'",""),4),MID(SUBSTITUTE(C971,"'",""),6,2),1),ShadowLedger!$C:$C,"&lt;"&amp;EOMONTH(DATE(LEFT(SUBSTITUTE(C971,"'",""),4),MID(SUBSTITUTE(C971,"'",""),6,2),1),0)+1)</f>
        <v>0</v>
      </c>
      <c r="E971" s="17">
        <f t="shared" si="1"/>
        <v>1035</v>
      </c>
      <c r="F971" s="17">
        <f t="shared" si="2"/>
        <v>0</v>
      </c>
    </row>
    <row r="972">
      <c r="A972" s="5" t="s">
        <v>55</v>
      </c>
      <c r="B972" s="6">
        <v>788.0</v>
      </c>
      <c r="C972" s="13" t="s">
        <v>269</v>
      </c>
      <c r="D972" s="17">
        <f>SUMIFS(ShadowLedger!$D:$D,ShadowLedger!$G:$G,A972,ShadowLedger!$C:$C,"&gt;="&amp;DATE(LEFT(SUBSTITUTE(C972,"'",""),4),MID(SUBSTITUTE(C972,"'",""),6,2),1),ShadowLedger!$C:$C,"&lt;"&amp;EOMONTH(DATE(LEFT(SUBSTITUTE(C972,"'",""),4),MID(SUBSTITUTE(C972,"'",""),6,2),1),0)+1)</f>
        <v>0</v>
      </c>
      <c r="E972" s="17">
        <f t="shared" si="1"/>
        <v>788</v>
      </c>
      <c r="F972" s="17">
        <f t="shared" si="2"/>
        <v>0</v>
      </c>
    </row>
    <row r="973">
      <c r="A973" s="5" t="s">
        <v>56</v>
      </c>
      <c r="B973" s="6">
        <v>563.0</v>
      </c>
      <c r="C973" s="13" t="s">
        <v>269</v>
      </c>
      <c r="D973" s="17">
        <f>SUMIFS(ShadowLedger!$D:$D,ShadowLedger!$G:$G,A973,ShadowLedger!$C:$C,"&gt;="&amp;DATE(LEFT(SUBSTITUTE(C973,"'",""),4),MID(SUBSTITUTE(C973,"'",""),6,2),1),ShadowLedger!$C:$C,"&lt;"&amp;EOMONTH(DATE(LEFT(SUBSTITUTE(C973,"'",""),4),MID(SUBSTITUTE(C973,"'",""),6,2),1),0)+1)</f>
        <v>0</v>
      </c>
      <c r="E973" s="17">
        <f t="shared" si="1"/>
        <v>563</v>
      </c>
      <c r="F973" s="17">
        <f t="shared" si="2"/>
        <v>0</v>
      </c>
    </row>
    <row r="974">
      <c r="A974" s="5" t="s">
        <v>57</v>
      </c>
      <c r="B974" s="6">
        <v>563.0</v>
      </c>
      <c r="C974" s="13" t="s">
        <v>269</v>
      </c>
      <c r="D974" s="17">
        <f>SUMIFS(ShadowLedger!$D:$D,ShadowLedger!$G:$G,A974,ShadowLedger!$C:$C,"&gt;="&amp;DATE(LEFT(SUBSTITUTE(C974,"'",""),4),MID(SUBSTITUTE(C974,"'",""),6,2),1),ShadowLedger!$C:$C,"&lt;"&amp;EOMONTH(DATE(LEFT(SUBSTITUTE(C974,"'",""),4),MID(SUBSTITUTE(C974,"'",""),6,2),1),0)+1)</f>
        <v>0</v>
      </c>
      <c r="E974" s="17">
        <f t="shared" si="1"/>
        <v>563</v>
      </c>
      <c r="F974" s="17">
        <f t="shared" si="2"/>
        <v>0</v>
      </c>
    </row>
    <row r="975">
      <c r="A975" s="5" t="s">
        <v>58</v>
      </c>
      <c r="B975" s="6">
        <v>450.0</v>
      </c>
      <c r="C975" s="13" t="s">
        <v>269</v>
      </c>
      <c r="D975" s="17">
        <f>SUMIFS(ShadowLedger!$D:$D,ShadowLedger!$G:$G,A975,ShadowLedger!$C:$C,"&gt;="&amp;DATE(LEFT(SUBSTITUTE(C975,"'",""),4),MID(SUBSTITUTE(C975,"'",""),6,2),1),ShadowLedger!$C:$C,"&lt;"&amp;EOMONTH(DATE(LEFT(SUBSTITUTE(C975,"'",""),4),MID(SUBSTITUTE(C975,"'",""),6,2),1),0)+1)</f>
        <v>0</v>
      </c>
      <c r="E975" s="17">
        <f t="shared" si="1"/>
        <v>450</v>
      </c>
      <c r="F975" s="17">
        <f t="shared" si="2"/>
        <v>0</v>
      </c>
    </row>
    <row r="976">
      <c r="A976" s="5" t="s">
        <v>59</v>
      </c>
      <c r="B976" s="6">
        <v>225.0</v>
      </c>
      <c r="C976" s="13" t="s">
        <v>269</v>
      </c>
      <c r="D976" s="17">
        <f>SUMIFS(ShadowLedger!$D:$D,ShadowLedger!$G:$G,A976,ShadowLedger!$C:$C,"&gt;="&amp;DATE(LEFT(SUBSTITUTE(C976,"'",""),4),MID(SUBSTITUTE(C976,"'",""),6,2),1),ShadowLedger!$C:$C,"&lt;"&amp;EOMONTH(DATE(LEFT(SUBSTITUTE(C976,"'",""),4),MID(SUBSTITUTE(C976,"'",""),6,2),1),0)+1)</f>
        <v>0</v>
      </c>
      <c r="E976" s="17">
        <f t="shared" si="1"/>
        <v>225</v>
      </c>
      <c r="F976" s="17">
        <f t="shared" si="2"/>
        <v>0</v>
      </c>
    </row>
    <row r="977">
      <c r="A977" s="5" t="s">
        <v>60</v>
      </c>
      <c r="B977" s="6">
        <v>169.0</v>
      </c>
      <c r="C977" s="13" t="s">
        <v>269</v>
      </c>
      <c r="D977" s="17">
        <f>SUMIFS(ShadowLedger!$D:$D,ShadowLedger!$G:$G,A977,ShadowLedger!$C:$C,"&gt;="&amp;DATE(LEFT(SUBSTITUTE(C977,"'",""),4),MID(SUBSTITUTE(C977,"'",""),6,2),1),ShadowLedger!$C:$C,"&lt;"&amp;EOMONTH(DATE(LEFT(SUBSTITUTE(C977,"'",""),4),MID(SUBSTITUTE(C977,"'",""),6,2),1),0)+1)</f>
        <v>0</v>
      </c>
      <c r="E977" s="17">
        <f t="shared" si="1"/>
        <v>169</v>
      </c>
      <c r="F977" s="17">
        <f t="shared" si="2"/>
        <v>0</v>
      </c>
    </row>
    <row r="978">
      <c r="A978" s="5" t="s">
        <v>61</v>
      </c>
      <c r="B978" s="6">
        <v>135.0</v>
      </c>
      <c r="C978" s="13" t="s">
        <v>269</v>
      </c>
      <c r="D978" s="17">
        <f>SUMIFS(ShadowLedger!$D:$D,ShadowLedger!$G:$G,A978,ShadowLedger!$C:$C,"&gt;="&amp;DATE(LEFT(SUBSTITUTE(C978,"'",""),4),MID(SUBSTITUTE(C978,"'",""),6,2),1),ShadowLedger!$C:$C,"&lt;"&amp;EOMONTH(DATE(LEFT(SUBSTITUTE(C978,"'",""),4),MID(SUBSTITUTE(C978,"'",""),6,2),1),0)+1)</f>
        <v>0</v>
      </c>
      <c r="E978" s="17">
        <f t="shared" si="1"/>
        <v>135</v>
      </c>
      <c r="F978" s="17">
        <f t="shared" si="2"/>
        <v>0</v>
      </c>
    </row>
    <row r="979">
      <c r="A979" s="5" t="s">
        <v>62</v>
      </c>
      <c r="B979" s="6">
        <v>135.0</v>
      </c>
      <c r="C979" s="13" t="s">
        <v>269</v>
      </c>
      <c r="D979" s="17">
        <f>SUMIFS(ShadowLedger!$D:$D,ShadowLedger!$G:$G,A979,ShadowLedger!$C:$C,"&gt;="&amp;DATE(LEFT(SUBSTITUTE(C979,"'",""),4),MID(SUBSTITUTE(C979,"'",""),6,2),1),ShadowLedger!$C:$C,"&lt;"&amp;EOMONTH(DATE(LEFT(SUBSTITUTE(C979,"'",""),4),MID(SUBSTITUTE(C979,"'",""),6,2),1),0)+1)</f>
        <v>0</v>
      </c>
      <c r="E979" s="17">
        <f t="shared" si="1"/>
        <v>135</v>
      </c>
      <c r="F979" s="17">
        <f t="shared" si="2"/>
        <v>0</v>
      </c>
    </row>
    <row r="980">
      <c r="A980" s="5" t="s">
        <v>63</v>
      </c>
      <c r="B980" s="6">
        <v>113.0</v>
      </c>
      <c r="C980" s="13" t="s">
        <v>269</v>
      </c>
      <c r="D980" s="17">
        <f>SUMIFS(ShadowLedger!$D:$D,ShadowLedger!$G:$G,A980,ShadowLedger!$C:$C,"&gt;="&amp;DATE(LEFT(SUBSTITUTE(C980,"'",""),4),MID(SUBSTITUTE(C980,"'",""),6,2),1),ShadowLedger!$C:$C,"&lt;"&amp;EOMONTH(DATE(LEFT(SUBSTITUTE(C980,"'",""),4),MID(SUBSTITUTE(C980,"'",""),6,2),1),0)+1)</f>
        <v>0</v>
      </c>
      <c r="E980" s="17">
        <f t="shared" si="1"/>
        <v>113</v>
      </c>
      <c r="F980" s="17">
        <f t="shared" si="2"/>
        <v>0</v>
      </c>
    </row>
    <row r="981">
      <c r="A981" s="5" t="s">
        <v>64</v>
      </c>
      <c r="B981" s="6">
        <v>113.0</v>
      </c>
      <c r="C981" s="13" t="s">
        <v>269</v>
      </c>
      <c r="D981" s="17">
        <f>SUMIFS(ShadowLedger!$D:$D,ShadowLedger!$G:$G,A981,ShadowLedger!$C:$C,"&gt;="&amp;DATE(LEFT(SUBSTITUTE(C981,"'",""),4),MID(SUBSTITUTE(C981,"'",""),6,2),1),ShadowLedger!$C:$C,"&lt;"&amp;EOMONTH(DATE(LEFT(SUBSTITUTE(C981,"'",""),4),MID(SUBSTITUTE(C981,"'",""),6,2),1),0)+1)</f>
        <v>0</v>
      </c>
      <c r="E981" s="17">
        <f t="shared" si="1"/>
        <v>113</v>
      </c>
      <c r="F981" s="17">
        <f t="shared" si="2"/>
        <v>0</v>
      </c>
    </row>
    <row r="982">
      <c r="A982" s="5" t="s">
        <v>70</v>
      </c>
      <c r="B982" s="6">
        <v>113.0</v>
      </c>
      <c r="C982" s="13" t="s">
        <v>269</v>
      </c>
      <c r="D982" s="17">
        <f>SUMIFS(ShadowLedger!$D:$D,ShadowLedger!$G:$G,A982,ShadowLedger!$C:$C,"&gt;="&amp;DATE(LEFT(SUBSTITUTE(C982,"'",""),4),MID(SUBSTITUTE(C982,"'",""),6,2),1),ShadowLedger!$C:$C,"&lt;"&amp;EOMONTH(DATE(LEFT(SUBSTITUTE(C982,"'",""),4),MID(SUBSTITUTE(C982,"'",""),6,2),1),0)+1)</f>
        <v>0</v>
      </c>
      <c r="E982" s="17">
        <f t="shared" si="1"/>
        <v>113</v>
      </c>
      <c r="F982" s="17">
        <f t="shared" si="2"/>
        <v>0</v>
      </c>
    </row>
    <row r="983">
      <c r="A983" s="5" t="s">
        <v>65</v>
      </c>
      <c r="B983" s="6">
        <v>56.0</v>
      </c>
      <c r="C983" s="13" t="s">
        <v>269</v>
      </c>
      <c r="D983" s="17">
        <f>SUMIFS(ShadowLedger!$D:$D,ShadowLedger!$G:$G,A983,ShadowLedger!$C:$C,"&gt;="&amp;DATE(LEFT(SUBSTITUTE(C983,"'",""),4),MID(SUBSTITUTE(C983,"'",""),6,2),1),ShadowLedger!$C:$C,"&lt;"&amp;EOMONTH(DATE(LEFT(SUBSTITUTE(C983,"'",""),4),MID(SUBSTITUTE(C983,"'",""),6,2),1),0)+1)</f>
        <v>0</v>
      </c>
      <c r="E983" s="17">
        <f t="shared" si="1"/>
        <v>56</v>
      </c>
      <c r="F983" s="17">
        <f t="shared" si="2"/>
        <v>0</v>
      </c>
    </row>
    <row r="984">
      <c r="A984" s="5" t="s">
        <v>66</v>
      </c>
      <c r="B984" s="6">
        <v>56.0</v>
      </c>
      <c r="C984" s="13" t="s">
        <v>269</v>
      </c>
      <c r="D984" s="17">
        <f>SUMIFS(ShadowLedger!$D:$D,ShadowLedger!$G:$G,A984,ShadowLedger!$C:$C,"&gt;="&amp;DATE(LEFT(SUBSTITUTE(C984,"'",""),4),MID(SUBSTITUTE(C984,"'",""),6,2),1),ShadowLedger!$C:$C,"&lt;"&amp;EOMONTH(DATE(LEFT(SUBSTITUTE(C984,"'",""),4),MID(SUBSTITUTE(C984,"'",""),6,2),1),0)+1)</f>
        <v>0</v>
      </c>
      <c r="E984" s="17">
        <f t="shared" si="1"/>
        <v>56</v>
      </c>
      <c r="F984" s="17">
        <f t="shared" si="2"/>
        <v>0</v>
      </c>
    </row>
    <row r="985">
      <c r="A985" s="5" t="s">
        <v>67</v>
      </c>
      <c r="B985" s="6">
        <v>56.0</v>
      </c>
      <c r="C985" s="13" t="s">
        <v>269</v>
      </c>
      <c r="D985" s="17">
        <f>SUMIFS(ShadowLedger!$D:$D,ShadowLedger!$G:$G,A985,ShadowLedger!$C:$C,"&gt;="&amp;DATE(LEFT(SUBSTITUTE(C985,"'",""),4),MID(SUBSTITUTE(C985,"'",""),6,2),1),ShadowLedger!$C:$C,"&lt;"&amp;EOMONTH(DATE(LEFT(SUBSTITUTE(C985,"'",""),4),MID(SUBSTITUTE(C985,"'",""),6,2),1),0)+1)</f>
        <v>0</v>
      </c>
      <c r="E985" s="17">
        <f t="shared" si="1"/>
        <v>56</v>
      </c>
      <c r="F985" s="17">
        <f t="shared" si="2"/>
        <v>0</v>
      </c>
    </row>
    <row r="986">
      <c r="A986" s="5" t="s">
        <v>68</v>
      </c>
      <c r="B986" s="6">
        <v>56.0</v>
      </c>
      <c r="C986" s="13" t="s">
        <v>269</v>
      </c>
      <c r="D986" s="17">
        <f>SUMIFS(ShadowLedger!$D:$D,ShadowLedger!$G:$G,A986,ShadowLedger!$C:$C,"&gt;="&amp;DATE(LEFT(SUBSTITUTE(C986,"'",""),4),MID(SUBSTITUTE(C986,"'",""),6,2),1),ShadowLedger!$C:$C,"&lt;"&amp;EOMONTH(DATE(LEFT(SUBSTITUTE(C986,"'",""),4),MID(SUBSTITUTE(C986,"'",""),6,2),1),0)+1)</f>
        <v>0</v>
      </c>
      <c r="E986" s="17">
        <f t="shared" si="1"/>
        <v>56</v>
      </c>
      <c r="F986" s="17">
        <f t="shared" si="2"/>
        <v>0</v>
      </c>
    </row>
    <row r="987">
      <c r="A987" s="5" t="s">
        <v>69</v>
      </c>
      <c r="B987" s="6">
        <v>0.0</v>
      </c>
      <c r="C987" s="13" t="s">
        <v>269</v>
      </c>
      <c r="D987" s="17">
        <f>SUMIFS(ShadowLedger!$D:$D,ShadowLedger!$G:$G,A987,ShadowLedger!$C:$C,"&gt;="&amp;DATE(LEFT(SUBSTITUTE(C987,"'",""),4),MID(SUBSTITUTE(C987,"'",""),6,2),1),ShadowLedger!$C:$C,"&lt;"&amp;EOMONTH(DATE(LEFT(SUBSTITUTE(C987,"'",""),4),MID(SUBSTITUTE(C987,"'",""),6,2),1),0)+1)</f>
        <v>0</v>
      </c>
      <c r="E987" s="17">
        <f t="shared" si="1"/>
        <v>0</v>
      </c>
      <c r="F987" s="17">
        <f t="shared" si="2"/>
        <v>0</v>
      </c>
    </row>
    <row r="988">
      <c r="A988" s="5" t="s">
        <v>54</v>
      </c>
      <c r="B988" s="6">
        <v>1035.0</v>
      </c>
      <c r="C988" s="13" t="s">
        <v>270</v>
      </c>
      <c r="D988" s="17">
        <f>SUMIFS(ShadowLedger!$D:$D,ShadowLedger!$G:$G,A988,ShadowLedger!$C:$C,"&gt;="&amp;DATE(LEFT(SUBSTITUTE(C988,"'",""),4),MID(SUBSTITUTE(C988,"'",""),6,2),1),ShadowLedger!$C:$C,"&lt;"&amp;EOMONTH(DATE(LEFT(SUBSTITUTE(C988,"'",""),4),MID(SUBSTITUTE(C988,"'",""),6,2),1),0)+1)</f>
        <v>0</v>
      </c>
      <c r="E988" s="17">
        <f t="shared" si="1"/>
        <v>1035</v>
      </c>
      <c r="F988" s="17">
        <f t="shared" si="2"/>
        <v>0</v>
      </c>
    </row>
    <row r="989">
      <c r="A989" s="5" t="s">
        <v>55</v>
      </c>
      <c r="B989" s="6">
        <v>788.0</v>
      </c>
      <c r="C989" s="13" t="s">
        <v>270</v>
      </c>
      <c r="D989" s="17">
        <f>SUMIFS(ShadowLedger!$D:$D,ShadowLedger!$G:$G,A989,ShadowLedger!$C:$C,"&gt;="&amp;DATE(LEFT(SUBSTITUTE(C989,"'",""),4),MID(SUBSTITUTE(C989,"'",""),6,2),1),ShadowLedger!$C:$C,"&lt;"&amp;EOMONTH(DATE(LEFT(SUBSTITUTE(C989,"'",""),4),MID(SUBSTITUTE(C989,"'",""),6,2),1),0)+1)</f>
        <v>0</v>
      </c>
      <c r="E989" s="17">
        <f t="shared" si="1"/>
        <v>788</v>
      </c>
      <c r="F989" s="17">
        <f t="shared" si="2"/>
        <v>0</v>
      </c>
    </row>
    <row r="990">
      <c r="A990" s="5" t="s">
        <v>56</v>
      </c>
      <c r="B990" s="6">
        <v>563.0</v>
      </c>
      <c r="C990" s="13" t="s">
        <v>270</v>
      </c>
      <c r="D990" s="17">
        <f>SUMIFS(ShadowLedger!$D:$D,ShadowLedger!$G:$G,A990,ShadowLedger!$C:$C,"&gt;="&amp;DATE(LEFT(SUBSTITUTE(C990,"'",""),4),MID(SUBSTITUTE(C990,"'",""),6,2),1),ShadowLedger!$C:$C,"&lt;"&amp;EOMONTH(DATE(LEFT(SUBSTITUTE(C990,"'",""),4),MID(SUBSTITUTE(C990,"'",""),6,2),1),0)+1)</f>
        <v>0</v>
      </c>
      <c r="E990" s="17">
        <f t="shared" si="1"/>
        <v>563</v>
      </c>
      <c r="F990" s="17">
        <f t="shared" si="2"/>
        <v>0</v>
      </c>
    </row>
    <row r="991">
      <c r="A991" s="5" t="s">
        <v>57</v>
      </c>
      <c r="B991" s="6">
        <v>563.0</v>
      </c>
      <c r="C991" s="13" t="s">
        <v>270</v>
      </c>
      <c r="D991" s="17">
        <f>SUMIFS(ShadowLedger!$D:$D,ShadowLedger!$G:$G,A991,ShadowLedger!$C:$C,"&gt;="&amp;DATE(LEFT(SUBSTITUTE(C991,"'",""),4),MID(SUBSTITUTE(C991,"'",""),6,2),1),ShadowLedger!$C:$C,"&lt;"&amp;EOMONTH(DATE(LEFT(SUBSTITUTE(C991,"'",""),4),MID(SUBSTITUTE(C991,"'",""),6,2),1),0)+1)</f>
        <v>0</v>
      </c>
      <c r="E991" s="17">
        <f t="shared" si="1"/>
        <v>563</v>
      </c>
      <c r="F991" s="17">
        <f t="shared" si="2"/>
        <v>0</v>
      </c>
    </row>
    <row r="992">
      <c r="A992" s="5" t="s">
        <v>58</v>
      </c>
      <c r="B992" s="6">
        <v>450.0</v>
      </c>
      <c r="C992" s="13" t="s">
        <v>270</v>
      </c>
      <c r="D992" s="17">
        <f>SUMIFS(ShadowLedger!$D:$D,ShadowLedger!$G:$G,A992,ShadowLedger!$C:$C,"&gt;="&amp;DATE(LEFT(SUBSTITUTE(C992,"'",""),4),MID(SUBSTITUTE(C992,"'",""),6,2),1),ShadowLedger!$C:$C,"&lt;"&amp;EOMONTH(DATE(LEFT(SUBSTITUTE(C992,"'",""),4),MID(SUBSTITUTE(C992,"'",""),6,2),1),0)+1)</f>
        <v>0</v>
      </c>
      <c r="E992" s="17">
        <f t="shared" si="1"/>
        <v>450</v>
      </c>
      <c r="F992" s="17">
        <f t="shared" si="2"/>
        <v>0</v>
      </c>
    </row>
    <row r="993">
      <c r="A993" s="5" t="s">
        <v>59</v>
      </c>
      <c r="B993" s="6">
        <v>225.0</v>
      </c>
      <c r="C993" s="13" t="s">
        <v>270</v>
      </c>
      <c r="D993" s="17">
        <f>SUMIFS(ShadowLedger!$D:$D,ShadowLedger!$G:$G,A993,ShadowLedger!$C:$C,"&gt;="&amp;DATE(LEFT(SUBSTITUTE(C993,"'",""),4),MID(SUBSTITUTE(C993,"'",""),6,2),1),ShadowLedger!$C:$C,"&lt;"&amp;EOMONTH(DATE(LEFT(SUBSTITUTE(C993,"'",""),4),MID(SUBSTITUTE(C993,"'",""),6,2),1),0)+1)</f>
        <v>0</v>
      </c>
      <c r="E993" s="17">
        <f t="shared" si="1"/>
        <v>225</v>
      </c>
      <c r="F993" s="17">
        <f t="shared" si="2"/>
        <v>0</v>
      </c>
    </row>
    <row r="994">
      <c r="A994" s="5" t="s">
        <v>60</v>
      </c>
      <c r="B994" s="6">
        <v>169.0</v>
      </c>
      <c r="C994" s="13" t="s">
        <v>270</v>
      </c>
      <c r="D994" s="17">
        <f>SUMIFS(ShadowLedger!$D:$D,ShadowLedger!$G:$G,A994,ShadowLedger!$C:$C,"&gt;="&amp;DATE(LEFT(SUBSTITUTE(C994,"'",""),4),MID(SUBSTITUTE(C994,"'",""),6,2),1),ShadowLedger!$C:$C,"&lt;"&amp;EOMONTH(DATE(LEFT(SUBSTITUTE(C994,"'",""),4),MID(SUBSTITUTE(C994,"'",""),6,2),1),0)+1)</f>
        <v>0</v>
      </c>
      <c r="E994" s="17">
        <f t="shared" si="1"/>
        <v>169</v>
      </c>
      <c r="F994" s="17">
        <f t="shared" si="2"/>
        <v>0</v>
      </c>
    </row>
    <row r="995">
      <c r="A995" s="5" t="s">
        <v>61</v>
      </c>
      <c r="B995" s="6">
        <v>135.0</v>
      </c>
      <c r="C995" s="13" t="s">
        <v>270</v>
      </c>
      <c r="D995" s="17">
        <f>SUMIFS(ShadowLedger!$D:$D,ShadowLedger!$G:$G,A995,ShadowLedger!$C:$C,"&gt;="&amp;DATE(LEFT(SUBSTITUTE(C995,"'",""),4),MID(SUBSTITUTE(C995,"'",""),6,2),1),ShadowLedger!$C:$C,"&lt;"&amp;EOMONTH(DATE(LEFT(SUBSTITUTE(C995,"'",""),4),MID(SUBSTITUTE(C995,"'",""),6,2),1),0)+1)</f>
        <v>0</v>
      </c>
      <c r="E995" s="17">
        <f t="shared" si="1"/>
        <v>135</v>
      </c>
      <c r="F995" s="17">
        <f t="shared" si="2"/>
        <v>0</v>
      </c>
    </row>
    <row r="996">
      <c r="A996" s="5" t="s">
        <v>62</v>
      </c>
      <c r="B996" s="6">
        <v>135.0</v>
      </c>
      <c r="C996" s="13" t="s">
        <v>270</v>
      </c>
      <c r="D996" s="17">
        <f>SUMIFS(ShadowLedger!$D:$D,ShadowLedger!$G:$G,A996,ShadowLedger!$C:$C,"&gt;="&amp;DATE(LEFT(SUBSTITUTE(C996,"'",""),4),MID(SUBSTITUTE(C996,"'",""),6,2),1),ShadowLedger!$C:$C,"&lt;"&amp;EOMONTH(DATE(LEFT(SUBSTITUTE(C996,"'",""),4),MID(SUBSTITUTE(C996,"'",""),6,2),1),0)+1)</f>
        <v>0</v>
      </c>
      <c r="E996" s="17">
        <f t="shared" si="1"/>
        <v>135</v>
      </c>
      <c r="F996" s="17">
        <f t="shared" si="2"/>
        <v>0</v>
      </c>
    </row>
    <row r="997">
      <c r="A997" s="5" t="s">
        <v>63</v>
      </c>
      <c r="B997" s="6">
        <v>113.0</v>
      </c>
      <c r="C997" s="13" t="s">
        <v>270</v>
      </c>
      <c r="D997" s="17">
        <f>SUMIFS(ShadowLedger!$D:$D,ShadowLedger!$G:$G,A997,ShadowLedger!$C:$C,"&gt;="&amp;DATE(LEFT(SUBSTITUTE(C997,"'",""),4),MID(SUBSTITUTE(C997,"'",""),6,2),1),ShadowLedger!$C:$C,"&lt;"&amp;EOMONTH(DATE(LEFT(SUBSTITUTE(C997,"'",""),4),MID(SUBSTITUTE(C997,"'",""),6,2),1),0)+1)</f>
        <v>0</v>
      </c>
      <c r="E997" s="17">
        <f t="shared" si="1"/>
        <v>113</v>
      </c>
      <c r="F997" s="17">
        <f t="shared" si="2"/>
        <v>0</v>
      </c>
    </row>
    <row r="998">
      <c r="A998" s="5" t="s">
        <v>64</v>
      </c>
      <c r="B998" s="6">
        <v>113.0</v>
      </c>
      <c r="C998" s="13" t="s">
        <v>270</v>
      </c>
      <c r="D998" s="17">
        <f>SUMIFS(ShadowLedger!$D:$D,ShadowLedger!$G:$G,A998,ShadowLedger!$C:$C,"&gt;="&amp;DATE(LEFT(SUBSTITUTE(C998,"'",""),4),MID(SUBSTITUTE(C998,"'",""),6,2),1),ShadowLedger!$C:$C,"&lt;"&amp;EOMONTH(DATE(LEFT(SUBSTITUTE(C998,"'",""),4),MID(SUBSTITUTE(C998,"'",""),6,2),1),0)+1)</f>
        <v>0</v>
      </c>
      <c r="E998" s="17">
        <f t="shared" si="1"/>
        <v>113</v>
      </c>
      <c r="F998" s="17">
        <f t="shared" si="2"/>
        <v>0</v>
      </c>
    </row>
    <row r="999">
      <c r="A999" s="5" t="s">
        <v>70</v>
      </c>
      <c r="B999" s="6">
        <v>113.0</v>
      </c>
      <c r="C999" s="13" t="s">
        <v>270</v>
      </c>
      <c r="D999" s="17">
        <f>SUMIFS(ShadowLedger!$D:$D,ShadowLedger!$G:$G,A999,ShadowLedger!$C:$C,"&gt;="&amp;DATE(LEFT(SUBSTITUTE(C999,"'",""),4),MID(SUBSTITUTE(C999,"'",""),6,2),1),ShadowLedger!$C:$C,"&lt;"&amp;EOMONTH(DATE(LEFT(SUBSTITUTE(C999,"'",""),4),MID(SUBSTITUTE(C999,"'",""),6,2),1),0)+1)</f>
        <v>0</v>
      </c>
      <c r="E999" s="17">
        <f t="shared" si="1"/>
        <v>113</v>
      </c>
      <c r="F999" s="17">
        <f t="shared" si="2"/>
        <v>0</v>
      </c>
    </row>
    <row r="1000">
      <c r="A1000" s="5" t="s">
        <v>65</v>
      </c>
      <c r="B1000" s="6">
        <v>56.0</v>
      </c>
      <c r="C1000" s="13" t="s">
        <v>270</v>
      </c>
      <c r="D1000" s="17">
        <f>SUMIFS(ShadowLedger!$D:$D,ShadowLedger!$G:$G,A1000,ShadowLedger!$C:$C,"&gt;="&amp;DATE(LEFT(SUBSTITUTE(C1000,"'",""),4),MID(SUBSTITUTE(C1000,"'",""),6,2),1),ShadowLedger!$C:$C,"&lt;"&amp;EOMONTH(DATE(LEFT(SUBSTITUTE(C1000,"'",""),4),MID(SUBSTITUTE(C1000,"'",""),6,2),1),0)+1)</f>
        <v>0</v>
      </c>
      <c r="E1000" s="17">
        <f t="shared" si="1"/>
        <v>56</v>
      </c>
      <c r="F1000" s="17">
        <f t="shared" si="2"/>
        <v>0</v>
      </c>
    </row>
    <row r="1001">
      <c r="A1001" s="5" t="s">
        <v>66</v>
      </c>
      <c r="B1001" s="6">
        <v>56.0</v>
      </c>
      <c r="C1001" s="13" t="s">
        <v>270</v>
      </c>
      <c r="D1001" s="17">
        <f>SUMIFS(ShadowLedger!$D:$D,ShadowLedger!$G:$G,A1001,ShadowLedger!$C:$C,"&gt;="&amp;DATE(LEFT(SUBSTITUTE(C1001,"'",""),4),MID(SUBSTITUTE(C1001,"'",""),6,2),1),ShadowLedger!$C:$C,"&lt;"&amp;EOMONTH(DATE(LEFT(SUBSTITUTE(C1001,"'",""),4),MID(SUBSTITUTE(C1001,"'",""),6,2),1),0)+1)</f>
        <v>0</v>
      </c>
      <c r="E1001" s="17">
        <f t="shared" si="1"/>
        <v>56</v>
      </c>
      <c r="F1001" s="17">
        <f t="shared" si="2"/>
        <v>0</v>
      </c>
    </row>
    <row r="1002">
      <c r="A1002" s="5" t="s">
        <v>67</v>
      </c>
      <c r="B1002" s="6">
        <v>56.0</v>
      </c>
      <c r="C1002" s="13" t="s">
        <v>270</v>
      </c>
      <c r="D1002" s="17">
        <f>SUMIFS(ShadowLedger!$D:$D,ShadowLedger!$G:$G,A1002,ShadowLedger!$C:$C,"&gt;="&amp;DATE(LEFT(SUBSTITUTE(C1002,"'",""),4),MID(SUBSTITUTE(C1002,"'",""),6,2),1),ShadowLedger!$C:$C,"&lt;"&amp;EOMONTH(DATE(LEFT(SUBSTITUTE(C1002,"'",""),4),MID(SUBSTITUTE(C1002,"'",""),6,2),1),0)+1)</f>
        <v>0</v>
      </c>
      <c r="E1002" s="17">
        <f t="shared" si="1"/>
        <v>56</v>
      </c>
      <c r="F1002" s="17">
        <f t="shared" si="2"/>
        <v>0</v>
      </c>
    </row>
    <row r="1003">
      <c r="A1003" s="5" t="s">
        <v>68</v>
      </c>
      <c r="B1003" s="6">
        <v>56.0</v>
      </c>
      <c r="C1003" s="13" t="s">
        <v>270</v>
      </c>
      <c r="D1003" s="17">
        <f>SUMIFS(ShadowLedger!$D:$D,ShadowLedger!$G:$G,A1003,ShadowLedger!$C:$C,"&gt;="&amp;DATE(LEFT(SUBSTITUTE(C1003,"'",""),4),MID(SUBSTITUTE(C1003,"'",""),6,2),1),ShadowLedger!$C:$C,"&lt;"&amp;EOMONTH(DATE(LEFT(SUBSTITUTE(C1003,"'",""),4),MID(SUBSTITUTE(C1003,"'",""),6,2),1),0)+1)</f>
        <v>0</v>
      </c>
      <c r="E1003" s="17">
        <f t="shared" si="1"/>
        <v>56</v>
      </c>
      <c r="F1003" s="17">
        <f t="shared" si="2"/>
        <v>0</v>
      </c>
    </row>
    <row r="1004">
      <c r="A1004" s="5" t="s">
        <v>69</v>
      </c>
      <c r="B1004" s="6">
        <v>0.0</v>
      </c>
      <c r="C1004" s="13" t="s">
        <v>270</v>
      </c>
      <c r="D1004" s="17">
        <f>SUMIFS(ShadowLedger!$D:$D,ShadowLedger!$G:$G,A1004,ShadowLedger!$C:$C,"&gt;="&amp;DATE(LEFT(SUBSTITUTE(C1004,"'",""),4),MID(SUBSTITUTE(C1004,"'",""),6,2),1),ShadowLedger!$C:$C,"&lt;"&amp;EOMONTH(DATE(LEFT(SUBSTITUTE(C1004,"'",""),4),MID(SUBSTITUTE(C1004,"'",""),6,2),1),0)+1)</f>
        <v>0</v>
      </c>
      <c r="E1004" s="17">
        <f t="shared" si="1"/>
        <v>0</v>
      </c>
      <c r="F1004" s="17">
        <f t="shared" si="2"/>
        <v>0</v>
      </c>
    </row>
    <row r="1005">
      <c r="A1005" s="5" t="s">
        <v>54</v>
      </c>
      <c r="B1005" s="6">
        <v>1035.0</v>
      </c>
      <c r="C1005" s="13" t="s">
        <v>271</v>
      </c>
      <c r="D1005" s="17">
        <f>SUMIFS(ShadowLedger!$D:$D,ShadowLedger!$G:$G,A1005,ShadowLedger!$C:$C,"&gt;="&amp;DATE(LEFT(SUBSTITUTE(C1005,"'",""),4),MID(SUBSTITUTE(C1005,"'",""),6,2),1),ShadowLedger!$C:$C,"&lt;"&amp;EOMONTH(DATE(LEFT(SUBSTITUTE(C1005,"'",""),4),MID(SUBSTITUTE(C1005,"'",""),6,2),1),0)+1)</f>
        <v>0</v>
      </c>
      <c r="E1005" s="17">
        <f t="shared" si="1"/>
        <v>1035</v>
      </c>
      <c r="F1005" s="17">
        <f t="shared" si="2"/>
        <v>0</v>
      </c>
    </row>
    <row r="1006">
      <c r="A1006" s="5" t="s">
        <v>55</v>
      </c>
      <c r="B1006" s="6">
        <v>788.0</v>
      </c>
      <c r="C1006" s="13" t="s">
        <v>271</v>
      </c>
      <c r="D1006" s="17">
        <f>SUMIFS(ShadowLedger!$D:$D,ShadowLedger!$G:$G,A1006,ShadowLedger!$C:$C,"&gt;="&amp;DATE(LEFT(SUBSTITUTE(C1006,"'",""),4),MID(SUBSTITUTE(C1006,"'",""),6,2),1),ShadowLedger!$C:$C,"&lt;"&amp;EOMONTH(DATE(LEFT(SUBSTITUTE(C1006,"'",""),4),MID(SUBSTITUTE(C1006,"'",""),6,2),1),0)+1)</f>
        <v>0</v>
      </c>
      <c r="E1006" s="17">
        <f t="shared" si="1"/>
        <v>788</v>
      </c>
      <c r="F1006" s="17">
        <f t="shared" si="2"/>
        <v>0</v>
      </c>
    </row>
    <row r="1007">
      <c r="A1007" s="5" t="s">
        <v>56</v>
      </c>
      <c r="B1007" s="6">
        <v>563.0</v>
      </c>
      <c r="C1007" s="13" t="s">
        <v>271</v>
      </c>
      <c r="D1007" s="17">
        <f>SUMIFS(ShadowLedger!$D:$D,ShadowLedger!$G:$G,A1007,ShadowLedger!$C:$C,"&gt;="&amp;DATE(LEFT(SUBSTITUTE(C1007,"'",""),4),MID(SUBSTITUTE(C1007,"'",""),6,2),1),ShadowLedger!$C:$C,"&lt;"&amp;EOMONTH(DATE(LEFT(SUBSTITUTE(C1007,"'",""),4),MID(SUBSTITUTE(C1007,"'",""),6,2),1),0)+1)</f>
        <v>0</v>
      </c>
      <c r="E1007" s="17">
        <f t="shared" si="1"/>
        <v>563</v>
      </c>
      <c r="F1007" s="17">
        <f t="shared" si="2"/>
        <v>0</v>
      </c>
    </row>
    <row r="1008">
      <c r="A1008" s="5" t="s">
        <v>57</v>
      </c>
      <c r="B1008" s="6">
        <v>563.0</v>
      </c>
      <c r="C1008" s="13" t="s">
        <v>271</v>
      </c>
      <c r="D1008" s="17">
        <f>SUMIFS(ShadowLedger!$D:$D,ShadowLedger!$G:$G,A1008,ShadowLedger!$C:$C,"&gt;="&amp;DATE(LEFT(SUBSTITUTE(C1008,"'",""),4),MID(SUBSTITUTE(C1008,"'",""),6,2),1),ShadowLedger!$C:$C,"&lt;"&amp;EOMONTH(DATE(LEFT(SUBSTITUTE(C1008,"'",""),4),MID(SUBSTITUTE(C1008,"'",""),6,2),1),0)+1)</f>
        <v>0</v>
      </c>
      <c r="E1008" s="17">
        <f t="shared" si="1"/>
        <v>563</v>
      </c>
      <c r="F1008" s="17">
        <f t="shared" si="2"/>
        <v>0</v>
      </c>
    </row>
    <row r="1009">
      <c r="A1009" s="5" t="s">
        <v>58</v>
      </c>
      <c r="B1009" s="6">
        <v>450.0</v>
      </c>
      <c r="C1009" s="13" t="s">
        <v>271</v>
      </c>
      <c r="D1009" s="17">
        <f>SUMIFS(ShadowLedger!$D:$D,ShadowLedger!$G:$G,A1009,ShadowLedger!$C:$C,"&gt;="&amp;DATE(LEFT(SUBSTITUTE(C1009,"'",""),4),MID(SUBSTITUTE(C1009,"'",""),6,2),1),ShadowLedger!$C:$C,"&lt;"&amp;EOMONTH(DATE(LEFT(SUBSTITUTE(C1009,"'",""),4),MID(SUBSTITUTE(C1009,"'",""),6,2),1),0)+1)</f>
        <v>0</v>
      </c>
      <c r="E1009" s="17">
        <f t="shared" si="1"/>
        <v>450</v>
      </c>
      <c r="F1009" s="17">
        <f t="shared" si="2"/>
        <v>0</v>
      </c>
    </row>
    <row r="1010">
      <c r="A1010" s="5" t="s">
        <v>59</v>
      </c>
      <c r="B1010" s="6">
        <v>225.0</v>
      </c>
      <c r="C1010" s="13" t="s">
        <v>271</v>
      </c>
      <c r="D1010" s="17">
        <f>SUMIFS(ShadowLedger!$D:$D,ShadowLedger!$G:$G,A1010,ShadowLedger!$C:$C,"&gt;="&amp;DATE(LEFT(SUBSTITUTE(C1010,"'",""),4),MID(SUBSTITUTE(C1010,"'",""),6,2),1),ShadowLedger!$C:$C,"&lt;"&amp;EOMONTH(DATE(LEFT(SUBSTITUTE(C1010,"'",""),4),MID(SUBSTITUTE(C1010,"'",""),6,2),1),0)+1)</f>
        <v>0</v>
      </c>
      <c r="E1010" s="17">
        <f t="shared" si="1"/>
        <v>225</v>
      </c>
      <c r="F1010" s="17">
        <f t="shared" si="2"/>
        <v>0</v>
      </c>
    </row>
    <row r="1011">
      <c r="A1011" s="5" t="s">
        <v>60</v>
      </c>
      <c r="B1011" s="6">
        <v>169.0</v>
      </c>
      <c r="C1011" s="13" t="s">
        <v>271</v>
      </c>
      <c r="D1011" s="17">
        <f>SUMIFS(ShadowLedger!$D:$D,ShadowLedger!$G:$G,A1011,ShadowLedger!$C:$C,"&gt;="&amp;DATE(LEFT(SUBSTITUTE(C1011,"'",""),4),MID(SUBSTITUTE(C1011,"'",""),6,2),1),ShadowLedger!$C:$C,"&lt;"&amp;EOMONTH(DATE(LEFT(SUBSTITUTE(C1011,"'",""),4),MID(SUBSTITUTE(C1011,"'",""),6,2),1),0)+1)</f>
        <v>0</v>
      </c>
      <c r="E1011" s="17">
        <f t="shared" si="1"/>
        <v>169</v>
      </c>
      <c r="F1011" s="17">
        <f t="shared" si="2"/>
        <v>0</v>
      </c>
    </row>
    <row r="1012">
      <c r="A1012" s="5" t="s">
        <v>61</v>
      </c>
      <c r="B1012" s="6">
        <v>135.0</v>
      </c>
      <c r="C1012" s="13" t="s">
        <v>271</v>
      </c>
      <c r="D1012" s="17">
        <f>SUMIFS(ShadowLedger!$D:$D,ShadowLedger!$G:$G,A1012,ShadowLedger!$C:$C,"&gt;="&amp;DATE(LEFT(SUBSTITUTE(C1012,"'",""),4),MID(SUBSTITUTE(C1012,"'",""),6,2),1),ShadowLedger!$C:$C,"&lt;"&amp;EOMONTH(DATE(LEFT(SUBSTITUTE(C1012,"'",""),4),MID(SUBSTITUTE(C1012,"'",""),6,2),1),0)+1)</f>
        <v>0</v>
      </c>
      <c r="E1012" s="17">
        <f t="shared" si="1"/>
        <v>135</v>
      </c>
      <c r="F1012" s="17">
        <f t="shared" si="2"/>
        <v>0</v>
      </c>
    </row>
    <row r="1013">
      <c r="A1013" s="5" t="s">
        <v>62</v>
      </c>
      <c r="B1013" s="6">
        <v>135.0</v>
      </c>
      <c r="C1013" s="13" t="s">
        <v>271</v>
      </c>
      <c r="D1013" s="17">
        <f>SUMIFS(ShadowLedger!$D:$D,ShadowLedger!$G:$G,A1013,ShadowLedger!$C:$C,"&gt;="&amp;DATE(LEFT(SUBSTITUTE(C1013,"'",""),4),MID(SUBSTITUTE(C1013,"'",""),6,2),1),ShadowLedger!$C:$C,"&lt;"&amp;EOMONTH(DATE(LEFT(SUBSTITUTE(C1013,"'",""),4),MID(SUBSTITUTE(C1013,"'",""),6,2),1),0)+1)</f>
        <v>0</v>
      </c>
      <c r="E1013" s="17">
        <f t="shared" si="1"/>
        <v>135</v>
      </c>
      <c r="F1013" s="17">
        <f t="shared" si="2"/>
        <v>0</v>
      </c>
    </row>
    <row r="1014">
      <c r="A1014" s="5" t="s">
        <v>63</v>
      </c>
      <c r="B1014" s="6">
        <v>113.0</v>
      </c>
      <c r="C1014" s="13" t="s">
        <v>271</v>
      </c>
      <c r="D1014" s="17">
        <f>SUMIFS(ShadowLedger!$D:$D,ShadowLedger!$G:$G,A1014,ShadowLedger!$C:$C,"&gt;="&amp;DATE(LEFT(SUBSTITUTE(C1014,"'",""),4),MID(SUBSTITUTE(C1014,"'",""),6,2),1),ShadowLedger!$C:$C,"&lt;"&amp;EOMONTH(DATE(LEFT(SUBSTITUTE(C1014,"'",""),4),MID(SUBSTITUTE(C1014,"'",""),6,2),1),0)+1)</f>
        <v>0</v>
      </c>
      <c r="E1014" s="17">
        <f t="shared" si="1"/>
        <v>113</v>
      </c>
      <c r="F1014" s="17">
        <f t="shared" si="2"/>
        <v>0</v>
      </c>
    </row>
    <row r="1015">
      <c r="A1015" s="5" t="s">
        <v>64</v>
      </c>
      <c r="B1015" s="6">
        <v>113.0</v>
      </c>
      <c r="C1015" s="13" t="s">
        <v>271</v>
      </c>
      <c r="D1015" s="17">
        <f>SUMIFS(ShadowLedger!$D:$D,ShadowLedger!$G:$G,A1015,ShadowLedger!$C:$C,"&gt;="&amp;DATE(LEFT(SUBSTITUTE(C1015,"'",""),4),MID(SUBSTITUTE(C1015,"'",""),6,2),1),ShadowLedger!$C:$C,"&lt;"&amp;EOMONTH(DATE(LEFT(SUBSTITUTE(C1015,"'",""),4),MID(SUBSTITUTE(C1015,"'",""),6,2),1),0)+1)</f>
        <v>0</v>
      </c>
      <c r="E1015" s="17">
        <f t="shared" si="1"/>
        <v>113</v>
      </c>
      <c r="F1015" s="17">
        <f t="shared" si="2"/>
        <v>0</v>
      </c>
    </row>
    <row r="1016">
      <c r="A1016" s="5" t="s">
        <v>70</v>
      </c>
      <c r="B1016" s="6">
        <v>113.0</v>
      </c>
      <c r="C1016" s="13" t="s">
        <v>271</v>
      </c>
      <c r="D1016" s="17">
        <f>SUMIFS(ShadowLedger!$D:$D,ShadowLedger!$G:$G,A1016,ShadowLedger!$C:$C,"&gt;="&amp;DATE(LEFT(SUBSTITUTE(C1016,"'",""),4),MID(SUBSTITUTE(C1016,"'",""),6,2),1),ShadowLedger!$C:$C,"&lt;"&amp;EOMONTH(DATE(LEFT(SUBSTITUTE(C1016,"'",""),4),MID(SUBSTITUTE(C1016,"'",""),6,2),1),0)+1)</f>
        <v>0</v>
      </c>
      <c r="E1016" s="17">
        <f t="shared" si="1"/>
        <v>113</v>
      </c>
      <c r="F1016" s="17">
        <f t="shared" si="2"/>
        <v>0</v>
      </c>
    </row>
    <row r="1017">
      <c r="A1017" s="5" t="s">
        <v>65</v>
      </c>
      <c r="B1017" s="6">
        <v>56.0</v>
      </c>
      <c r="C1017" s="13" t="s">
        <v>271</v>
      </c>
      <c r="D1017" s="17">
        <f>SUMIFS(ShadowLedger!$D:$D,ShadowLedger!$G:$G,A1017,ShadowLedger!$C:$C,"&gt;="&amp;DATE(LEFT(SUBSTITUTE(C1017,"'",""),4),MID(SUBSTITUTE(C1017,"'",""),6,2),1),ShadowLedger!$C:$C,"&lt;"&amp;EOMONTH(DATE(LEFT(SUBSTITUTE(C1017,"'",""),4),MID(SUBSTITUTE(C1017,"'",""),6,2),1),0)+1)</f>
        <v>0</v>
      </c>
      <c r="E1017" s="17">
        <f t="shared" si="1"/>
        <v>56</v>
      </c>
      <c r="F1017" s="17">
        <f t="shared" si="2"/>
        <v>0</v>
      </c>
    </row>
    <row r="1018">
      <c r="A1018" s="5" t="s">
        <v>66</v>
      </c>
      <c r="B1018" s="6">
        <v>56.0</v>
      </c>
      <c r="C1018" s="13" t="s">
        <v>271</v>
      </c>
      <c r="D1018" s="17">
        <f>SUMIFS(ShadowLedger!$D:$D,ShadowLedger!$G:$G,A1018,ShadowLedger!$C:$C,"&gt;="&amp;DATE(LEFT(SUBSTITUTE(C1018,"'",""),4),MID(SUBSTITUTE(C1018,"'",""),6,2),1),ShadowLedger!$C:$C,"&lt;"&amp;EOMONTH(DATE(LEFT(SUBSTITUTE(C1018,"'",""),4),MID(SUBSTITUTE(C1018,"'",""),6,2),1),0)+1)</f>
        <v>0</v>
      </c>
      <c r="E1018" s="17">
        <f t="shared" si="1"/>
        <v>56</v>
      </c>
      <c r="F1018" s="17">
        <f t="shared" si="2"/>
        <v>0</v>
      </c>
    </row>
    <row r="1019">
      <c r="A1019" s="5" t="s">
        <v>67</v>
      </c>
      <c r="B1019" s="6">
        <v>56.0</v>
      </c>
      <c r="C1019" s="13" t="s">
        <v>271</v>
      </c>
      <c r="D1019" s="17">
        <f>SUMIFS(ShadowLedger!$D:$D,ShadowLedger!$G:$G,A1019,ShadowLedger!$C:$C,"&gt;="&amp;DATE(LEFT(SUBSTITUTE(C1019,"'",""),4),MID(SUBSTITUTE(C1019,"'",""),6,2),1),ShadowLedger!$C:$C,"&lt;"&amp;EOMONTH(DATE(LEFT(SUBSTITUTE(C1019,"'",""),4),MID(SUBSTITUTE(C1019,"'",""),6,2),1),0)+1)</f>
        <v>0</v>
      </c>
      <c r="E1019" s="17">
        <f t="shared" si="1"/>
        <v>56</v>
      </c>
      <c r="F1019" s="17">
        <f t="shared" si="2"/>
        <v>0</v>
      </c>
    </row>
    <row r="1020">
      <c r="A1020" s="5" t="s">
        <v>68</v>
      </c>
      <c r="B1020" s="6">
        <v>56.0</v>
      </c>
      <c r="C1020" s="13" t="s">
        <v>271</v>
      </c>
      <c r="D1020" s="17">
        <f>SUMIFS(ShadowLedger!$D:$D,ShadowLedger!$G:$G,A1020,ShadowLedger!$C:$C,"&gt;="&amp;DATE(LEFT(SUBSTITUTE(C1020,"'",""),4),MID(SUBSTITUTE(C1020,"'",""),6,2),1),ShadowLedger!$C:$C,"&lt;"&amp;EOMONTH(DATE(LEFT(SUBSTITUTE(C1020,"'",""),4),MID(SUBSTITUTE(C1020,"'",""),6,2),1),0)+1)</f>
        <v>0</v>
      </c>
      <c r="E1020" s="17">
        <f t="shared" si="1"/>
        <v>56</v>
      </c>
      <c r="F1020" s="17">
        <f t="shared" si="2"/>
        <v>0</v>
      </c>
    </row>
    <row r="1021">
      <c r="A1021" s="5" t="s">
        <v>69</v>
      </c>
      <c r="B1021" s="6">
        <v>0.0</v>
      </c>
      <c r="C1021" s="13" t="s">
        <v>271</v>
      </c>
      <c r="D1021" s="17">
        <f>SUMIFS(ShadowLedger!$D:$D,ShadowLedger!$G:$G,A1021,ShadowLedger!$C:$C,"&gt;="&amp;DATE(LEFT(SUBSTITUTE(C1021,"'",""),4),MID(SUBSTITUTE(C1021,"'",""),6,2),1),ShadowLedger!$C:$C,"&lt;"&amp;EOMONTH(DATE(LEFT(SUBSTITUTE(C1021,"'",""),4),MID(SUBSTITUTE(C1021,"'",""),6,2),1),0)+1)</f>
        <v>0</v>
      </c>
      <c r="E1021" s="17">
        <f t="shared" si="1"/>
        <v>0</v>
      </c>
      <c r="F1021" s="17">
        <f t="shared" si="2"/>
        <v>0</v>
      </c>
    </row>
    <row r="1022">
      <c r="A1022" s="5" t="s">
        <v>54</v>
      </c>
      <c r="B1022" s="6">
        <v>1035.0</v>
      </c>
      <c r="C1022" s="13" t="s">
        <v>272</v>
      </c>
      <c r="D1022" s="17">
        <f>SUMIFS(ShadowLedger!$D:$D,ShadowLedger!$G:$G,A1022,ShadowLedger!$C:$C,"&gt;="&amp;DATE(LEFT(SUBSTITUTE(C1022,"'",""),4),MID(SUBSTITUTE(C1022,"'",""),6,2),1),ShadowLedger!$C:$C,"&lt;"&amp;EOMONTH(DATE(LEFT(SUBSTITUTE(C1022,"'",""),4),MID(SUBSTITUTE(C1022,"'",""),6,2),1),0)+1)</f>
        <v>0</v>
      </c>
      <c r="E1022" s="17">
        <f t="shared" si="1"/>
        <v>1035</v>
      </c>
      <c r="F1022" s="17">
        <f t="shared" si="2"/>
        <v>0</v>
      </c>
    </row>
    <row r="1023">
      <c r="A1023" s="5" t="s">
        <v>55</v>
      </c>
      <c r="B1023" s="6">
        <v>788.0</v>
      </c>
      <c r="C1023" s="13" t="s">
        <v>272</v>
      </c>
      <c r="D1023" s="17">
        <f>SUMIFS(ShadowLedger!$D:$D,ShadowLedger!$G:$G,A1023,ShadowLedger!$C:$C,"&gt;="&amp;DATE(LEFT(SUBSTITUTE(C1023,"'",""),4),MID(SUBSTITUTE(C1023,"'",""),6,2),1),ShadowLedger!$C:$C,"&lt;"&amp;EOMONTH(DATE(LEFT(SUBSTITUTE(C1023,"'",""),4),MID(SUBSTITUTE(C1023,"'",""),6,2),1),0)+1)</f>
        <v>0</v>
      </c>
      <c r="E1023" s="17">
        <f t="shared" si="1"/>
        <v>788</v>
      </c>
      <c r="F1023" s="17">
        <f t="shared" si="2"/>
        <v>0</v>
      </c>
    </row>
    <row r="1024">
      <c r="A1024" s="5" t="s">
        <v>56</v>
      </c>
      <c r="B1024" s="6">
        <v>563.0</v>
      </c>
      <c r="C1024" s="13" t="s">
        <v>272</v>
      </c>
      <c r="D1024" s="17">
        <f>SUMIFS(ShadowLedger!$D:$D,ShadowLedger!$G:$G,A1024,ShadowLedger!$C:$C,"&gt;="&amp;DATE(LEFT(SUBSTITUTE(C1024,"'",""),4),MID(SUBSTITUTE(C1024,"'",""),6,2),1),ShadowLedger!$C:$C,"&lt;"&amp;EOMONTH(DATE(LEFT(SUBSTITUTE(C1024,"'",""),4),MID(SUBSTITUTE(C1024,"'",""),6,2),1),0)+1)</f>
        <v>0</v>
      </c>
      <c r="E1024" s="17">
        <f t="shared" si="1"/>
        <v>563</v>
      </c>
      <c r="F1024" s="17">
        <f t="shared" si="2"/>
        <v>0</v>
      </c>
    </row>
    <row r="1025">
      <c r="A1025" s="5" t="s">
        <v>57</v>
      </c>
      <c r="B1025" s="6">
        <v>563.0</v>
      </c>
      <c r="C1025" s="13" t="s">
        <v>272</v>
      </c>
      <c r="D1025" s="17">
        <f>SUMIFS(ShadowLedger!$D:$D,ShadowLedger!$G:$G,A1025,ShadowLedger!$C:$C,"&gt;="&amp;DATE(LEFT(SUBSTITUTE(C1025,"'",""),4),MID(SUBSTITUTE(C1025,"'",""),6,2),1),ShadowLedger!$C:$C,"&lt;"&amp;EOMONTH(DATE(LEFT(SUBSTITUTE(C1025,"'",""),4),MID(SUBSTITUTE(C1025,"'",""),6,2),1),0)+1)</f>
        <v>0</v>
      </c>
      <c r="E1025" s="17">
        <f t="shared" si="1"/>
        <v>563</v>
      </c>
      <c r="F1025" s="17">
        <f t="shared" si="2"/>
        <v>0</v>
      </c>
    </row>
    <row r="1026">
      <c r="A1026" s="5" t="s">
        <v>58</v>
      </c>
      <c r="B1026" s="6">
        <v>450.0</v>
      </c>
      <c r="C1026" s="13" t="s">
        <v>272</v>
      </c>
      <c r="D1026" s="17">
        <f>SUMIFS(ShadowLedger!$D:$D,ShadowLedger!$G:$G,A1026,ShadowLedger!$C:$C,"&gt;="&amp;DATE(LEFT(SUBSTITUTE(C1026,"'",""),4),MID(SUBSTITUTE(C1026,"'",""),6,2),1),ShadowLedger!$C:$C,"&lt;"&amp;EOMONTH(DATE(LEFT(SUBSTITUTE(C1026,"'",""),4),MID(SUBSTITUTE(C1026,"'",""),6,2),1),0)+1)</f>
        <v>0</v>
      </c>
      <c r="E1026" s="17">
        <f t="shared" si="1"/>
        <v>450</v>
      </c>
      <c r="F1026" s="17">
        <f t="shared" si="2"/>
        <v>0</v>
      </c>
    </row>
    <row r="1027">
      <c r="A1027" s="5" t="s">
        <v>59</v>
      </c>
      <c r="B1027" s="6">
        <v>225.0</v>
      </c>
      <c r="C1027" s="13" t="s">
        <v>272</v>
      </c>
      <c r="D1027" s="17">
        <f>SUMIFS(ShadowLedger!$D:$D,ShadowLedger!$G:$G,A1027,ShadowLedger!$C:$C,"&gt;="&amp;DATE(LEFT(SUBSTITUTE(C1027,"'",""),4),MID(SUBSTITUTE(C1027,"'",""),6,2),1),ShadowLedger!$C:$C,"&lt;"&amp;EOMONTH(DATE(LEFT(SUBSTITUTE(C1027,"'",""),4),MID(SUBSTITUTE(C1027,"'",""),6,2),1),0)+1)</f>
        <v>0</v>
      </c>
      <c r="E1027" s="17">
        <f t="shared" si="1"/>
        <v>225</v>
      </c>
      <c r="F1027" s="17">
        <f t="shared" si="2"/>
        <v>0</v>
      </c>
    </row>
    <row r="1028">
      <c r="A1028" s="5" t="s">
        <v>60</v>
      </c>
      <c r="B1028" s="6">
        <v>169.0</v>
      </c>
      <c r="C1028" s="13" t="s">
        <v>272</v>
      </c>
      <c r="D1028" s="17">
        <f>SUMIFS(ShadowLedger!$D:$D,ShadowLedger!$G:$G,A1028,ShadowLedger!$C:$C,"&gt;="&amp;DATE(LEFT(SUBSTITUTE(C1028,"'",""),4),MID(SUBSTITUTE(C1028,"'",""),6,2),1),ShadowLedger!$C:$C,"&lt;"&amp;EOMONTH(DATE(LEFT(SUBSTITUTE(C1028,"'",""),4),MID(SUBSTITUTE(C1028,"'",""),6,2),1),0)+1)</f>
        <v>0</v>
      </c>
      <c r="E1028" s="17">
        <f t="shared" si="1"/>
        <v>169</v>
      </c>
      <c r="F1028" s="17">
        <f t="shared" si="2"/>
        <v>0</v>
      </c>
    </row>
    <row r="1029">
      <c r="A1029" s="5" t="s">
        <v>61</v>
      </c>
      <c r="B1029" s="6">
        <v>135.0</v>
      </c>
      <c r="C1029" s="13" t="s">
        <v>272</v>
      </c>
      <c r="D1029" s="17">
        <f>SUMIFS(ShadowLedger!$D:$D,ShadowLedger!$G:$G,A1029,ShadowLedger!$C:$C,"&gt;="&amp;DATE(LEFT(SUBSTITUTE(C1029,"'",""),4),MID(SUBSTITUTE(C1029,"'",""),6,2),1),ShadowLedger!$C:$C,"&lt;"&amp;EOMONTH(DATE(LEFT(SUBSTITUTE(C1029,"'",""),4),MID(SUBSTITUTE(C1029,"'",""),6,2),1),0)+1)</f>
        <v>0</v>
      </c>
      <c r="E1029" s="17">
        <f t="shared" si="1"/>
        <v>135</v>
      </c>
      <c r="F1029" s="17">
        <f t="shared" si="2"/>
        <v>0</v>
      </c>
    </row>
    <row r="1030">
      <c r="A1030" s="5" t="s">
        <v>62</v>
      </c>
      <c r="B1030" s="6">
        <v>135.0</v>
      </c>
      <c r="C1030" s="13" t="s">
        <v>272</v>
      </c>
      <c r="D1030" s="17">
        <f>SUMIFS(ShadowLedger!$D:$D,ShadowLedger!$G:$G,A1030,ShadowLedger!$C:$C,"&gt;="&amp;DATE(LEFT(SUBSTITUTE(C1030,"'",""),4),MID(SUBSTITUTE(C1030,"'",""),6,2),1),ShadowLedger!$C:$C,"&lt;"&amp;EOMONTH(DATE(LEFT(SUBSTITUTE(C1030,"'",""),4),MID(SUBSTITUTE(C1030,"'",""),6,2),1),0)+1)</f>
        <v>0</v>
      </c>
      <c r="E1030" s="17">
        <f t="shared" si="1"/>
        <v>135</v>
      </c>
      <c r="F1030" s="17">
        <f t="shared" si="2"/>
        <v>0</v>
      </c>
    </row>
    <row r="1031">
      <c r="A1031" s="5" t="s">
        <v>63</v>
      </c>
      <c r="B1031" s="6">
        <v>113.0</v>
      </c>
      <c r="C1031" s="13" t="s">
        <v>272</v>
      </c>
      <c r="D1031" s="17">
        <f>SUMIFS(ShadowLedger!$D:$D,ShadowLedger!$G:$G,A1031,ShadowLedger!$C:$C,"&gt;="&amp;DATE(LEFT(SUBSTITUTE(C1031,"'",""),4),MID(SUBSTITUTE(C1031,"'",""),6,2),1),ShadowLedger!$C:$C,"&lt;"&amp;EOMONTH(DATE(LEFT(SUBSTITUTE(C1031,"'",""),4),MID(SUBSTITUTE(C1031,"'",""),6,2),1),0)+1)</f>
        <v>0</v>
      </c>
      <c r="E1031" s="17">
        <f t="shared" si="1"/>
        <v>113</v>
      </c>
      <c r="F1031" s="17">
        <f t="shared" si="2"/>
        <v>0</v>
      </c>
    </row>
    <row r="1032">
      <c r="A1032" s="5" t="s">
        <v>64</v>
      </c>
      <c r="B1032" s="6">
        <v>113.0</v>
      </c>
      <c r="C1032" s="13" t="s">
        <v>272</v>
      </c>
      <c r="D1032" s="17">
        <f>SUMIFS(ShadowLedger!$D:$D,ShadowLedger!$G:$G,A1032,ShadowLedger!$C:$C,"&gt;="&amp;DATE(LEFT(SUBSTITUTE(C1032,"'",""),4),MID(SUBSTITUTE(C1032,"'",""),6,2),1),ShadowLedger!$C:$C,"&lt;"&amp;EOMONTH(DATE(LEFT(SUBSTITUTE(C1032,"'",""),4),MID(SUBSTITUTE(C1032,"'",""),6,2),1),0)+1)</f>
        <v>0</v>
      </c>
      <c r="E1032" s="17">
        <f t="shared" si="1"/>
        <v>113</v>
      </c>
      <c r="F1032" s="17">
        <f t="shared" si="2"/>
        <v>0</v>
      </c>
    </row>
    <row r="1033">
      <c r="A1033" s="5" t="s">
        <v>70</v>
      </c>
      <c r="B1033" s="6">
        <v>113.0</v>
      </c>
      <c r="C1033" s="13" t="s">
        <v>272</v>
      </c>
      <c r="D1033" s="17">
        <f>SUMIFS(ShadowLedger!$D:$D,ShadowLedger!$G:$G,A1033,ShadowLedger!$C:$C,"&gt;="&amp;DATE(LEFT(SUBSTITUTE(C1033,"'",""),4),MID(SUBSTITUTE(C1033,"'",""),6,2),1),ShadowLedger!$C:$C,"&lt;"&amp;EOMONTH(DATE(LEFT(SUBSTITUTE(C1033,"'",""),4),MID(SUBSTITUTE(C1033,"'",""),6,2),1),0)+1)</f>
        <v>0</v>
      </c>
      <c r="E1033" s="17">
        <f t="shared" si="1"/>
        <v>113</v>
      </c>
      <c r="F1033" s="17">
        <f t="shared" si="2"/>
        <v>0</v>
      </c>
    </row>
    <row r="1034">
      <c r="A1034" s="5" t="s">
        <v>65</v>
      </c>
      <c r="B1034" s="6">
        <v>56.0</v>
      </c>
      <c r="C1034" s="13" t="s">
        <v>272</v>
      </c>
      <c r="D1034" s="17">
        <f>SUMIFS(ShadowLedger!$D:$D,ShadowLedger!$G:$G,A1034,ShadowLedger!$C:$C,"&gt;="&amp;DATE(LEFT(SUBSTITUTE(C1034,"'",""),4),MID(SUBSTITUTE(C1034,"'",""),6,2),1),ShadowLedger!$C:$C,"&lt;"&amp;EOMONTH(DATE(LEFT(SUBSTITUTE(C1034,"'",""),4),MID(SUBSTITUTE(C1034,"'",""),6,2),1),0)+1)</f>
        <v>0</v>
      </c>
      <c r="E1034" s="17">
        <f t="shared" si="1"/>
        <v>56</v>
      </c>
      <c r="F1034" s="17">
        <f t="shared" si="2"/>
        <v>0</v>
      </c>
    </row>
    <row r="1035">
      <c r="A1035" s="5" t="s">
        <v>66</v>
      </c>
      <c r="B1035" s="6">
        <v>56.0</v>
      </c>
      <c r="C1035" s="13" t="s">
        <v>272</v>
      </c>
      <c r="D1035" s="17">
        <f>SUMIFS(ShadowLedger!$D:$D,ShadowLedger!$G:$G,A1035,ShadowLedger!$C:$C,"&gt;="&amp;DATE(LEFT(SUBSTITUTE(C1035,"'",""),4),MID(SUBSTITUTE(C1035,"'",""),6,2),1),ShadowLedger!$C:$C,"&lt;"&amp;EOMONTH(DATE(LEFT(SUBSTITUTE(C1035,"'",""),4),MID(SUBSTITUTE(C1035,"'",""),6,2),1),0)+1)</f>
        <v>0</v>
      </c>
      <c r="E1035" s="17">
        <f t="shared" si="1"/>
        <v>56</v>
      </c>
      <c r="F1035" s="17">
        <f t="shared" si="2"/>
        <v>0</v>
      </c>
    </row>
    <row r="1036">
      <c r="A1036" s="5" t="s">
        <v>67</v>
      </c>
      <c r="B1036" s="6">
        <v>56.0</v>
      </c>
      <c r="C1036" s="13" t="s">
        <v>272</v>
      </c>
      <c r="D1036" s="17">
        <f>SUMIFS(ShadowLedger!$D:$D,ShadowLedger!$G:$G,A1036,ShadowLedger!$C:$C,"&gt;="&amp;DATE(LEFT(SUBSTITUTE(C1036,"'",""),4),MID(SUBSTITUTE(C1036,"'",""),6,2),1),ShadowLedger!$C:$C,"&lt;"&amp;EOMONTH(DATE(LEFT(SUBSTITUTE(C1036,"'",""),4),MID(SUBSTITUTE(C1036,"'",""),6,2),1),0)+1)</f>
        <v>0</v>
      </c>
      <c r="E1036" s="17">
        <f t="shared" si="1"/>
        <v>56</v>
      </c>
      <c r="F1036" s="17">
        <f t="shared" si="2"/>
        <v>0</v>
      </c>
    </row>
    <row r="1037">
      <c r="A1037" s="5" t="s">
        <v>68</v>
      </c>
      <c r="B1037" s="6">
        <v>56.0</v>
      </c>
      <c r="C1037" s="13" t="s">
        <v>272</v>
      </c>
      <c r="D1037" s="17">
        <f>SUMIFS(ShadowLedger!$D:$D,ShadowLedger!$G:$G,A1037,ShadowLedger!$C:$C,"&gt;="&amp;DATE(LEFT(SUBSTITUTE(C1037,"'",""),4),MID(SUBSTITUTE(C1037,"'",""),6,2),1),ShadowLedger!$C:$C,"&lt;"&amp;EOMONTH(DATE(LEFT(SUBSTITUTE(C1037,"'",""),4),MID(SUBSTITUTE(C1037,"'",""),6,2),1),0)+1)</f>
        <v>0</v>
      </c>
      <c r="E1037" s="17">
        <f t="shared" si="1"/>
        <v>56</v>
      </c>
      <c r="F1037" s="17">
        <f t="shared" si="2"/>
        <v>0</v>
      </c>
    </row>
    <row r="1038">
      <c r="A1038" s="5" t="s">
        <v>69</v>
      </c>
      <c r="B1038" s="6">
        <v>0.0</v>
      </c>
      <c r="C1038" s="13" t="s">
        <v>272</v>
      </c>
      <c r="D1038" s="17">
        <f>SUMIFS(ShadowLedger!$D:$D,ShadowLedger!$G:$G,A1038,ShadowLedger!$C:$C,"&gt;="&amp;DATE(LEFT(SUBSTITUTE(C1038,"'",""),4),MID(SUBSTITUTE(C1038,"'",""),6,2),1),ShadowLedger!$C:$C,"&lt;"&amp;EOMONTH(DATE(LEFT(SUBSTITUTE(C1038,"'",""),4),MID(SUBSTITUTE(C1038,"'",""),6,2),1),0)+1)</f>
        <v>0</v>
      </c>
      <c r="E1038" s="17">
        <f t="shared" si="1"/>
        <v>0</v>
      </c>
      <c r="F1038" s="17">
        <f t="shared" si="2"/>
        <v>0</v>
      </c>
    </row>
    <row r="1039">
      <c r="A1039" s="5" t="s">
        <v>54</v>
      </c>
      <c r="B1039" s="6">
        <v>1067.0</v>
      </c>
      <c r="C1039" s="13" t="s">
        <v>273</v>
      </c>
      <c r="D1039" s="17">
        <f>SUMIFS(ShadowLedger!$D:$D,ShadowLedger!$G:$G,A1039,ShadowLedger!$C:$C,"&gt;="&amp;DATE(LEFT(SUBSTITUTE(C1039,"'",""),4),MID(SUBSTITUTE(C1039,"'",""),6,2),1),ShadowLedger!$C:$C,"&lt;"&amp;EOMONTH(DATE(LEFT(SUBSTITUTE(C1039,"'",""),4),MID(SUBSTITUTE(C1039,"'",""),6,2),1),0)+1)</f>
        <v>0</v>
      </c>
      <c r="E1039" s="17">
        <f t="shared" si="1"/>
        <v>1067</v>
      </c>
      <c r="F1039" s="17">
        <f t="shared" si="2"/>
        <v>0</v>
      </c>
    </row>
    <row r="1040">
      <c r="A1040" s="5" t="s">
        <v>55</v>
      </c>
      <c r="B1040" s="6">
        <v>811.0</v>
      </c>
      <c r="C1040" s="13" t="s">
        <v>273</v>
      </c>
      <c r="D1040" s="17">
        <f>SUMIFS(ShadowLedger!$D:$D,ShadowLedger!$G:$G,A1040,ShadowLedger!$C:$C,"&gt;="&amp;DATE(LEFT(SUBSTITUTE(C1040,"'",""),4),MID(SUBSTITUTE(C1040,"'",""),6,2),1),ShadowLedger!$C:$C,"&lt;"&amp;EOMONTH(DATE(LEFT(SUBSTITUTE(C1040,"'",""),4),MID(SUBSTITUTE(C1040,"'",""),6,2),1),0)+1)</f>
        <v>0</v>
      </c>
      <c r="E1040" s="17">
        <f t="shared" si="1"/>
        <v>811</v>
      </c>
      <c r="F1040" s="17">
        <f t="shared" si="2"/>
        <v>0</v>
      </c>
    </row>
    <row r="1041">
      <c r="A1041" s="5" t="s">
        <v>56</v>
      </c>
      <c r="B1041" s="6">
        <v>580.0</v>
      </c>
      <c r="C1041" s="13" t="s">
        <v>273</v>
      </c>
      <c r="D1041" s="17">
        <f>SUMIFS(ShadowLedger!$D:$D,ShadowLedger!$G:$G,A1041,ShadowLedger!$C:$C,"&gt;="&amp;DATE(LEFT(SUBSTITUTE(C1041,"'",""),4),MID(SUBSTITUTE(C1041,"'",""),6,2),1),ShadowLedger!$C:$C,"&lt;"&amp;EOMONTH(DATE(LEFT(SUBSTITUTE(C1041,"'",""),4),MID(SUBSTITUTE(C1041,"'",""),6,2),1),0)+1)</f>
        <v>0</v>
      </c>
      <c r="E1041" s="17">
        <f t="shared" si="1"/>
        <v>580</v>
      </c>
      <c r="F1041" s="17">
        <f t="shared" si="2"/>
        <v>0</v>
      </c>
    </row>
    <row r="1042">
      <c r="A1042" s="5" t="s">
        <v>57</v>
      </c>
      <c r="B1042" s="6">
        <v>580.0</v>
      </c>
      <c r="C1042" s="13" t="s">
        <v>273</v>
      </c>
      <c r="D1042" s="17">
        <f>SUMIFS(ShadowLedger!$D:$D,ShadowLedger!$G:$G,A1042,ShadowLedger!$C:$C,"&gt;="&amp;DATE(LEFT(SUBSTITUTE(C1042,"'",""),4),MID(SUBSTITUTE(C1042,"'",""),6,2),1),ShadowLedger!$C:$C,"&lt;"&amp;EOMONTH(DATE(LEFT(SUBSTITUTE(C1042,"'",""),4),MID(SUBSTITUTE(C1042,"'",""),6,2),1),0)+1)</f>
        <v>0</v>
      </c>
      <c r="E1042" s="17">
        <f t="shared" si="1"/>
        <v>580</v>
      </c>
      <c r="F1042" s="17">
        <f t="shared" si="2"/>
        <v>0</v>
      </c>
    </row>
    <row r="1043">
      <c r="A1043" s="5" t="s">
        <v>58</v>
      </c>
      <c r="B1043" s="6">
        <v>464.0</v>
      </c>
      <c r="C1043" s="13" t="s">
        <v>273</v>
      </c>
      <c r="D1043" s="17">
        <f>SUMIFS(ShadowLedger!$D:$D,ShadowLedger!$G:$G,A1043,ShadowLedger!$C:$C,"&gt;="&amp;DATE(LEFT(SUBSTITUTE(C1043,"'",""),4),MID(SUBSTITUTE(C1043,"'",""),6,2),1),ShadowLedger!$C:$C,"&lt;"&amp;EOMONTH(DATE(LEFT(SUBSTITUTE(C1043,"'",""),4),MID(SUBSTITUTE(C1043,"'",""),6,2),1),0)+1)</f>
        <v>0</v>
      </c>
      <c r="E1043" s="17">
        <f t="shared" si="1"/>
        <v>464</v>
      </c>
      <c r="F1043" s="17">
        <f t="shared" si="2"/>
        <v>0</v>
      </c>
    </row>
    <row r="1044">
      <c r="A1044" s="5" t="s">
        <v>59</v>
      </c>
      <c r="B1044" s="6">
        <v>232.0</v>
      </c>
      <c r="C1044" s="13" t="s">
        <v>273</v>
      </c>
      <c r="D1044" s="17">
        <f>SUMIFS(ShadowLedger!$D:$D,ShadowLedger!$G:$G,A1044,ShadowLedger!$C:$C,"&gt;="&amp;DATE(LEFT(SUBSTITUTE(C1044,"'",""),4),MID(SUBSTITUTE(C1044,"'",""),6,2),1),ShadowLedger!$C:$C,"&lt;"&amp;EOMONTH(DATE(LEFT(SUBSTITUTE(C1044,"'",""),4),MID(SUBSTITUTE(C1044,"'",""),6,2),1),0)+1)</f>
        <v>0</v>
      </c>
      <c r="E1044" s="17">
        <f t="shared" si="1"/>
        <v>232</v>
      </c>
      <c r="F1044" s="17">
        <f t="shared" si="2"/>
        <v>0</v>
      </c>
    </row>
    <row r="1045">
      <c r="A1045" s="5" t="s">
        <v>60</v>
      </c>
      <c r="B1045" s="6">
        <v>174.0</v>
      </c>
      <c r="C1045" s="13" t="s">
        <v>273</v>
      </c>
      <c r="D1045" s="17">
        <f>SUMIFS(ShadowLedger!$D:$D,ShadowLedger!$G:$G,A1045,ShadowLedger!$C:$C,"&gt;="&amp;DATE(LEFT(SUBSTITUTE(C1045,"'",""),4),MID(SUBSTITUTE(C1045,"'",""),6,2),1),ShadowLedger!$C:$C,"&lt;"&amp;EOMONTH(DATE(LEFT(SUBSTITUTE(C1045,"'",""),4),MID(SUBSTITUTE(C1045,"'",""),6,2),1),0)+1)</f>
        <v>0</v>
      </c>
      <c r="E1045" s="17">
        <f t="shared" si="1"/>
        <v>174</v>
      </c>
      <c r="F1045" s="17">
        <f t="shared" si="2"/>
        <v>0</v>
      </c>
    </row>
    <row r="1046">
      <c r="A1046" s="5" t="s">
        <v>61</v>
      </c>
      <c r="B1046" s="6">
        <v>139.0</v>
      </c>
      <c r="C1046" s="13" t="s">
        <v>273</v>
      </c>
      <c r="D1046" s="17">
        <f>SUMIFS(ShadowLedger!$D:$D,ShadowLedger!$G:$G,A1046,ShadowLedger!$C:$C,"&gt;="&amp;DATE(LEFT(SUBSTITUTE(C1046,"'",""),4),MID(SUBSTITUTE(C1046,"'",""),6,2),1),ShadowLedger!$C:$C,"&lt;"&amp;EOMONTH(DATE(LEFT(SUBSTITUTE(C1046,"'",""),4),MID(SUBSTITUTE(C1046,"'",""),6,2),1),0)+1)</f>
        <v>0</v>
      </c>
      <c r="E1046" s="17">
        <f t="shared" si="1"/>
        <v>139</v>
      </c>
      <c r="F1046" s="17">
        <f t="shared" si="2"/>
        <v>0</v>
      </c>
    </row>
    <row r="1047">
      <c r="A1047" s="5" t="s">
        <v>62</v>
      </c>
      <c r="B1047" s="6">
        <v>139.0</v>
      </c>
      <c r="C1047" s="13" t="s">
        <v>273</v>
      </c>
      <c r="D1047" s="17">
        <f>SUMIFS(ShadowLedger!$D:$D,ShadowLedger!$G:$G,A1047,ShadowLedger!$C:$C,"&gt;="&amp;DATE(LEFT(SUBSTITUTE(C1047,"'",""),4),MID(SUBSTITUTE(C1047,"'",""),6,2),1),ShadowLedger!$C:$C,"&lt;"&amp;EOMONTH(DATE(LEFT(SUBSTITUTE(C1047,"'",""),4),MID(SUBSTITUTE(C1047,"'",""),6,2),1),0)+1)</f>
        <v>0</v>
      </c>
      <c r="E1047" s="17">
        <f t="shared" si="1"/>
        <v>139</v>
      </c>
      <c r="F1047" s="17">
        <f t="shared" si="2"/>
        <v>0</v>
      </c>
    </row>
    <row r="1048">
      <c r="A1048" s="5" t="s">
        <v>63</v>
      </c>
      <c r="B1048" s="6">
        <v>116.0</v>
      </c>
      <c r="C1048" s="13" t="s">
        <v>273</v>
      </c>
      <c r="D1048" s="17">
        <f>SUMIFS(ShadowLedger!$D:$D,ShadowLedger!$G:$G,A1048,ShadowLedger!$C:$C,"&gt;="&amp;DATE(LEFT(SUBSTITUTE(C1048,"'",""),4),MID(SUBSTITUTE(C1048,"'",""),6,2),1),ShadowLedger!$C:$C,"&lt;"&amp;EOMONTH(DATE(LEFT(SUBSTITUTE(C1048,"'",""),4),MID(SUBSTITUTE(C1048,"'",""),6,2),1),0)+1)</f>
        <v>0</v>
      </c>
      <c r="E1048" s="17">
        <f t="shared" si="1"/>
        <v>116</v>
      </c>
      <c r="F1048" s="17">
        <f t="shared" si="2"/>
        <v>0</v>
      </c>
    </row>
    <row r="1049">
      <c r="A1049" s="5" t="s">
        <v>64</v>
      </c>
      <c r="B1049" s="6">
        <v>116.0</v>
      </c>
      <c r="C1049" s="13" t="s">
        <v>273</v>
      </c>
      <c r="D1049" s="17">
        <f>SUMIFS(ShadowLedger!$D:$D,ShadowLedger!$G:$G,A1049,ShadowLedger!$C:$C,"&gt;="&amp;DATE(LEFT(SUBSTITUTE(C1049,"'",""),4),MID(SUBSTITUTE(C1049,"'",""),6,2),1),ShadowLedger!$C:$C,"&lt;"&amp;EOMONTH(DATE(LEFT(SUBSTITUTE(C1049,"'",""),4),MID(SUBSTITUTE(C1049,"'",""),6,2),1),0)+1)</f>
        <v>0</v>
      </c>
      <c r="E1049" s="17">
        <f t="shared" si="1"/>
        <v>116</v>
      </c>
      <c r="F1049" s="17">
        <f t="shared" si="2"/>
        <v>0</v>
      </c>
    </row>
    <row r="1050">
      <c r="A1050" s="5" t="s">
        <v>70</v>
      </c>
      <c r="B1050" s="6">
        <v>116.0</v>
      </c>
      <c r="C1050" s="13" t="s">
        <v>273</v>
      </c>
      <c r="D1050" s="17">
        <f>SUMIFS(ShadowLedger!$D:$D,ShadowLedger!$G:$G,A1050,ShadowLedger!$C:$C,"&gt;="&amp;DATE(LEFT(SUBSTITUTE(C1050,"'",""),4),MID(SUBSTITUTE(C1050,"'",""),6,2),1),ShadowLedger!$C:$C,"&lt;"&amp;EOMONTH(DATE(LEFT(SUBSTITUTE(C1050,"'",""),4),MID(SUBSTITUTE(C1050,"'",""),6,2),1),0)+1)</f>
        <v>0</v>
      </c>
      <c r="E1050" s="17">
        <f t="shared" si="1"/>
        <v>116</v>
      </c>
      <c r="F1050" s="17">
        <f t="shared" si="2"/>
        <v>0</v>
      </c>
    </row>
    <row r="1051">
      <c r="A1051" s="5" t="s">
        <v>65</v>
      </c>
      <c r="B1051" s="6">
        <v>58.0</v>
      </c>
      <c r="C1051" s="13" t="s">
        <v>273</v>
      </c>
      <c r="D1051" s="17">
        <f>SUMIFS(ShadowLedger!$D:$D,ShadowLedger!$G:$G,A1051,ShadowLedger!$C:$C,"&gt;="&amp;DATE(LEFT(SUBSTITUTE(C1051,"'",""),4),MID(SUBSTITUTE(C1051,"'",""),6,2),1),ShadowLedger!$C:$C,"&lt;"&amp;EOMONTH(DATE(LEFT(SUBSTITUTE(C1051,"'",""),4),MID(SUBSTITUTE(C1051,"'",""),6,2),1),0)+1)</f>
        <v>0</v>
      </c>
      <c r="E1051" s="17">
        <f t="shared" si="1"/>
        <v>58</v>
      </c>
      <c r="F1051" s="17">
        <f t="shared" si="2"/>
        <v>0</v>
      </c>
    </row>
    <row r="1052">
      <c r="A1052" s="5" t="s">
        <v>66</v>
      </c>
      <c r="B1052" s="6">
        <v>58.0</v>
      </c>
      <c r="C1052" s="13" t="s">
        <v>273</v>
      </c>
      <c r="D1052" s="17">
        <f>SUMIFS(ShadowLedger!$D:$D,ShadowLedger!$G:$G,A1052,ShadowLedger!$C:$C,"&gt;="&amp;DATE(LEFT(SUBSTITUTE(C1052,"'",""),4),MID(SUBSTITUTE(C1052,"'",""),6,2),1),ShadowLedger!$C:$C,"&lt;"&amp;EOMONTH(DATE(LEFT(SUBSTITUTE(C1052,"'",""),4),MID(SUBSTITUTE(C1052,"'",""),6,2),1),0)+1)</f>
        <v>0</v>
      </c>
      <c r="E1052" s="17">
        <f t="shared" si="1"/>
        <v>58</v>
      </c>
      <c r="F1052" s="17">
        <f t="shared" si="2"/>
        <v>0</v>
      </c>
    </row>
    <row r="1053">
      <c r="A1053" s="5" t="s">
        <v>67</v>
      </c>
      <c r="B1053" s="6">
        <v>58.0</v>
      </c>
      <c r="C1053" s="13" t="s">
        <v>273</v>
      </c>
      <c r="D1053" s="17">
        <f>SUMIFS(ShadowLedger!$D:$D,ShadowLedger!$G:$G,A1053,ShadowLedger!$C:$C,"&gt;="&amp;DATE(LEFT(SUBSTITUTE(C1053,"'",""),4),MID(SUBSTITUTE(C1053,"'",""),6,2),1),ShadowLedger!$C:$C,"&lt;"&amp;EOMONTH(DATE(LEFT(SUBSTITUTE(C1053,"'",""),4),MID(SUBSTITUTE(C1053,"'",""),6,2),1),0)+1)</f>
        <v>0</v>
      </c>
      <c r="E1053" s="17">
        <f t="shared" si="1"/>
        <v>58</v>
      </c>
      <c r="F1053" s="17">
        <f t="shared" si="2"/>
        <v>0</v>
      </c>
    </row>
    <row r="1054">
      <c r="A1054" s="5" t="s">
        <v>68</v>
      </c>
      <c r="B1054" s="6">
        <v>58.0</v>
      </c>
      <c r="C1054" s="13" t="s">
        <v>273</v>
      </c>
      <c r="D1054" s="17">
        <f>SUMIFS(ShadowLedger!$D:$D,ShadowLedger!$G:$G,A1054,ShadowLedger!$C:$C,"&gt;="&amp;DATE(LEFT(SUBSTITUTE(C1054,"'",""),4),MID(SUBSTITUTE(C1054,"'",""),6,2),1),ShadowLedger!$C:$C,"&lt;"&amp;EOMONTH(DATE(LEFT(SUBSTITUTE(C1054,"'",""),4),MID(SUBSTITUTE(C1054,"'",""),6,2),1),0)+1)</f>
        <v>0</v>
      </c>
      <c r="E1054" s="17">
        <f t="shared" si="1"/>
        <v>58</v>
      </c>
      <c r="F1054" s="17">
        <f t="shared" si="2"/>
        <v>0</v>
      </c>
    </row>
    <row r="1055">
      <c r="A1055" s="5" t="s">
        <v>69</v>
      </c>
      <c r="B1055" s="6">
        <v>0.0</v>
      </c>
      <c r="C1055" s="13" t="s">
        <v>273</v>
      </c>
      <c r="D1055" s="17">
        <f>SUMIFS(ShadowLedger!$D:$D,ShadowLedger!$G:$G,A1055,ShadowLedger!$C:$C,"&gt;="&amp;DATE(LEFT(SUBSTITUTE(C1055,"'",""),4),MID(SUBSTITUTE(C1055,"'",""),6,2),1),ShadowLedger!$C:$C,"&lt;"&amp;EOMONTH(DATE(LEFT(SUBSTITUTE(C1055,"'",""),4),MID(SUBSTITUTE(C1055,"'",""),6,2),1),0)+1)</f>
        <v>0</v>
      </c>
      <c r="E1055" s="17">
        <f t="shared" si="1"/>
        <v>0</v>
      </c>
      <c r="F1055" s="17">
        <f t="shared" si="2"/>
        <v>0</v>
      </c>
    </row>
    <row r="1056">
      <c r="A1056" s="5" t="s">
        <v>54</v>
      </c>
      <c r="B1056" s="6">
        <v>1067.0</v>
      </c>
      <c r="C1056" s="13" t="s">
        <v>274</v>
      </c>
      <c r="D1056" s="17">
        <f>SUMIFS(ShadowLedger!$D:$D,ShadowLedger!$G:$G,A1056,ShadowLedger!$C:$C,"&gt;="&amp;DATE(LEFT(SUBSTITUTE(C1056,"'",""),4),MID(SUBSTITUTE(C1056,"'",""),6,2),1),ShadowLedger!$C:$C,"&lt;"&amp;EOMONTH(DATE(LEFT(SUBSTITUTE(C1056,"'",""),4),MID(SUBSTITUTE(C1056,"'",""),6,2),1),0)+1)</f>
        <v>0</v>
      </c>
      <c r="E1056" s="17">
        <f t="shared" si="1"/>
        <v>1067</v>
      </c>
      <c r="F1056" s="17">
        <f t="shared" si="2"/>
        <v>0</v>
      </c>
    </row>
    <row r="1057">
      <c r="A1057" s="5" t="s">
        <v>55</v>
      </c>
      <c r="B1057" s="6">
        <v>811.0</v>
      </c>
      <c r="C1057" s="13" t="s">
        <v>274</v>
      </c>
      <c r="D1057" s="17">
        <f>SUMIFS(ShadowLedger!$D:$D,ShadowLedger!$G:$G,A1057,ShadowLedger!$C:$C,"&gt;="&amp;DATE(LEFT(SUBSTITUTE(C1057,"'",""),4),MID(SUBSTITUTE(C1057,"'",""),6,2),1),ShadowLedger!$C:$C,"&lt;"&amp;EOMONTH(DATE(LEFT(SUBSTITUTE(C1057,"'",""),4),MID(SUBSTITUTE(C1057,"'",""),6,2),1),0)+1)</f>
        <v>0</v>
      </c>
      <c r="E1057" s="17">
        <f t="shared" si="1"/>
        <v>811</v>
      </c>
      <c r="F1057" s="17">
        <f t="shared" si="2"/>
        <v>0</v>
      </c>
    </row>
    <row r="1058">
      <c r="A1058" s="5" t="s">
        <v>56</v>
      </c>
      <c r="B1058" s="6">
        <v>580.0</v>
      </c>
      <c r="C1058" s="13" t="s">
        <v>274</v>
      </c>
      <c r="D1058" s="17">
        <f>SUMIFS(ShadowLedger!$D:$D,ShadowLedger!$G:$G,A1058,ShadowLedger!$C:$C,"&gt;="&amp;DATE(LEFT(SUBSTITUTE(C1058,"'",""),4),MID(SUBSTITUTE(C1058,"'",""),6,2),1),ShadowLedger!$C:$C,"&lt;"&amp;EOMONTH(DATE(LEFT(SUBSTITUTE(C1058,"'",""),4),MID(SUBSTITUTE(C1058,"'",""),6,2),1),0)+1)</f>
        <v>0</v>
      </c>
      <c r="E1058" s="17">
        <f t="shared" si="1"/>
        <v>580</v>
      </c>
      <c r="F1058" s="17">
        <f t="shared" si="2"/>
        <v>0</v>
      </c>
    </row>
    <row r="1059">
      <c r="A1059" s="5" t="s">
        <v>57</v>
      </c>
      <c r="B1059" s="6">
        <v>580.0</v>
      </c>
      <c r="C1059" s="13" t="s">
        <v>274</v>
      </c>
      <c r="D1059" s="17">
        <f>SUMIFS(ShadowLedger!$D:$D,ShadowLedger!$G:$G,A1059,ShadowLedger!$C:$C,"&gt;="&amp;DATE(LEFT(SUBSTITUTE(C1059,"'",""),4),MID(SUBSTITUTE(C1059,"'",""),6,2),1),ShadowLedger!$C:$C,"&lt;"&amp;EOMONTH(DATE(LEFT(SUBSTITUTE(C1059,"'",""),4),MID(SUBSTITUTE(C1059,"'",""),6,2),1),0)+1)</f>
        <v>0</v>
      </c>
      <c r="E1059" s="17">
        <f t="shared" si="1"/>
        <v>580</v>
      </c>
      <c r="F1059" s="17">
        <f t="shared" si="2"/>
        <v>0</v>
      </c>
    </row>
    <row r="1060">
      <c r="A1060" s="5" t="s">
        <v>58</v>
      </c>
      <c r="B1060" s="6">
        <v>464.0</v>
      </c>
      <c r="C1060" s="13" t="s">
        <v>274</v>
      </c>
      <c r="D1060" s="17">
        <f>SUMIFS(ShadowLedger!$D:$D,ShadowLedger!$G:$G,A1060,ShadowLedger!$C:$C,"&gt;="&amp;DATE(LEFT(SUBSTITUTE(C1060,"'",""),4),MID(SUBSTITUTE(C1060,"'",""),6,2),1),ShadowLedger!$C:$C,"&lt;"&amp;EOMONTH(DATE(LEFT(SUBSTITUTE(C1060,"'",""),4),MID(SUBSTITUTE(C1060,"'",""),6,2),1),0)+1)</f>
        <v>0</v>
      </c>
      <c r="E1060" s="17">
        <f t="shared" si="1"/>
        <v>464</v>
      </c>
      <c r="F1060" s="17">
        <f t="shared" si="2"/>
        <v>0</v>
      </c>
    </row>
    <row r="1061">
      <c r="A1061" s="5" t="s">
        <v>59</v>
      </c>
      <c r="B1061" s="6">
        <v>232.0</v>
      </c>
      <c r="C1061" s="13" t="s">
        <v>274</v>
      </c>
      <c r="D1061" s="17">
        <f>SUMIFS(ShadowLedger!$D:$D,ShadowLedger!$G:$G,A1061,ShadowLedger!$C:$C,"&gt;="&amp;DATE(LEFT(SUBSTITUTE(C1061,"'",""),4),MID(SUBSTITUTE(C1061,"'",""),6,2),1),ShadowLedger!$C:$C,"&lt;"&amp;EOMONTH(DATE(LEFT(SUBSTITUTE(C1061,"'",""),4),MID(SUBSTITUTE(C1061,"'",""),6,2),1),0)+1)</f>
        <v>0</v>
      </c>
      <c r="E1061" s="17">
        <f t="shared" si="1"/>
        <v>232</v>
      </c>
      <c r="F1061" s="17">
        <f t="shared" si="2"/>
        <v>0</v>
      </c>
    </row>
    <row r="1062">
      <c r="A1062" s="5" t="s">
        <v>60</v>
      </c>
      <c r="B1062" s="6">
        <v>174.0</v>
      </c>
      <c r="C1062" s="13" t="s">
        <v>274</v>
      </c>
      <c r="D1062" s="17">
        <f>SUMIFS(ShadowLedger!$D:$D,ShadowLedger!$G:$G,A1062,ShadowLedger!$C:$C,"&gt;="&amp;DATE(LEFT(SUBSTITUTE(C1062,"'",""),4),MID(SUBSTITUTE(C1062,"'",""),6,2),1),ShadowLedger!$C:$C,"&lt;"&amp;EOMONTH(DATE(LEFT(SUBSTITUTE(C1062,"'",""),4),MID(SUBSTITUTE(C1062,"'",""),6,2),1),0)+1)</f>
        <v>0</v>
      </c>
      <c r="E1062" s="17">
        <f t="shared" si="1"/>
        <v>174</v>
      </c>
      <c r="F1062" s="17">
        <f t="shared" si="2"/>
        <v>0</v>
      </c>
    </row>
    <row r="1063">
      <c r="A1063" s="5" t="s">
        <v>61</v>
      </c>
      <c r="B1063" s="6">
        <v>139.0</v>
      </c>
      <c r="C1063" s="13" t="s">
        <v>274</v>
      </c>
      <c r="D1063" s="17">
        <f>SUMIFS(ShadowLedger!$D:$D,ShadowLedger!$G:$G,A1063,ShadowLedger!$C:$C,"&gt;="&amp;DATE(LEFT(SUBSTITUTE(C1063,"'",""),4),MID(SUBSTITUTE(C1063,"'",""),6,2),1),ShadowLedger!$C:$C,"&lt;"&amp;EOMONTH(DATE(LEFT(SUBSTITUTE(C1063,"'",""),4),MID(SUBSTITUTE(C1063,"'",""),6,2),1),0)+1)</f>
        <v>0</v>
      </c>
      <c r="E1063" s="17">
        <f t="shared" si="1"/>
        <v>139</v>
      </c>
      <c r="F1063" s="17">
        <f t="shared" si="2"/>
        <v>0</v>
      </c>
    </row>
    <row r="1064">
      <c r="A1064" s="5" t="s">
        <v>62</v>
      </c>
      <c r="B1064" s="6">
        <v>139.0</v>
      </c>
      <c r="C1064" s="13" t="s">
        <v>274</v>
      </c>
      <c r="D1064" s="17">
        <f>SUMIFS(ShadowLedger!$D:$D,ShadowLedger!$G:$G,A1064,ShadowLedger!$C:$C,"&gt;="&amp;DATE(LEFT(SUBSTITUTE(C1064,"'",""),4),MID(SUBSTITUTE(C1064,"'",""),6,2),1),ShadowLedger!$C:$C,"&lt;"&amp;EOMONTH(DATE(LEFT(SUBSTITUTE(C1064,"'",""),4),MID(SUBSTITUTE(C1064,"'",""),6,2),1),0)+1)</f>
        <v>0</v>
      </c>
      <c r="E1064" s="17">
        <f t="shared" si="1"/>
        <v>139</v>
      </c>
      <c r="F1064" s="17">
        <f t="shared" si="2"/>
        <v>0</v>
      </c>
    </row>
    <row r="1065">
      <c r="A1065" s="5" t="s">
        <v>63</v>
      </c>
      <c r="B1065" s="6">
        <v>116.0</v>
      </c>
      <c r="C1065" s="13" t="s">
        <v>274</v>
      </c>
      <c r="D1065" s="17">
        <f>SUMIFS(ShadowLedger!$D:$D,ShadowLedger!$G:$G,A1065,ShadowLedger!$C:$C,"&gt;="&amp;DATE(LEFT(SUBSTITUTE(C1065,"'",""),4),MID(SUBSTITUTE(C1065,"'",""),6,2),1),ShadowLedger!$C:$C,"&lt;"&amp;EOMONTH(DATE(LEFT(SUBSTITUTE(C1065,"'",""),4),MID(SUBSTITUTE(C1065,"'",""),6,2),1),0)+1)</f>
        <v>0</v>
      </c>
      <c r="E1065" s="17">
        <f t="shared" si="1"/>
        <v>116</v>
      </c>
      <c r="F1065" s="17">
        <f t="shared" si="2"/>
        <v>0</v>
      </c>
    </row>
    <row r="1066">
      <c r="A1066" s="5" t="s">
        <v>64</v>
      </c>
      <c r="B1066" s="6">
        <v>116.0</v>
      </c>
      <c r="C1066" s="13" t="s">
        <v>274</v>
      </c>
      <c r="D1066" s="17">
        <f>SUMIFS(ShadowLedger!$D:$D,ShadowLedger!$G:$G,A1066,ShadowLedger!$C:$C,"&gt;="&amp;DATE(LEFT(SUBSTITUTE(C1066,"'",""),4),MID(SUBSTITUTE(C1066,"'",""),6,2),1),ShadowLedger!$C:$C,"&lt;"&amp;EOMONTH(DATE(LEFT(SUBSTITUTE(C1066,"'",""),4),MID(SUBSTITUTE(C1066,"'",""),6,2),1),0)+1)</f>
        <v>0</v>
      </c>
      <c r="E1066" s="17">
        <f t="shared" si="1"/>
        <v>116</v>
      </c>
      <c r="F1066" s="17">
        <f t="shared" si="2"/>
        <v>0</v>
      </c>
    </row>
    <row r="1067">
      <c r="A1067" s="5" t="s">
        <v>70</v>
      </c>
      <c r="B1067" s="6">
        <v>116.0</v>
      </c>
      <c r="C1067" s="13" t="s">
        <v>274</v>
      </c>
      <c r="D1067" s="17">
        <f>SUMIFS(ShadowLedger!$D:$D,ShadowLedger!$G:$G,A1067,ShadowLedger!$C:$C,"&gt;="&amp;DATE(LEFT(SUBSTITUTE(C1067,"'",""),4),MID(SUBSTITUTE(C1067,"'",""),6,2),1),ShadowLedger!$C:$C,"&lt;"&amp;EOMONTH(DATE(LEFT(SUBSTITUTE(C1067,"'",""),4),MID(SUBSTITUTE(C1067,"'",""),6,2),1),0)+1)</f>
        <v>0</v>
      </c>
      <c r="E1067" s="17">
        <f t="shared" si="1"/>
        <v>116</v>
      </c>
      <c r="F1067" s="17">
        <f t="shared" si="2"/>
        <v>0</v>
      </c>
    </row>
    <row r="1068">
      <c r="A1068" s="5" t="s">
        <v>65</v>
      </c>
      <c r="B1068" s="6">
        <v>58.0</v>
      </c>
      <c r="C1068" s="13" t="s">
        <v>274</v>
      </c>
      <c r="D1068" s="17">
        <f>SUMIFS(ShadowLedger!$D:$D,ShadowLedger!$G:$G,A1068,ShadowLedger!$C:$C,"&gt;="&amp;DATE(LEFT(SUBSTITUTE(C1068,"'",""),4),MID(SUBSTITUTE(C1068,"'",""),6,2),1),ShadowLedger!$C:$C,"&lt;"&amp;EOMONTH(DATE(LEFT(SUBSTITUTE(C1068,"'",""),4),MID(SUBSTITUTE(C1068,"'",""),6,2),1),0)+1)</f>
        <v>0</v>
      </c>
      <c r="E1068" s="17">
        <f t="shared" si="1"/>
        <v>58</v>
      </c>
      <c r="F1068" s="17">
        <f t="shared" si="2"/>
        <v>0</v>
      </c>
    </row>
    <row r="1069">
      <c r="A1069" s="5" t="s">
        <v>66</v>
      </c>
      <c r="B1069" s="6">
        <v>58.0</v>
      </c>
      <c r="C1069" s="13" t="s">
        <v>274</v>
      </c>
      <c r="D1069" s="17">
        <f>SUMIFS(ShadowLedger!$D:$D,ShadowLedger!$G:$G,A1069,ShadowLedger!$C:$C,"&gt;="&amp;DATE(LEFT(SUBSTITUTE(C1069,"'",""),4),MID(SUBSTITUTE(C1069,"'",""),6,2),1),ShadowLedger!$C:$C,"&lt;"&amp;EOMONTH(DATE(LEFT(SUBSTITUTE(C1069,"'",""),4),MID(SUBSTITUTE(C1069,"'",""),6,2),1),0)+1)</f>
        <v>0</v>
      </c>
      <c r="E1069" s="17">
        <f t="shared" si="1"/>
        <v>58</v>
      </c>
      <c r="F1069" s="17">
        <f t="shared" si="2"/>
        <v>0</v>
      </c>
    </row>
    <row r="1070">
      <c r="A1070" s="5" t="s">
        <v>67</v>
      </c>
      <c r="B1070" s="6">
        <v>58.0</v>
      </c>
      <c r="C1070" s="13" t="s">
        <v>274</v>
      </c>
      <c r="D1070" s="17">
        <f>SUMIFS(ShadowLedger!$D:$D,ShadowLedger!$G:$G,A1070,ShadowLedger!$C:$C,"&gt;="&amp;DATE(LEFT(SUBSTITUTE(C1070,"'",""),4),MID(SUBSTITUTE(C1070,"'",""),6,2),1),ShadowLedger!$C:$C,"&lt;"&amp;EOMONTH(DATE(LEFT(SUBSTITUTE(C1070,"'",""),4),MID(SUBSTITUTE(C1070,"'",""),6,2),1),0)+1)</f>
        <v>0</v>
      </c>
      <c r="E1070" s="17">
        <f t="shared" si="1"/>
        <v>58</v>
      </c>
      <c r="F1070" s="17">
        <f t="shared" si="2"/>
        <v>0</v>
      </c>
    </row>
    <row r="1071">
      <c r="A1071" s="5" t="s">
        <v>68</v>
      </c>
      <c r="B1071" s="6">
        <v>58.0</v>
      </c>
      <c r="C1071" s="13" t="s">
        <v>274</v>
      </c>
      <c r="D1071" s="17">
        <f>SUMIFS(ShadowLedger!$D:$D,ShadowLedger!$G:$G,A1071,ShadowLedger!$C:$C,"&gt;="&amp;DATE(LEFT(SUBSTITUTE(C1071,"'",""),4),MID(SUBSTITUTE(C1071,"'",""),6,2),1),ShadowLedger!$C:$C,"&lt;"&amp;EOMONTH(DATE(LEFT(SUBSTITUTE(C1071,"'",""),4),MID(SUBSTITUTE(C1071,"'",""),6,2),1),0)+1)</f>
        <v>0</v>
      </c>
      <c r="E1071" s="17">
        <f t="shared" si="1"/>
        <v>58</v>
      </c>
      <c r="F1071" s="17">
        <f t="shared" si="2"/>
        <v>0</v>
      </c>
    </row>
    <row r="1072">
      <c r="A1072" s="5" t="s">
        <v>69</v>
      </c>
      <c r="B1072" s="6">
        <v>0.0</v>
      </c>
      <c r="C1072" s="13" t="s">
        <v>274</v>
      </c>
      <c r="D1072" s="17">
        <f>SUMIFS(ShadowLedger!$D:$D,ShadowLedger!$G:$G,A1072,ShadowLedger!$C:$C,"&gt;="&amp;DATE(LEFT(SUBSTITUTE(C1072,"'",""),4),MID(SUBSTITUTE(C1072,"'",""),6,2),1),ShadowLedger!$C:$C,"&lt;"&amp;EOMONTH(DATE(LEFT(SUBSTITUTE(C1072,"'",""),4),MID(SUBSTITUTE(C1072,"'",""),6,2),1),0)+1)</f>
        <v>0</v>
      </c>
      <c r="E1072" s="17">
        <f t="shared" si="1"/>
        <v>0</v>
      </c>
      <c r="F1072" s="17">
        <f t="shared" si="2"/>
        <v>0</v>
      </c>
    </row>
    <row r="1073">
      <c r="A1073" s="5" t="s">
        <v>54</v>
      </c>
      <c r="B1073" s="6">
        <v>1067.0</v>
      </c>
      <c r="C1073" s="13" t="s">
        <v>275</v>
      </c>
      <c r="D1073" s="17">
        <f>SUMIFS(ShadowLedger!$D:$D,ShadowLedger!$G:$G,A1073,ShadowLedger!$C:$C,"&gt;="&amp;DATE(LEFT(SUBSTITUTE(C1073,"'",""),4),MID(SUBSTITUTE(C1073,"'",""),6,2),1),ShadowLedger!$C:$C,"&lt;"&amp;EOMONTH(DATE(LEFT(SUBSTITUTE(C1073,"'",""),4),MID(SUBSTITUTE(C1073,"'",""),6,2),1),0)+1)</f>
        <v>0</v>
      </c>
      <c r="E1073" s="17">
        <f t="shared" si="1"/>
        <v>1067</v>
      </c>
      <c r="F1073" s="17">
        <f t="shared" si="2"/>
        <v>0</v>
      </c>
    </row>
    <row r="1074">
      <c r="A1074" s="5" t="s">
        <v>55</v>
      </c>
      <c r="B1074" s="6">
        <v>811.0</v>
      </c>
      <c r="C1074" s="13" t="s">
        <v>275</v>
      </c>
      <c r="D1074" s="17">
        <f>SUMIFS(ShadowLedger!$D:$D,ShadowLedger!$G:$G,A1074,ShadowLedger!$C:$C,"&gt;="&amp;DATE(LEFT(SUBSTITUTE(C1074,"'",""),4),MID(SUBSTITUTE(C1074,"'",""),6,2),1),ShadowLedger!$C:$C,"&lt;"&amp;EOMONTH(DATE(LEFT(SUBSTITUTE(C1074,"'",""),4),MID(SUBSTITUTE(C1074,"'",""),6,2),1),0)+1)</f>
        <v>0</v>
      </c>
      <c r="E1074" s="17">
        <f t="shared" si="1"/>
        <v>811</v>
      </c>
      <c r="F1074" s="17">
        <f t="shared" si="2"/>
        <v>0</v>
      </c>
    </row>
    <row r="1075">
      <c r="A1075" s="5" t="s">
        <v>56</v>
      </c>
      <c r="B1075" s="6">
        <v>580.0</v>
      </c>
      <c r="C1075" s="13" t="s">
        <v>275</v>
      </c>
      <c r="D1075" s="17">
        <f>SUMIFS(ShadowLedger!$D:$D,ShadowLedger!$G:$G,A1075,ShadowLedger!$C:$C,"&gt;="&amp;DATE(LEFT(SUBSTITUTE(C1075,"'",""),4),MID(SUBSTITUTE(C1075,"'",""),6,2),1),ShadowLedger!$C:$C,"&lt;"&amp;EOMONTH(DATE(LEFT(SUBSTITUTE(C1075,"'",""),4),MID(SUBSTITUTE(C1075,"'",""),6,2),1),0)+1)</f>
        <v>0</v>
      </c>
      <c r="E1075" s="17">
        <f t="shared" si="1"/>
        <v>580</v>
      </c>
      <c r="F1075" s="17">
        <f t="shared" si="2"/>
        <v>0</v>
      </c>
    </row>
    <row r="1076">
      <c r="A1076" s="5" t="s">
        <v>57</v>
      </c>
      <c r="B1076" s="6">
        <v>580.0</v>
      </c>
      <c r="C1076" s="13" t="s">
        <v>275</v>
      </c>
      <c r="D1076" s="17">
        <f>SUMIFS(ShadowLedger!$D:$D,ShadowLedger!$G:$G,A1076,ShadowLedger!$C:$C,"&gt;="&amp;DATE(LEFT(SUBSTITUTE(C1076,"'",""),4),MID(SUBSTITUTE(C1076,"'",""),6,2),1),ShadowLedger!$C:$C,"&lt;"&amp;EOMONTH(DATE(LEFT(SUBSTITUTE(C1076,"'",""),4),MID(SUBSTITUTE(C1076,"'",""),6,2),1),0)+1)</f>
        <v>0</v>
      </c>
      <c r="E1076" s="17">
        <f t="shared" si="1"/>
        <v>580</v>
      </c>
      <c r="F1076" s="17">
        <f t="shared" si="2"/>
        <v>0</v>
      </c>
    </row>
    <row r="1077">
      <c r="A1077" s="5" t="s">
        <v>58</v>
      </c>
      <c r="B1077" s="6">
        <v>464.0</v>
      </c>
      <c r="C1077" s="13" t="s">
        <v>275</v>
      </c>
      <c r="D1077" s="17">
        <f>SUMIFS(ShadowLedger!$D:$D,ShadowLedger!$G:$G,A1077,ShadowLedger!$C:$C,"&gt;="&amp;DATE(LEFT(SUBSTITUTE(C1077,"'",""),4),MID(SUBSTITUTE(C1077,"'",""),6,2),1),ShadowLedger!$C:$C,"&lt;"&amp;EOMONTH(DATE(LEFT(SUBSTITUTE(C1077,"'",""),4),MID(SUBSTITUTE(C1077,"'",""),6,2),1),0)+1)</f>
        <v>0</v>
      </c>
      <c r="E1077" s="17">
        <f t="shared" si="1"/>
        <v>464</v>
      </c>
      <c r="F1077" s="17">
        <f t="shared" si="2"/>
        <v>0</v>
      </c>
    </row>
    <row r="1078">
      <c r="A1078" s="5" t="s">
        <v>59</v>
      </c>
      <c r="B1078" s="6">
        <v>232.0</v>
      </c>
      <c r="C1078" s="13" t="s">
        <v>275</v>
      </c>
      <c r="D1078" s="17">
        <f>SUMIFS(ShadowLedger!$D:$D,ShadowLedger!$G:$G,A1078,ShadowLedger!$C:$C,"&gt;="&amp;DATE(LEFT(SUBSTITUTE(C1078,"'",""),4),MID(SUBSTITUTE(C1078,"'",""),6,2),1),ShadowLedger!$C:$C,"&lt;"&amp;EOMONTH(DATE(LEFT(SUBSTITUTE(C1078,"'",""),4),MID(SUBSTITUTE(C1078,"'",""),6,2),1),0)+1)</f>
        <v>0</v>
      </c>
      <c r="E1078" s="17">
        <f t="shared" si="1"/>
        <v>232</v>
      </c>
      <c r="F1078" s="17">
        <f t="shared" si="2"/>
        <v>0</v>
      </c>
    </row>
    <row r="1079">
      <c r="A1079" s="5" t="s">
        <v>60</v>
      </c>
      <c r="B1079" s="6">
        <v>174.0</v>
      </c>
      <c r="C1079" s="13" t="s">
        <v>275</v>
      </c>
      <c r="D1079" s="17">
        <f>SUMIFS(ShadowLedger!$D:$D,ShadowLedger!$G:$G,A1079,ShadowLedger!$C:$C,"&gt;="&amp;DATE(LEFT(SUBSTITUTE(C1079,"'",""),4),MID(SUBSTITUTE(C1079,"'",""),6,2),1),ShadowLedger!$C:$C,"&lt;"&amp;EOMONTH(DATE(LEFT(SUBSTITUTE(C1079,"'",""),4),MID(SUBSTITUTE(C1079,"'",""),6,2),1),0)+1)</f>
        <v>0</v>
      </c>
      <c r="E1079" s="17">
        <f t="shared" si="1"/>
        <v>174</v>
      </c>
      <c r="F1079" s="17">
        <f t="shared" si="2"/>
        <v>0</v>
      </c>
    </row>
    <row r="1080">
      <c r="A1080" s="5" t="s">
        <v>61</v>
      </c>
      <c r="B1080" s="6">
        <v>139.0</v>
      </c>
      <c r="C1080" s="13" t="s">
        <v>275</v>
      </c>
      <c r="D1080" s="17">
        <f>SUMIFS(ShadowLedger!$D:$D,ShadowLedger!$G:$G,A1080,ShadowLedger!$C:$C,"&gt;="&amp;DATE(LEFT(SUBSTITUTE(C1080,"'",""),4),MID(SUBSTITUTE(C1080,"'",""),6,2),1),ShadowLedger!$C:$C,"&lt;"&amp;EOMONTH(DATE(LEFT(SUBSTITUTE(C1080,"'",""),4),MID(SUBSTITUTE(C1080,"'",""),6,2),1),0)+1)</f>
        <v>0</v>
      </c>
      <c r="E1080" s="17">
        <f t="shared" si="1"/>
        <v>139</v>
      </c>
      <c r="F1080" s="17">
        <f t="shared" si="2"/>
        <v>0</v>
      </c>
    </row>
    <row r="1081">
      <c r="A1081" s="5" t="s">
        <v>62</v>
      </c>
      <c r="B1081" s="6">
        <v>139.0</v>
      </c>
      <c r="C1081" s="13" t="s">
        <v>275</v>
      </c>
      <c r="D1081" s="17">
        <f>SUMIFS(ShadowLedger!$D:$D,ShadowLedger!$G:$G,A1081,ShadowLedger!$C:$C,"&gt;="&amp;DATE(LEFT(SUBSTITUTE(C1081,"'",""),4),MID(SUBSTITUTE(C1081,"'",""),6,2),1),ShadowLedger!$C:$C,"&lt;"&amp;EOMONTH(DATE(LEFT(SUBSTITUTE(C1081,"'",""),4),MID(SUBSTITUTE(C1081,"'",""),6,2),1),0)+1)</f>
        <v>0</v>
      </c>
      <c r="E1081" s="17">
        <f t="shared" si="1"/>
        <v>139</v>
      </c>
      <c r="F1081" s="17">
        <f t="shared" si="2"/>
        <v>0</v>
      </c>
    </row>
    <row r="1082">
      <c r="A1082" s="5" t="s">
        <v>63</v>
      </c>
      <c r="B1082" s="6">
        <v>116.0</v>
      </c>
      <c r="C1082" s="13" t="s">
        <v>275</v>
      </c>
      <c r="D1082" s="17">
        <f>SUMIFS(ShadowLedger!$D:$D,ShadowLedger!$G:$G,A1082,ShadowLedger!$C:$C,"&gt;="&amp;DATE(LEFT(SUBSTITUTE(C1082,"'",""),4),MID(SUBSTITUTE(C1082,"'",""),6,2),1),ShadowLedger!$C:$C,"&lt;"&amp;EOMONTH(DATE(LEFT(SUBSTITUTE(C1082,"'",""),4),MID(SUBSTITUTE(C1082,"'",""),6,2),1),0)+1)</f>
        <v>0</v>
      </c>
      <c r="E1082" s="17">
        <f t="shared" si="1"/>
        <v>116</v>
      </c>
      <c r="F1082" s="17">
        <f t="shared" si="2"/>
        <v>0</v>
      </c>
    </row>
    <row r="1083">
      <c r="A1083" s="5" t="s">
        <v>64</v>
      </c>
      <c r="B1083" s="6">
        <v>116.0</v>
      </c>
      <c r="C1083" s="13" t="s">
        <v>275</v>
      </c>
      <c r="D1083" s="17">
        <f>SUMIFS(ShadowLedger!$D:$D,ShadowLedger!$G:$G,A1083,ShadowLedger!$C:$C,"&gt;="&amp;DATE(LEFT(SUBSTITUTE(C1083,"'",""),4),MID(SUBSTITUTE(C1083,"'",""),6,2),1),ShadowLedger!$C:$C,"&lt;"&amp;EOMONTH(DATE(LEFT(SUBSTITUTE(C1083,"'",""),4),MID(SUBSTITUTE(C1083,"'",""),6,2),1),0)+1)</f>
        <v>0</v>
      </c>
      <c r="E1083" s="17">
        <f t="shared" si="1"/>
        <v>116</v>
      </c>
      <c r="F1083" s="17">
        <f t="shared" si="2"/>
        <v>0</v>
      </c>
    </row>
    <row r="1084">
      <c r="A1084" s="5" t="s">
        <v>70</v>
      </c>
      <c r="B1084" s="6">
        <v>116.0</v>
      </c>
      <c r="C1084" s="13" t="s">
        <v>275</v>
      </c>
      <c r="D1084" s="17">
        <f>SUMIFS(ShadowLedger!$D:$D,ShadowLedger!$G:$G,A1084,ShadowLedger!$C:$C,"&gt;="&amp;DATE(LEFT(SUBSTITUTE(C1084,"'",""),4),MID(SUBSTITUTE(C1084,"'",""),6,2),1),ShadowLedger!$C:$C,"&lt;"&amp;EOMONTH(DATE(LEFT(SUBSTITUTE(C1084,"'",""),4),MID(SUBSTITUTE(C1084,"'",""),6,2),1),0)+1)</f>
        <v>0</v>
      </c>
      <c r="E1084" s="17">
        <f t="shared" si="1"/>
        <v>116</v>
      </c>
      <c r="F1084" s="17">
        <f t="shared" si="2"/>
        <v>0</v>
      </c>
    </row>
    <row r="1085">
      <c r="A1085" s="5" t="s">
        <v>65</v>
      </c>
      <c r="B1085" s="6">
        <v>58.0</v>
      </c>
      <c r="C1085" s="13" t="s">
        <v>275</v>
      </c>
      <c r="D1085" s="17">
        <f>SUMIFS(ShadowLedger!$D:$D,ShadowLedger!$G:$G,A1085,ShadowLedger!$C:$C,"&gt;="&amp;DATE(LEFT(SUBSTITUTE(C1085,"'",""),4),MID(SUBSTITUTE(C1085,"'",""),6,2),1),ShadowLedger!$C:$C,"&lt;"&amp;EOMONTH(DATE(LEFT(SUBSTITUTE(C1085,"'",""),4),MID(SUBSTITUTE(C1085,"'",""),6,2),1),0)+1)</f>
        <v>0</v>
      </c>
      <c r="E1085" s="17">
        <f t="shared" si="1"/>
        <v>58</v>
      </c>
      <c r="F1085" s="17">
        <f t="shared" si="2"/>
        <v>0</v>
      </c>
    </row>
    <row r="1086">
      <c r="A1086" s="5" t="s">
        <v>66</v>
      </c>
      <c r="B1086" s="6">
        <v>58.0</v>
      </c>
      <c r="C1086" s="13" t="s">
        <v>275</v>
      </c>
      <c r="D1086" s="17">
        <f>SUMIFS(ShadowLedger!$D:$D,ShadowLedger!$G:$G,A1086,ShadowLedger!$C:$C,"&gt;="&amp;DATE(LEFT(SUBSTITUTE(C1086,"'",""),4),MID(SUBSTITUTE(C1086,"'",""),6,2),1),ShadowLedger!$C:$C,"&lt;"&amp;EOMONTH(DATE(LEFT(SUBSTITUTE(C1086,"'",""),4),MID(SUBSTITUTE(C1086,"'",""),6,2),1),0)+1)</f>
        <v>0</v>
      </c>
      <c r="E1086" s="17">
        <f t="shared" si="1"/>
        <v>58</v>
      </c>
      <c r="F1086" s="17">
        <f t="shared" si="2"/>
        <v>0</v>
      </c>
    </row>
    <row r="1087">
      <c r="A1087" s="5" t="s">
        <v>67</v>
      </c>
      <c r="B1087" s="6">
        <v>58.0</v>
      </c>
      <c r="C1087" s="13" t="s">
        <v>275</v>
      </c>
      <c r="D1087" s="17">
        <f>SUMIFS(ShadowLedger!$D:$D,ShadowLedger!$G:$G,A1087,ShadowLedger!$C:$C,"&gt;="&amp;DATE(LEFT(SUBSTITUTE(C1087,"'",""),4),MID(SUBSTITUTE(C1087,"'",""),6,2),1),ShadowLedger!$C:$C,"&lt;"&amp;EOMONTH(DATE(LEFT(SUBSTITUTE(C1087,"'",""),4),MID(SUBSTITUTE(C1087,"'",""),6,2),1),0)+1)</f>
        <v>0</v>
      </c>
      <c r="E1087" s="17">
        <f t="shared" si="1"/>
        <v>58</v>
      </c>
      <c r="F1087" s="17">
        <f t="shared" si="2"/>
        <v>0</v>
      </c>
    </row>
    <row r="1088">
      <c r="A1088" s="5" t="s">
        <v>68</v>
      </c>
      <c r="B1088" s="6">
        <v>58.0</v>
      </c>
      <c r="C1088" s="13" t="s">
        <v>275</v>
      </c>
      <c r="D1088" s="17">
        <f>SUMIFS(ShadowLedger!$D:$D,ShadowLedger!$G:$G,A1088,ShadowLedger!$C:$C,"&gt;="&amp;DATE(LEFT(SUBSTITUTE(C1088,"'",""),4),MID(SUBSTITUTE(C1088,"'",""),6,2),1),ShadowLedger!$C:$C,"&lt;"&amp;EOMONTH(DATE(LEFT(SUBSTITUTE(C1088,"'",""),4),MID(SUBSTITUTE(C1088,"'",""),6,2),1),0)+1)</f>
        <v>0</v>
      </c>
      <c r="E1088" s="17">
        <f t="shared" si="1"/>
        <v>58</v>
      </c>
      <c r="F1088" s="17">
        <f t="shared" si="2"/>
        <v>0</v>
      </c>
    </row>
    <row r="1089">
      <c r="A1089" s="5" t="s">
        <v>69</v>
      </c>
      <c r="B1089" s="6">
        <v>0.0</v>
      </c>
      <c r="C1089" s="13" t="s">
        <v>275</v>
      </c>
      <c r="D1089" s="17">
        <f>SUMIFS(ShadowLedger!$D:$D,ShadowLedger!$G:$G,A1089,ShadowLedger!$C:$C,"&gt;="&amp;DATE(LEFT(SUBSTITUTE(C1089,"'",""),4),MID(SUBSTITUTE(C1089,"'",""),6,2),1),ShadowLedger!$C:$C,"&lt;"&amp;EOMONTH(DATE(LEFT(SUBSTITUTE(C1089,"'",""),4),MID(SUBSTITUTE(C1089,"'",""),6,2),1),0)+1)</f>
        <v>0</v>
      </c>
      <c r="E1089" s="17">
        <f t="shared" si="1"/>
        <v>0</v>
      </c>
      <c r="F1089" s="17">
        <f t="shared" si="2"/>
        <v>0</v>
      </c>
    </row>
    <row r="1090">
      <c r="A1090" s="5" t="s">
        <v>54</v>
      </c>
      <c r="B1090" s="6">
        <v>1067.0</v>
      </c>
      <c r="C1090" s="13" t="s">
        <v>276</v>
      </c>
      <c r="D1090" s="17">
        <f>SUMIFS(ShadowLedger!$D:$D,ShadowLedger!$G:$G,A1090,ShadowLedger!$C:$C,"&gt;="&amp;DATE(LEFT(SUBSTITUTE(C1090,"'",""),4),MID(SUBSTITUTE(C1090,"'",""),6,2),1),ShadowLedger!$C:$C,"&lt;"&amp;EOMONTH(DATE(LEFT(SUBSTITUTE(C1090,"'",""),4),MID(SUBSTITUTE(C1090,"'",""),6,2),1),0)+1)</f>
        <v>0</v>
      </c>
      <c r="E1090" s="17">
        <f t="shared" si="1"/>
        <v>1067</v>
      </c>
      <c r="F1090" s="17">
        <f t="shared" si="2"/>
        <v>0</v>
      </c>
    </row>
    <row r="1091">
      <c r="A1091" s="5" t="s">
        <v>55</v>
      </c>
      <c r="B1091" s="6">
        <v>811.0</v>
      </c>
      <c r="C1091" s="13" t="s">
        <v>276</v>
      </c>
      <c r="D1091" s="17">
        <f>SUMIFS(ShadowLedger!$D:$D,ShadowLedger!$G:$G,A1091,ShadowLedger!$C:$C,"&gt;="&amp;DATE(LEFT(SUBSTITUTE(C1091,"'",""),4),MID(SUBSTITUTE(C1091,"'",""),6,2),1),ShadowLedger!$C:$C,"&lt;"&amp;EOMONTH(DATE(LEFT(SUBSTITUTE(C1091,"'",""),4),MID(SUBSTITUTE(C1091,"'",""),6,2),1),0)+1)</f>
        <v>0</v>
      </c>
      <c r="E1091" s="17">
        <f t="shared" si="1"/>
        <v>811</v>
      </c>
      <c r="F1091" s="17">
        <f t="shared" si="2"/>
        <v>0</v>
      </c>
    </row>
    <row r="1092">
      <c r="A1092" s="5" t="s">
        <v>56</v>
      </c>
      <c r="B1092" s="6">
        <v>580.0</v>
      </c>
      <c r="C1092" s="13" t="s">
        <v>276</v>
      </c>
      <c r="D1092" s="17">
        <f>SUMIFS(ShadowLedger!$D:$D,ShadowLedger!$G:$G,A1092,ShadowLedger!$C:$C,"&gt;="&amp;DATE(LEFT(SUBSTITUTE(C1092,"'",""),4),MID(SUBSTITUTE(C1092,"'",""),6,2),1),ShadowLedger!$C:$C,"&lt;"&amp;EOMONTH(DATE(LEFT(SUBSTITUTE(C1092,"'",""),4),MID(SUBSTITUTE(C1092,"'",""),6,2),1),0)+1)</f>
        <v>0</v>
      </c>
      <c r="E1092" s="17">
        <f t="shared" si="1"/>
        <v>580</v>
      </c>
      <c r="F1092" s="17">
        <f t="shared" si="2"/>
        <v>0</v>
      </c>
    </row>
    <row r="1093">
      <c r="A1093" s="5" t="s">
        <v>57</v>
      </c>
      <c r="B1093" s="6">
        <v>580.0</v>
      </c>
      <c r="C1093" s="13" t="s">
        <v>276</v>
      </c>
      <c r="D1093" s="17">
        <f>SUMIFS(ShadowLedger!$D:$D,ShadowLedger!$G:$G,A1093,ShadowLedger!$C:$C,"&gt;="&amp;DATE(LEFT(SUBSTITUTE(C1093,"'",""),4),MID(SUBSTITUTE(C1093,"'",""),6,2),1),ShadowLedger!$C:$C,"&lt;"&amp;EOMONTH(DATE(LEFT(SUBSTITUTE(C1093,"'",""),4),MID(SUBSTITUTE(C1093,"'",""),6,2),1),0)+1)</f>
        <v>0</v>
      </c>
      <c r="E1093" s="17">
        <f t="shared" si="1"/>
        <v>580</v>
      </c>
      <c r="F1093" s="17">
        <f t="shared" si="2"/>
        <v>0</v>
      </c>
    </row>
    <row r="1094">
      <c r="A1094" s="5" t="s">
        <v>58</v>
      </c>
      <c r="B1094" s="6">
        <v>464.0</v>
      </c>
      <c r="C1094" s="13" t="s">
        <v>276</v>
      </c>
      <c r="D1094" s="17">
        <f>SUMIFS(ShadowLedger!$D:$D,ShadowLedger!$G:$G,A1094,ShadowLedger!$C:$C,"&gt;="&amp;DATE(LEFT(SUBSTITUTE(C1094,"'",""),4),MID(SUBSTITUTE(C1094,"'",""),6,2),1),ShadowLedger!$C:$C,"&lt;"&amp;EOMONTH(DATE(LEFT(SUBSTITUTE(C1094,"'",""),4),MID(SUBSTITUTE(C1094,"'",""),6,2),1),0)+1)</f>
        <v>0</v>
      </c>
      <c r="E1094" s="17">
        <f t="shared" si="1"/>
        <v>464</v>
      </c>
      <c r="F1094" s="17">
        <f t="shared" si="2"/>
        <v>0</v>
      </c>
    </row>
    <row r="1095">
      <c r="A1095" s="5" t="s">
        <v>59</v>
      </c>
      <c r="B1095" s="6">
        <v>232.0</v>
      </c>
      <c r="C1095" s="13" t="s">
        <v>276</v>
      </c>
      <c r="D1095" s="17">
        <f>SUMIFS(ShadowLedger!$D:$D,ShadowLedger!$G:$G,A1095,ShadowLedger!$C:$C,"&gt;="&amp;DATE(LEFT(SUBSTITUTE(C1095,"'",""),4),MID(SUBSTITUTE(C1095,"'",""),6,2),1),ShadowLedger!$C:$C,"&lt;"&amp;EOMONTH(DATE(LEFT(SUBSTITUTE(C1095,"'",""),4),MID(SUBSTITUTE(C1095,"'",""),6,2),1),0)+1)</f>
        <v>0</v>
      </c>
      <c r="E1095" s="17">
        <f t="shared" si="1"/>
        <v>232</v>
      </c>
      <c r="F1095" s="17">
        <f t="shared" si="2"/>
        <v>0</v>
      </c>
    </row>
    <row r="1096">
      <c r="A1096" s="5" t="s">
        <v>60</v>
      </c>
      <c r="B1096" s="6">
        <v>174.0</v>
      </c>
      <c r="C1096" s="13" t="s">
        <v>276</v>
      </c>
      <c r="D1096" s="17">
        <f>SUMIFS(ShadowLedger!$D:$D,ShadowLedger!$G:$G,A1096,ShadowLedger!$C:$C,"&gt;="&amp;DATE(LEFT(SUBSTITUTE(C1096,"'",""),4),MID(SUBSTITUTE(C1096,"'",""),6,2),1),ShadowLedger!$C:$C,"&lt;"&amp;EOMONTH(DATE(LEFT(SUBSTITUTE(C1096,"'",""),4),MID(SUBSTITUTE(C1096,"'",""),6,2),1),0)+1)</f>
        <v>0</v>
      </c>
      <c r="E1096" s="17">
        <f t="shared" si="1"/>
        <v>174</v>
      </c>
      <c r="F1096" s="17">
        <f t="shared" si="2"/>
        <v>0</v>
      </c>
    </row>
    <row r="1097">
      <c r="A1097" s="5" t="s">
        <v>61</v>
      </c>
      <c r="B1097" s="6">
        <v>139.0</v>
      </c>
      <c r="C1097" s="13" t="s">
        <v>276</v>
      </c>
      <c r="D1097" s="17">
        <f>SUMIFS(ShadowLedger!$D:$D,ShadowLedger!$G:$G,A1097,ShadowLedger!$C:$C,"&gt;="&amp;DATE(LEFT(SUBSTITUTE(C1097,"'",""),4),MID(SUBSTITUTE(C1097,"'",""),6,2),1),ShadowLedger!$C:$C,"&lt;"&amp;EOMONTH(DATE(LEFT(SUBSTITUTE(C1097,"'",""),4),MID(SUBSTITUTE(C1097,"'",""),6,2),1),0)+1)</f>
        <v>0</v>
      </c>
      <c r="E1097" s="17">
        <f t="shared" si="1"/>
        <v>139</v>
      </c>
      <c r="F1097" s="17">
        <f t="shared" si="2"/>
        <v>0</v>
      </c>
    </row>
    <row r="1098">
      <c r="A1098" s="5" t="s">
        <v>62</v>
      </c>
      <c r="B1098" s="6">
        <v>139.0</v>
      </c>
      <c r="C1098" s="13" t="s">
        <v>276</v>
      </c>
      <c r="D1098" s="17">
        <f>SUMIFS(ShadowLedger!$D:$D,ShadowLedger!$G:$G,A1098,ShadowLedger!$C:$C,"&gt;="&amp;DATE(LEFT(SUBSTITUTE(C1098,"'",""),4),MID(SUBSTITUTE(C1098,"'",""),6,2),1),ShadowLedger!$C:$C,"&lt;"&amp;EOMONTH(DATE(LEFT(SUBSTITUTE(C1098,"'",""),4),MID(SUBSTITUTE(C1098,"'",""),6,2),1),0)+1)</f>
        <v>0</v>
      </c>
      <c r="E1098" s="17">
        <f t="shared" si="1"/>
        <v>139</v>
      </c>
      <c r="F1098" s="17">
        <f t="shared" si="2"/>
        <v>0</v>
      </c>
    </row>
    <row r="1099">
      <c r="A1099" s="5" t="s">
        <v>63</v>
      </c>
      <c r="B1099" s="6">
        <v>116.0</v>
      </c>
      <c r="C1099" s="13" t="s">
        <v>276</v>
      </c>
      <c r="D1099" s="17">
        <f>SUMIFS(ShadowLedger!$D:$D,ShadowLedger!$G:$G,A1099,ShadowLedger!$C:$C,"&gt;="&amp;DATE(LEFT(SUBSTITUTE(C1099,"'",""),4),MID(SUBSTITUTE(C1099,"'",""),6,2),1),ShadowLedger!$C:$C,"&lt;"&amp;EOMONTH(DATE(LEFT(SUBSTITUTE(C1099,"'",""),4),MID(SUBSTITUTE(C1099,"'",""),6,2),1),0)+1)</f>
        <v>0</v>
      </c>
      <c r="E1099" s="17">
        <f t="shared" si="1"/>
        <v>116</v>
      </c>
      <c r="F1099" s="17">
        <f t="shared" si="2"/>
        <v>0</v>
      </c>
    </row>
    <row r="1100">
      <c r="A1100" s="5" t="s">
        <v>64</v>
      </c>
      <c r="B1100" s="6">
        <v>116.0</v>
      </c>
      <c r="C1100" s="13" t="s">
        <v>276</v>
      </c>
      <c r="D1100" s="17">
        <f>SUMIFS(ShadowLedger!$D:$D,ShadowLedger!$G:$G,A1100,ShadowLedger!$C:$C,"&gt;="&amp;DATE(LEFT(SUBSTITUTE(C1100,"'",""),4),MID(SUBSTITUTE(C1100,"'",""),6,2),1),ShadowLedger!$C:$C,"&lt;"&amp;EOMONTH(DATE(LEFT(SUBSTITUTE(C1100,"'",""),4),MID(SUBSTITUTE(C1100,"'",""),6,2),1),0)+1)</f>
        <v>0</v>
      </c>
      <c r="E1100" s="17">
        <f t="shared" si="1"/>
        <v>116</v>
      </c>
      <c r="F1100" s="17">
        <f t="shared" si="2"/>
        <v>0</v>
      </c>
    </row>
    <row r="1101">
      <c r="A1101" s="5" t="s">
        <v>70</v>
      </c>
      <c r="B1101" s="6">
        <v>116.0</v>
      </c>
      <c r="C1101" s="13" t="s">
        <v>276</v>
      </c>
      <c r="D1101" s="17">
        <f>SUMIFS(ShadowLedger!$D:$D,ShadowLedger!$G:$G,A1101,ShadowLedger!$C:$C,"&gt;="&amp;DATE(LEFT(SUBSTITUTE(C1101,"'",""),4),MID(SUBSTITUTE(C1101,"'",""),6,2),1),ShadowLedger!$C:$C,"&lt;"&amp;EOMONTH(DATE(LEFT(SUBSTITUTE(C1101,"'",""),4),MID(SUBSTITUTE(C1101,"'",""),6,2),1),0)+1)</f>
        <v>0</v>
      </c>
      <c r="E1101" s="17">
        <f t="shared" si="1"/>
        <v>116</v>
      </c>
      <c r="F1101" s="17">
        <f t="shared" si="2"/>
        <v>0</v>
      </c>
    </row>
    <row r="1102">
      <c r="A1102" s="5" t="s">
        <v>65</v>
      </c>
      <c r="B1102" s="6">
        <v>58.0</v>
      </c>
      <c r="C1102" s="13" t="s">
        <v>276</v>
      </c>
      <c r="D1102" s="17">
        <f>SUMIFS(ShadowLedger!$D:$D,ShadowLedger!$G:$G,A1102,ShadowLedger!$C:$C,"&gt;="&amp;DATE(LEFT(SUBSTITUTE(C1102,"'",""),4),MID(SUBSTITUTE(C1102,"'",""),6,2),1),ShadowLedger!$C:$C,"&lt;"&amp;EOMONTH(DATE(LEFT(SUBSTITUTE(C1102,"'",""),4),MID(SUBSTITUTE(C1102,"'",""),6,2),1),0)+1)</f>
        <v>0</v>
      </c>
      <c r="E1102" s="17">
        <f t="shared" si="1"/>
        <v>58</v>
      </c>
      <c r="F1102" s="17">
        <f t="shared" si="2"/>
        <v>0</v>
      </c>
    </row>
    <row r="1103">
      <c r="A1103" s="5" t="s">
        <v>66</v>
      </c>
      <c r="B1103" s="6">
        <v>58.0</v>
      </c>
      <c r="C1103" s="13" t="s">
        <v>276</v>
      </c>
      <c r="D1103" s="17">
        <f>SUMIFS(ShadowLedger!$D:$D,ShadowLedger!$G:$G,A1103,ShadowLedger!$C:$C,"&gt;="&amp;DATE(LEFT(SUBSTITUTE(C1103,"'",""),4),MID(SUBSTITUTE(C1103,"'",""),6,2),1),ShadowLedger!$C:$C,"&lt;"&amp;EOMONTH(DATE(LEFT(SUBSTITUTE(C1103,"'",""),4),MID(SUBSTITUTE(C1103,"'",""),6,2),1),0)+1)</f>
        <v>0</v>
      </c>
      <c r="E1103" s="17">
        <f t="shared" si="1"/>
        <v>58</v>
      </c>
      <c r="F1103" s="17">
        <f t="shared" si="2"/>
        <v>0</v>
      </c>
    </row>
    <row r="1104">
      <c r="A1104" s="5" t="s">
        <v>67</v>
      </c>
      <c r="B1104" s="6">
        <v>58.0</v>
      </c>
      <c r="C1104" s="13" t="s">
        <v>276</v>
      </c>
      <c r="D1104" s="17">
        <f>SUMIFS(ShadowLedger!$D:$D,ShadowLedger!$G:$G,A1104,ShadowLedger!$C:$C,"&gt;="&amp;DATE(LEFT(SUBSTITUTE(C1104,"'",""),4),MID(SUBSTITUTE(C1104,"'",""),6,2),1),ShadowLedger!$C:$C,"&lt;"&amp;EOMONTH(DATE(LEFT(SUBSTITUTE(C1104,"'",""),4),MID(SUBSTITUTE(C1104,"'",""),6,2),1),0)+1)</f>
        <v>0</v>
      </c>
      <c r="E1104" s="17">
        <f t="shared" si="1"/>
        <v>58</v>
      </c>
      <c r="F1104" s="17">
        <f t="shared" si="2"/>
        <v>0</v>
      </c>
    </row>
    <row r="1105">
      <c r="A1105" s="5" t="s">
        <v>68</v>
      </c>
      <c r="B1105" s="6">
        <v>58.0</v>
      </c>
      <c r="C1105" s="13" t="s">
        <v>276</v>
      </c>
      <c r="D1105" s="17">
        <f>SUMIFS(ShadowLedger!$D:$D,ShadowLedger!$G:$G,A1105,ShadowLedger!$C:$C,"&gt;="&amp;DATE(LEFT(SUBSTITUTE(C1105,"'",""),4),MID(SUBSTITUTE(C1105,"'",""),6,2),1),ShadowLedger!$C:$C,"&lt;"&amp;EOMONTH(DATE(LEFT(SUBSTITUTE(C1105,"'",""),4),MID(SUBSTITUTE(C1105,"'",""),6,2),1),0)+1)</f>
        <v>0</v>
      </c>
      <c r="E1105" s="17">
        <f t="shared" si="1"/>
        <v>58</v>
      </c>
      <c r="F1105" s="17">
        <f t="shared" si="2"/>
        <v>0</v>
      </c>
    </row>
    <row r="1106">
      <c r="A1106" s="5" t="s">
        <v>69</v>
      </c>
      <c r="B1106" s="6">
        <v>0.0</v>
      </c>
      <c r="C1106" s="13" t="s">
        <v>276</v>
      </c>
      <c r="D1106" s="17">
        <f>SUMIFS(ShadowLedger!$D:$D,ShadowLedger!$G:$G,A1106,ShadowLedger!$C:$C,"&gt;="&amp;DATE(LEFT(SUBSTITUTE(C1106,"'",""),4),MID(SUBSTITUTE(C1106,"'",""),6,2),1),ShadowLedger!$C:$C,"&lt;"&amp;EOMONTH(DATE(LEFT(SUBSTITUTE(C1106,"'",""),4),MID(SUBSTITUTE(C1106,"'",""),6,2),1),0)+1)</f>
        <v>0</v>
      </c>
      <c r="E1106" s="17">
        <f t="shared" si="1"/>
        <v>0</v>
      </c>
      <c r="F1106" s="17">
        <f t="shared" si="2"/>
        <v>0</v>
      </c>
    </row>
    <row r="1107">
      <c r="A1107" s="5" t="s">
        <v>54</v>
      </c>
      <c r="B1107" s="6">
        <v>1067.0</v>
      </c>
      <c r="C1107" s="13" t="s">
        <v>277</v>
      </c>
      <c r="D1107" s="17">
        <f>SUMIFS(ShadowLedger!$D:$D,ShadowLedger!$G:$G,A1107,ShadowLedger!$C:$C,"&gt;="&amp;DATE(LEFT(SUBSTITUTE(C1107,"'",""),4),MID(SUBSTITUTE(C1107,"'",""),6,2),1),ShadowLedger!$C:$C,"&lt;"&amp;EOMONTH(DATE(LEFT(SUBSTITUTE(C1107,"'",""),4),MID(SUBSTITUTE(C1107,"'",""),6,2),1),0)+1)</f>
        <v>0</v>
      </c>
      <c r="E1107" s="17">
        <f t="shared" si="1"/>
        <v>1067</v>
      </c>
      <c r="F1107" s="17">
        <f t="shared" si="2"/>
        <v>0</v>
      </c>
    </row>
    <row r="1108">
      <c r="A1108" s="5" t="s">
        <v>55</v>
      </c>
      <c r="B1108" s="6">
        <v>811.0</v>
      </c>
      <c r="C1108" s="13" t="s">
        <v>277</v>
      </c>
      <c r="D1108" s="17">
        <f>SUMIFS(ShadowLedger!$D:$D,ShadowLedger!$G:$G,A1108,ShadowLedger!$C:$C,"&gt;="&amp;DATE(LEFT(SUBSTITUTE(C1108,"'",""),4),MID(SUBSTITUTE(C1108,"'",""),6,2),1),ShadowLedger!$C:$C,"&lt;"&amp;EOMONTH(DATE(LEFT(SUBSTITUTE(C1108,"'",""),4),MID(SUBSTITUTE(C1108,"'",""),6,2),1),0)+1)</f>
        <v>0</v>
      </c>
      <c r="E1108" s="17">
        <f t="shared" si="1"/>
        <v>811</v>
      </c>
      <c r="F1108" s="17">
        <f t="shared" si="2"/>
        <v>0</v>
      </c>
    </row>
    <row r="1109">
      <c r="A1109" s="5" t="s">
        <v>56</v>
      </c>
      <c r="B1109" s="6">
        <v>580.0</v>
      </c>
      <c r="C1109" s="13" t="s">
        <v>277</v>
      </c>
      <c r="D1109" s="17">
        <f>SUMIFS(ShadowLedger!$D:$D,ShadowLedger!$G:$G,A1109,ShadowLedger!$C:$C,"&gt;="&amp;DATE(LEFT(SUBSTITUTE(C1109,"'",""),4),MID(SUBSTITUTE(C1109,"'",""),6,2),1),ShadowLedger!$C:$C,"&lt;"&amp;EOMONTH(DATE(LEFT(SUBSTITUTE(C1109,"'",""),4),MID(SUBSTITUTE(C1109,"'",""),6,2),1),0)+1)</f>
        <v>0</v>
      </c>
      <c r="E1109" s="17">
        <f t="shared" si="1"/>
        <v>580</v>
      </c>
      <c r="F1109" s="17">
        <f t="shared" si="2"/>
        <v>0</v>
      </c>
    </row>
    <row r="1110">
      <c r="A1110" s="5" t="s">
        <v>57</v>
      </c>
      <c r="B1110" s="6">
        <v>580.0</v>
      </c>
      <c r="C1110" s="13" t="s">
        <v>277</v>
      </c>
      <c r="D1110" s="17">
        <f>SUMIFS(ShadowLedger!$D:$D,ShadowLedger!$G:$G,A1110,ShadowLedger!$C:$C,"&gt;="&amp;DATE(LEFT(SUBSTITUTE(C1110,"'",""),4),MID(SUBSTITUTE(C1110,"'",""),6,2),1),ShadowLedger!$C:$C,"&lt;"&amp;EOMONTH(DATE(LEFT(SUBSTITUTE(C1110,"'",""),4),MID(SUBSTITUTE(C1110,"'",""),6,2),1),0)+1)</f>
        <v>0</v>
      </c>
      <c r="E1110" s="17">
        <f t="shared" si="1"/>
        <v>580</v>
      </c>
      <c r="F1110" s="17">
        <f t="shared" si="2"/>
        <v>0</v>
      </c>
    </row>
    <row r="1111">
      <c r="A1111" s="5" t="s">
        <v>58</v>
      </c>
      <c r="B1111" s="6">
        <v>464.0</v>
      </c>
      <c r="C1111" s="13" t="s">
        <v>277</v>
      </c>
      <c r="D1111" s="17">
        <f>SUMIFS(ShadowLedger!$D:$D,ShadowLedger!$G:$G,A1111,ShadowLedger!$C:$C,"&gt;="&amp;DATE(LEFT(SUBSTITUTE(C1111,"'",""),4),MID(SUBSTITUTE(C1111,"'",""),6,2),1),ShadowLedger!$C:$C,"&lt;"&amp;EOMONTH(DATE(LEFT(SUBSTITUTE(C1111,"'",""),4),MID(SUBSTITUTE(C1111,"'",""),6,2),1),0)+1)</f>
        <v>0</v>
      </c>
      <c r="E1111" s="17">
        <f t="shared" si="1"/>
        <v>464</v>
      </c>
      <c r="F1111" s="17">
        <f t="shared" si="2"/>
        <v>0</v>
      </c>
    </row>
    <row r="1112">
      <c r="A1112" s="5" t="s">
        <v>59</v>
      </c>
      <c r="B1112" s="6">
        <v>232.0</v>
      </c>
      <c r="C1112" s="13" t="s">
        <v>277</v>
      </c>
      <c r="D1112" s="17">
        <f>SUMIFS(ShadowLedger!$D:$D,ShadowLedger!$G:$G,A1112,ShadowLedger!$C:$C,"&gt;="&amp;DATE(LEFT(SUBSTITUTE(C1112,"'",""),4),MID(SUBSTITUTE(C1112,"'",""),6,2),1),ShadowLedger!$C:$C,"&lt;"&amp;EOMONTH(DATE(LEFT(SUBSTITUTE(C1112,"'",""),4),MID(SUBSTITUTE(C1112,"'",""),6,2),1),0)+1)</f>
        <v>0</v>
      </c>
      <c r="E1112" s="17">
        <f t="shared" si="1"/>
        <v>232</v>
      </c>
      <c r="F1112" s="17">
        <f t="shared" si="2"/>
        <v>0</v>
      </c>
    </row>
    <row r="1113">
      <c r="A1113" s="5" t="s">
        <v>60</v>
      </c>
      <c r="B1113" s="6">
        <v>174.0</v>
      </c>
      <c r="C1113" s="13" t="s">
        <v>277</v>
      </c>
      <c r="D1113" s="17">
        <f>SUMIFS(ShadowLedger!$D:$D,ShadowLedger!$G:$G,A1113,ShadowLedger!$C:$C,"&gt;="&amp;DATE(LEFT(SUBSTITUTE(C1113,"'",""),4),MID(SUBSTITUTE(C1113,"'",""),6,2),1),ShadowLedger!$C:$C,"&lt;"&amp;EOMONTH(DATE(LEFT(SUBSTITUTE(C1113,"'",""),4),MID(SUBSTITUTE(C1113,"'",""),6,2),1),0)+1)</f>
        <v>0</v>
      </c>
      <c r="E1113" s="17">
        <f t="shared" si="1"/>
        <v>174</v>
      </c>
      <c r="F1113" s="17">
        <f t="shared" si="2"/>
        <v>0</v>
      </c>
    </row>
    <row r="1114">
      <c r="A1114" s="5" t="s">
        <v>61</v>
      </c>
      <c r="B1114" s="6">
        <v>139.0</v>
      </c>
      <c r="C1114" s="13" t="s">
        <v>277</v>
      </c>
      <c r="D1114" s="17">
        <f>SUMIFS(ShadowLedger!$D:$D,ShadowLedger!$G:$G,A1114,ShadowLedger!$C:$C,"&gt;="&amp;DATE(LEFT(SUBSTITUTE(C1114,"'",""),4),MID(SUBSTITUTE(C1114,"'",""),6,2),1),ShadowLedger!$C:$C,"&lt;"&amp;EOMONTH(DATE(LEFT(SUBSTITUTE(C1114,"'",""),4),MID(SUBSTITUTE(C1114,"'",""),6,2),1),0)+1)</f>
        <v>0</v>
      </c>
      <c r="E1114" s="17">
        <f t="shared" si="1"/>
        <v>139</v>
      </c>
      <c r="F1114" s="17">
        <f t="shared" si="2"/>
        <v>0</v>
      </c>
    </row>
    <row r="1115">
      <c r="A1115" s="5" t="s">
        <v>62</v>
      </c>
      <c r="B1115" s="6">
        <v>139.0</v>
      </c>
      <c r="C1115" s="13" t="s">
        <v>277</v>
      </c>
      <c r="D1115" s="17">
        <f>SUMIFS(ShadowLedger!$D:$D,ShadowLedger!$G:$G,A1115,ShadowLedger!$C:$C,"&gt;="&amp;DATE(LEFT(SUBSTITUTE(C1115,"'",""),4),MID(SUBSTITUTE(C1115,"'",""),6,2),1),ShadowLedger!$C:$C,"&lt;"&amp;EOMONTH(DATE(LEFT(SUBSTITUTE(C1115,"'",""),4),MID(SUBSTITUTE(C1115,"'",""),6,2),1),0)+1)</f>
        <v>0</v>
      </c>
      <c r="E1115" s="17">
        <f t="shared" si="1"/>
        <v>139</v>
      </c>
      <c r="F1115" s="17">
        <f t="shared" si="2"/>
        <v>0</v>
      </c>
    </row>
    <row r="1116">
      <c r="A1116" s="5" t="s">
        <v>63</v>
      </c>
      <c r="B1116" s="6">
        <v>116.0</v>
      </c>
      <c r="C1116" s="13" t="s">
        <v>277</v>
      </c>
      <c r="D1116" s="17">
        <f>SUMIFS(ShadowLedger!$D:$D,ShadowLedger!$G:$G,A1116,ShadowLedger!$C:$C,"&gt;="&amp;DATE(LEFT(SUBSTITUTE(C1116,"'",""),4),MID(SUBSTITUTE(C1116,"'",""),6,2),1),ShadowLedger!$C:$C,"&lt;"&amp;EOMONTH(DATE(LEFT(SUBSTITUTE(C1116,"'",""),4),MID(SUBSTITUTE(C1116,"'",""),6,2),1),0)+1)</f>
        <v>0</v>
      </c>
      <c r="E1116" s="17">
        <f t="shared" si="1"/>
        <v>116</v>
      </c>
      <c r="F1116" s="17">
        <f t="shared" si="2"/>
        <v>0</v>
      </c>
    </row>
    <row r="1117">
      <c r="A1117" s="5" t="s">
        <v>64</v>
      </c>
      <c r="B1117" s="6">
        <v>116.0</v>
      </c>
      <c r="C1117" s="13" t="s">
        <v>277</v>
      </c>
      <c r="D1117" s="17">
        <f>SUMIFS(ShadowLedger!$D:$D,ShadowLedger!$G:$G,A1117,ShadowLedger!$C:$C,"&gt;="&amp;DATE(LEFT(SUBSTITUTE(C1117,"'",""),4),MID(SUBSTITUTE(C1117,"'",""),6,2),1),ShadowLedger!$C:$C,"&lt;"&amp;EOMONTH(DATE(LEFT(SUBSTITUTE(C1117,"'",""),4),MID(SUBSTITUTE(C1117,"'",""),6,2),1),0)+1)</f>
        <v>0</v>
      </c>
      <c r="E1117" s="17">
        <f t="shared" si="1"/>
        <v>116</v>
      </c>
      <c r="F1117" s="17">
        <f t="shared" si="2"/>
        <v>0</v>
      </c>
    </row>
    <row r="1118">
      <c r="A1118" s="5" t="s">
        <v>70</v>
      </c>
      <c r="B1118" s="6">
        <v>116.0</v>
      </c>
      <c r="C1118" s="13" t="s">
        <v>277</v>
      </c>
      <c r="D1118" s="17">
        <f>SUMIFS(ShadowLedger!$D:$D,ShadowLedger!$G:$G,A1118,ShadowLedger!$C:$C,"&gt;="&amp;DATE(LEFT(SUBSTITUTE(C1118,"'",""),4),MID(SUBSTITUTE(C1118,"'",""),6,2),1),ShadowLedger!$C:$C,"&lt;"&amp;EOMONTH(DATE(LEFT(SUBSTITUTE(C1118,"'",""),4),MID(SUBSTITUTE(C1118,"'",""),6,2),1),0)+1)</f>
        <v>0</v>
      </c>
      <c r="E1118" s="17">
        <f t="shared" si="1"/>
        <v>116</v>
      </c>
      <c r="F1118" s="17">
        <f t="shared" si="2"/>
        <v>0</v>
      </c>
    </row>
    <row r="1119">
      <c r="A1119" s="5" t="s">
        <v>65</v>
      </c>
      <c r="B1119" s="6">
        <v>58.0</v>
      </c>
      <c r="C1119" s="13" t="s">
        <v>277</v>
      </c>
      <c r="D1119" s="17">
        <f>SUMIFS(ShadowLedger!$D:$D,ShadowLedger!$G:$G,A1119,ShadowLedger!$C:$C,"&gt;="&amp;DATE(LEFT(SUBSTITUTE(C1119,"'",""),4),MID(SUBSTITUTE(C1119,"'",""),6,2),1),ShadowLedger!$C:$C,"&lt;"&amp;EOMONTH(DATE(LEFT(SUBSTITUTE(C1119,"'",""),4),MID(SUBSTITUTE(C1119,"'",""),6,2),1),0)+1)</f>
        <v>0</v>
      </c>
      <c r="E1119" s="17">
        <f t="shared" si="1"/>
        <v>58</v>
      </c>
      <c r="F1119" s="17">
        <f t="shared" si="2"/>
        <v>0</v>
      </c>
    </row>
    <row r="1120">
      <c r="A1120" s="5" t="s">
        <v>66</v>
      </c>
      <c r="B1120" s="6">
        <v>58.0</v>
      </c>
      <c r="C1120" s="13" t="s">
        <v>277</v>
      </c>
      <c r="D1120" s="17">
        <f>SUMIFS(ShadowLedger!$D:$D,ShadowLedger!$G:$G,A1120,ShadowLedger!$C:$C,"&gt;="&amp;DATE(LEFT(SUBSTITUTE(C1120,"'",""),4),MID(SUBSTITUTE(C1120,"'",""),6,2),1),ShadowLedger!$C:$C,"&lt;"&amp;EOMONTH(DATE(LEFT(SUBSTITUTE(C1120,"'",""),4),MID(SUBSTITUTE(C1120,"'",""),6,2),1),0)+1)</f>
        <v>0</v>
      </c>
      <c r="E1120" s="17">
        <f t="shared" si="1"/>
        <v>58</v>
      </c>
      <c r="F1120" s="17">
        <f t="shared" si="2"/>
        <v>0</v>
      </c>
    </row>
    <row r="1121">
      <c r="A1121" s="5" t="s">
        <v>67</v>
      </c>
      <c r="B1121" s="6">
        <v>58.0</v>
      </c>
      <c r="C1121" s="13" t="s">
        <v>277</v>
      </c>
      <c r="D1121" s="17">
        <f>SUMIFS(ShadowLedger!$D:$D,ShadowLedger!$G:$G,A1121,ShadowLedger!$C:$C,"&gt;="&amp;DATE(LEFT(SUBSTITUTE(C1121,"'",""),4),MID(SUBSTITUTE(C1121,"'",""),6,2),1),ShadowLedger!$C:$C,"&lt;"&amp;EOMONTH(DATE(LEFT(SUBSTITUTE(C1121,"'",""),4),MID(SUBSTITUTE(C1121,"'",""),6,2),1),0)+1)</f>
        <v>0</v>
      </c>
      <c r="E1121" s="17">
        <f t="shared" si="1"/>
        <v>58</v>
      </c>
      <c r="F1121" s="17">
        <f t="shared" si="2"/>
        <v>0</v>
      </c>
    </row>
    <row r="1122">
      <c r="A1122" s="5" t="s">
        <v>68</v>
      </c>
      <c r="B1122" s="6">
        <v>58.0</v>
      </c>
      <c r="C1122" s="13" t="s">
        <v>277</v>
      </c>
      <c r="D1122" s="17">
        <f>SUMIFS(ShadowLedger!$D:$D,ShadowLedger!$G:$G,A1122,ShadowLedger!$C:$C,"&gt;="&amp;DATE(LEFT(SUBSTITUTE(C1122,"'",""),4),MID(SUBSTITUTE(C1122,"'",""),6,2),1),ShadowLedger!$C:$C,"&lt;"&amp;EOMONTH(DATE(LEFT(SUBSTITUTE(C1122,"'",""),4),MID(SUBSTITUTE(C1122,"'",""),6,2),1),0)+1)</f>
        <v>0</v>
      </c>
      <c r="E1122" s="17">
        <f t="shared" si="1"/>
        <v>58</v>
      </c>
      <c r="F1122" s="17">
        <f t="shared" si="2"/>
        <v>0</v>
      </c>
    </row>
    <row r="1123">
      <c r="A1123" s="5" t="s">
        <v>69</v>
      </c>
      <c r="B1123" s="6">
        <v>0.0</v>
      </c>
      <c r="C1123" s="13" t="s">
        <v>277</v>
      </c>
      <c r="D1123" s="17">
        <f>SUMIFS(ShadowLedger!$D:$D,ShadowLedger!$G:$G,A1123,ShadowLedger!$C:$C,"&gt;="&amp;DATE(LEFT(SUBSTITUTE(C1123,"'",""),4),MID(SUBSTITUTE(C1123,"'",""),6,2),1),ShadowLedger!$C:$C,"&lt;"&amp;EOMONTH(DATE(LEFT(SUBSTITUTE(C1123,"'",""),4),MID(SUBSTITUTE(C1123,"'",""),6,2),1),0)+1)</f>
        <v>0</v>
      </c>
      <c r="E1123" s="17">
        <f t="shared" si="1"/>
        <v>0</v>
      </c>
      <c r="F1123" s="17">
        <f t="shared" si="2"/>
        <v>0</v>
      </c>
    </row>
    <row r="1124">
      <c r="A1124" s="5" t="s">
        <v>54</v>
      </c>
      <c r="B1124" s="6">
        <v>1067.0</v>
      </c>
      <c r="C1124" s="13" t="s">
        <v>278</v>
      </c>
      <c r="D1124" s="17">
        <f>SUMIFS(ShadowLedger!$D:$D,ShadowLedger!$G:$G,A1124,ShadowLedger!$C:$C,"&gt;="&amp;DATE(LEFT(SUBSTITUTE(C1124,"'",""),4),MID(SUBSTITUTE(C1124,"'",""),6,2),1),ShadowLedger!$C:$C,"&lt;"&amp;EOMONTH(DATE(LEFT(SUBSTITUTE(C1124,"'",""),4),MID(SUBSTITUTE(C1124,"'",""),6,2),1),0)+1)</f>
        <v>0</v>
      </c>
      <c r="E1124" s="17">
        <f t="shared" si="1"/>
        <v>1067</v>
      </c>
      <c r="F1124" s="17">
        <f t="shared" si="2"/>
        <v>0</v>
      </c>
    </row>
    <row r="1125">
      <c r="A1125" s="5" t="s">
        <v>55</v>
      </c>
      <c r="B1125" s="6">
        <v>811.0</v>
      </c>
      <c r="C1125" s="13" t="s">
        <v>278</v>
      </c>
      <c r="D1125" s="17">
        <f>SUMIFS(ShadowLedger!$D:$D,ShadowLedger!$G:$G,A1125,ShadowLedger!$C:$C,"&gt;="&amp;DATE(LEFT(SUBSTITUTE(C1125,"'",""),4),MID(SUBSTITUTE(C1125,"'",""),6,2),1),ShadowLedger!$C:$C,"&lt;"&amp;EOMONTH(DATE(LEFT(SUBSTITUTE(C1125,"'",""),4),MID(SUBSTITUTE(C1125,"'",""),6,2),1),0)+1)</f>
        <v>0</v>
      </c>
      <c r="E1125" s="17">
        <f t="shared" si="1"/>
        <v>811</v>
      </c>
      <c r="F1125" s="17">
        <f t="shared" si="2"/>
        <v>0</v>
      </c>
    </row>
    <row r="1126">
      <c r="A1126" s="5" t="s">
        <v>56</v>
      </c>
      <c r="B1126" s="6">
        <v>580.0</v>
      </c>
      <c r="C1126" s="13" t="s">
        <v>278</v>
      </c>
      <c r="D1126" s="17">
        <f>SUMIFS(ShadowLedger!$D:$D,ShadowLedger!$G:$G,A1126,ShadowLedger!$C:$C,"&gt;="&amp;DATE(LEFT(SUBSTITUTE(C1126,"'",""),4),MID(SUBSTITUTE(C1126,"'",""),6,2),1),ShadowLedger!$C:$C,"&lt;"&amp;EOMONTH(DATE(LEFT(SUBSTITUTE(C1126,"'",""),4),MID(SUBSTITUTE(C1126,"'",""),6,2),1),0)+1)</f>
        <v>0</v>
      </c>
      <c r="E1126" s="17">
        <f t="shared" si="1"/>
        <v>580</v>
      </c>
      <c r="F1126" s="17">
        <f t="shared" si="2"/>
        <v>0</v>
      </c>
    </row>
    <row r="1127">
      <c r="A1127" s="5" t="s">
        <v>57</v>
      </c>
      <c r="B1127" s="6">
        <v>580.0</v>
      </c>
      <c r="C1127" s="13" t="s">
        <v>278</v>
      </c>
      <c r="D1127" s="17">
        <f>SUMIFS(ShadowLedger!$D:$D,ShadowLedger!$G:$G,A1127,ShadowLedger!$C:$C,"&gt;="&amp;DATE(LEFT(SUBSTITUTE(C1127,"'",""),4),MID(SUBSTITUTE(C1127,"'",""),6,2),1),ShadowLedger!$C:$C,"&lt;"&amp;EOMONTH(DATE(LEFT(SUBSTITUTE(C1127,"'",""),4),MID(SUBSTITUTE(C1127,"'",""),6,2),1),0)+1)</f>
        <v>0</v>
      </c>
      <c r="E1127" s="17">
        <f t="shared" si="1"/>
        <v>580</v>
      </c>
      <c r="F1127" s="17">
        <f t="shared" si="2"/>
        <v>0</v>
      </c>
    </row>
    <row r="1128">
      <c r="A1128" s="5" t="s">
        <v>58</v>
      </c>
      <c r="B1128" s="6">
        <v>464.0</v>
      </c>
      <c r="C1128" s="13" t="s">
        <v>278</v>
      </c>
      <c r="D1128" s="17">
        <f>SUMIFS(ShadowLedger!$D:$D,ShadowLedger!$G:$G,A1128,ShadowLedger!$C:$C,"&gt;="&amp;DATE(LEFT(SUBSTITUTE(C1128,"'",""),4),MID(SUBSTITUTE(C1128,"'",""),6,2),1),ShadowLedger!$C:$C,"&lt;"&amp;EOMONTH(DATE(LEFT(SUBSTITUTE(C1128,"'",""),4),MID(SUBSTITUTE(C1128,"'",""),6,2),1),0)+1)</f>
        <v>0</v>
      </c>
      <c r="E1128" s="17">
        <f t="shared" si="1"/>
        <v>464</v>
      </c>
      <c r="F1128" s="17">
        <f t="shared" si="2"/>
        <v>0</v>
      </c>
    </row>
    <row r="1129">
      <c r="A1129" s="5" t="s">
        <v>59</v>
      </c>
      <c r="B1129" s="6">
        <v>232.0</v>
      </c>
      <c r="C1129" s="13" t="s">
        <v>278</v>
      </c>
      <c r="D1129" s="17">
        <f>SUMIFS(ShadowLedger!$D:$D,ShadowLedger!$G:$G,A1129,ShadowLedger!$C:$C,"&gt;="&amp;DATE(LEFT(SUBSTITUTE(C1129,"'",""),4),MID(SUBSTITUTE(C1129,"'",""),6,2),1),ShadowLedger!$C:$C,"&lt;"&amp;EOMONTH(DATE(LEFT(SUBSTITUTE(C1129,"'",""),4),MID(SUBSTITUTE(C1129,"'",""),6,2),1),0)+1)</f>
        <v>0</v>
      </c>
      <c r="E1129" s="17">
        <f t="shared" si="1"/>
        <v>232</v>
      </c>
      <c r="F1129" s="17">
        <f t="shared" si="2"/>
        <v>0</v>
      </c>
    </row>
    <row r="1130">
      <c r="A1130" s="5" t="s">
        <v>60</v>
      </c>
      <c r="B1130" s="6">
        <v>174.0</v>
      </c>
      <c r="C1130" s="13" t="s">
        <v>278</v>
      </c>
      <c r="D1130" s="17">
        <f>SUMIFS(ShadowLedger!$D:$D,ShadowLedger!$G:$G,A1130,ShadowLedger!$C:$C,"&gt;="&amp;DATE(LEFT(SUBSTITUTE(C1130,"'",""),4),MID(SUBSTITUTE(C1130,"'",""),6,2),1),ShadowLedger!$C:$C,"&lt;"&amp;EOMONTH(DATE(LEFT(SUBSTITUTE(C1130,"'",""),4),MID(SUBSTITUTE(C1130,"'",""),6,2),1),0)+1)</f>
        <v>0</v>
      </c>
      <c r="E1130" s="17">
        <f t="shared" si="1"/>
        <v>174</v>
      </c>
      <c r="F1130" s="17">
        <f t="shared" si="2"/>
        <v>0</v>
      </c>
    </row>
    <row r="1131">
      <c r="A1131" s="5" t="s">
        <v>61</v>
      </c>
      <c r="B1131" s="6">
        <v>139.0</v>
      </c>
      <c r="C1131" s="13" t="s">
        <v>278</v>
      </c>
      <c r="D1131" s="17">
        <f>SUMIFS(ShadowLedger!$D:$D,ShadowLedger!$G:$G,A1131,ShadowLedger!$C:$C,"&gt;="&amp;DATE(LEFT(SUBSTITUTE(C1131,"'",""),4),MID(SUBSTITUTE(C1131,"'",""),6,2),1),ShadowLedger!$C:$C,"&lt;"&amp;EOMONTH(DATE(LEFT(SUBSTITUTE(C1131,"'",""),4),MID(SUBSTITUTE(C1131,"'",""),6,2),1),0)+1)</f>
        <v>0</v>
      </c>
      <c r="E1131" s="17">
        <f t="shared" si="1"/>
        <v>139</v>
      </c>
      <c r="F1131" s="17">
        <f t="shared" si="2"/>
        <v>0</v>
      </c>
    </row>
    <row r="1132">
      <c r="A1132" s="5" t="s">
        <v>62</v>
      </c>
      <c r="B1132" s="6">
        <v>139.0</v>
      </c>
      <c r="C1132" s="13" t="s">
        <v>278</v>
      </c>
      <c r="D1132" s="17">
        <f>SUMIFS(ShadowLedger!$D:$D,ShadowLedger!$G:$G,A1132,ShadowLedger!$C:$C,"&gt;="&amp;DATE(LEFT(SUBSTITUTE(C1132,"'",""),4),MID(SUBSTITUTE(C1132,"'",""),6,2),1),ShadowLedger!$C:$C,"&lt;"&amp;EOMONTH(DATE(LEFT(SUBSTITUTE(C1132,"'",""),4),MID(SUBSTITUTE(C1132,"'",""),6,2),1),0)+1)</f>
        <v>0</v>
      </c>
      <c r="E1132" s="17">
        <f t="shared" si="1"/>
        <v>139</v>
      </c>
      <c r="F1132" s="17">
        <f t="shared" si="2"/>
        <v>0</v>
      </c>
    </row>
    <row r="1133">
      <c r="A1133" s="5" t="s">
        <v>63</v>
      </c>
      <c r="B1133" s="6">
        <v>116.0</v>
      </c>
      <c r="C1133" s="13" t="s">
        <v>278</v>
      </c>
      <c r="D1133" s="17">
        <f>SUMIFS(ShadowLedger!$D:$D,ShadowLedger!$G:$G,A1133,ShadowLedger!$C:$C,"&gt;="&amp;DATE(LEFT(SUBSTITUTE(C1133,"'",""),4),MID(SUBSTITUTE(C1133,"'",""),6,2),1),ShadowLedger!$C:$C,"&lt;"&amp;EOMONTH(DATE(LEFT(SUBSTITUTE(C1133,"'",""),4),MID(SUBSTITUTE(C1133,"'",""),6,2),1),0)+1)</f>
        <v>0</v>
      </c>
      <c r="E1133" s="17">
        <f t="shared" si="1"/>
        <v>116</v>
      </c>
      <c r="F1133" s="17">
        <f t="shared" si="2"/>
        <v>0</v>
      </c>
    </row>
    <row r="1134">
      <c r="A1134" s="5" t="s">
        <v>64</v>
      </c>
      <c r="B1134" s="6">
        <v>116.0</v>
      </c>
      <c r="C1134" s="13" t="s">
        <v>278</v>
      </c>
      <c r="D1134" s="17">
        <f>SUMIFS(ShadowLedger!$D:$D,ShadowLedger!$G:$G,A1134,ShadowLedger!$C:$C,"&gt;="&amp;DATE(LEFT(SUBSTITUTE(C1134,"'",""),4),MID(SUBSTITUTE(C1134,"'",""),6,2),1),ShadowLedger!$C:$C,"&lt;"&amp;EOMONTH(DATE(LEFT(SUBSTITUTE(C1134,"'",""),4),MID(SUBSTITUTE(C1134,"'",""),6,2),1),0)+1)</f>
        <v>0</v>
      </c>
      <c r="E1134" s="17">
        <f t="shared" si="1"/>
        <v>116</v>
      </c>
      <c r="F1134" s="17">
        <f t="shared" si="2"/>
        <v>0</v>
      </c>
    </row>
    <row r="1135">
      <c r="A1135" s="5" t="s">
        <v>70</v>
      </c>
      <c r="B1135" s="6">
        <v>116.0</v>
      </c>
      <c r="C1135" s="13" t="s">
        <v>278</v>
      </c>
      <c r="D1135" s="17">
        <f>SUMIFS(ShadowLedger!$D:$D,ShadowLedger!$G:$G,A1135,ShadowLedger!$C:$C,"&gt;="&amp;DATE(LEFT(SUBSTITUTE(C1135,"'",""),4),MID(SUBSTITUTE(C1135,"'",""),6,2),1),ShadowLedger!$C:$C,"&lt;"&amp;EOMONTH(DATE(LEFT(SUBSTITUTE(C1135,"'",""),4),MID(SUBSTITUTE(C1135,"'",""),6,2),1),0)+1)</f>
        <v>0</v>
      </c>
      <c r="E1135" s="17">
        <f t="shared" si="1"/>
        <v>116</v>
      </c>
      <c r="F1135" s="17">
        <f t="shared" si="2"/>
        <v>0</v>
      </c>
    </row>
    <row r="1136">
      <c r="A1136" s="5" t="s">
        <v>65</v>
      </c>
      <c r="B1136" s="6">
        <v>58.0</v>
      </c>
      <c r="C1136" s="13" t="s">
        <v>278</v>
      </c>
      <c r="D1136" s="17">
        <f>SUMIFS(ShadowLedger!$D:$D,ShadowLedger!$G:$G,A1136,ShadowLedger!$C:$C,"&gt;="&amp;DATE(LEFT(SUBSTITUTE(C1136,"'",""),4),MID(SUBSTITUTE(C1136,"'",""),6,2),1),ShadowLedger!$C:$C,"&lt;"&amp;EOMONTH(DATE(LEFT(SUBSTITUTE(C1136,"'",""),4),MID(SUBSTITUTE(C1136,"'",""),6,2),1),0)+1)</f>
        <v>0</v>
      </c>
      <c r="E1136" s="17">
        <f t="shared" si="1"/>
        <v>58</v>
      </c>
      <c r="F1136" s="17">
        <f t="shared" si="2"/>
        <v>0</v>
      </c>
    </row>
    <row r="1137">
      <c r="A1137" s="5" t="s">
        <v>66</v>
      </c>
      <c r="B1137" s="6">
        <v>58.0</v>
      </c>
      <c r="C1137" s="13" t="s">
        <v>278</v>
      </c>
      <c r="D1137" s="17">
        <f>SUMIFS(ShadowLedger!$D:$D,ShadowLedger!$G:$G,A1137,ShadowLedger!$C:$C,"&gt;="&amp;DATE(LEFT(SUBSTITUTE(C1137,"'",""),4),MID(SUBSTITUTE(C1137,"'",""),6,2),1),ShadowLedger!$C:$C,"&lt;"&amp;EOMONTH(DATE(LEFT(SUBSTITUTE(C1137,"'",""),4),MID(SUBSTITUTE(C1137,"'",""),6,2),1),0)+1)</f>
        <v>0</v>
      </c>
      <c r="E1137" s="17">
        <f t="shared" si="1"/>
        <v>58</v>
      </c>
      <c r="F1137" s="17">
        <f t="shared" si="2"/>
        <v>0</v>
      </c>
    </row>
    <row r="1138">
      <c r="A1138" s="5" t="s">
        <v>67</v>
      </c>
      <c r="B1138" s="6">
        <v>58.0</v>
      </c>
      <c r="C1138" s="13" t="s">
        <v>278</v>
      </c>
      <c r="D1138" s="17">
        <f>SUMIFS(ShadowLedger!$D:$D,ShadowLedger!$G:$G,A1138,ShadowLedger!$C:$C,"&gt;="&amp;DATE(LEFT(SUBSTITUTE(C1138,"'",""),4),MID(SUBSTITUTE(C1138,"'",""),6,2),1),ShadowLedger!$C:$C,"&lt;"&amp;EOMONTH(DATE(LEFT(SUBSTITUTE(C1138,"'",""),4),MID(SUBSTITUTE(C1138,"'",""),6,2),1),0)+1)</f>
        <v>0</v>
      </c>
      <c r="E1138" s="17">
        <f t="shared" si="1"/>
        <v>58</v>
      </c>
      <c r="F1138" s="17">
        <f t="shared" si="2"/>
        <v>0</v>
      </c>
    </row>
    <row r="1139">
      <c r="A1139" s="5" t="s">
        <v>68</v>
      </c>
      <c r="B1139" s="6">
        <v>58.0</v>
      </c>
      <c r="C1139" s="13" t="s">
        <v>278</v>
      </c>
      <c r="D1139" s="17">
        <f>SUMIFS(ShadowLedger!$D:$D,ShadowLedger!$G:$G,A1139,ShadowLedger!$C:$C,"&gt;="&amp;DATE(LEFT(SUBSTITUTE(C1139,"'",""),4),MID(SUBSTITUTE(C1139,"'",""),6,2),1),ShadowLedger!$C:$C,"&lt;"&amp;EOMONTH(DATE(LEFT(SUBSTITUTE(C1139,"'",""),4),MID(SUBSTITUTE(C1139,"'",""),6,2),1),0)+1)</f>
        <v>0</v>
      </c>
      <c r="E1139" s="17">
        <f t="shared" si="1"/>
        <v>58</v>
      </c>
      <c r="F1139" s="17">
        <f t="shared" si="2"/>
        <v>0</v>
      </c>
    </row>
    <row r="1140">
      <c r="A1140" s="5" t="s">
        <v>69</v>
      </c>
      <c r="B1140" s="6">
        <v>0.0</v>
      </c>
      <c r="C1140" s="13" t="s">
        <v>278</v>
      </c>
      <c r="D1140" s="17">
        <f>SUMIFS(ShadowLedger!$D:$D,ShadowLedger!$G:$G,A1140,ShadowLedger!$C:$C,"&gt;="&amp;DATE(LEFT(SUBSTITUTE(C1140,"'",""),4),MID(SUBSTITUTE(C1140,"'",""),6,2),1),ShadowLedger!$C:$C,"&lt;"&amp;EOMONTH(DATE(LEFT(SUBSTITUTE(C1140,"'",""),4),MID(SUBSTITUTE(C1140,"'",""),6,2),1),0)+1)</f>
        <v>0</v>
      </c>
      <c r="E1140" s="17">
        <f t="shared" si="1"/>
        <v>0</v>
      </c>
      <c r="F1140" s="17">
        <f t="shared" si="2"/>
        <v>0</v>
      </c>
    </row>
    <row r="1141">
      <c r="A1141" s="5" t="s">
        <v>54</v>
      </c>
      <c r="B1141" s="6">
        <v>1067.0</v>
      </c>
      <c r="C1141" s="13" t="s">
        <v>279</v>
      </c>
      <c r="D1141" s="17">
        <f>SUMIFS(ShadowLedger!$D:$D,ShadowLedger!$G:$G,A1141,ShadowLedger!$C:$C,"&gt;="&amp;DATE(LEFT(SUBSTITUTE(C1141,"'",""),4),MID(SUBSTITUTE(C1141,"'",""),6,2),1),ShadowLedger!$C:$C,"&lt;"&amp;EOMONTH(DATE(LEFT(SUBSTITUTE(C1141,"'",""),4),MID(SUBSTITUTE(C1141,"'",""),6,2),1),0)+1)</f>
        <v>0</v>
      </c>
      <c r="E1141" s="17">
        <f t="shared" si="1"/>
        <v>1067</v>
      </c>
      <c r="F1141" s="17">
        <f t="shared" si="2"/>
        <v>0</v>
      </c>
    </row>
    <row r="1142">
      <c r="A1142" s="5" t="s">
        <v>55</v>
      </c>
      <c r="B1142" s="6">
        <v>811.0</v>
      </c>
      <c r="C1142" s="13" t="s">
        <v>279</v>
      </c>
      <c r="D1142" s="17">
        <f>SUMIFS(ShadowLedger!$D:$D,ShadowLedger!$G:$G,A1142,ShadowLedger!$C:$C,"&gt;="&amp;DATE(LEFT(SUBSTITUTE(C1142,"'",""),4),MID(SUBSTITUTE(C1142,"'",""),6,2),1),ShadowLedger!$C:$C,"&lt;"&amp;EOMONTH(DATE(LEFT(SUBSTITUTE(C1142,"'",""),4),MID(SUBSTITUTE(C1142,"'",""),6,2),1),0)+1)</f>
        <v>0</v>
      </c>
      <c r="E1142" s="17">
        <f t="shared" si="1"/>
        <v>811</v>
      </c>
      <c r="F1142" s="17">
        <f t="shared" si="2"/>
        <v>0</v>
      </c>
    </row>
    <row r="1143">
      <c r="A1143" s="5" t="s">
        <v>56</v>
      </c>
      <c r="B1143" s="6">
        <v>580.0</v>
      </c>
      <c r="C1143" s="13" t="s">
        <v>279</v>
      </c>
      <c r="D1143" s="17">
        <f>SUMIFS(ShadowLedger!$D:$D,ShadowLedger!$G:$G,A1143,ShadowLedger!$C:$C,"&gt;="&amp;DATE(LEFT(SUBSTITUTE(C1143,"'",""),4),MID(SUBSTITUTE(C1143,"'",""),6,2),1),ShadowLedger!$C:$C,"&lt;"&amp;EOMONTH(DATE(LEFT(SUBSTITUTE(C1143,"'",""),4),MID(SUBSTITUTE(C1143,"'",""),6,2),1),0)+1)</f>
        <v>0</v>
      </c>
      <c r="E1143" s="17">
        <f t="shared" si="1"/>
        <v>580</v>
      </c>
      <c r="F1143" s="17">
        <f t="shared" si="2"/>
        <v>0</v>
      </c>
    </row>
    <row r="1144">
      <c r="A1144" s="5" t="s">
        <v>57</v>
      </c>
      <c r="B1144" s="6">
        <v>580.0</v>
      </c>
      <c r="C1144" s="13" t="s">
        <v>279</v>
      </c>
      <c r="D1144" s="17">
        <f>SUMIFS(ShadowLedger!$D:$D,ShadowLedger!$G:$G,A1144,ShadowLedger!$C:$C,"&gt;="&amp;DATE(LEFT(SUBSTITUTE(C1144,"'",""),4),MID(SUBSTITUTE(C1144,"'",""),6,2),1),ShadowLedger!$C:$C,"&lt;"&amp;EOMONTH(DATE(LEFT(SUBSTITUTE(C1144,"'",""),4),MID(SUBSTITUTE(C1144,"'",""),6,2),1),0)+1)</f>
        <v>0</v>
      </c>
      <c r="E1144" s="17">
        <f t="shared" si="1"/>
        <v>580</v>
      </c>
      <c r="F1144" s="17">
        <f t="shared" si="2"/>
        <v>0</v>
      </c>
    </row>
    <row r="1145">
      <c r="A1145" s="5" t="s">
        <v>58</v>
      </c>
      <c r="B1145" s="6">
        <v>464.0</v>
      </c>
      <c r="C1145" s="13" t="s">
        <v>279</v>
      </c>
      <c r="D1145" s="17">
        <f>SUMIFS(ShadowLedger!$D:$D,ShadowLedger!$G:$G,A1145,ShadowLedger!$C:$C,"&gt;="&amp;DATE(LEFT(SUBSTITUTE(C1145,"'",""),4),MID(SUBSTITUTE(C1145,"'",""),6,2),1),ShadowLedger!$C:$C,"&lt;"&amp;EOMONTH(DATE(LEFT(SUBSTITUTE(C1145,"'",""),4),MID(SUBSTITUTE(C1145,"'",""),6,2),1),0)+1)</f>
        <v>0</v>
      </c>
      <c r="E1145" s="17">
        <f t="shared" si="1"/>
        <v>464</v>
      </c>
      <c r="F1145" s="17">
        <f t="shared" si="2"/>
        <v>0</v>
      </c>
    </row>
    <row r="1146">
      <c r="A1146" s="5" t="s">
        <v>59</v>
      </c>
      <c r="B1146" s="6">
        <v>232.0</v>
      </c>
      <c r="C1146" s="13" t="s">
        <v>279</v>
      </c>
      <c r="D1146" s="17">
        <f>SUMIFS(ShadowLedger!$D:$D,ShadowLedger!$G:$G,A1146,ShadowLedger!$C:$C,"&gt;="&amp;DATE(LEFT(SUBSTITUTE(C1146,"'",""),4),MID(SUBSTITUTE(C1146,"'",""),6,2),1),ShadowLedger!$C:$C,"&lt;"&amp;EOMONTH(DATE(LEFT(SUBSTITUTE(C1146,"'",""),4),MID(SUBSTITUTE(C1146,"'",""),6,2),1),0)+1)</f>
        <v>0</v>
      </c>
      <c r="E1146" s="17">
        <f t="shared" si="1"/>
        <v>232</v>
      </c>
      <c r="F1146" s="17">
        <f t="shared" si="2"/>
        <v>0</v>
      </c>
    </row>
    <row r="1147">
      <c r="A1147" s="5" t="s">
        <v>60</v>
      </c>
      <c r="B1147" s="6">
        <v>174.0</v>
      </c>
      <c r="C1147" s="13" t="s">
        <v>279</v>
      </c>
      <c r="D1147" s="17">
        <f>SUMIFS(ShadowLedger!$D:$D,ShadowLedger!$G:$G,A1147,ShadowLedger!$C:$C,"&gt;="&amp;DATE(LEFT(SUBSTITUTE(C1147,"'",""),4),MID(SUBSTITUTE(C1147,"'",""),6,2),1),ShadowLedger!$C:$C,"&lt;"&amp;EOMONTH(DATE(LEFT(SUBSTITUTE(C1147,"'",""),4),MID(SUBSTITUTE(C1147,"'",""),6,2),1),0)+1)</f>
        <v>0</v>
      </c>
      <c r="E1147" s="17">
        <f t="shared" si="1"/>
        <v>174</v>
      </c>
      <c r="F1147" s="17">
        <f t="shared" si="2"/>
        <v>0</v>
      </c>
    </row>
    <row r="1148">
      <c r="A1148" s="5" t="s">
        <v>61</v>
      </c>
      <c r="B1148" s="6">
        <v>139.0</v>
      </c>
      <c r="C1148" s="13" t="s">
        <v>279</v>
      </c>
      <c r="D1148" s="17">
        <f>SUMIFS(ShadowLedger!$D:$D,ShadowLedger!$G:$G,A1148,ShadowLedger!$C:$C,"&gt;="&amp;DATE(LEFT(SUBSTITUTE(C1148,"'",""),4),MID(SUBSTITUTE(C1148,"'",""),6,2),1),ShadowLedger!$C:$C,"&lt;"&amp;EOMONTH(DATE(LEFT(SUBSTITUTE(C1148,"'",""),4),MID(SUBSTITUTE(C1148,"'",""),6,2),1),0)+1)</f>
        <v>0</v>
      </c>
      <c r="E1148" s="17">
        <f t="shared" si="1"/>
        <v>139</v>
      </c>
      <c r="F1148" s="17">
        <f t="shared" si="2"/>
        <v>0</v>
      </c>
    </row>
    <row r="1149">
      <c r="A1149" s="5" t="s">
        <v>62</v>
      </c>
      <c r="B1149" s="6">
        <v>139.0</v>
      </c>
      <c r="C1149" s="13" t="s">
        <v>279</v>
      </c>
      <c r="D1149" s="17">
        <f>SUMIFS(ShadowLedger!$D:$D,ShadowLedger!$G:$G,A1149,ShadowLedger!$C:$C,"&gt;="&amp;DATE(LEFT(SUBSTITUTE(C1149,"'",""),4),MID(SUBSTITUTE(C1149,"'",""),6,2),1),ShadowLedger!$C:$C,"&lt;"&amp;EOMONTH(DATE(LEFT(SUBSTITUTE(C1149,"'",""),4),MID(SUBSTITUTE(C1149,"'",""),6,2),1),0)+1)</f>
        <v>0</v>
      </c>
      <c r="E1149" s="17">
        <f t="shared" si="1"/>
        <v>139</v>
      </c>
      <c r="F1149" s="17">
        <f t="shared" si="2"/>
        <v>0</v>
      </c>
    </row>
    <row r="1150">
      <c r="A1150" s="5" t="s">
        <v>63</v>
      </c>
      <c r="B1150" s="6">
        <v>116.0</v>
      </c>
      <c r="C1150" s="13" t="s">
        <v>279</v>
      </c>
      <c r="D1150" s="17">
        <f>SUMIFS(ShadowLedger!$D:$D,ShadowLedger!$G:$G,A1150,ShadowLedger!$C:$C,"&gt;="&amp;DATE(LEFT(SUBSTITUTE(C1150,"'",""),4),MID(SUBSTITUTE(C1150,"'",""),6,2),1),ShadowLedger!$C:$C,"&lt;"&amp;EOMONTH(DATE(LEFT(SUBSTITUTE(C1150,"'",""),4),MID(SUBSTITUTE(C1150,"'",""),6,2),1),0)+1)</f>
        <v>0</v>
      </c>
      <c r="E1150" s="17">
        <f t="shared" si="1"/>
        <v>116</v>
      </c>
      <c r="F1150" s="17">
        <f t="shared" si="2"/>
        <v>0</v>
      </c>
    </row>
    <row r="1151">
      <c r="A1151" s="5" t="s">
        <v>64</v>
      </c>
      <c r="B1151" s="6">
        <v>116.0</v>
      </c>
      <c r="C1151" s="13" t="s">
        <v>279</v>
      </c>
      <c r="D1151" s="17">
        <f>SUMIFS(ShadowLedger!$D:$D,ShadowLedger!$G:$G,A1151,ShadowLedger!$C:$C,"&gt;="&amp;DATE(LEFT(SUBSTITUTE(C1151,"'",""),4),MID(SUBSTITUTE(C1151,"'",""),6,2),1),ShadowLedger!$C:$C,"&lt;"&amp;EOMONTH(DATE(LEFT(SUBSTITUTE(C1151,"'",""),4),MID(SUBSTITUTE(C1151,"'",""),6,2),1),0)+1)</f>
        <v>0</v>
      </c>
      <c r="E1151" s="17">
        <f t="shared" si="1"/>
        <v>116</v>
      </c>
      <c r="F1151" s="17">
        <f t="shared" si="2"/>
        <v>0</v>
      </c>
    </row>
    <row r="1152">
      <c r="A1152" s="5" t="s">
        <v>70</v>
      </c>
      <c r="B1152" s="6">
        <v>116.0</v>
      </c>
      <c r="C1152" s="13" t="s">
        <v>279</v>
      </c>
      <c r="D1152" s="17">
        <f>SUMIFS(ShadowLedger!$D:$D,ShadowLedger!$G:$G,A1152,ShadowLedger!$C:$C,"&gt;="&amp;DATE(LEFT(SUBSTITUTE(C1152,"'",""),4),MID(SUBSTITUTE(C1152,"'",""),6,2),1),ShadowLedger!$C:$C,"&lt;"&amp;EOMONTH(DATE(LEFT(SUBSTITUTE(C1152,"'",""),4),MID(SUBSTITUTE(C1152,"'",""),6,2),1),0)+1)</f>
        <v>0</v>
      </c>
      <c r="E1152" s="17">
        <f t="shared" si="1"/>
        <v>116</v>
      </c>
      <c r="F1152" s="17">
        <f t="shared" si="2"/>
        <v>0</v>
      </c>
    </row>
    <row r="1153">
      <c r="A1153" s="5" t="s">
        <v>65</v>
      </c>
      <c r="B1153" s="6">
        <v>58.0</v>
      </c>
      <c r="C1153" s="13" t="s">
        <v>279</v>
      </c>
      <c r="D1153" s="17">
        <f>SUMIFS(ShadowLedger!$D:$D,ShadowLedger!$G:$G,A1153,ShadowLedger!$C:$C,"&gt;="&amp;DATE(LEFT(SUBSTITUTE(C1153,"'",""),4),MID(SUBSTITUTE(C1153,"'",""),6,2),1),ShadowLedger!$C:$C,"&lt;"&amp;EOMONTH(DATE(LEFT(SUBSTITUTE(C1153,"'",""),4),MID(SUBSTITUTE(C1153,"'",""),6,2),1),0)+1)</f>
        <v>0</v>
      </c>
      <c r="E1153" s="17">
        <f t="shared" si="1"/>
        <v>58</v>
      </c>
      <c r="F1153" s="17">
        <f t="shared" si="2"/>
        <v>0</v>
      </c>
    </row>
    <row r="1154">
      <c r="A1154" s="5" t="s">
        <v>66</v>
      </c>
      <c r="B1154" s="6">
        <v>58.0</v>
      </c>
      <c r="C1154" s="13" t="s">
        <v>279</v>
      </c>
      <c r="D1154" s="17">
        <f>SUMIFS(ShadowLedger!$D:$D,ShadowLedger!$G:$G,A1154,ShadowLedger!$C:$C,"&gt;="&amp;DATE(LEFT(SUBSTITUTE(C1154,"'",""),4),MID(SUBSTITUTE(C1154,"'",""),6,2),1),ShadowLedger!$C:$C,"&lt;"&amp;EOMONTH(DATE(LEFT(SUBSTITUTE(C1154,"'",""),4),MID(SUBSTITUTE(C1154,"'",""),6,2),1),0)+1)</f>
        <v>0</v>
      </c>
      <c r="E1154" s="17">
        <f t="shared" si="1"/>
        <v>58</v>
      </c>
      <c r="F1154" s="17">
        <f t="shared" si="2"/>
        <v>0</v>
      </c>
    </row>
    <row r="1155">
      <c r="A1155" s="5" t="s">
        <v>67</v>
      </c>
      <c r="B1155" s="6">
        <v>58.0</v>
      </c>
      <c r="C1155" s="13" t="s">
        <v>279</v>
      </c>
      <c r="D1155" s="17">
        <f>SUMIFS(ShadowLedger!$D:$D,ShadowLedger!$G:$G,A1155,ShadowLedger!$C:$C,"&gt;="&amp;DATE(LEFT(SUBSTITUTE(C1155,"'",""),4),MID(SUBSTITUTE(C1155,"'",""),6,2),1),ShadowLedger!$C:$C,"&lt;"&amp;EOMONTH(DATE(LEFT(SUBSTITUTE(C1155,"'",""),4),MID(SUBSTITUTE(C1155,"'",""),6,2),1),0)+1)</f>
        <v>0</v>
      </c>
      <c r="E1155" s="17">
        <f t="shared" si="1"/>
        <v>58</v>
      </c>
      <c r="F1155" s="17">
        <f t="shared" si="2"/>
        <v>0</v>
      </c>
    </row>
    <row r="1156">
      <c r="A1156" s="5" t="s">
        <v>68</v>
      </c>
      <c r="B1156" s="6">
        <v>58.0</v>
      </c>
      <c r="C1156" s="13" t="s">
        <v>279</v>
      </c>
      <c r="D1156" s="17">
        <f>SUMIFS(ShadowLedger!$D:$D,ShadowLedger!$G:$G,A1156,ShadowLedger!$C:$C,"&gt;="&amp;DATE(LEFT(SUBSTITUTE(C1156,"'",""),4),MID(SUBSTITUTE(C1156,"'",""),6,2),1),ShadowLedger!$C:$C,"&lt;"&amp;EOMONTH(DATE(LEFT(SUBSTITUTE(C1156,"'",""),4),MID(SUBSTITUTE(C1156,"'",""),6,2),1),0)+1)</f>
        <v>0</v>
      </c>
      <c r="E1156" s="17">
        <f t="shared" si="1"/>
        <v>58</v>
      </c>
      <c r="F1156" s="17">
        <f t="shared" si="2"/>
        <v>0</v>
      </c>
    </row>
    <row r="1157">
      <c r="A1157" s="5" t="s">
        <v>69</v>
      </c>
      <c r="B1157" s="6">
        <v>0.0</v>
      </c>
      <c r="C1157" s="13" t="s">
        <v>279</v>
      </c>
      <c r="D1157" s="17">
        <f>SUMIFS(ShadowLedger!$D:$D,ShadowLedger!$G:$G,A1157,ShadowLedger!$C:$C,"&gt;="&amp;DATE(LEFT(SUBSTITUTE(C1157,"'",""),4),MID(SUBSTITUTE(C1157,"'",""),6,2),1),ShadowLedger!$C:$C,"&lt;"&amp;EOMONTH(DATE(LEFT(SUBSTITUTE(C1157,"'",""),4),MID(SUBSTITUTE(C1157,"'",""),6,2),1),0)+1)</f>
        <v>0</v>
      </c>
      <c r="E1157" s="17">
        <f t="shared" si="1"/>
        <v>0</v>
      </c>
      <c r="F1157" s="17">
        <f t="shared" si="2"/>
        <v>0</v>
      </c>
    </row>
    <row r="1158">
      <c r="A1158" s="5" t="s">
        <v>54</v>
      </c>
      <c r="B1158" s="6">
        <v>1067.0</v>
      </c>
      <c r="C1158" s="13" t="s">
        <v>280</v>
      </c>
      <c r="D1158" s="17">
        <f>SUMIFS(ShadowLedger!$D:$D,ShadowLedger!$G:$G,A1158,ShadowLedger!$C:$C,"&gt;="&amp;DATE(LEFT(SUBSTITUTE(C1158,"'",""),4),MID(SUBSTITUTE(C1158,"'",""),6,2),1),ShadowLedger!$C:$C,"&lt;"&amp;EOMONTH(DATE(LEFT(SUBSTITUTE(C1158,"'",""),4),MID(SUBSTITUTE(C1158,"'",""),6,2),1),0)+1)</f>
        <v>0</v>
      </c>
      <c r="E1158" s="17">
        <f t="shared" si="1"/>
        <v>1067</v>
      </c>
      <c r="F1158" s="17">
        <f t="shared" si="2"/>
        <v>0</v>
      </c>
    </row>
    <row r="1159">
      <c r="A1159" s="5" t="s">
        <v>55</v>
      </c>
      <c r="B1159" s="6">
        <v>811.0</v>
      </c>
      <c r="C1159" s="13" t="s">
        <v>280</v>
      </c>
      <c r="D1159" s="17">
        <f>SUMIFS(ShadowLedger!$D:$D,ShadowLedger!$G:$G,A1159,ShadowLedger!$C:$C,"&gt;="&amp;DATE(LEFT(SUBSTITUTE(C1159,"'",""),4),MID(SUBSTITUTE(C1159,"'",""),6,2),1),ShadowLedger!$C:$C,"&lt;"&amp;EOMONTH(DATE(LEFT(SUBSTITUTE(C1159,"'",""),4),MID(SUBSTITUTE(C1159,"'",""),6,2),1),0)+1)</f>
        <v>0</v>
      </c>
      <c r="E1159" s="17">
        <f t="shared" si="1"/>
        <v>811</v>
      </c>
      <c r="F1159" s="17">
        <f t="shared" si="2"/>
        <v>0</v>
      </c>
    </row>
    <row r="1160">
      <c r="A1160" s="5" t="s">
        <v>56</v>
      </c>
      <c r="B1160" s="6">
        <v>580.0</v>
      </c>
      <c r="C1160" s="13" t="s">
        <v>280</v>
      </c>
      <c r="D1160" s="17">
        <f>SUMIFS(ShadowLedger!$D:$D,ShadowLedger!$G:$G,A1160,ShadowLedger!$C:$C,"&gt;="&amp;DATE(LEFT(SUBSTITUTE(C1160,"'",""),4),MID(SUBSTITUTE(C1160,"'",""),6,2),1),ShadowLedger!$C:$C,"&lt;"&amp;EOMONTH(DATE(LEFT(SUBSTITUTE(C1160,"'",""),4),MID(SUBSTITUTE(C1160,"'",""),6,2),1),0)+1)</f>
        <v>0</v>
      </c>
      <c r="E1160" s="17">
        <f t="shared" si="1"/>
        <v>580</v>
      </c>
      <c r="F1160" s="17">
        <f t="shared" si="2"/>
        <v>0</v>
      </c>
    </row>
    <row r="1161">
      <c r="A1161" s="5" t="s">
        <v>57</v>
      </c>
      <c r="B1161" s="6">
        <v>580.0</v>
      </c>
      <c r="C1161" s="13" t="s">
        <v>280</v>
      </c>
      <c r="D1161" s="17">
        <f>SUMIFS(ShadowLedger!$D:$D,ShadowLedger!$G:$G,A1161,ShadowLedger!$C:$C,"&gt;="&amp;DATE(LEFT(SUBSTITUTE(C1161,"'",""),4),MID(SUBSTITUTE(C1161,"'",""),6,2),1),ShadowLedger!$C:$C,"&lt;"&amp;EOMONTH(DATE(LEFT(SUBSTITUTE(C1161,"'",""),4),MID(SUBSTITUTE(C1161,"'",""),6,2),1),0)+1)</f>
        <v>0</v>
      </c>
      <c r="E1161" s="17">
        <f t="shared" si="1"/>
        <v>580</v>
      </c>
      <c r="F1161" s="17">
        <f t="shared" si="2"/>
        <v>0</v>
      </c>
    </row>
    <row r="1162">
      <c r="A1162" s="5" t="s">
        <v>58</v>
      </c>
      <c r="B1162" s="6">
        <v>464.0</v>
      </c>
      <c r="C1162" s="13" t="s">
        <v>280</v>
      </c>
      <c r="D1162" s="17">
        <f>SUMIFS(ShadowLedger!$D:$D,ShadowLedger!$G:$G,A1162,ShadowLedger!$C:$C,"&gt;="&amp;DATE(LEFT(SUBSTITUTE(C1162,"'",""),4),MID(SUBSTITUTE(C1162,"'",""),6,2),1),ShadowLedger!$C:$C,"&lt;"&amp;EOMONTH(DATE(LEFT(SUBSTITUTE(C1162,"'",""),4),MID(SUBSTITUTE(C1162,"'",""),6,2),1),0)+1)</f>
        <v>0</v>
      </c>
      <c r="E1162" s="17">
        <f t="shared" si="1"/>
        <v>464</v>
      </c>
      <c r="F1162" s="17">
        <f t="shared" si="2"/>
        <v>0</v>
      </c>
    </row>
    <row r="1163">
      <c r="A1163" s="5" t="s">
        <v>59</v>
      </c>
      <c r="B1163" s="6">
        <v>232.0</v>
      </c>
      <c r="C1163" s="13" t="s">
        <v>280</v>
      </c>
      <c r="D1163" s="17">
        <f>SUMIFS(ShadowLedger!$D:$D,ShadowLedger!$G:$G,A1163,ShadowLedger!$C:$C,"&gt;="&amp;DATE(LEFT(SUBSTITUTE(C1163,"'",""),4),MID(SUBSTITUTE(C1163,"'",""),6,2),1),ShadowLedger!$C:$C,"&lt;"&amp;EOMONTH(DATE(LEFT(SUBSTITUTE(C1163,"'",""),4),MID(SUBSTITUTE(C1163,"'",""),6,2),1),0)+1)</f>
        <v>0</v>
      </c>
      <c r="E1163" s="17">
        <f t="shared" si="1"/>
        <v>232</v>
      </c>
      <c r="F1163" s="17">
        <f t="shared" si="2"/>
        <v>0</v>
      </c>
    </row>
    <row r="1164">
      <c r="A1164" s="5" t="s">
        <v>60</v>
      </c>
      <c r="B1164" s="6">
        <v>174.0</v>
      </c>
      <c r="C1164" s="13" t="s">
        <v>280</v>
      </c>
      <c r="D1164" s="17">
        <f>SUMIFS(ShadowLedger!$D:$D,ShadowLedger!$G:$G,A1164,ShadowLedger!$C:$C,"&gt;="&amp;DATE(LEFT(SUBSTITUTE(C1164,"'",""),4),MID(SUBSTITUTE(C1164,"'",""),6,2),1),ShadowLedger!$C:$C,"&lt;"&amp;EOMONTH(DATE(LEFT(SUBSTITUTE(C1164,"'",""),4),MID(SUBSTITUTE(C1164,"'",""),6,2),1),0)+1)</f>
        <v>0</v>
      </c>
      <c r="E1164" s="17">
        <f t="shared" si="1"/>
        <v>174</v>
      </c>
      <c r="F1164" s="17">
        <f t="shared" si="2"/>
        <v>0</v>
      </c>
    </row>
    <row r="1165">
      <c r="A1165" s="5" t="s">
        <v>61</v>
      </c>
      <c r="B1165" s="6">
        <v>139.0</v>
      </c>
      <c r="C1165" s="13" t="s">
        <v>280</v>
      </c>
      <c r="D1165" s="17">
        <f>SUMIFS(ShadowLedger!$D:$D,ShadowLedger!$G:$G,A1165,ShadowLedger!$C:$C,"&gt;="&amp;DATE(LEFT(SUBSTITUTE(C1165,"'",""),4),MID(SUBSTITUTE(C1165,"'",""),6,2),1),ShadowLedger!$C:$C,"&lt;"&amp;EOMONTH(DATE(LEFT(SUBSTITUTE(C1165,"'",""),4),MID(SUBSTITUTE(C1165,"'",""),6,2),1),0)+1)</f>
        <v>0</v>
      </c>
      <c r="E1165" s="17">
        <f t="shared" si="1"/>
        <v>139</v>
      </c>
      <c r="F1165" s="17">
        <f t="shared" si="2"/>
        <v>0</v>
      </c>
    </row>
    <row r="1166">
      <c r="A1166" s="5" t="s">
        <v>62</v>
      </c>
      <c r="B1166" s="6">
        <v>139.0</v>
      </c>
      <c r="C1166" s="13" t="s">
        <v>280</v>
      </c>
      <c r="D1166" s="17">
        <f>SUMIFS(ShadowLedger!$D:$D,ShadowLedger!$G:$G,A1166,ShadowLedger!$C:$C,"&gt;="&amp;DATE(LEFT(SUBSTITUTE(C1166,"'",""),4),MID(SUBSTITUTE(C1166,"'",""),6,2),1),ShadowLedger!$C:$C,"&lt;"&amp;EOMONTH(DATE(LEFT(SUBSTITUTE(C1166,"'",""),4),MID(SUBSTITUTE(C1166,"'",""),6,2),1),0)+1)</f>
        <v>0</v>
      </c>
      <c r="E1166" s="17">
        <f t="shared" si="1"/>
        <v>139</v>
      </c>
      <c r="F1166" s="17">
        <f t="shared" si="2"/>
        <v>0</v>
      </c>
    </row>
    <row r="1167">
      <c r="A1167" s="5" t="s">
        <v>63</v>
      </c>
      <c r="B1167" s="6">
        <v>116.0</v>
      </c>
      <c r="C1167" s="13" t="s">
        <v>280</v>
      </c>
      <c r="D1167" s="17">
        <f>SUMIFS(ShadowLedger!$D:$D,ShadowLedger!$G:$G,A1167,ShadowLedger!$C:$C,"&gt;="&amp;DATE(LEFT(SUBSTITUTE(C1167,"'",""),4),MID(SUBSTITUTE(C1167,"'",""),6,2),1),ShadowLedger!$C:$C,"&lt;"&amp;EOMONTH(DATE(LEFT(SUBSTITUTE(C1167,"'",""),4),MID(SUBSTITUTE(C1167,"'",""),6,2),1),0)+1)</f>
        <v>0</v>
      </c>
      <c r="E1167" s="17">
        <f t="shared" si="1"/>
        <v>116</v>
      </c>
      <c r="F1167" s="17">
        <f t="shared" si="2"/>
        <v>0</v>
      </c>
    </row>
    <row r="1168">
      <c r="A1168" s="5" t="s">
        <v>64</v>
      </c>
      <c r="B1168" s="6">
        <v>116.0</v>
      </c>
      <c r="C1168" s="13" t="s">
        <v>280</v>
      </c>
      <c r="D1168" s="17">
        <f>SUMIFS(ShadowLedger!$D:$D,ShadowLedger!$G:$G,A1168,ShadowLedger!$C:$C,"&gt;="&amp;DATE(LEFT(SUBSTITUTE(C1168,"'",""),4),MID(SUBSTITUTE(C1168,"'",""),6,2),1),ShadowLedger!$C:$C,"&lt;"&amp;EOMONTH(DATE(LEFT(SUBSTITUTE(C1168,"'",""),4),MID(SUBSTITUTE(C1168,"'",""),6,2),1),0)+1)</f>
        <v>0</v>
      </c>
      <c r="E1168" s="17">
        <f t="shared" si="1"/>
        <v>116</v>
      </c>
      <c r="F1168" s="17">
        <f t="shared" si="2"/>
        <v>0</v>
      </c>
    </row>
    <row r="1169">
      <c r="A1169" s="5" t="s">
        <v>70</v>
      </c>
      <c r="B1169" s="6">
        <v>116.0</v>
      </c>
      <c r="C1169" s="13" t="s">
        <v>280</v>
      </c>
      <c r="D1169" s="17">
        <f>SUMIFS(ShadowLedger!$D:$D,ShadowLedger!$G:$G,A1169,ShadowLedger!$C:$C,"&gt;="&amp;DATE(LEFT(SUBSTITUTE(C1169,"'",""),4),MID(SUBSTITUTE(C1169,"'",""),6,2),1),ShadowLedger!$C:$C,"&lt;"&amp;EOMONTH(DATE(LEFT(SUBSTITUTE(C1169,"'",""),4),MID(SUBSTITUTE(C1169,"'",""),6,2),1),0)+1)</f>
        <v>0</v>
      </c>
      <c r="E1169" s="17">
        <f t="shared" si="1"/>
        <v>116</v>
      </c>
      <c r="F1169" s="17">
        <f t="shared" si="2"/>
        <v>0</v>
      </c>
    </row>
    <row r="1170">
      <c r="A1170" s="5" t="s">
        <v>65</v>
      </c>
      <c r="B1170" s="6">
        <v>58.0</v>
      </c>
      <c r="C1170" s="13" t="s">
        <v>280</v>
      </c>
      <c r="D1170" s="17">
        <f>SUMIFS(ShadowLedger!$D:$D,ShadowLedger!$G:$G,A1170,ShadowLedger!$C:$C,"&gt;="&amp;DATE(LEFT(SUBSTITUTE(C1170,"'",""),4),MID(SUBSTITUTE(C1170,"'",""),6,2),1),ShadowLedger!$C:$C,"&lt;"&amp;EOMONTH(DATE(LEFT(SUBSTITUTE(C1170,"'",""),4),MID(SUBSTITUTE(C1170,"'",""),6,2),1),0)+1)</f>
        <v>0</v>
      </c>
      <c r="E1170" s="17">
        <f t="shared" si="1"/>
        <v>58</v>
      </c>
      <c r="F1170" s="17">
        <f t="shared" si="2"/>
        <v>0</v>
      </c>
    </row>
    <row r="1171">
      <c r="A1171" s="5" t="s">
        <v>66</v>
      </c>
      <c r="B1171" s="6">
        <v>58.0</v>
      </c>
      <c r="C1171" s="13" t="s">
        <v>280</v>
      </c>
      <c r="D1171" s="17">
        <f>SUMIFS(ShadowLedger!$D:$D,ShadowLedger!$G:$G,A1171,ShadowLedger!$C:$C,"&gt;="&amp;DATE(LEFT(SUBSTITUTE(C1171,"'",""),4),MID(SUBSTITUTE(C1171,"'",""),6,2),1),ShadowLedger!$C:$C,"&lt;"&amp;EOMONTH(DATE(LEFT(SUBSTITUTE(C1171,"'",""),4),MID(SUBSTITUTE(C1171,"'",""),6,2),1),0)+1)</f>
        <v>0</v>
      </c>
      <c r="E1171" s="17">
        <f t="shared" si="1"/>
        <v>58</v>
      </c>
      <c r="F1171" s="17">
        <f t="shared" si="2"/>
        <v>0</v>
      </c>
    </row>
    <row r="1172">
      <c r="A1172" s="5" t="s">
        <v>67</v>
      </c>
      <c r="B1172" s="6">
        <v>58.0</v>
      </c>
      <c r="C1172" s="13" t="s">
        <v>280</v>
      </c>
      <c r="D1172" s="17">
        <f>SUMIFS(ShadowLedger!$D:$D,ShadowLedger!$G:$G,A1172,ShadowLedger!$C:$C,"&gt;="&amp;DATE(LEFT(SUBSTITUTE(C1172,"'",""),4),MID(SUBSTITUTE(C1172,"'",""),6,2),1),ShadowLedger!$C:$C,"&lt;"&amp;EOMONTH(DATE(LEFT(SUBSTITUTE(C1172,"'",""),4),MID(SUBSTITUTE(C1172,"'",""),6,2),1),0)+1)</f>
        <v>0</v>
      </c>
      <c r="E1172" s="17">
        <f t="shared" si="1"/>
        <v>58</v>
      </c>
      <c r="F1172" s="17">
        <f t="shared" si="2"/>
        <v>0</v>
      </c>
    </row>
    <row r="1173">
      <c r="A1173" s="5" t="s">
        <v>68</v>
      </c>
      <c r="B1173" s="6">
        <v>58.0</v>
      </c>
      <c r="C1173" s="13" t="s">
        <v>280</v>
      </c>
      <c r="D1173" s="17">
        <f>SUMIFS(ShadowLedger!$D:$D,ShadowLedger!$G:$G,A1173,ShadowLedger!$C:$C,"&gt;="&amp;DATE(LEFT(SUBSTITUTE(C1173,"'",""),4),MID(SUBSTITUTE(C1173,"'",""),6,2),1),ShadowLedger!$C:$C,"&lt;"&amp;EOMONTH(DATE(LEFT(SUBSTITUTE(C1173,"'",""),4),MID(SUBSTITUTE(C1173,"'",""),6,2),1),0)+1)</f>
        <v>0</v>
      </c>
      <c r="E1173" s="17">
        <f t="shared" si="1"/>
        <v>58</v>
      </c>
      <c r="F1173" s="17">
        <f t="shared" si="2"/>
        <v>0</v>
      </c>
    </row>
    <row r="1174">
      <c r="A1174" s="5" t="s">
        <v>69</v>
      </c>
      <c r="B1174" s="6">
        <v>0.0</v>
      </c>
      <c r="C1174" s="13" t="s">
        <v>280</v>
      </c>
      <c r="D1174" s="17">
        <f>SUMIFS(ShadowLedger!$D:$D,ShadowLedger!$G:$G,A1174,ShadowLedger!$C:$C,"&gt;="&amp;DATE(LEFT(SUBSTITUTE(C1174,"'",""),4),MID(SUBSTITUTE(C1174,"'",""),6,2),1),ShadowLedger!$C:$C,"&lt;"&amp;EOMONTH(DATE(LEFT(SUBSTITUTE(C1174,"'",""),4),MID(SUBSTITUTE(C1174,"'",""),6,2),1),0)+1)</f>
        <v>0</v>
      </c>
      <c r="E1174" s="17">
        <f t="shared" si="1"/>
        <v>0</v>
      </c>
      <c r="F1174" s="17">
        <f t="shared" si="2"/>
        <v>0</v>
      </c>
    </row>
    <row r="1175">
      <c r="A1175" s="5" t="s">
        <v>54</v>
      </c>
      <c r="B1175" s="6">
        <v>1067.0</v>
      </c>
      <c r="C1175" s="13" t="s">
        <v>281</v>
      </c>
      <c r="D1175" s="17">
        <f>SUMIFS(ShadowLedger!$D:$D,ShadowLedger!$G:$G,A1175,ShadowLedger!$C:$C,"&gt;="&amp;DATE(LEFT(SUBSTITUTE(C1175,"'",""),4),MID(SUBSTITUTE(C1175,"'",""),6,2),1),ShadowLedger!$C:$C,"&lt;"&amp;EOMONTH(DATE(LEFT(SUBSTITUTE(C1175,"'",""),4),MID(SUBSTITUTE(C1175,"'",""),6,2),1),0)+1)</f>
        <v>0</v>
      </c>
      <c r="E1175" s="17">
        <f t="shared" si="1"/>
        <v>1067</v>
      </c>
      <c r="F1175" s="17">
        <f t="shared" si="2"/>
        <v>0</v>
      </c>
    </row>
    <row r="1176">
      <c r="A1176" s="5" t="s">
        <v>55</v>
      </c>
      <c r="B1176" s="6">
        <v>811.0</v>
      </c>
      <c r="C1176" s="13" t="s">
        <v>281</v>
      </c>
      <c r="D1176" s="17">
        <f>SUMIFS(ShadowLedger!$D:$D,ShadowLedger!$G:$G,A1176,ShadowLedger!$C:$C,"&gt;="&amp;DATE(LEFT(SUBSTITUTE(C1176,"'",""),4),MID(SUBSTITUTE(C1176,"'",""),6,2),1),ShadowLedger!$C:$C,"&lt;"&amp;EOMONTH(DATE(LEFT(SUBSTITUTE(C1176,"'",""),4),MID(SUBSTITUTE(C1176,"'",""),6,2),1),0)+1)</f>
        <v>0</v>
      </c>
      <c r="E1176" s="17">
        <f t="shared" si="1"/>
        <v>811</v>
      </c>
      <c r="F1176" s="17">
        <f t="shared" si="2"/>
        <v>0</v>
      </c>
    </row>
    <row r="1177">
      <c r="A1177" s="5" t="s">
        <v>56</v>
      </c>
      <c r="B1177" s="6">
        <v>580.0</v>
      </c>
      <c r="C1177" s="13" t="s">
        <v>281</v>
      </c>
      <c r="D1177" s="17">
        <f>SUMIFS(ShadowLedger!$D:$D,ShadowLedger!$G:$G,A1177,ShadowLedger!$C:$C,"&gt;="&amp;DATE(LEFT(SUBSTITUTE(C1177,"'",""),4),MID(SUBSTITUTE(C1177,"'",""),6,2),1),ShadowLedger!$C:$C,"&lt;"&amp;EOMONTH(DATE(LEFT(SUBSTITUTE(C1177,"'",""),4),MID(SUBSTITUTE(C1177,"'",""),6,2),1),0)+1)</f>
        <v>0</v>
      </c>
      <c r="E1177" s="17">
        <f t="shared" si="1"/>
        <v>580</v>
      </c>
      <c r="F1177" s="17">
        <f t="shared" si="2"/>
        <v>0</v>
      </c>
    </row>
    <row r="1178">
      <c r="A1178" s="5" t="s">
        <v>57</v>
      </c>
      <c r="B1178" s="6">
        <v>580.0</v>
      </c>
      <c r="C1178" s="13" t="s">
        <v>281</v>
      </c>
      <c r="D1178" s="17">
        <f>SUMIFS(ShadowLedger!$D:$D,ShadowLedger!$G:$G,A1178,ShadowLedger!$C:$C,"&gt;="&amp;DATE(LEFT(SUBSTITUTE(C1178,"'",""),4),MID(SUBSTITUTE(C1178,"'",""),6,2),1),ShadowLedger!$C:$C,"&lt;"&amp;EOMONTH(DATE(LEFT(SUBSTITUTE(C1178,"'",""),4),MID(SUBSTITUTE(C1178,"'",""),6,2),1),0)+1)</f>
        <v>0</v>
      </c>
      <c r="E1178" s="17">
        <f t="shared" si="1"/>
        <v>580</v>
      </c>
      <c r="F1178" s="17">
        <f t="shared" si="2"/>
        <v>0</v>
      </c>
    </row>
    <row r="1179">
      <c r="A1179" s="5" t="s">
        <v>58</v>
      </c>
      <c r="B1179" s="6">
        <v>464.0</v>
      </c>
      <c r="C1179" s="13" t="s">
        <v>281</v>
      </c>
      <c r="D1179" s="17">
        <f>SUMIFS(ShadowLedger!$D:$D,ShadowLedger!$G:$G,A1179,ShadowLedger!$C:$C,"&gt;="&amp;DATE(LEFT(SUBSTITUTE(C1179,"'",""),4),MID(SUBSTITUTE(C1179,"'",""),6,2),1),ShadowLedger!$C:$C,"&lt;"&amp;EOMONTH(DATE(LEFT(SUBSTITUTE(C1179,"'",""),4),MID(SUBSTITUTE(C1179,"'",""),6,2),1),0)+1)</f>
        <v>0</v>
      </c>
      <c r="E1179" s="17">
        <f t="shared" si="1"/>
        <v>464</v>
      </c>
      <c r="F1179" s="17">
        <f t="shared" si="2"/>
        <v>0</v>
      </c>
    </row>
    <row r="1180">
      <c r="A1180" s="5" t="s">
        <v>59</v>
      </c>
      <c r="B1180" s="6">
        <v>232.0</v>
      </c>
      <c r="C1180" s="13" t="s">
        <v>281</v>
      </c>
      <c r="D1180" s="17">
        <f>SUMIFS(ShadowLedger!$D:$D,ShadowLedger!$G:$G,A1180,ShadowLedger!$C:$C,"&gt;="&amp;DATE(LEFT(SUBSTITUTE(C1180,"'",""),4),MID(SUBSTITUTE(C1180,"'",""),6,2),1),ShadowLedger!$C:$C,"&lt;"&amp;EOMONTH(DATE(LEFT(SUBSTITUTE(C1180,"'",""),4),MID(SUBSTITUTE(C1180,"'",""),6,2),1),0)+1)</f>
        <v>0</v>
      </c>
      <c r="E1180" s="17">
        <f t="shared" si="1"/>
        <v>232</v>
      </c>
      <c r="F1180" s="17">
        <f t="shared" si="2"/>
        <v>0</v>
      </c>
    </row>
    <row r="1181">
      <c r="A1181" s="5" t="s">
        <v>60</v>
      </c>
      <c r="B1181" s="6">
        <v>174.0</v>
      </c>
      <c r="C1181" s="13" t="s">
        <v>281</v>
      </c>
      <c r="D1181" s="17">
        <f>SUMIFS(ShadowLedger!$D:$D,ShadowLedger!$G:$G,A1181,ShadowLedger!$C:$C,"&gt;="&amp;DATE(LEFT(SUBSTITUTE(C1181,"'",""),4),MID(SUBSTITUTE(C1181,"'",""),6,2),1),ShadowLedger!$C:$C,"&lt;"&amp;EOMONTH(DATE(LEFT(SUBSTITUTE(C1181,"'",""),4),MID(SUBSTITUTE(C1181,"'",""),6,2),1),0)+1)</f>
        <v>0</v>
      </c>
      <c r="E1181" s="17">
        <f t="shared" si="1"/>
        <v>174</v>
      </c>
      <c r="F1181" s="17">
        <f t="shared" si="2"/>
        <v>0</v>
      </c>
    </row>
    <row r="1182">
      <c r="A1182" s="5" t="s">
        <v>61</v>
      </c>
      <c r="B1182" s="6">
        <v>139.0</v>
      </c>
      <c r="C1182" s="13" t="s">
        <v>281</v>
      </c>
      <c r="D1182" s="17">
        <f>SUMIFS(ShadowLedger!$D:$D,ShadowLedger!$G:$G,A1182,ShadowLedger!$C:$C,"&gt;="&amp;DATE(LEFT(SUBSTITUTE(C1182,"'",""),4),MID(SUBSTITUTE(C1182,"'",""),6,2),1),ShadowLedger!$C:$C,"&lt;"&amp;EOMONTH(DATE(LEFT(SUBSTITUTE(C1182,"'",""),4),MID(SUBSTITUTE(C1182,"'",""),6,2),1),0)+1)</f>
        <v>0</v>
      </c>
      <c r="E1182" s="17">
        <f t="shared" si="1"/>
        <v>139</v>
      </c>
      <c r="F1182" s="17">
        <f t="shared" si="2"/>
        <v>0</v>
      </c>
    </row>
    <row r="1183">
      <c r="A1183" s="5" t="s">
        <v>62</v>
      </c>
      <c r="B1183" s="6">
        <v>139.0</v>
      </c>
      <c r="C1183" s="13" t="s">
        <v>281</v>
      </c>
      <c r="D1183" s="17">
        <f>SUMIFS(ShadowLedger!$D:$D,ShadowLedger!$G:$G,A1183,ShadowLedger!$C:$C,"&gt;="&amp;DATE(LEFT(SUBSTITUTE(C1183,"'",""),4),MID(SUBSTITUTE(C1183,"'",""),6,2),1),ShadowLedger!$C:$C,"&lt;"&amp;EOMONTH(DATE(LEFT(SUBSTITUTE(C1183,"'",""),4),MID(SUBSTITUTE(C1183,"'",""),6,2),1),0)+1)</f>
        <v>0</v>
      </c>
      <c r="E1183" s="17">
        <f t="shared" si="1"/>
        <v>139</v>
      </c>
      <c r="F1183" s="17">
        <f t="shared" si="2"/>
        <v>0</v>
      </c>
    </row>
    <row r="1184">
      <c r="A1184" s="5" t="s">
        <v>63</v>
      </c>
      <c r="B1184" s="6">
        <v>116.0</v>
      </c>
      <c r="C1184" s="13" t="s">
        <v>281</v>
      </c>
      <c r="D1184" s="17">
        <f>SUMIFS(ShadowLedger!$D:$D,ShadowLedger!$G:$G,A1184,ShadowLedger!$C:$C,"&gt;="&amp;DATE(LEFT(SUBSTITUTE(C1184,"'",""),4),MID(SUBSTITUTE(C1184,"'",""),6,2),1),ShadowLedger!$C:$C,"&lt;"&amp;EOMONTH(DATE(LEFT(SUBSTITUTE(C1184,"'",""),4),MID(SUBSTITUTE(C1184,"'",""),6,2),1),0)+1)</f>
        <v>0</v>
      </c>
      <c r="E1184" s="17">
        <f t="shared" si="1"/>
        <v>116</v>
      </c>
      <c r="F1184" s="17">
        <f t="shared" si="2"/>
        <v>0</v>
      </c>
    </row>
    <row r="1185">
      <c r="A1185" s="5" t="s">
        <v>64</v>
      </c>
      <c r="B1185" s="6">
        <v>116.0</v>
      </c>
      <c r="C1185" s="13" t="s">
        <v>281</v>
      </c>
      <c r="D1185" s="17">
        <f>SUMIFS(ShadowLedger!$D:$D,ShadowLedger!$G:$G,A1185,ShadowLedger!$C:$C,"&gt;="&amp;DATE(LEFT(SUBSTITUTE(C1185,"'",""),4),MID(SUBSTITUTE(C1185,"'",""),6,2),1),ShadowLedger!$C:$C,"&lt;"&amp;EOMONTH(DATE(LEFT(SUBSTITUTE(C1185,"'",""),4),MID(SUBSTITUTE(C1185,"'",""),6,2),1),0)+1)</f>
        <v>0</v>
      </c>
      <c r="E1185" s="17">
        <f t="shared" si="1"/>
        <v>116</v>
      </c>
      <c r="F1185" s="17">
        <f t="shared" si="2"/>
        <v>0</v>
      </c>
    </row>
    <row r="1186">
      <c r="A1186" s="5" t="s">
        <v>70</v>
      </c>
      <c r="B1186" s="6">
        <v>116.0</v>
      </c>
      <c r="C1186" s="13" t="s">
        <v>281</v>
      </c>
      <c r="D1186" s="17">
        <f>SUMIFS(ShadowLedger!$D:$D,ShadowLedger!$G:$G,A1186,ShadowLedger!$C:$C,"&gt;="&amp;DATE(LEFT(SUBSTITUTE(C1186,"'",""),4),MID(SUBSTITUTE(C1186,"'",""),6,2),1),ShadowLedger!$C:$C,"&lt;"&amp;EOMONTH(DATE(LEFT(SUBSTITUTE(C1186,"'",""),4),MID(SUBSTITUTE(C1186,"'",""),6,2),1),0)+1)</f>
        <v>0</v>
      </c>
      <c r="E1186" s="17">
        <f t="shared" si="1"/>
        <v>116</v>
      </c>
      <c r="F1186" s="17">
        <f t="shared" si="2"/>
        <v>0</v>
      </c>
    </row>
    <row r="1187">
      <c r="A1187" s="5" t="s">
        <v>65</v>
      </c>
      <c r="B1187" s="6">
        <v>58.0</v>
      </c>
      <c r="C1187" s="13" t="s">
        <v>281</v>
      </c>
      <c r="D1187" s="17">
        <f>SUMIFS(ShadowLedger!$D:$D,ShadowLedger!$G:$G,A1187,ShadowLedger!$C:$C,"&gt;="&amp;DATE(LEFT(SUBSTITUTE(C1187,"'",""),4),MID(SUBSTITUTE(C1187,"'",""),6,2),1),ShadowLedger!$C:$C,"&lt;"&amp;EOMONTH(DATE(LEFT(SUBSTITUTE(C1187,"'",""),4),MID(SUBSTITUTE(C1187,"'",""),6,2),1),0)+1)</f>
        <v>0</v>
      </c>
      <c r="E1187" s="17">
        <f t="shared" si="1"/>
        <v>58</v>
      </c>
      <c r="F1187" s="17">
        <f t="shared" si="2"/>
        <v>0</v>
      </c>
    </row>
    <row r="1188">
      <c r="A1188" s="5" t="s">
        <v>66</v>
      </c>
      <c r="B1188" s="6">
        <v>58.0</v>
      </c>
      <c r="C1188" s="13" t="s">
        <v>281</v>
      </c>
      <c r="D1188" s="17">
        <f>SUMIFS(ShadowLedger!$D:$D,ShadowLedger!$G:$G,A1188,ShadowLedger!$C:$C,"&gt;="&amp;DATE(LEFT(SUBSTITUTE(C1188,"'",""),4),MID(SUBSTITUTE(C1188,"'",""),6,2),1),ShadowLedger!$C:$C,"&lt;"&amp;EOMONTH(DATE(LEFT(SUBSTITUTE(C1188,"'",""),4),MID(SUBSTITUTE(C1188,"'",""),6,2),1),0)+1)</f>
        <v>0</v>
      </c>
      <c r="E1188" s="17">
        <f t="shared" si="1"/>
        <v>58</v>
      </c>
      <c r="F1188" s="17">
        <f t="shared" si="2"/>
        <v>0</v>
      </c>
    </row>
    <row r="1189">
      <c r="A1189" s="5" t="s">
        <v>67</v>
      </c>
      <c r="B1189" s="6">
        <v>58.0</v>
      </c>
      <c r="C1189" s="13" t="s">
        <v>281</v>
      </c>
      <c r="D1189" s="17">
        <f>SUMIFS(ShadowLedger!$D:$D,ShadowLedger!$G:$G,A1189,ShadowLedger!$C:$C,"&gt;="&amp;DATE(LEFT(SUBSTITUTE(C1189,"'",""),4),MID(SUBSTITUTE(C1189,"'",""),6,2),1),ShadowLedger!$C:$C,"&lt;"&amp;EOMONTH(DATE(LEFT(SUBSTITUTE(C1189,"'",""),4),MID(SUBSTITUTE(C1189,"'",""),6,2),1),0)+1)</f>
        <v>0</v>
      </c>
      <c r="E1189" s="17">
        <f t="shared" si="1"/>
        <v>58</v>
      </c>
      <c r="F1189" s="17">
        <f t="shared" si="2"/>
        <v>0</v>
      </c>
    </row>
    <row r="1190">
      <c r="A1190" s="5" t="s">
        <v>68</v>
      </c>
      <c r="B1190" s="6">
        <v>58.0</v>
      </c>
      <c r="C1190" s="13" t="s">
        <v>281</v>
      </c>
      <c r="D1190" s="17">
        <f>SUMIFS(ShadowLedger!$D:$D,ShadowLedger!$G:$G,A1190,ShadowLedger!$C:$C,"&gt;="&amp;DATE(LEFT(SUBSTITUTE(C1190,"'",""),4),MID(SUBSTITUTE(C1190,"'",""),6,2),1),ShadowLedger!$C:$C,"&lt;"&amp;EOMONTH(DATE(LEFT(SUBSTITUTE(C1190,"'",""),4),MID(SUBSTITUTE(C1190,"'",""),6,2),1),0)+1)</f>
        <v>0</v>
      </c>
      <c r="E1190" s="17">
        <f t="shared" si="1"/>
        <v>58</v>
      </c>
      <c r="F1190" s="17">
        <f t="shared" si="2"/>
        <v>0</v>
      </c>
    </row>
    <row r="1191">
      <c r="A1191" s="5" t="s">
        <v>69</v>
      </c>
      <c r="B1191" s="6">
        <v>0.0</v>
      </c>
      <c r="C1191" s="13" t="s">
        <v>281</v>
      </c>
      <c r="D1191" s="17">
        <f>SUMIFS(ShadowLedger!$D:$D,ShadowLedger!$G:$G,A1191,ShadowLedger!$C:$C,"&gt;="&amp;DATE(LEFT(SUBSTITUTE(C1191,"'",""),4),MID(SUBSTITUTE(C1191,"'",""),6,2),1),ShadowLedger!$C:$C,"&lt;"&amp;EOMONTH(DATE(LEFT(SUBSTITUTE(C1191,"'",""),4),MID(SUBSTITUTE(C1191,"'",""),6,2),1),0)+1)</f>
        <v>0</v>
      </c>
      <c r="E1191" s="17">
        <f t="shared" si="1"/>
        <v>0</v>
      </c>
      <c r="F1191" s="17">
        <f t="shared" si="2"/>
        <v>0</v>
      </c>
    </row>
    <row r="1192">
      <c r="A1192" s="5" t="s">
        <v>54</v>
      </c>
      <c r="B1192" s="6">
        <v>1067.0</v>
      </c>
      <c r="C1192" s="13" t="s">
        <v>282</v>
      </c>
      <c r="D1192" s="17">
        <f>SUMIFS(ShadowLedger!$D:$D,ShadowLedger!$G:$G,A1192,ShadowLedger!$C:$C,"&gt;="&amp;DATE(LEFT(SUBSTITUTE(C1192,"'",""),4),MID(SUBSTITUTE(C1192,"'",""),6,2),1),ShadowLedger!$C:$C,"&lt;"&amp;EOMONTH(DATE(LEFT(SUBSTITUTE(C1192,"'",""),4),MID(SUBSTITUTE(C1192,"'",""),6,2),1),0)+1)</f>
        <v>0</v>
      </c>
      <c r="E1192" s="17">
        <f t="shared" si="1"/>
        <v>1067</v>
      </c>
      <c r="F1192" s="17">
        <f t="shared" si="2"/>
        <v>0</v>
      </c>
    </row>
    <row r="1193">
      <c r="A1193" s="5" t="s">
        <v>55</v>
      </c>
      <c r="B1193" s="6">
        <v>811.0</v>
      </c>
      <c r="C1193" s="13" t="s">
        <v>282</v>
      </c>
      <c r="D1193" s="17">
        <f>SUMIFS(ShadowLedger!$D:$D,ShadowLedger!$G:$G,A1193,ShadowLedger!$C:$C,"&gt;="&amp;DATE(LEFT(SUBSTITUTE(C1193,"'",""),4),MID(SUBSTITUTE(C1193,"'",""),6,2),1),ShadowLedger!$C:$C,"&lt;"&amp;EOMONTH(DATE(LEFT(SUBSTITUTE(C1193,"'",""),4),MID(SUBSTITUTE(C1193,"'",""),6,2),1),0)+1)</f>
        <v>0</v>
      </c>
      <c r="E1193" s="17">
        <f t="shared" si="1"/>
        <v>811</v>
      </c>
      <c r="F1193" s="17">
        <f t="shared" si="2"/>
        <v>0</v>
      </c>
    </row>
    <row r="1194">
      <c r="A1194" s="5" t="s">
        <v>56</v>
      </c>
      <c r="B1194" s="6">
        <v>580.0</v>
      </c>
      <c r="C1194" s="13" t="s">
        <v>282</v>
      </c>
      <c r="D1194" s="17">
        <f>SUMIFS(ShadowLedger!$D:$D,ShadowLedger!$G:$G,A1194,ShadowLedger!$C:$C,"&gt;="&amp;DATE(LEFT(SUBSTITUTE(C1194,"'",""),4),MID(SUBSTITUTE(C1194,"'",""),6,2),1),ShadowLedger!$C:$C,"&lt;"&amp;EOMONTH(DATE(LEFT(SUBSTITUTE(C1194,"'",""),4),MID(SUBSTITUTE(C1194,"'",""),6,2),1),0)+1)</f>
        <v>0</v>
      </c>
      <c r="E1194" s="17">
        <f t="shared" si="1"/>
        <v>580</v>
      </c>
      <c r="F1194" s="17">
        <f t="shared" si="2"/>
        <v>0</v>
      </c>
    </row>
    <row r="1195">
      <c r="A1195" s="5" t="s">
        <v>57</v>
      </c>
      <c r="B1195" s="6">
        <v>580.0</v>
      </c>
      <c r="C1195" s="13" t="s">
        <v>282</v>
      </c>
      <c r="D1195" s="17">
        <f>SUMIFS(ShadowLedger!$D:$D,ShadowLedger!$G:$G,A1195,ShadowLedger!$C:$C,"&gt;="&amp;DATE(LEFT(SUBSTITUTE(C1195,"'",""),4),MID(SUBSTITUTE(C1195,"'",""),6,2),1),ShadowLedger!$C:$C,"&lt;"&amp;EOMONTH(DATE(LEFT(SUBSTITUTE(C1195,"'",""),4),MID(SUBSTITUTE(C1195,"'",""),6,2),1),0)+1)</f>
        <v>0</v>
      </c>
      <c r="E1195" s="17">
        <f t="shared" si="1"/>
        <v>580</v>
      </c>
      <c r="F1195" s="17">
        <f t="shared" si="2"/>
        <v>0</v>
      </c>
    </row>
    <row r="1196">
      <c r="A1196" s="5" t="s">
        <v>58</v>
      </c>
      <c r="B1196" s="6">
        <v>464.0</v>
      </c>
      <c r="C1196" s="13" t="s">
        <v>282</v>
      </c>
      <c r="D1196" s="17">
        <f>SUMIFS(ShadowLedger!$D:$D,ShadowLedger!$G:$G,A1196,ShadowLedger!$C:$C,"&gt;="&amp;DATE(LEFT(SUBSTITUTE(C1196,"'",""),4),MID(SUBSTITUTE(C1196,"'",""),6,2),1),ShadowLedger!$C:$C,"&lt;"&amp;EOMONTH(DATE(LEFT(SUBSTITUTE(C1196,"'",""),4),MID(SUBSTITUTE(C1196,"'",""),6,2),1),0)+1)</f>
        <v>0</v>
      </c>
      <c r="E1196" s="17">
        <f t="shared" si="1"/>
        <v>464</v>
      </c>
      <c r="F1196" s="17">
        <f t="shared" si="2"/>
        <v>0</v>
      </c>
    </row>
    <row r="1197">
      <c r="A1197" s="5" t="s">
        <v>59</v>
      </c>
      <c r="B1197" s="6">
        <v>232.0</v>
      </c>
      <c r="C1197" s="13" t="s">
        <v>282</v>
      </c>
      <c r="D1197" s="17">
        <f>SUMIFS(ShadowLedger!$D:$D,ShadowLedger!$G:$G,A1197,ShadowLedger!$C:$C,"&gt;="&amp;DATE(LEFT(SUBSTITUTE(C1197,"'",""),4),MID(SUBSTITUTE(C1197,"'",""),6,2),1),ShadowLedger!$C:$C,"&lt;"&amp;EOMONTH(DATE(LEFT(SUBSTITUTE(C1197,"'",""),4),MID(SUBSTITUTE(C1197,"'",""),6,2),1),0)+1)</f>
        <v>0</v>
      </c>
      <c r="E1197" s="17">
        <f t="shared" si="1"/>
        <v>232</v>
      </c>
      <c r="F1197" s="17">
        <f t="shared" si="2"/>
        <v>0</v>
      </c>
    </row>
    <row r="1198">
      <c r="A1198" s="5" t="s">
        <v>60</v>
      </c>
      <c r="B1198" s="6">
        <v>174.0</v>
      </c>
      <c r="C1198" s="13" t="s">
        <v>282</v>
      </c>
      <c r="D1198" s="17">
        <f>SUMIFS(ShadowLedger!$D:$D,ShadowLedger!$G:$G,A1198,ShadowLedger!$C:$C,"&gt;="&amp;DATE(LEFT(SUBSTITUTE(C1198,"'",""),4),MID(SUBSTITUTE(C1198,"'",""),6,2),1),ShadowLedger!$C:$C,"&lt;"&amp;EOMONTH(DATE(LEFT(SUBSTITUTE(C1198,"'",""),4),MID(SUBSTITUTE(C1198,"'",""),6,2),1),0)+1)</f>
        <v>0</v>
      </c>
      <c r="E1198" s="17">
        <f t="shared" si="1"/>
        <v>174</v>
      </c>
      <c r="F1198" s="17">
        <f t="shared" si="2"/>
        <v>0</v>
      </c>
    </row>
    <row r="1199">
      <c r="A1199" s="5" t="s">
        <v>61</v>
      </c>
      <c r="B1199" s="6">
        <v>139.0</v>
      </c>
      <c r="C1199" s="13" t="s">
        <v>282</v>
      </c>
      <c r="D1199" s="17">
        <f>SUMIFS(ShadowLedger!$D:$D,ShadowLedger!$G:$G,A1199,ShadowLedger!$C:$C,"&gt;="&amp;DATE(LEFT(SUBSTITUTE(C1199,"'",""),4),MID(SUBSTITUTE(C1199,"'",""),6,2),1),ShadowLedger!$C:$C,"&lt;"&amp;EOMONTH(DATE(LEFT(SUBSTITUTE(C1199,"'",""),4),MID(SUBSTITUTE(C1199,"'",""),6,2),1),0)+1)</f>
        <v>0</v>
      </c>
      <c r="E1199" s="17">
        <f t="shared" si="1"/>
        <v>139</v>
      </c>
      <c r="F1199" s="17">
        <f t="shared" si="2"/>
        <v>0</v>
      </c>
    </row>
    <row r="1200">
      <c r="A1200" s="5" t="s">
        <v>62</v>
      </c>
      <c r="B1200" s="6">
        <v>139.0</v>
      </c>
      <c r="C1200" s="13" t="s">
        <v>282</v>
      </c>
      <c r="D1200" s="17">
        <f>SUMIFS(ShadowLedger!$D:$D,ShadowLedger!$G:$G,A1200,ShadowLedger!$C:$C,"&gt;="&amp;DATE(LEFT(SUBSTITUTE(C1200,"'",""),4),MID(SUBSTITUTE(C1200,"'",""),6,2),1),ShadowLedger!$C:$C,"&lt;"&amp;EOMONTH(DATE(LEFT(SUBSTITUTE(C1200,"'",""),4),MID(SUBSTITUTE(C1200,"'",""),6,2),1),0)+1)</f>
        <v>0</v>
      </c>
      <c r="E1200" s="17">
        <f t="shared" si="1"/>
        <v>139</v>
      </c>
      <c r="F1200" s="17">
        <f t="shared" si="2"/>
        <v>0</v>
      </c>
    </row>
    <row r="1201">
      <c r="A1201" s="5" t="s">
        <v>63</v>
      </c>
      <c r="B1201" s="6">
        <v>116.0</v>
      </c>
      <c r="C1201" s="13" t="s">
        <v>282</v>
      </c>
      <c r="D1201" s="17">
        <f>SUMIFS(ShadowLedger!$D:$D,ShadowLedger!$G:$G,A1201,ShadowLedger!$C:$C,"&gt;="&amp;DATE(LEFT(SUBSTITUTE(C1201,"'",""),4),MID(SUBSTITUTE(C1201,"'",""),6,2),1),ShadowLedger!$C:$C,"&lt;"&amp;EOMONTH(DATE(LEFT(SUBSTITUTE(C1201,"'",""),4),MID(SUBSTITUTE(C1201,"'",""),6,2),1),0)+1)</f>
        <v>0</v>
      </c>
      <c r="E1201" s="17">
        <f t="shared" si="1"/>
        <v>116</v>
      </c>
      <c r="F1201" s="17">
        <f t="shared" si="2"/>
        <v>0</v>
      </c>
    </row>
    <row r="1202">
      <c r="A1202" s="5" t="s">
        <v>64</v>
      </c>
      <c r="B1202" s="6">
        <v>116.0</v>
      </c>
      <c r="C1202" s="13" t="s">
        <v>282</v>
      </c>
      <c r="D1202" s="17">
        <f>SUMIFS(ShadowLedger!$D:$D,ShadowLedger!$G:$G,A1202,ShadowLedger!$C:$C,"&gt;="&amp;DATE(LEFT(SUBSTITUTE(C1202,"'",""),4),MID(SUBSTITUTE(C1202,"'",""),6,2),1),ShadowLedger!$C:$C,"&lt;"&amp;EOMONTH(DATE(LEFT(SUBSTITUTE(C1202,"'",""),4),MID(SUBSTITUTE(C1202,"'",""),6,2),1),0)+1)</f>
        <v>0</v>
      </c>
      <c r="E1202" s="17">
        <f t="shared" si="1"/>
        <v>116</v>
      </c>
      <c r="F1202" s="17">
        <f t="shared" si="2"/>
        <v>0</v>
      </c>
    </row>
    <row r="1203">
      <c r="A1203" s="5" t="s">
        <v>70</v>
      </c>
      <c r="B1203" s="6">
        <v>116.0</v>
      </c>
      <c r="C1203" s="13" t="s">
        <v>282</v>
      </c>
      <c r="D1203" s="17">
        <f>SUMIFS(ShadowLedger!$D:$D,ShadowLedger!$G:$G,A1203,ShadowLedger!$C:$C,"&gt;="&amp;DATE(LEFT(SUBSTITUTE(C1203,"'",""),4),MID(SUBSTITUTE(C1203,"'",""),6,2),1),ShadowLedger!$C:$C,"&lt;"&amp;EOMONTH(DATE(LEFT(SUBSTITUTE(C1203,"'",""),4),MID(SUBSTITUTE(C1203,"'",""),6,2),1),0)+1)</f>
        <v>0</v>
      </c>
      <c r="E1203" s="17">
        <f t="shared" si="1"/>
        <v>116</v>
      </c>
      <c r="F1203" s="17">
        <f t="shared" si="2"/>
        <v>0</v>
      </c>
    </row>
    <row r="1204">
      <c r="A1204" s="5" t="s">
        <v>65</v>
      </c>
      <c r="B1204" s="6">
        <v>58.0</v>
      </c>
      <c r="C1204" s="13" t="s">
        <v>282</v>
      </c>
      <c r="D1204" s="17">
        <f>SUMIFS(ShadowLedger!$D:$D,ShadowLedger!$G:$G,A1204,ShadowLedger!$C:$C,"&gt;="&amp;DATE(LEFT(SUBSTITUTE(C1204,"'",""),4),MID(SUBSTITUTE(C1204,"'",""),6,2),1),ShadowLedger!$C:$C,"&lt;"&amp;EOMONTH(DATE(LEFT(SUBSTITUTE(C1204,"'",""),4),MID(SUBSTITUTE(C1204,"'",""),6,2),1),0)+1)</f>
        <v>0</v>
      </c>
      <c r="E1204" s="17">
        <f t="shared" si="1"/>
        <v>58</v>
      </c>
      <c r="F1204" s="17">
        <f t="shared" si="2"/>
        <v>0</v>
      </c>
    </row>
    <row r="1205">
      <c r="A1205" s="5" t="s">
        <v>66</v>
      </c>
      <c r="B1205" s="6">
        <v>58.0</v>
      </c>
      <c r="C1205" s="13" t="s">
        <v>282</v>
      </c>
      <c r="D1205" s="17">
        <f>SUMIFS(ShadowLedger!$D:$D,ShadowLedger!$G:$G,A1205,ShadowLedger!$C:$C,"&gt;="&amp;DATE(LEFT(SUBSTITUTE(C1205,"'",""),4),MID(SUBSTITUTE(C1205,"'",""),6,2),1),ShadowLedger!$C:$C,"&lt;"&amp;EOMONTH(DATE(LEFT(SUBSTITUTE(C1205,"'",""),4),MID(SUBSTITUTE(C1205,"'",""),6,2),1),0)+1)</f>
        <v>0</v>
      </c>
      <c r="E1205" s="17">
        <f t="shared" si="1"/>
        <v>58</v>
      </c>
      <c r="F1205" s="17">
        <f t="shared" si="2"/>
        <v>0</v>
      </c>
    </row>
    <row r="1206">
      <c r="A1206" s="5" t="s">
        <v>67</v>
      </c>
      <c r="B1206" s="6">
        <v>58.0</v>
      </c>
      <c r="C1206" s="13" t="s">
        <v>282</v>
      </c>
      <c r="D1206" s="17">
        <f>SUMIFS(ShadowLedger!$D:$D,ShadowLedger!$G:$G,A1206,ShadowLedger!$C:$C,"&gt;="&amp;DATE(LEFT(SUBSTITUTE(C1206,"'",""),4),MID(SUBSTITUTE(C1206,"'",""),6,2),1),ShadowLedger!$C:$C,"&lt;"&amp;EOMONTH(DATE(LEFT(SUBSTITUTE(C1206,"'",""),4),MID(SUBSTITUTE(C1206,"'",""),6,2),1),0)+1)</f>
        <v>0</v>
      </c>
      <c r="E1206" s="17">
        <f t="shared" si="1"/>
        <v>58</v>
      </c>
      <c r="F1206" s="17">
        <f t="shared" si="2"/>
        <v>0</v>
      </c>
    </row>
    <row r="1207">
      <c r="A1207" s="5" t="s">
        <v>68</v>
      </c>
      <c r="B1207" s="6">
        <v>58.0</v>
      </c>
      <c r="C1207" s="13" t="s">
        <v>282</v>
      </c>
      <c r="D1207" s="17">
        <f>SUMIFS(ShadowLedger!$D:$D,ShadowLedger!$G:$G,A1207,ShadowLedger!$C:$C,"&gt;="&amp;DATE(LEFT(SUBSTITUTE(C1207,"'",""),4),MID(SUBSTITUTE(C1207,"'",""),6,2),1),ShadowLedger!$C:$C,"&lt;"&amp;EOMONTH(DATE(LEFT(SUBSTITUTE(C1207,"'",""),4),MID(SUBSTITUTE(C1207,"'",""),6,2),1),0)+1)</f>
        <v>0</v>
      </c>
      <c r="E1207" s="17">
        <f t="shared" si="1"/>
        <v>58</v>
      </c>
      <c r="F1207" s="17">
        <f t="shared" si="2"/>
        <v>0</v>
      </c>
    </row>
    <row r="1208">
      <c r="A1208" s="5" t="s">
        <v>69</v>
      </c>
      <c r="B1208" s="6">
        <v>0.0</v>
      </c>
      <c r="C1208" s="13" t="s">
        <v>282</v>
      </c>
      <c r="D1208" s="17">
        <f>SUMIFS(ShadowLedger!$D:$D,ShadowLedger!$G:$G,A1208,ShadowLedger!$C:$C,"&gt;="&amp;DATE(LEFT(SUBSTITUTE(C1208,"'",""),4),MID(SUBSTITUTE(C1208,"'",""),6,2),1),ShadowLedger!$C:$C,"&lt;"&amp;EOMONTH(DATE(LEFT(SUBSTITUTE(C1208,"'",""),4),MID(SUBSTITUTE(C1208,"'",""),6,2),1),0)+1)</f>
        <v>0</v>
      </c>
      <c r="E1208" s="17">
        <f t="shared" si="1"/>
        <v>0</v>
      </c>
      <c r="F1208" s="17">
        <f t="shared" si="2"/>
        <v>0</v>
      </c>
    </row>
    <row r="1209">
      <c r="A1209" s="5" t="s">
        <v>54</v>
      </c>
      <c r="B1209" s="6">
        <v>1067.0</v>
      </c>
      <c r="C1209" s="13" t="s">
        <v>283</v>
      </c>
      <c r="D1209" s="17">
        <f>SUMIFS(ShadowLedger!$D:$D,ShadowLedger!$G:$G,A1209,ShadowLedger!$C:$C,"&gt;="&amp;DATE(LEFT(SUBSTITUTE(C1209,"'",""),4),MID(SUBSTITUTE(C1209,"'",""),6,2),1),ShadowLedger!$C:$C,"&lt;"&amp;EOMONTH(DATE(LEFT(SUBSTITUTE(C1209,"'",""),4),MID(SUBSTITUTE(C1209,"'",""),6,2),1),0)+1)</f>
        <v>0</v>
      </c>
      <c r="E1209" s="17">
        <f t="shared" si="1"/>
        <v>1067</v>
      </c>
      <c r="F1209" s="17">
        <f t="shared" si="2"/>
        <v>0</v>
      </c>
    </row>
    <row r="1210">
      <c r="A1210" s="5" t="s">
        <v>55</v>
      </c>
      <c r="B1210" s="6">
        <v>811.0</v>
      </c>
      <c r="C1210" s="13" t="s">
        <v>283</v>
      </c>
      <c r="D1210" s="17">
        <f>SUMIFS(ShadowLedger!$D:$D,ShadowLedger!$G:$G,A1210,ShadowLedger!$C:$C,"&gt;="&amp;DATE(LEFT(SUBSTITUTE(C1210,"'",""),4),MID(SUBSTITUTE(C1210,"'",""),6,2),1),ShadowLedger!$C:$C,"&lt;"&amp;EOMONTH(DATE(LEFT(SUBSTITUTE(C1210,"'",""),4),MID(SUBSTITUTE(C1210,"'",""),6,2),1),0)+1)</f>
        <v>0</v>
      </c>
      <c r="E1210" s="17">
        <f t="shared" si="1"/>
        <v>811</v>
      </c>
      <c r="F1210" s="17">
        <f t="shared" si="2"/>
        <v>0</v>
      </c>
    </row>
    <row r="1211">
      <c r="A1211" s="5" t="s">
        <v>56</v>
      </c>
      <c r="B1211" s="6">
        <v>580.0</v>
      </c>
      <c r="C1211" s="13" t="s">
        <v>283</v>
      </c>
      <c r="D1211" s="17">
        <f>SUMIFS(ShadowLedger!$D:$D,ShadowLedger!$G:$G,A1211,ShadowLedger!$C:$C,"&gt;="&amp;DATE(LEFT(SUBSTITUTE(C1211,"'",""),4),MID(SUBSTITUTE(C1211,"'",""),6,2),1),ShadowLedger!$C:$C,"&lt;"&amp;EOMONTH(DATE(LEFT(SUBSTITUTE(C1211,"'",""),4),MID(SUBSTITUTE(C1211,"'",""),6,2),1),0)+1)</f>
        <v>0</v>
      </c>
      <c r="E1211" s="17">
        <f t="shared" si="1"/>
        <v>580</v>
      </c>
      <c r="F1211" s="17">
        <f t="shared" si="2"/>
        <v>0</v>
      </c>
    </row>
    <row r="1212">
      <c r="A1212" s="5" t="s">
        <v>57</v>
      </c>
      <c r="B1212" s="6">
        <v>580.0</v>
      </c>
      <c r="C1212" s="13" t="s">
        <v>283</v>
      </c>
      <c r="D1212" s="17">
        <f>SUMIFS(ShadowLedger!$D:$D,ShadowLedger!$G:$G,A1212,ShadowLedger!$C:$C,"&gt;="&amp;DATE(LEFT(SUBSTITUTE(C1212,"'",""),4),MID(SUBSTITUTE(C1212,"'",""),6,2),1),ShadowLedger!$C:$C,"&lt;"&amp;EOMONTH(DATE(LEFT(SUBSTITUTE(C1212,"'",""),4),MID(SUBSTITUTE(C1212,"'",""),6,2),1),0)+1)</f>
        <v>0</v>
      </c>
      <c r="E1212" s="17">
        <f t="shared" si="1"/>
        <v>580</v>
      </c>
      <c r="F1212" s="17">
        <f t="shared" si="2"/>
        <v>0</v>
      </c>
    </row>
    <row r="1213">
      <c r="A1213" s="5" t="s">
        <v>58</v>
      </c>
      <c r="B1213" s="6">
        <v>464.0</v>
      </c>
      <c r="C1213" s="13" t="s">
        <v>283</v>
      </c>
      <c r="D1213" s="17">
        <f>SUMIFS(ShadowLedger!$D:$D,ShadowLedger!$G:$G,A1213,ShadowLedger!$C:$C,"&gt;="&amp;DATE(LEFT(SUBSTITUTE(C1213,"'",""),4),MID(SUBSTITUTE(C1213,"'",""),6,2),1),ShadowLedger!$C:$C,"&lt;"&amp;EOMONTH(DATE(LEFT(SUBSTITUTE(C1213,"'",""),4),MID(SUBSTITUTE(C1213,"'",""),6,2),1),0)+1)</f>
        <v>0</v>
      </c>
      <c r="E1213" s="17">
        <f t="shared" si="1"/>
        <v>464</v>
      </c>
      <c r="F1213" s="17">
        <f t="shared" si="2"/>
        <v>0</v>
      </c>
    </row>
    <row r="1214">
      <c r="A1214" s="5" t="s">
        <v>59</v>
      </c>
      <c r="B1214" s="6">
        <v>232.0</v>
      </c>
      <c r="C1214" s="13" t="s">
        <v>283</v>
      </c>
      <c r="D1214" s="17">
        <f>SUMIFS(ShadowLedger!$D:$D,ShadowLedger!$G:$G,A1214,ShadowLedger!$C:$C,"&gt;="&amp;DATE(LEFT(SUBSTITUTE(C1214,"'",""),4),MID(SUBSTITUTE(C1214,"'",""),6,2),1),ShadowLedger!$C:$C,"&lt;"&amp;EOMONTH(DATE(LEFT(SUBSTITUTE(C1214,"'",""),4),MID(SUBSTITUTE(C1214,"'",""),6,2),1),0)+1)</f>
        <v>0</v>
      </c>
      <c r="E1214" s="17">
        <f t="shared" si="1"/>
        <v>232</v>
      </c>
      <c r="F1214" s="17">
        <f t="shared" si="2"/>
        <v>0</v>
      </c>
    </row>
    <row r="1215">
      <c r="A1215" s="5" t="s">
        <v>60</v>
      </c>
      <c r="B1215" s="6">
        <v>174.0</v>
      </c>
      <c r="C1215" s="13" t="s">
        <v>283</v>
      </c>
      <c r="D1215" s="17">
        <f>SUMIFS(ShadowLedger!$D:$D,ShadowLedger!$G:$G,A1215,ShadowLedger!$C:$C,"&gt;="&amp;DATE(LEFT(SUBSTITUTE(C1215,"'",""),4),MID(SUBSTITUTE(C1215,"'",""),6,2),1),ShadowLedger!$C:$C,"&lt;"&amp;EOMONTH(DATE(LEFT(SUBSTITUTE(C1215,"'",""),4),MID(SUBSTITUTE(C1215,"'",""),6,2),1),0)+1)</f>
        <v>0</v>
      </c>
      <c r="E1215" s="17">
        <f t="shared" si="1"/>
        <v>174</v>
      </c>
      <c r="F1215" s="17">
        <f t="shared" si="2"/>
        <v>0</v>
      </c>
    </row>
    <row r="1216">
      <c r="A1216" s="5" t="s">
        <v>61</v>
      </c>
      <c r="B1216" s="6">
        <v>139.0</v>
      </c>
      <c r="C1216" s="13" t="s">
        <v>283</v>
      </c>
      <c r="D1216" s="17">
        <f>SUMIFS(ShadowLedger!$D:$D,ShadowLedger!$G:$G,A1216,ShadowLedger!$C:$C,"&gt;="&amp;DATE(LEFT(SUBSTITUTE(C1216,"'",""),4),MID(SUBSTITUTE(C1216,"'",""),6,2),1),ShadowLedger!$C:$C,"&lt;"&amp;EOMONTH(DATE(LEFT(SUBSTITUTE(C1216,"'",""),4),MID(SUBSTITUTE(C1216,"'",""),6,2),1),0)+1)</f>
        <v>0</v>
      </c>
      <c r="E1216" s="17">
        <f t="shared" si="1"/>
        <v>139</v>
      </c>
      <c r="F1216" s="17">
        <f t="shared" si="2"/>
        <v>0</v>
      </c>
    </row>
    <row r="1217">
      <c r="A1217" s="5" t="s">
        <v>62</v>
      </c>
      <c r="B1217" s="6">
        <v>139.0</v>
      </c>
      <c r="C1217" s="13" t="s">
        <v>283</v>
      </c>
      <c r="D1217" s="17">
        <f>SUMIFS(ShadowLedger!$D:$D,ShadowLedger!$G:$G,A1217,ShadowLedger!$C:$C,"&gt;="&amp;DATE(LEFT(SUBSTITUTE(C1217,"'",""),4),MID(SUBSTITUTE(C1217,"'",""),6,2),1),ShadowLedger!$C:$C,"&lt;"&amp;EOMONTH(DATE(LEFT(SUBSTITUTE(C1217,"'",""),4),MID(SUBSTITUTE(C1217,"'",""),6,2),1),0)+1)</f>
        <v>0</v>
      </c>
      <c r="E1217" s="17">
        <f t="shared" si="1"/>
        <v>139</v>
      </c>
      <c r="F1217" s="17">
        <f t="shared" si="2"/>
        <v>0</v>
      </c>
    </row>
    <row r="1218">
      <c r="A1218" s="5" t="s">
        <v>63</v>
      </c>
      <c r="B1218" s="6">
        <v>116.0</v>
      </c>
      <c r="C1218" s="13" t="s">
        <v>283</v>
      </c>
      <c r="D1218" s="17">
        <f>SUMIFS(ShadowLedger!$D:$D,ShadowLedger!$G:$G,A1218,ShadowLedger!$C:$C,"&gt;="&amp;DATE(LEFT(SUBSTITUTE(C1218,"'",""),4),MID(SUBSTITUTE(C1218,"'",""),6,2),1),ShadowLedger!$C:$C,"&lt;"&amp;EOMONTH(DATE(LEFT(SUBSTITUTE(C1218,"'",""),4),MID(SUBSTITUTE(C1218,"'",""),6,2),1),0)+1)</f>
        <v>0</v>
      </c>
      <c r="E1218" s="17">
        <f t="shared" si="1"/>
        <v>116</v>
      </c>
      <c r="F1218" s="17">
        <f t="shared" si="2"/>
        <v>0</v>
      </c>
    </row>
    <row r="1219">
      <c r="A1219" s="5" t="s">
        <v>64</v>
      </c>
      <c r="B1219" s="6">
        <v>116.0</v>
      </c>
      <c r="C1219" s="13" t="s">
        <v>283</v>
      </c>
      <c r="D1219" s="17">
        <f>SUMIFS(ShadowLedger!$D:$D,ShadowLedger!$G:$G,A1219,ShadowLedger!$C:$C,"&gt;="&amp;DATE(LEFT(SUBSTITUTE(C1219,"'",""),4),MID(SUBSTITUTE(C1219,"'",""),6,2),1),ShadowLedger!$C:$C,"&lt;"&amp;EOMONTH(DATE(LEFT(SUBSTITUTE(C1219,"'",""),4),MID(SUBSTITUTE(C1219,"'",""),6,2),1),0)+1)</f>
        <v>0</v>
      </c>
      <c r="E1219" s="17">
        <f t="shared" si="1"/>
        <v>116</v>
      </c>
      <c r="F1219" s="17">
        <f t="shared" si="2"/>
        <v>0</v>
      </c>
    </row>
    <row r="1220">
      <c r="A1220" s="5" t="s">
        <v>70</v>
      </c>
      <c r="B1220" s="6">
        <v>116.0</v>
      </c>
      <c r="C1220" s="13" t="s">
        <v>283</v>
      </c>
      <c r="D1220" s="17">
        <f>SUMIFS(ShadowLedger!$D:$D,ShadowLedger!$G:$G,A1220,ShadowLedger!$C:$C,"&gt;="&amp;DATE(LEFT(SUBSTITUTE(C1220,"'",""),4),MID(SUBSTITUTE(C1220,"'",""),6,2),1),ShadowLedger!$C:$C,"&lt;"&amp;EOMONTH(DATE(LEFT(SUBSTITUTE(C1220,"'",""),4),MID(SUBSTITUTE(C1220,"'",""),6,2),1),0)+1)</f>
        <v>0</v>
      </c>
      <c r="E1220" s="17">
        <f t="shared" si="1"/>
        <v>116</v>
      </c>
      <c r="F1220" s="17">
        <f t="shared" si="2"/>
        <v>0</v>
      </c>
    </row>
    <row r="1221">
      <c r="A1221" s="5" t="s">
        <v>65</v>
      </c>
      <c r="B1221" s="6">
        <v>58.0</v>
      </c>
      <c r="C1221" s="13" t="s">
        <v>283</v>
      </c>
      <c r="D1221" s="17">
        <f>SUMIFS(ShadowLedger!$D:$D,ShadowLedger!$G:$G,A1221,ShadowLedger!$C:$C,"&gt;="&amp;DATE(LEFT(SUBSTITUTE(C1221,"'",""),4),MID(SUBSTITUTE(C1221,"'",""),6,2),1),ShadowLedger!$C:$C,"&lt;"&amp;EOMONTH(DATE(LEFT(SUBSTITUTE(C1221,"'",""),4),MID(SUBSTITUTE(C1221,"'",""),6,2),1),0)+1)</f>
        <v>0</v>
      </c>
      <c r="E1221" s="17">
        <f t="shared" si="1"/>
        <v>58</v>
      </c>
      <c r="F1221" s="17">
        <f t="shared" si="2"/>
        <v>0</v>
      </c>
    </row>
    <row r="1222">
      <c r="A1222" s="5" t="s">
        <v>66</v>
      </c>
      <c r="B1222" s="6">
        <v>58.0</v>
      </c>
      <c r="C1222" s="13" t="s">
        <v>283</v>
      </c>
      <c r="D1222" s="17">
        <f>SUMIFS(ShadowLedger!$D:$D,ShadowLedger!$G:$G,A1222,ShadowLedger!$C:$C,"&gt;="&amp;DATE(LEFT(SUBSTITUTE(C1222,"'",""),4),MID(SUBSTITUTE(C1222,"'",""),6,2),1),ShadowLedger!$C:$C,"&lt;"&amp;EOMONTH(DATE(LEFT(SUBSTITUTE(C1222,"'",""),4),MID(SUBSTITUTE(C1222,"'",""),6,2),1),0)+1)</f>
        <v>0</v>
      </c>
      <c r="E1222" s="17">
        <f t="shared" si="1"/>
        <v>58</v>
      </c>
      <c r="F1222" s="17">
        <f t="shared" si="2"/>
        <v>0</v>
      </c>
    </row>
    <row r="1223">
      <c r="A1223" s="5" t="s">
        <v>67</v>
      </c>
      <c r="B1223" s="6">
        <v>58.0</v>
      </c>
      <c r="C1223" s="13" t="s">
        <v>283</v>
      </c>
      <c r="D1223" s="17">
        <f>SUMIFS(ShadowLedger!$D:$D,ShadowLedger!$G:$G,A1223,ShadowLedger!$C:$C,"&gt;="&amp;DATE(LEFT(SUBSTITUTE(C1223,"'",""),4),MID(SUBSTITUTE(C1223,"'",""),6,2),1),ShadowLedger!$C:$C,"&lt;"&amp;EOMONTH(DATE(LEFT(SUBSTITUTE(C1223,"'",""),4),MID(SUBSTITUTE(C1223,"'",""),6,2),1),0)+1)</f>
        <v>0</v>
      </c>
      <c r="E1223" s="17">
        <f t="shared" si="1"/>
        <v>58</v>
      </c>
      <c r="F1223" s="17">
        <f t="shared" si="2"/>
        <v>0</v>
      </c>
    </row>
    <row r="1224">
      <c r="A1224" s="5" t="s">
        <v>68</v>
      </c>
      <c r="B1224" s="6">
        <v>58.0</v>
      </c>
      <c r="C1224" s="13" t="s">
        <v>283</v>
      </c>
      <c r="D1224" s="17">
        <f>SUMIFS(ShadowLedger!$D:$D,ShadowLedger!$G:$G,A1224,ShadowLedger!$C:$C,"&gt;="&amp;DATE(LEFT(SUBSTITUTE(C1224,"'",""),4),MID(SUBSTITUTE(C1224,"'",""),6,2),1),ShadowLedger!$C:$C,"&lt;"&amp;EOMONTH(DATE(LEFT(SUBSTITUTE(C1224,"'",""),4),MID(SUBSTITUTE(C1224,"'",""),6,2),1),0)+1)</f>
        <v>0</v>
      </c>
      <c r="E1224" s="17">
        <f t="shared" si="1"/>
        <v>58</v>
      </c>
      <c r="F1224" s="17">
        <f t="shared" si="2"/>
        <v>0</v>
      </c>
    </row>
    <row r="1225">
      <c r="A1225" s="5" t="s">
        <v>69</v>
      </c>
      <c r="B1225" s="6">
        <v>0.0</v>
      </c>
      <c r="C1225" s="13" t="s">
        <v>283</v>
      </c>
      <c r="D1225" s="17">
        <f>SUMIFS(ShadowLedger!$D:$D,ShadowLedger!$G:$G,A1225,ShadowLedger!$C:$C,"&gt;="&amp;DATE(LEFT(SUBSTITUTE(C1225,"'",""),4),MID(SUBSTITUTE(C1225,"'",""),6,2),1),ShadowLedger!$C:$C,"&lt;"&amp;EOMONTH(DATE(LEFT(SUBSTITUTE(C1225,"'",""),4),MID(SUBSTITUTE(C1225,"'",""),6,2),1),0)+1)</f>
        <v>0</v>
      </c>
      <c r="E1225" s="17">
        <f t="shared" si="1"/>
        <v>0</v>
      </c>
      <c r="F1225" s="17">
        <f t="shared" si="2"/>
        <v>0</v>
      </c>
    </row>
    <row r="1226">
      <c r="A1226" s="5" t="s">
        <v>54</v>
      </c>
      <c r="B1226" s="6">
        <v>1067.0</v>
      </c>
      <c r="C1226" s="13" t="s">
        <v>284</v>
      </c>
      <c r="D1226" s="17">
        <f>SUMIFS(ShadowLedger!$D:$D,ShadowLedger!$G:$G,A1226,ShadowLedger!$C:$C,"&gt;="&amp;DATE(LEFT(SUBSTITUTE(C1226,"'",""),4),MID(SUBSTITUTE(C1226,"'",""),6,2),1),ShadowLedger!$C:$C,"&lt;"&amp;EOMONTH(DATE(LEFT(SUBSTITUTE(C1226,"'",""),4),MID(SUBSTITUTE(C1226,"'",""),6,2),1),0)+1)</f>
        <v>0</v>
      </c>
      <c r="E1226" s="17">
        <f t="shared" si="1"/>
        <v>1067</v>
      </c>
      <c r="F1226" s="17">
        <f t="shared" si="2"/>
        <v>0</v>
      </c>
    </row>
    <row r="1227">
      <c r="A1227" s="5" t="s">
        <v>55</v>
      </c>
      <c r="B1227" s="6">
        <v>811.0</v>
      </c>
      <c r="C1227" s="13" t="s">
        <v>284</v>
      </c>
      <c r="D1227" s="17">
        <f>SUMIFS(ShadowLedger!$D:$D,ShadowLedger!$G:$G,A1227,ShadowLedger!$C:$C,"&gt;="&amp;DATE(LEFT(SUBSTITUTE(C1227,"'",""),4),MID(SUBSTITUTE(C1227,"'",""),6,2),1),ShadowLedger!$C:$C,"&lt;"&amp;EOMONTH(DATE(LEFT(SUBSTITUTE(C1227,"'",""),4),MID(SUBSTITUTE(C1227,"'",""),6,2),1),0)+1)</f>
        <v>0</v>
      </c>
      <c r="E1227" s="17">
        <f t="shared" si="1"/>
        <v>811</v>
      </c>
      <c r="F1227" s="17">
        <f t="shared" si="2"/>
        <v>0</v>
      </c>
    </row>
    <row r="1228">
      <c r="A1228" s="5" t="s">
        <v>56</v>
      </c>
      <c r="B1228" s="6">
        <v>580.0</v>
      </c>
      <c r="C1228" s="13" t="s">
        <v>284</v>
      </c>
      <c r="D1228" s="17">
        <f>SUMIFS(ShadowLedger!$D:$D,ShadowLedger!$G:$G,A1228,ShadowLedger!$C:$C,"&gt;="&amp;DATE(LEFT(SUBSTITUTE(C1228,"'",""),4),MID(SUBSTITUTE(C1228,"'",""),6,2),1),ShadowLedger!$C:$C,"&lt;"&amp;EOMONTH(DATE(LEFT(SUBSTITUTE(C1228,"'",""),4),MID(SUBSTITUTE(C1228,"'",""),6,2),1),0)+1)</f>
        <v>0</v>
      </c>
      <c r="E1228" s="17">
        <f t="shared" si="1"/>
        <v>580</v>
      </c>
      <c r="F1228" s="17">
        <f t="shared" si="2"/>
        <v>0</v>
      </c>
    </row>
    <row r="1229">
      <c r="A1229" s="5" t="s">
        <v>57</v>
      </c>
      <c r="B1229" s="6">
        <v>580.0</v>
      </c>
      <c r="C1229" s="13" t="s">
        <v>284</v>
      </c>
      <c r="D1229" s="17">
        <f>SUMIFS(ShadowLedger!$D:$D,ShadowLedger!$G:$G,A1229,ShadowLedger!$C:$C,"&gt;="&amp;DATE(LEFT(SUBSTITUTE(C1229,"'",""),4),MID(SUBSTITUTE(C1229,"'",""),6,2),1),ShadowLedger!$C:$C,"&lt;"&amp;EOMONTH(DATE(LEFT(SUBSTITUTE(C1229,"'",""),4),MID(SUBSTITUTE(C1229,"'",""),6,2),1),0)+1)</f>
        <v>0</v>
      </c>
      <c r="E1229" s="17">
        <f t="shared" si="1"/>
        <v>580</v>
      </c>
      <c r="F1229" s="17">
        <f t="shared" si="2"/>
        <v>0</v>
      </c>
    </row>
    <row r="1230">
      <c r="A1230" s="5" t="s">
        <v>58</v>
      </c>
      <c r="B1230" s="6">
        <v>464.0</v>
      </c>
      <c r="C1230" s="13" t="s">
        <v>284</v>
      </c>
      <c r="D1230" s="17">
        <f>SUMIFS(ShadowLedger!$D:$D,ShadowLedger!$G:$G,A1230,ShadowLedger!$C:$C,"&gt;="&amp;DATE(LEFT(SUBSTITUTE(C1230,"'",""),4),MID(SUBSTITUTE(C1230,"'",""),6,2),1),ShadowLedger!$C:$C,"&lt;"&amp;EOMONTH(DATE(LEFT(SUBSTITUTE(C1230,"'",""),4),MID(SUBSTITUTE(C1230,"'",""),6,2),1),0)+1)</f>
        <v>0</v>
      </c>
      <c r="E1230" s="17">
        <f t="shared" si="1"/>
        <v>464</v>
      </c>
      <c r="F1230" s="17">
        <f t="shared" si="2"/>
        <v>0</v>
      </c>
    </row>
    <row r="1231">
      <c r="A1231" s="5" t="s">
        <v>59</v>
      </c>
      <c r="B1231" s="6">
        <v>232.0</v>
      </c>
      <c r="C1231" s="13" t="s">
        <v>284</v>
      </c>
      <c r="D1231" s="17">
        <f>SUMIFS(ShadowLedger!$D:$D,ShadowLedger!$G:$G,A1231,ShadowLedger!$C:$C,"&gt;="&amp;DATE(LEFT(SUBSTITUTE(C1231,"'",""),4),MID(SUBSTITUTE(C1231,"'",""),6,2),1),ShadowLedger!$C:$C,"&lt;"&amp;EOMONTH(DATE(LEFT(SUBSTITUTE(C1231,"'",""),4),MID(SUBSTITUTE(C1231,"'",""),6,2),1),0)+1)</f>
        <v>0</v>
      </c>
      <c r="E1231" s="17">
        <f t="shared" si="1"/>
        <v>232</v>
      </c>
      <c r="F1231" s="17">
        <f t="shared" si="2"/>
        <v>0</v>
      </c>
    </row>
    <row r="1232">
      <c r="A1232" s="5" t="s">
        <v>60</v>
      </c>
      <c r="B1232" s="6">
        <v>174.0</v>
      </c>
      <c r="C1232" s="13" t="s">
        <v>284</v>
      </c>
      <c r="D1232" s="17">
        <f>SUMIFS(ShadowLedger!$D:$D,ShadowLedger!$G:$G,A1232,ShadowLedger!$C:$C,"&gt;="&amp;DATE(LEFT(SUBSTITUTE(C1232,"'",""),4),MID(SUBSTITUTE(C1232,"'",""),6,2),1),ShadowLedger!$C:$C,"&lt;"&amp;EOMONTH(DATE(LEFT(SUBSTITUTE(C1232,"'",""),4),MID(SUBSTITUTE(C1232,"'",""),6,2),1),0)+1)</f>
        <v>0</v>
      </c>
      <c r="E1232" s="17">
        <f t="shared" si="1"/>
        <v>174</v>
      </c>
      <c r="F1232" s="17">
        <f t="shared" si="2"/>
        <v>0</v>
      </c>
    </row>
    <row r="1233">
      <c r="A1233" s="5" t="s">
        <v>61</v>
      </c>
      <c r="B1233" s="6">
        <v>139.0</v>
      </c>
      <c r="C1233" s="13" t="s">
        <v>284</v>
      </c>
      <c r="D1233" s="17">
        <f>SUMIFS(ShadowLedger!$D:$D,ShadowLedger!$G:$G,A1233,ShadowLedger!$C:$C,"&gt;="&amp;DATE(LEFT(SUBSTITUTE(C1233,"'",""),4),MID(SUBSTITUTE(C1233,"'",""),6,2),1),ShadowLedger!$C:$C,"&lt;"&amp;EOMONTH(DATE(LEFT(SUBSTITUTE(C1233,"'",""),4),MID(SUBSTITUTE(C1233,"'",""),6,2),1),0)+1)</f>
        <v>0</v>
      </c>
      <c r="E1233" s="17">
        <f t="shared" si="1"/>
        <v>139</v>
      </c>
      <c r="F1233" s="17">
        <f t="shared" si="2"/>
        <v>0</v>
      </c>
    </row>
    <row r="1234">
      <c r="A1234" s="5" t="s">
        <v>62</v>
      </c>
      <c r="B1234" s="6">
        <v>139.0</v>
      </c>
      <c r="C1234" s="13" t="s">
        <v>284</v>
      </c>
      <c r="D1234" s="17">
        <f>SUMIFS(ShadowLedger!$D:$D,ShadowLedger!$G:$G,A1234,ShadowLedger!$C:$C,"&gt;="&amp;DATE(LEFT(SUBSTITUTE(C1234,"'",""),4),MID(SUBSTITUTE(C1234,"'",""),6,2),1),ShadowLedger!$C:$C,"&lt;"&amp;EOMONTH(DATE(LEFT(SUBSTITUTE(C1234,"'",""),4),MID(SUBSTITUTE(C1234,"'",""),6,2),1),0)+1)</f>
        <v>0</v>
      </c>
      <c r="E1234" s="17">
        <f t="shared" si="1"/>
        <v>139</v>
      </c>
      <c r="F1234" s="17">
        <f t="shared" si="2"/>
        <v>0</v>
      </c>
    </row>
    <row r="1235">
      <c r="A1235" s="5" t="s">
        <v>63</v>
      </c>
      <c r="B1235" s="6">
        <v>116.0</v>
      </c>
      <c r="C1235" s="13" t="s">
        <v>284</v>
      </c>
      <c r="D1235" s="17">
        <f>SUMIFS(ShadowLedger!$D:$D,ShadowLedger!$G:$G,A1235,ShadowLedger!$C:$C,"&gt;="&amp;DATE(LEFT(SUBSTITUTE(C1235,"'",""),4),MID(SUBSTITUTE(C1235,"'",""),6,2),1),ShadowLedger!$C:$C,"&lt;"&amp;EOMONTH(DATE(LEFT(SUBSTITUTE(C1235,"'",""),4),MID(SUBSTITUTE(C1235,"'",""),6,2),1),0)+1)</f>
        <v>0</v>
      </c>
      <c r="E1235" s="17">
        <f t="shared" si="1"/>
        <v>116</v>
      </c>
      <c r="F1235" s="17">
        <f t="shared" si="2"/>
        <v>0</v>
      </c>
    </row>
    <row r="1236">
      <c r="A1236" s="5" t="s">
        <v>64</v>
      </c>
      <c r="B1236" s="6">
        <v>116.0</v>
      </c>
      <c r="C1236" s="13" t="s">
        <v>284</v>
      </c>
      <c r="D1236" s="17">
        <f>SUMIFS(ShadowLedger!$D:$D,ShadowLedger!$G:$G,A1236,ShadowLedger!$C:$C,"&gt;="&amp;DATE(LEFT(SUBSTITUTE(C1236,"'",""),4),MID(SUBSTITUTE(C1236,"'",""),6,2),1),ShadowLedger!$C:$C,"&lt;"&amp;EOMONTH(DATE(LEFT(SUBSTITUTE(C1236,"'",""),4),MID(SUBSTITUTE(C1236,"'",""),6,2),1),0)+1)</f>
        <v>0</v>
      </c>
      <c r="E1236" s="17">
        <f t="shared" si="1"/>
        <v>116</v>
      </c>
      <c r="F1236" s="17">
        <f t="shared" si="2"/>
        <v>0</v>
      </c>
    </row>
    <row r="1237">
      <c r="A1237" s="5" t="s">
        <v>70</v>
      </c>
      <c r="B1237" s="6">
        <v>116.0</v>
      </c>
      <c r="C1237" s="13" t="s">
        <v>284</v>
      </c>
      <c r="D1237" s="17">
        <f>SUMIFS(ShadowLedger!$D:$D,ShadowLedger!$G:$G,A1237,ShadowLedger!$C:$C,"&gt;="&amp;DATE(LEFT(SUBSTITUTE(C1237,"'",""),4),MID(SUBSTITUTE(C1237,"'",""),6,2),1),ShadowLedger!$C:$C,"&lt;"&amp;EOMONTH(DATE(LEFT(SUBSTITUTE(C1237,"'",""),4),MID(SUBSTITUTE(C1237,"'",""),6,2),1),0)+1)</f>
        <v>0</v>
      </c>
      <c r="E1237" s="17">
        <f t="shared" si="1"/>
        <v>116</v>
      </c>
      <c r="F1237" s="17">
        <f t="shared" si="2"/>
        <v>0</v>
      </c>
    </row>
    <row r="1238">
      <c r="A1238" s="5" t="s">
        <v>65</v>
      </c>
      <c r="B1238" s="6">
        <v>58.0</v>
      </c>
      <c r="C1238" s="13" t="s">
        <v>284</v>
      </c>
      <c r="D1238" s="17">
        <f>SUMIFS(ShadowLedger!$D:$D,ShadowLedger!$G:$G,A1238,ShadowLedger!$C:$C,"&gt;="&amp;DATE(LEFT(SUBSTITUTE(C1238,"'",""),4),MID(SUBSTITUTE(C1238,"'",""),6,2),1),ShadowLedger!$C:$C,"&lt;"&amp;EOMONTH(DATE(LEFT(SUBSTITUTE(C1238,"'",""),4),MID(SUBSTITUTE(C1238,"'",""),6,2),1),0)+1)</f>
        <v>0</v>
      </c>
      <c r="E1238" s="17">
        <f t="shared" si="1"/>
        <v>58</v>
      </c>
      <c r="F1238" s="17">
        <f t="shared" si="2"/>
        <v>0</v>
      </c>
    </row>
    <row r="1239">
      <c r="A1239" s="5" t="s">
        <v>66</v>
      </c>
      <c r="B1239" s="6">
        <v>58.0</v>
      </c>
      <c r="C1239" s="13" t="s">
        <v>284</v>
      </c>
      <c r="D1239" s="17">
        <f>SUMIFS(ShadowLedger!$D:$D,ShadowLedger!$G:$G,A1239,ShadowLedger!$C:$C,"&gt;="&amp;DATE(LEFT(SUBSTITUTE(C1239,"'",""),4),MID(SUBSTITUTE(C1239,"'",""),6,2),1),ShadowLedger!$C:$C,"&lt;"&amp;EOMONTH(DATE(LEFT(SUBSTITUTE(C1239,"'",""),4),MID(SUBSTITUTE(C1239,"'",""),6,2),1),0)+1)</f>
        <v>0</v>
      </c>
      <c r="E1239" s="17">
        <f t="shared" si="1"/>
        <v>58</v>
      </c>
      <c r="F1239" s="17">
        <f t="shared" si="2"/>
        <v>0</v>
      </c>
    </row>
    <row r="1240">
      <c r="A1240" s="5" t="s">
        <v>67</v>
      </c>
      <c r="B1240" s="6">
        <v>58.0</v>
      </c>
      <c r="C1240" s="13" t="s">
        <v>284</v>
      </c>
      <c r="D1240" s="17">
        <f>SUMIFS(ShadowLedger!$D:$D,ShadowLedger!$G:$G,A1240,ShadowLedger!$C:$C,"&gt;="&amp;DATE(LEFT(SUBSTITUTE(C1240,"'",""),4),MID(SUBSTITUTE(C1240,"'",""),6,2),1),ShadowLedger!$C:$C,"&lt;"&amp;EOMONTH(DATE(LEFT(SUBSTITUTE(C1240,"'",""),4),MID(SUBSTITUTE(C1240,"'",""),6,2),1),0)+1)</f>
        <v>0</v>
      </c>
      <c r="E1240" s="17">
        <f t="shared" si="1"/>
        <v>58</v>
      </c>
      <c r="F1240" s="17">
        <f t="shared" si="2"/>
        <v>0</v>
      </c>
    </row>
    <row r="1241">
      <c r="A1241" s="5" t="s">
        <v>68</v>
      </c>
      <c r="B1241" s="6">
        <v>58.0</v>
      </c>
      <c r="C1241" s="13" t="s">
        <v>284</v>
      </c>
      <c r="D1241" s="17">
        <f>SUMIFS(ShadowLedger!$D:$D,ShadowLedger!$G:$G,A1241,ShadowLedger!$C:$C,"&gt;="&amp;DATE(LEFT(SUBSTITUTE(C1241,"'",""),4),MID(SUBSTITUTE(C1241,"'",""),6,2),1),ShadowLedger!$C:$C,"&lt;"&amp;EOMONTH(DATE(LEFT(SUBSTITUTE(C1241,"'",""),4),MID(SUBSTITUTE(C1241,"'",""),6,2),1),0)+1)</f>
        <v>0</v>
      </c>
      <c r="E1241" s="17">
        <f t="shared" si="1"/>
        <v>58</v>
      </c>
      <c r="F1241" s="17">
        <f t="shared" si="2"/>
        <v>0</v>
      </c>
    </row>
    <row r="1242">
      <c r="A1242" s="5" t="s">
        <v>69</v>
      </c>
      <c r="B1242" s="6">
        <v>0.0</v>
      </c>
      <c r="C1242" s="13" t="s">
        <v>284</v>
      </c>
      <c r="D1242" s="17">
        <f>SUMIFS(ShadowLedger!$D:$D,ShadowLedger!$G:$G,A1242,ShadowLedger!$C:$C,"&gt;="&amp;DATE(LEFT(SUBSTITUTE(C1242,"'",""),4),MID(SUBSTITUTE(C1242,"'",""),6,2),1),ShadowLedger!$C:$C,"&lt;"&amp;EOMONTH(DATE(LEFT(SUBSTITUTE(C1242,"'",""),4),MID(SUBSTITUTE(C1242,"'",""),6,2),1),0)+1)</f>
        <v>0</v>
      </c>
      <c r="E1242" s="17">
        <f t="shared" si="1"/>
        <v>0</v>
      </c>
      <c r="F1242" s="17">
        <f t="shared" si="2"/>
        <v>0</v>
      </c>
    </row>
    <row r="1243">
      <c r="A1243" s="5" t="s">
        <v>54</v>
      </c>
      <c r="B1243" s="6">
        <v>1099.0</v>
      </c>
      <c r="C1243" s="13" t="s">
        <v>285</v>
      </c>
      <c r="D1243" s="17">
        <f>SUMIFS(ShadowLedger!$D:$D,ShadowLedger!$G:$G,A1243,ShadowLedger!$C:$C,"&gt;="&amp;DATE(LEFT(SUBSTITUTE(C1243,"'",""),4),MID(SUBSTITUTE(C1243,"'",""),6,2),1),ShadowLedger!$C:$C,"&lt;"&amp;EOMONTH(DATE(LEFT(SUBSTITUTE(C1243,"'",""),4),MID(SUBSTITUTE(C1243,"'",""),6,2),1),0)+1)</f>
        <v>0</v>
      </c>
      <c r="E1243" s="17">
        <f t="shared" si="1"/>
        <v>1099</v>
      </c>
      <c r="F1243" s="17">
        <f t="shared" si="2"/>
        <v>0</v>
      </c>
    </row>
    <row r="1244">
      <c r="A1244" s="5" t="s">
        <v>55</v>
      </c>
      <c r="B1244" s="6">
        <v>836.0</v>
      </c>
      <c r="C1244" s="13" t="s">
        <v>285</v>
      </c>
      <c r="D1244" s="17">
        <f>SUMIFS(ShadowLedger!$D:$D,ShadowLedger!$G:$G,A1244,ShadowLedger!$C:$C,"&gt;="&amp;DATE(LEFT(SUBSTITUTE(C1244,"'",""),4),MID(SUBSTITUTE(C1244,"'",""),6,2),1),ShadowLedger!$C:$C,"&lt;"&amp;EOMONTH(DATE(LEFT(SUBSTITUTE(C1244,"'",""),4),MID(SUBSTITUTE(C1244,"'",""),6,2),1),0)+1)</f>
        <v>0</v>
      </c>
      <c r="E1244" s="17">
        <f t="shared" si="1"/>
        <v>836</v>
      </c>
      <c r="F1244" s="17">
        <f t="shared" si="2"/>
        <v>0</v>
      </c>
    </row>
    <row r="1245">
      <c r="A1245" s="5" t="s">
        <v>56</v>
      </c>
      <c r="B1245" s="6">
        <v>597.0</v>
      </c>
      <c r="C1245" s="13" t="s">
        <v>285</v>
      </c>
      <c r="D1245" s="17">
        <f>SUMIFS(ShadowLedger!$D:$D,ShadowLedger!$G:$G,A1245,ShadowLedger!$C:$C,"&gt;="&amp;DATE(LEFT(SUBSTITUTE(C1245,"'",""),4),MID(SUBSTITUTE(C1245,"'",""),6,2),1),ShadowLedger!$C:$C,"&lt;"&amp;EOMONTH(DATE(LEFT(SUBSTITUTE(C1245,"'",""),4),MID(SUBSTITUTE(C1245,"'",""),6,2),1),0)+1)</f>
        <v>0</v>
      </c>
      <c r="E1245" s="17">
        <f t="shared" si="1"/>
        <v>597</v>
      </c>
      <c r="F1245" s="17">
        <f t="shared" si="2"/>
        <v>0</v>
      </c>
    </row>
    <row r="1246">
      <c r="A1246" s="5" t="s">
        <v>57</v>
      </c>
      <c r="B1246" s="6">
        <v>597.0</v>
      </c>
      <c r="C1246" s="13" t="s">
        <v>285</v>
      </c>
      <c r="D1246" s="17">
        <f>SUMIFS(ShadowLedger!$D:$D,ShadowLedger!$G:$G,A1246,ShadowLedger!$C:$C,"&gt;="&amp;DATE(LEFT(SUBSTITUTE(C1246,"'",""),4),MID(SUBSTITUTE(C1246,"'",""),6,2),1),ShadowLedger!$C:$C,"&lt;"&amp;EOMONTH(DATE(LEFT(SUBSTITUTE(C1246,"'",""),4),MID(SUBSTITUTE(C1246,"'",""),6,2),1),0)+1)</f>
        <v>0</v>
      </c>
      <c r="E1246" s="17">
        <f t="shared" si="1"/>
        <v>597</v>
      </c>
      <c r="F1246" s="17">
        <f t="shared" si="2"/>
        <v>0</v>
      </c>
    </row>
    <row r="1247">
      <c r="A1247" s="5" t="s">
        <v>58</v>
      </c>
      <c r="B1247" s="6">
        <v>478.0</v>
      </c>
      <c r="C1247" s="13" t="s">
        <v>285</v>
      </c>
      <c r="D1247" s="17">
        <f>SUMIFS(ShadowLedger!$D:$D,ShadowLedger!$G:$G,A1247,ShadowLedger!$C:$C,"&gt;="&amp;DATE(LEFT(SUBSTITUTE(C1247,"'",""),4),MID(SUBSTITUTE(C1247,"'",""),6,2),1),ShadowLedger!$C:$C,"&lt;"&amp;EOMONTH(DATE(LEFT(SUBSTITUTE(C1247,"'",""),4),MID(SUBSTITUTE(C1247,"'",""),6,2),1),0)+1)</f>
        <v>0</v>
      </c>
      <c r="E1247" s="17">
        <f t="shared" si="1"/>
        <v>478</v>
      </c>
      <c r="F1247" s="17">
        <f t="shared" si="2"/>
        <v>0</v>
      </c>
    </row>
    <row r="1248">
      <c r="A1248" s="5" t="s">
        <v>59</v>
      </c>
      <c r="B1248" s="6">
        <v>239.0</v>
      </c>
      <c r="C1248" s="13" t="s">
        <v>285</v>
      </c>
      <c r="D1248" s="17">
        <f>SUMIFS(ShadowLedger!$D:$D,ShadowLedger!$G:$G,A1248,ShadowLedger!$C:$C,"&gt;="&amp;DATE(LEFT(SUBSTITUTE(C1248,"'",""),4),MID(SUBSTITUTE(C1248,"'",""),6,2),1),ShadowLedger!$C:$C,"&lt;"&amp;EOMONTH(DATE(LEFT(SUBSTITUTE(C1248,"'",""),4),MID(SUBSTITUTE(C1248,"'",""),6,2),1),0)+1)</f>
        <v>0</v>
      </c>
      <c r="E1248" s="17">
        <f t="shared" si="1"/>
        <v>239</v>
      </c>
      <c r="F1248" s="17">
        <f t="shared" si="2"/>
        <v>0</v>
      </c>
    </row>
    <row r="1249">
      <c r="A1249" s="5" t="s">
        <v>60</v>
      </c>
      <c r="B1249" s="6">
        <v>179.0</v>
      </c>
      <c r="C1249" s="13" t="s">
        <v>285</v>
      </c>
      <c r="D1249" s="17">
        <f>SUMIFS(ShadowLedger!$D:$D,ShadowLedger!$G:$G,A1249,ShadowLedger!$C:$C,"&gt;="&amp;DATE(LEFT(SUBSTITUTE(C1249,"'",""),4),MID(SUBSTITUTE(C1249,"'",""),6,2),1),ShadowLedger!$C:$C,"&lt;"&amp;EOMONTH(DATE(LEFT(SUBSTITUTE(C1249,"'",""),4),MID(SUBSTITUTE(C1249,"'",""),6,2),1),0)+1)</f>
        <v>0</v>
      </c>
      <c r="E1249" s="17">
        <f t="shared" si="1"/>
        <v>179</v>
      </c>
      <c r="F1249" s="17">
        <f t="shared" si="2"/>
        <v>0</v>
      </c>
    </row>
    <row r="1250">
      <c r="A1250" s="5" t="s">
        <v>61</v>
      </c>
      <c r="B1250" s="6">
        <v>143.0</v>
      </c>
      <c r="C1250" s="13" t="s">
        <v>285</v>
      </c>
      <c r="D1250" s="17">
        <f>SUMIFS(ShadowLedger!$D:$D,ShadowLedger!$G:$G,A1250,ShadowLedger!$C:$C,"&gt;="&amp;DATE(LEFT(SUBSTITUTE(C1250,"'",""),4),MID(SUBSTITUTE(C1250,"'",""),6,2),1),ShadowLedger!$C:$C,"&lt;"&amp;EOMONTH(DATE(LEFT(SUBSTITUTE(C1250,"'",""),4),MID(SUBSTITUTE(C1250,"'",""),6,2),1),0)+1)</f>
        <v>0</v>
      </c>
      <c r="E1250" s="17">
        <f t="shared" si="1"/>
        <v>143</v>
      </c>
      <c r="F1250" s="17">
        <f t="shared" si="2"/>
        <v>0</v>
      </c>
    </row>
    <row r="1251">
      <c r="A1251" s="5" t="s">
        <v>62</v>
      </c>
      <c r="B1251" s="6">
        <v>143.0</v>
      </c>
      <c r="C1251" s="13" t="s">
        <v>285</v>
      </c>
      <c r="D1251" s="17">
        <f>SUMIFS(ShadowLedger!$D:$D,ShadowLedger!$G:$G,A1251,ShadowLedger!$C:$C,"&gt;="&amp;DATE(LEFT(SUBSTITUTE(C1251,"'",""),4),MID(SUBSTITUTE(C1251,"'",""),6,2),1),ShadowLedger!$C:$C,"&lt;"&amp;EOMONTH(DATE(LEFT(SUBSTITUTE(C1251,"'",""),4),MID(SUBSTITUTE(C1251,"'",""),6,2),1),0)+1)</f>
        <v>0</v>
      </c>
      <c r="E1251" s="17">
        <f t="shared" si="1"/>
        <v>143</v>
      </c>
      <c r="F1251" s="17">
        <f t="shared" si="2"/>
        <v>0</v>
      </c>
    </row>
    <row r="1252">
      <c r="A1252" s="5" t="s">
        <v>63</v>
      </c>
      <c r="B1252" s="6">
        <v>119.0</v>
      </c>
      <c r="C1252" s="13" t="s">
        <v>285</v>
      </c>
      <c r="D1252" s="17">
        <f>SUMIFS(ShadowLedger!$D:$D,ShadowLedger!$G:$G,A1252,ShadowLedger!$C:$C,"&gt;="&amp;DATE(LEFT(SUBSTITUTE(C1252,"'",""),4),MID(SUBSTITUTE(C1252,"'",""),6,2),1),ShadowLedger!$C:$C,"&lt;"&amp;EOMONTH(DATE(LEFT(SUBSTITUTE(C1252,"'",""),4),MID(SUBSTITUTE(C1252,"'",""),6,2),1),0)+1)</f>
        <v>0</v>
      </c>
      <c r="E1252" s="17">
        <f t="shared" si="1"/>
        <v>119</v>
      </c>
      <c r="F1252" s="17">
        <f t="shared" si="2"/>
        <v>0</v>
      </c>
    </row>
    <row r="1253">
      <c r="A1253" s="5" t="s">
        <v>64</v>
      </c>
      <c r="B1253" s="6">
        <v>119.0</v>
      </c>
      <c r="C1253" s="13" t="s">
        <v>285</v>
      </c>
      <c r="D1253" s="17">
        <f>SUMIFS(ShadowLedger!$D:$D,ShadowLedger!$G:$G,A1253,ShadowLedger!$C:$C,"&gt;="&amp;DATE(LEFT(SUBSTITUTE(C1253,"'",""),4),MID(SUBSTITUTE(C1253,"'",""),6,2),1),ShadowLedger!$C:$C,"&lt;"&amp;EOMONTH(DATE(LEFT(SUBSTITUTE(C1253,"'",""),4),MID(SUBSTITUTE(C1253,"'",""),6,2),1),0)+1)</f>
        <v>0</v>
      </c>
      <c r="E1253" s="17">
        <f t="shared" si="1"/>
        <v>119</v>
      </c>
      <c r="F1253" s="17">
        <f t="shared" si="2"/>
        <v>0</v>
      </c>
    </row>
    <row r="1254">
      <c r="A1254" s="5" t="s">
        <v>70</v>
      </c>
      <c r="B1254" s="6">
        <v>119.0</v>
      </c>
      <c r="C1254" s="13" t="s">
        <v>285</v>
      </c>
      <c r="D1254" s="17">
        <f>SUMIFS(ShadowLedger!$D:$D,ShadowLedger!$G:$G,A1254,ShadowLedger!$C:$C,"&gt;="&amp;DATE(LEFT(SUBSTITUTE(C1254,"'",""),4),MID(SUBSTITUTE(C1254,"'",""),6,2),1),ShadowLedger!$C:$C,"&lt;"&amp;EOMONTH(DATE(LEFT(SUBSTITUTE(C1254,"'",""),4),MID(SUBSTITUTE(C1254,"'",""),6,2),1),0)+1)</f>
        <v>0</v>
      </c>
      <c r="E1254" s="17">
        <f t="shared" si="1"/>
        <v>119</v>
      </c>
      <c r="F1254" s="17">
        <f t="shared" si="2"/>
        <v>0</v>
      </c>
    </row>
    <row r="1255">
      <c r="A1255" s="5" t="s">
        <v>65</v>
      </c>
      <c r="B1255" s="6">
        <v>60.0</v>
      </c>
      <c r="C1255" s="13" t="s">
        <v>285</v>
      </c>
      <c r="D1255" s="17">
        <f>SUMIFS(ShadowLedger!$D:$D,ShadowLedger!$G:$G,A1255,ShadowLedger!$C:$C,"&gt;="&amp;DATE(LEFT(SUBSTITUTE(C1255,"'",""),4),MID(SUBSTITUTE(C1255,"'",""),6,2),1),ShadowLedger!$C:$C,"&lt;"&amp;EOMONTH(DATE(LEFT(SUBSTITUTE(C1255,"'",""),4),MID(SUBSTITUTE(C1255,"'",""),6,2),1),0)+1)</f>
        <v>0</v>
      </c>
      <c r="E1255" s="17">
        <f t="shared" si="1"/>
        <v>60</v>
      </c>
      <c r="F1255" s="17">
        <f t="shared" si="2"/>
        <v>0</v>
      </c>
    </row>
    <row r="1256">
      <c r="A1256" s="5" t="s">
        <v>66</v>
      </c>
      <c r="B1256" s="6">
        <v>60.0</v>
      </c>
      <c r="C1256" s="13" t="s">
        <v>285</v>
      </c>
      <c r="D1256" s="17">
        <f>SUMIFS(ShadowLedger!$D:$D,ShadowLedger!$G:$G,A1256,ShadowLedger!$C:$C,"&gt;="&amp;DATE(LEFT(SUBSTITUTE(C1256,"'",""),4),MID(SUBSTITUTE(C1256,"'",""),6,2),1),ShadowLedger!$C:$C,"&lt;"&amp;EOMONTH(DATE(LEFT(SUBSTITUTE(C1256,"'",""),4),MID(SUBSTITUTE(C1256,"'",""),6,2),1),0)+1)</f>
        <v>0</v>
      </c>
      <c r="E1256" s="17">
        <f t="shared" si="1"/>
        <v>60</v>
      </c>
      <c r="F1256" s="17">
        <f t="shared" si="2"/>
        <v>0</v>
      </c>
    </row>
    <row r="1257">
      <c r="A1257" s="5" t="s">
        <v>67</v>
      </c>
      <c r="B1257" s="6">
        <v>60.0</v>
      </c>
      <c r="C1257" s="13" t="s">
        <v>285</v>
      </c>
      <c r="D1257" s="17">
        <f>SUMIFS(ShadowLedger!$D:$D,ShadowLedger!$G:$G,A1257,ShadowLedger!$C:$C,"&gt;="&amp;DATE(LEFT(SUBSTITUTE(C1257,"'",""),4),MID(SUBSTITUTE(C1257,"'",""),6,2),1),ShadowLedger!$C:$C,"&lt;"&amp;EOMONTH(DATE(LEFT(SUBSTITUTE(C1257,"'",""),4),MID(SUBSTITUTE(C1257,"'",""),6,2),1),0)+1)</f>
        <v>0</v>
      </c>
      <c r="E1257" s="17">
        <f t="shared" si="1"/>
        <v>60</v>
      </c>
      <c r="F1257" s="17">
        <f t="shared" si="2"/>
        <v>0</v>
      </c>
    </row>
    <row r="1258">
      <c r="A1258" s="5" t="s">
        <v>68</v>
      </c>
      <c r="B1258" s="6">
        <v>60.0</v>
      </c>
      <c r="C1258" s="13" t="s">
        <v>285</v>
      </c>
      <c r="D1258" s="17">
        <f>SUMIFS(ShadowLedger!$D:$D,ShadowLedger!$G:$G,A1258,ShadowLedger!$C:$C,"&gt;="&amp;DATE(LEFT(SUBSTITUTE(C1258,"'",""),4),MID(SUBSTITUTE(C1258,"'",""),6,2),1),ShadowLedger!$C:$C,"&lt;"&amp;EOMONTH(DATE(LEFT(SUBSTITUTE(C1258,"'",""),4),MID(SUBSTITUTE(C1258,"'",""),6,2),1),0)+1)</f>
        <v>0</v>
      </c>
      <c r="E1258" s="17">
        <f t="shared" si="1"/>
        <v>60</v>
      </c>
      <c r="F1258" s="17">
        <f t="shared" si="2"/>
        <v>0</v>
      </c>
    </row>
    <row r="1259">
      <c r="A1259" s="5" t="s">
        <v>69</v>
      </c>
      <c r="B1259" s="6">
        <v>0.0</v>
      </c>
      <c r="C1259" s="13" t="s">
        <v>285</v>
      </c>
      <c r="D1259" s="17">
        <f>SUMIFS(ShadowLedger!$D:$D,ShadowLedger!$G:$G,A1259,ShadowLedger!$C:$C,"&gt;="&amp;DATE(LEFT(SUBSTITUTE(C1259,"'",""),4),MID(SUBSTITUTE(C1259,"'",""),6,2),1),ShadowLedger!$C:$C,"&lt;"&amp;EOMONTH(DATE(LEFT(SUBSTITUTE(C1259,"'",""),4),MID(SUBSTITUTE(C1259,"'",""),6,2),1),0)+1)</f>
        <v>0</v>
      </c>
      <c r="E1259" s="17">
        <f t="shared" si="1"/>
        <v>0</v>
      </c>
      <c r="F1259" s="17">
        <f t="shared" si="2"/>
        <v>0</v>
      </c>
    </row>
    <row r="1260">
      <c r="A1260" s="5" t="s">
        <v>54</v>
      </c>
      <c r="B1260" s="6">
        <v>1099.0</v>
      </c>
      <c r="C1260" s="13" t="s">
        <v>286</v>
      </c>
      <c r="D1260" s="17">
        <f>SUMIFS(ShadowLedger!$D:$D,ShadowLedger!$G:$G,A1260,ShadowLedger!$C:$C,"&gt;="&amp;DATE(LEFT(SUBSTITUTE(C1260,"'",""),4),MID(SUBSTITUTE(C1260,"'",""),6,2),1),ShadowLedger!$C:$C,"&lt;"&amp;EOMONTH(DATE(LEFT(SUBSTITUTE(C1260,"'",""),4),MID(SUBSTITUTE(C1260,"'",""),6,2),1),0)+1)</f>
        <v>0</v>
      </c>
      <c r="E1260" s="17">
        <f t="shared" si="1"/>
        <v>1099</v>
      </c>
      <c r="F1260" s="17">
        <f t="shared" si="2"/>
        <v>0</v>
      </c>
    </row>
    <row r="1261">
      <c r="A1261" s="5" t="s">
        <v>55</v>
      </c>
      <c r="B1261" s="6">
        <v>836.0</v>
      </c>
      <c r="C1261" s="13" t="s">
        <v>286</v>
      </c>
      <c r="D1261" s="17">
        <f>SUMIFS(ShadowLedger!$D:$D,ShadowLedger!$G:$G,A1261,ShadowLedger!$C:$C,"&gt;="&amp;DATE(LEFT(SUBSTITUTE(C1261,"'",""),4),MID(SUBSTITUTE(C1261,"'",""),6,2),1),ShadowLedger!$C:$C,"&lt;"&amp;EOMONTH(DATE(LEFT(SUBSTITUTE(C1261,"'",""),4),MID(SUBSTITUTE(C1261,"'",""),6,2),1),0)+1)</f>
        <v>0</v>
      </c>
      <c r="E1261" s="17">
        <f t="shared" si="1"/>
        <v>836</v>
      </c>
      <c r="F1261" s="17">
        <f t="shared" si="2"/>
        <v>0</v>
      </c>
    </row>
    <row r="1262">
      <c r="A1262" s="5" t="s">
        <v>56</v>
      </c>
      <c r="B1262" s="6">
        <v>597.0</v>
      </c>
      <c r="C1262" s="13" t="s">
        <v>286</v>
      </c>
      <c r="D1262" s="17">
        <f>SUMIFS(ShadowLedger!$D:$D,ShadowLedger!$G:$G,A1262,ShadowLedger!$C:$C,"&gt;="&amp;DATE(LEFT(SUBSTITUTE(C1262,"'",""),4),MID(SUBSTITUTE(C1262,"'",""),6,2),1),ShadowLedger!$C:$C,"&lt;"&amp;EOMONTH(DATE(LEFT(SUBSTITUTE(C1262,"'",""),4),MID(SUBSTITUTE(C1262,"'",""),6,2),1),0)+1)</f>
        <v>0</v>
      </c>
      <c r="E1262" s="17">
        <f t="shared" si="1"/>
        <v>597</v>
      </c>
      <c r="F1262" s="17">
        <f t="shared" si="2"/>
        <v>0</v>
      </c>
    </row>
    <row r="1263">
      <c r="A1263" s="5" t="s">
        <v>57</v>
      </c>
      <c r="B1263" s="6">
        <v>597.0</v>
      </c>
      <c r="C1263" s="13" t="s">
        <v>286</v>
      </c>
      <c r="D1263" s="17">
        <f>SUMIFS(ShadowLedger!$D:$D,ShadowLedger!$G:$G,A1263,ShadowLedger!$C:$C,"&gt;="&amp;DATE(LEFT(SUBSTITUTE(C1263,"'",""),4),MID(SUBSTITUTE(C1263,"'",""),6,2),1),ShadowLedger!$C:$C,"&lt;"&amp;EOMONTH(DATE(LEFT(SUBSTITUTE(C1263,"'",""),4),MID(SUBSTITUTE(C1263,"'",""),6,2),1),0)+1)</f>
        <v>0</v>
      </c>
      <c r="E1263" s="17">
        <f t="shared" si="1"/>
        <v>597</v>
      </c>
      <c r="F1263" s="17">
        <f t="shared" si="2"/>
        <v>0</v>
      </c>
    </row>
    <row r="1264">
      <c r="A1264" s="5" t="s">
        <v>58</v>
      </c>
      <c r="B1264" s="6">
        <v>478.0</v>
      </c>
      <c r="C1264" s="13" t="s">
        <v>286</v>
      </c>
      <c r="D1264" s="17">
        <f>SUMIFS(ShadowLedger!$D:$D,ShadowLedger!$G:$G,A1264,ShadowLedger!$C:$C,"&gt;="&amp;DATE(LEFT(SUBSTITUTE(C1264,"'",""),4),MID(SUBSTITUTE(C1264,"'",""),6,2),1),ShadowLedger!$C:$C,"&lt;"&amp;EOMONTH(DATE(LEFT(SUBSTITUTE(C1264,"'",""),4),MID(SUBSTITUTE(C1264,"'",""),6,2),1),0)+1)</f>
        <v>0</v>
      </c>
      <c r="E1264" s="17">
        <f t="shared" si="1"/>
        <v>478</v>
      </c>
      <c r="F1264" s="17">
        <f t="shared" si="2"/>
        <v>0</v>
      </c>
    </row>
    <row r="1265">
      <c r="A1265" s="5" t="s">
        <v>59</v>
      </c>
      <c r="B1265" s="6">
        <v>239.0</v>
      </c>
      <c r="C1265" s="13" t="s">
        <v>286</v>
      </c>
      <c r="D1265" s="17">
        <f>SUMIFS(ShadowLedger!$D:$D,ShadowLedger!$G:$G,A1265,ShadowLedger!$C:$C,"&gt;="&amp;DATE(LEFT(SUBSTITUTE(C1265,"'",""),4),MID(SUBSTITUTE(C1265,"'",""),6,2),1),ShadowLedger!$C:$C,"&lt;"&amp;EOMONTH(DATE(LEFT(SUBSTITUTE(C1265,"'",""),4),MID(SUBSTITUTE(C1265,"'",""),6,2),1),0)+1)</f>
        <v>0</v>
      </c>
      <c r="E1265" s="17">
        <f t="shared" si="1"/>
        <v>239</v>
      </c>
      <c r="F1265" s="17">
        <f t="shared" si="2"/>
        <v>0</v>
      </c>
    </row>
    <row r="1266">
      <c r="A1266" s="5" t="s">
        <v>60</v>
      </c>
      <c r="B1266" s="6">
        <v>179.0</v>
      </c>
      <c r="C1266" s="13" t="s">
        <v>286</v>
      </c>
      <c r="D1266" s="17">
        <f>SUMIFS(ShadowLedger!$D:$D,ShadowLedger!$G:$G,A1266,ShadowLedger!$C:$C,"&gt;="&amp;DATE(LEFT(SUBSTITUTE(C1266,"'",""),4),MID(SUBSTITUTE(C1266,"'",""),6,2),1),ShadowLedger!$C:$C,"&lt;"&amp;EOMONTH(DATE(LEFT(SUBSTITUTE(C1266,"'",""),4),MID(SUBSTITUTE(C1266,"'",""),6,2),1),0)+1)</f>
        <v>0</v>
      </c>
      <c r="E1266" s="17">
        <f t="shared" si="1"/>
        <v>179</v>
      </c>
      <c r="F1266" s="17">
        <f t="shared" si="2"/>
        <v>0</v>
      </c>
    </row>
    <row r="1267">
      <c r="A1267" s="5" t="s">
        <v>61</v>
      </c>
      <c r="B1267" s="6">
        <v>143.0</v>
      </c>
      <c r="C1267" s="13" t="s">
        <v>286</v>
      </c>
      <c r="D1267" s="17">
        <f>SUMIFS(ShadowLedger!$D:$D,ShadowLedger!$G:$G,A1267,ShadowLedger!$C:$C,"&gt;="&amp;DATE(LEFT(SUBSTITUTE(C1267,"'",""),4),MID(SUBSTITUTE(C1267,"'",""),6,2),1),ShadowLedger!$C:$C,"&lt;"&amp;EOMONTH(DATE(LEFT(SUBSTITUTE(C1267,"'",""),4),MID(SUBSTITUTE(C1267,"'",""),6,2),1),0)+1)</f>
        <v>0</v>
      </c>
      <c r="E1267" s="17">
        <f t="shared" si="1"/>
        <v>143</v>
      </c>
      <c r="F1267" s="17">
        <f t="shared" si="2"/>
        <v>0</v>
      </c>
    </row>
    <row r="1268">
      <c r="A1268" s="5" t="s">
        <v>62</v>
      </c>
      <c r="B1268" s="6">
        <v>143.0</v>
      </c>
      <c r="C1268" s="13" t="s">
        <v>286</v>
      </c>
      <c r="D1268" s="17">
        <f>SUMIFS(ShadowLedger!$D:$D,ShadowLedger!$G:$G,A1268,ShadowLedger!$C:$C,"&gt;="&amp;DATE(LEFT(SUBSTITUTE(C1268,"'",""),4),MID(SUBSTITUTE(C1268,"'",""),6,2),1),ShadowLedger!$C:$C,"&lt;"&amp;EOMONTH(DATE(LEFT(SUBSTITUTE(C1268,"'",""),4),MID(SUBSTITUTE(C1268,"'",""),6,2),1),0)+1)</f>
        <v>0</v>
      </c>
      <c r="E1268" s="17">
        <f t="shared" si="1"/>
        <v>143</v>
      </c>
      <c r="F1268" s="17">
        <f t="shared" si="2"/>
        <v>0</v>
      </c>
    </row>
    <row r="1269">
      <c r="A1269" s="5" t="s">
        <v>63</v>
      </c>
      <c r="B1269" s="6">
        <v>119.0</v>
      </c>
      <c r="C1269" s="13" t="s">
        <v>286</v>
      </c>
      <c r="D1269" s="17">
        <f>SUMIFS(ShadowLedger!$D:$D,ShadowLedger!$G:$G,A1269,ShadowLedger!$C:$C,"&gt;="&amp;DATE(LEFT(SUBSTITUTE(C1269,"'",""),4),MID(SUBSTITUTE(C1269,"'",""),6,2),1),ShadowLedger!$C:$C,"&lt;"&amp;EOMONTH(DATE(LEFT(SUBSTITUTE(C1269,"'",""),4),MID(SUBSTITUTE(C1269,"'",""),6,2),1),0)+1)</f>
        <v>0</v>
      </c>
      <c r="E1269" s="17">
        <f t="shared" si="1"/>
        <v>119</v>
      </c>
      <c r="F1269" s="17">
        <f t="shared" si="2"/>
        <v>0</v>
      </c>
    </row>
    <row r="1270">
      <c r="A1270" s="5" t="s">
        <v>64</v>
      </c>
      <c r="B1270" s="6">
        <v>119.0</v>
      </c>
      <c r="C1270" s="13" t="s">
        <v>286</v>
      </c>
      <c r="D1270" s="17">
        <f>SUMIFS(ShadowLedger!$D:$D,ShadowLedger!$G:$G,A1270,ShadowLedger!$C:$C,"&gt;="&amp;DATE(LEFT(SUBSTITUTE(C1270,"'",""),4),MID(SUBSTITUTE(C1270,"'",""),6,2),1),ShadowLedger!$C:$C,"&lt;"&amp;EOMONTH(DATE(LEFT(SUBSTITUTE(C1270,"'",""),4),MID(SUBSTITUTE(C1270,"'",""),6,2),1),0)+1)</f>
        <v>0</v>
      </c>
      <c r="E1270" s="17">
        <f t="shared" si="1"/>
        <v>119</v>
      </c>
      <c r="F1270" s="17">
        <f t="shared" si="2"/>
        <v>0</v>
      </c>
    </row>
    <row r="1271">
      <c r="A1271" s="5" t="s">
        <v>70</v>
      </c>
      <c r="B1271" s="6">
        <v>119.0</v>
      </c>
      <c r="C1271" s="13" t="s">
        <v>286</v>
      </c>
      <c r="D1271" s="17">
        <f>SUMIFS(ShadowLedger!$D:$D,ShadowLedger!$G:$G,A1271,ShadowLedger!$C:$C,"&gt;="&amp;DATE(LEFT(SUBSTITUTE(C1271,"'",""),4),MID(SUBSTITUTE(C1271,"'",""),6,2),1),ShadowLedger!$C:$C,"&lt;"&amp;EOMONTH(DATE(LEFT(SUBSTITUTE(C1271,"'",""),4),MID(SUBSTITUTE(C1271,"'",""),6,2),1),0)+1)</f>
        <v>0</v>
      </c>
      <c r="E1271" s="17">
        <f t="shared" si="1"/>
        <v>119</v>
      </c>
      <c r="F1271" s="17">
        <f t="shared" si="2"/>
        <v>0</v>
      </c>
    </row>
    <row r="1272">
      <c r="A1272" s="5" t="s">
        <v>65</v>
      </c>
      <c r="B1272" s="6">
        <v>60.0</v>
      </c>
      <c r="C1272" s="13" t="s">
        <v>286</v>
      </c>
      <c r="D1272" s="17">
        <f>SUMIFS(ShadowLedger!$D:$D,ShadowLedger!$G:$G,A1272,ShadowLedger!$C:$C,"&gt;="&amp;DATE(LEFT(SUBSTITUTE(C1272,"'",""),4),MID(SUBSTITUTE(C1272,"'",""),6,2),1),ShadowLedger!$C:$C,"&lt;"&amp;EOMONTH(DATE(LEFT(SUBSTITUTE(C1272,"'",""),4),MID(SUBSTITUTE(C1272,"'",""),6,2),1),0)+1)</f>
        <v>0</v>
      </c>
      <c r="E1272" s="17">
        <f t="shared" si="1"/>
        <v>60</v>
      </c>
      <c r="F1272" s="17">
        <f t="shared" si="2"/>
        <v>0</v>
      </c>
    </row>
    <row r="1273">
      <c r="A1273" s="5" t="s">
        <v>66</v>
      </c>
      <c r="B1273" s="6">
        <v>60.0</v>
      </c>
      <c r="C1273" s="13" t="s">
        <v>286</v>
      </c>
      <c r="D1273" s="17">
        <f>SUMIFS(ShadowLedger!$D:$D,ShadowLedger!$G:$G,A1273,ShadowLedger!$C:$C,"&gt;="&amp;DATE(LEFT(SUBSTITUTE(C1273,"'",""),4),MID(SUBSTITUTE(C1273,"'",""),6,2),1),ShadowLedger!$C:$C,"&lt;"&amp;EOMONTH(DATE(LEFT(SUBSTITUTE(C1273,"'",""),4),MID(SUBSTITUTE(C1273,"'",""),6,2),1),0)+1)</f>
        <v>0</v>
      </c>
      <c r="E1273" s="17">
        <f t="shared" si="1"/>
        <v>60</v>
      </c>
      <c r="F1273" s="17">
        <f t="shared" si="2"/>
        <v>0</v>
      </c>
    </row>
    <row r="1274">
      <c r="A1274" s="5" t="s">
        <v>67</v>
      </c>
      <c r="B1274" s="6">
        <v>60.0</v>
      </c>
      <c r="C1274" s="13" t="s">
        <v>286</v>
      </c>
      <c r="D1274" s="17">
        <f>SUMIFS(ShadowLedger!$D:$D,ShadowLedger!$G:$G,A1274,ShadowLedger!$C:$C,"&gt;="&amp;DATE(LEFT(SUBSTITUTE(C1274,"'",""),4),MID(SUBSTITUTE(C1274,"'",""),6,2),1),ShadowLedger!$C:$C,"&lt;"&amp;EOMONTH(DATE(LEFT(SUBSTITUTE(C1274,"'",""),4),MID(SUBSTITUTE(C1274,"'",""),6,2),1),0)+1)</f>
        <v>0</v>
      </c>
      <c r="E1274" s="17">
        <f t="shared" si="1"/>
        <v>60</v>
      </c>
      <c r="F1274" s="17">
        <f t="shared" si="2"/>
        <v>0</v>
      </c>
    </row>
    <row r="1275">
      <c r="A1275" s="5" t="s">
        <v>68</v>
      </c>
      <c r="B1275" s="6">
        <v>60.0</v>
      </c>
      <c r="C1275" s="13" t="s">
        <v>286</v>
      </c>
      <c r="D1275" s="17">
        <f>SUMIFS(ShadowLedger!$D:$D,ShadowLedger!$G:$G,A1275,ShadowLedger!$C:$C,"&gt;="&amp;DATE(LEFT(SUBSTITUTE(C1275,"'",""),4),MID(SUBSTITUTE(C1275,"'",""),6,2),1),ShadowLedger!$C:$C,"&lt;"&amp;EOMONTH(DATE(LEFT(SUBSTITUTE(C1275,"'",""),4),MID(SUBSTITUTE(C1275,"'",""),6,2),1),0)+1)</f>
        <v>0</v>
      </c>
      <c r="E1275" s="17">
        <f t="shared" si="1"/>
        <v>60</v>
      </c>
      <c r="F1275" s="17">
        <f t="shared" si="2"/>
        <v>0</v>
      </c>
    </row>
    <row r="1276">
      <c r="A1276" s="5" t="s">
        <v>69</v>
      </c>
      <c r="B1276" s="6">
        <v>0.0</v>
      </c>
      <c r="C1276" s="13" t="s">
        <v>286</v>
      </c>
      <c r="D1276" s="17">
        <f>SUMIFS(ShadowLedger!$D:$D,ShadowLedger!$G:$G,A1276,ShadowLedger!$C:$C,"&gt;="&amp;DATE(LEFT(SUBSTITUTE(C1276,"'",""),4),MID(SUBSTITUTE(C1276,"'",""),6,2),1),ShadowLedger!$C:$C,"&lt;"&amp;EOMONTH(DATE(LEFT(SUBSTITUTE(C1276,"'",""),4),MID(SUBSTITUTE(C1276,"'",""),6,2),1),0)+1)</f>
        <v>0</v>
      </c>
      <c r="E1276" s="17">
        <f t="shared" si="1"/>
        <v>0</v>
      </c>
      <c r="F1276" s="17">
        <f t="shared" si="2"/>
        <v>0</v>
      </c>
    </row>
    <row r="1277">
      <c r="A1277" s="5" t="s">
        <v>54</v>
      </c>
      <c r="B1277" s="6">
        <v>1099.0</v>
      </c>
      <c r="C1277" s="13" t="s">
        <v>287</v>
      </c>
      <c r="D1277" s="17">
        <f>SUMIFS(ShadowLedger!$D:$D,ShadowLedger!$G:$G,A1277,ShadowLedger!$C:$C,"&gt;="&amp;DATE(LEFT(SUBSTITUTE(C1277,"'",""),4),MID(SUBSTITUTE(C1277,"'",""),6,2),1),ShadowLedger!$C:$C,"&lt;"&amp;EOMONTH(DATE(LEFT(SUBSTITUTE(C1277,"'",""),4),MID(SUBSTITUTE(C1277,"'",""),6,2),1),0)+1)</f>
        <v>0</v>
      </c>
      <c r="E1277" s="17">
        <f t="shared" si="1"/>
        <v>1099</v>
      </c>
      <c r="F1277" s="17">
        <f t="shared" si="2"/>
        <v>0</v>
      </c>
    </row>
    <row r="1278">
      <c r="A1278" s="5" t="s">
        <v>55</v>
      </c>
      <c r="B1278" s="6">
        <v>836.0</v>
      </c>
      <c r="C1278" s="13" t="s">
        <v>287</v>
      </c>
      <c r="D1278" s="17">
        <f>SUMIFS(ShadowLedger!$D:$D,ShadowLedger!$G:$G,A1278,ShadowLedger!$C:$C,"&gt;="&amp;DATE(LEFT(SUBSTITUTE(C1278,"'",""),4),MID(SUBSTITUTE(C1278,"'",""),6,2),1),ShadowLedger!$C:$C,"&lt;"&amp;EOMONTH(DATE(LEFT(SUBSTITUTE(C1278,"'",""),4),MID(SUBSTITUTE(C1278,"'",""),6,2),1),0)+1)</f>
        <v>0</v>
      </c>
      <c r="E1278" s="17">
        <f t="shared" si="1"/>
        <v>836</v>
      </c>
      <c r="F1278" s="17">
        <f t="shared" si="2"/>
        <v>0</v>
      </c>
    </row>
    <row r="1279">
      <c r="A1279" s="5" t="s">
        <v>56</v>
      </c>
      <c r="B1279" s="6">
        <v>597.0</v>
      </c>
      <c r="C1279" s="13" t="s">
        <v>287</v>
      </c>
      <c r="D1279" s="17">
        <f>SUMIFS(ShadowLedger!$D:$D,ShadowLedger!$G:$G,A1279,ShadowLedger!$C:$C,"&gt;="&amp;DATE(LEFT(SUBSTITUTE(C1279,"'",""),4),MID(SUBSTITUTE(C1279,"'",""),6,2),1),ShadowLedger!$C:$C,"&lt;"&amp;EOMONTH(DATE(LEFT(SUBSTITUTE(C1279,"'",""),4),MID(SUBSTITUTE(C1279,"'",""),6,2),1),0)+1)</f>
        <v>0</v>
      </c>
      <c r="E1279" s="17">
        <f t="shared" si="1"/>
        <v>597</v>
      </c>
      <c r="F1279" s="17">
        <f t="shared" si="2"/>
        <v>0</v>
      </c>
    </row>
    <row r="1280">
      <c r="A1280" s="5" t="s">
        <v>57</v>
      </c>
      <c r="B1280" s="6">
        <v>597.0</v>
      </c>
      <c r="C1280" s="13" t="s">
        <v>287</v>
      </c>
      <c r="D1280" s="17">
        <f>SUMIFS(ShadowLedger!$D:$D,ShadowLedger!$G:$G,A1280,ShadowLedger!$C:$C,"&gt;="&amp;DATE(LEFT(SUBSTITUTE(C1280,"'",""),4),MID(SUBSTITUTE(C1280,"'",""),6,2),1),ShadowLedger!$C:$C,"&lt;"&amp;EOMONTH(DATE(LEFT(SUBSTITUTE(C1280,"'",""),4),MID(SUBSTITUTE(C1280,"'",""),6,2),1),0)+1)</f>
        <v>0</v>
      </c>
      <c r="E1280" s="17">
        <f t="shared" si="1"/>
        <v>597</v>
      </c>
      <c r="F1280" s="17">
        <f t="shared" si="2"/>
        <v>0</v>
      </c>
    </row>
    <row r="1281">
      <c r="A1281" s="5" t="s">
        <v>58</v>
      </c>
      <c r="B1281" s="6">
        <v>478.0</v>
      </c>
      <c r="C1281" s="13" t="s">
        <v>287</v>
      </c>
      <c r="D1281" s="17">
        <f>SUMIFS(ShadowLedger!$D:$D,ShadowLedger!$G:$G,A1281,ShadowLedger!$C:$C,"&gt;="&amp;DATE(LEFT(SUBSTITUTE(C1281,"'",""),4),MID(SUBSTITUTE(C1281,"'",""),6,2),1),ShadowLedger!$C:$C,"&lt;"&amp;EOMONTH(DATE(LEFT(SUBSTITUTE(C1281,"'",""),4),MID(SUBSTITUTE(C1281,"'",""),6,2),1),0)+1)</f>
        <v>0</v>
      </c>
      <c r="E1281" s="17">
        <f t="shared" si="1"/>
        <v>478</v>
      </c>
      <c r="F1281" s="17">
        <f t="shared" si="2"/>
        <v>0</v>
      </c>
    </row>
    <row r="1282">
      <c r="A1282" s="5" t="s">
        <v>59</v>
      </c>
      <c r="B1282" s="6">
        <v>239.0</v>
      </c>
      <c r="C1282" s="13" t="s">
        <v>287</v>
      </c>
      <c r="D1282" s="17">
        <f>SUMIFS(ShadowLedger!$D:$D,ShadowLedger!$G:$G,A1282,ShadowLedger!$C:$C,"&gt;="&amp;DATE(LEFT(SUBSTITUTE(C1282,"'",""),4),MID(SUBSTITUTE(C1282,"'",""),6,2),1),ShadowLedger!$C:$C,"&lt;"&amp;EOMONTH(DATE(LEFT(SUBSTITUTE(C1282,"'",""),4),MID(SUBSTITUTE(C1282,"'",""),6,2),1),0)+1)</f>
        <v>0</v>
      </c>
      <c r="E1282" s="17">
        <f t="shared" si="1"/>
        <v>239</v>
      </c>
      <c r="F1282" s="17">
        <f t="shared" si="2"/>
        <v>0</v>
      </c>
    </row>
    <row r="1283">
      <c r="A1283" s="5" t="s">
        <v>60</v>
      </c>
      <c r="B1283" s="6">
        <v>179.0</v>
      </c>
      <c r="C1283" s="13" t="s">
        <v>287</v>
      </c>
      <c r="D1283" s="17">
        <f>SUMIFS(ShadowLedger!$D:$D,ShadowLedger!$G:$G,A1283,ShadowLedger!$C:$C,"&gt;="&amp;DATE(LEFT(SUBSTITUTE(C1283,"'",""),4),MID(SUBSTITUTE(C1283,"'",""),6,2),1),ShadowLedger!$C:$C,"&lt;"&amp;EOMONTH(DATE(LEFT(SUBSTITUTE(C1283,"'",""),4),MID(SUBSTITUTE(C1283,"'",""),6,2),1),0)+1)</f>
        <v>0</v>
      </c>
      <c r="E1283" s="17">
        <f t="shared" si="1"/>
        <v>179</v>
      </c>
      <c r="F1283" s="17">
        <f t="shared" si="2"/>
        <v>0</v>
      </c>
    </row>
    <row r="1284">
      <c r="A1284" s="5" t="s">
        <v>61</v>
      </c>
      <c r="B1284" s="6">
        <v>143.0</v>
      </c>
      <c r="C1284" s="13" t="s">
        <v>287</v>
      </c>
      <c r="D1284" s="17">
        <f>SUMIFS(ShadowLedger!$D:$D,ShadowLedger!$G:$G,A1284,ShadowLedger!$C:$C,"&gt;="&amp;DATE(LEFT(SUBSTITUTE(C1284,"'",""),4),MID(SUBSTITUTE(C1284,"'",""),6,2),1),ShadowLedger!$C:$C,"&lt;"&amp;EOMONTH(DATE(LEFT(SUBSTITUTE(C1284,"'",""),4),MID(SUBSTITUTE(C1284,"'",""),6,2),1),0)+1)</f>
        <v>0</v>
      </c>
      <c r="E1284" s="17">
        <f t="shared" si="1"/>
        <v>143</v>
      </c>
      <c r="F1284" s="17">
        <f t="shared" si="2"/>
        <v>0</v>
      </c>
    </row>
    <row r="1285">
      <c r="A1285" s="5" t="s">
        <v>62</v>
      </c>
      <c r="B1285" s="6">
        <v>143.0</v>
      </c>
      <c r="C1285" s="13" t="s">
        <v>287</v>
      </c>
      <c r="D1285" s="17">
        <f>SUMIFS(ShadowLedger!$D:$D,ShadowLedger!$G:$G,A1285,ShadowLedger!$C:$C,"&gt;="&amp;DATE(LEFT(SUBSTITUTE(C1285,"'",""),4),MID(SUBSTITUTE(C1285,"'",""),6,2),1),ShadowLedger!$C:$C,"&lt;"&amp;EOMONTH(DATE(LEFT(SUBSTITUTE(C1285,"'",""),4),MID(SUBSTITUTE(C1285,"'",""),6,2),1),0)+1)</f>
        <v>0</v>
      </c>
      <c r="E1285" s="17">
        <f t="shared" si="1"/>
        <v>143</v>
      </c>
      <c r="F1285" s="17">
        <f t="shared" si="2"/>
        <v>0</v>
      </c>
    </row>
    <row r="1286">
      <c r="A1286" s="5" t="s">
        <v>63</v>
      </c>
      <c r="B1286" s="6">
        <v>119.0</v>
      </c>
      <c r="C1286" s="13" t="s">
        <v>287</v>
      </c>
      <c r="D1286" s="17">
        <f>SUMIFS(ShadowLedger!$D:$D,ShadowLedger!$G:$G,A1286,ShadowLedger!$C:$C,"&gt;="&amp;DATE(LEFT(SUBSTITUTE(C1286,"'",""),4),MID(SUBSTITUTE(C1286,"'",""),6,2),1),ShadowLedger!$C:$C,"&lt;"&amp;EOMONTH(DATE(LEFT(SUBSTITUTE(C1286,"'",""),4),MID(SUBSTITUTE(C1286,"'",""),6,2),1),0)+1)</f>
        <v>0</v>
      </c>
      <c r="E1286" s="17">
        <f t="shared" si="1"/>
        <v>119</v>
      </c>
      <c r="F1286" s="17">
        <f t="shared" si="2"/>
        <v>0</v>
      </c>
    </row>
    <row r="1287">
      <c r="A1287" s="5" t="s">
        <v>64</v>
      </c>
      <c r="B1287" s="6">
        <v>119.0</v>
      </c>
      <c r="C1287" s="13" t="s">
        <v>287</v>
      </c>
      <c r="D1287" s="17">
        <f>SUMIFS(ShadowLedger!$D:$D,ShadowLedger!$G:$G,A1287,ShadowLedger!$C:$C,"&gt;="&amp;DATE(LEFT(SUBSTITUTE(C1287,"'",""),4),MID(SUBSTITUTE(C1287,"'",""),6,2),1),ShadowLedger!$C:$C,"&lt;"&amp;EOMONTH(DATE(LEFT(SUBSTITUTE(C1287,"'",""),4),MID(SUBSTITUTE(C1287,"'",""),6,2),1),0)+1)</f>
        <v>0</v>
      </c>
      <c r="E1287" s="17">
        <f t="shared" si="1"/>
        <v>119</v>
      </c>
      <c r="F1287" s="17">
        <f t="shared" si="2"/>
        <v>0</v>
      </c>
    </row>
    <row r="1288">
      <c r="A1288" s="5" t="s">
        <v>70</v>
      </c>
      <c r="B1288" s="6">
        <v>119.0</v>
      </c>
      <c r="C1288" s="13" t="s">
        <v>287</v>
      </c>
      <c r="D1288" s="17">
        <f>SUMIFS(ShadowLedger!$D:$D,ShadowLedger!$G:$G,A1288,ShadowLedger!$C:$C,"&gt;="&amp;DATE(LEFT(SUBSTITUTE(C1288,"'",""),4),MID(SUBSTITUTE(C1288,"'",""),6,2),1),ShadowLedger!$C:$C,"&lt;"&amp;EOMONTH(DATE(LEFT(SUBSTITUTE(C1288,"'",""),4),MID(SUBSTITUTE(C1288,"'",""),6,2),1),0)+1)</f>
        <v>0</v>
      </c>
      <c r="E1288" s="17">
        <f t="shared" si="1"/>
        <v>119</v>
      </c>
      <c r="F1288" s="17">
        <f t="shared" si="2"/>
        <v>0</v>
      </c>
    </row>
    <row r="1289">
      <c r="A1289" s="5" t="s">
        <v>65</v>
      </c>
      <c r="B1289" s="6">
        <v>60.0</v>
      </c>
      <c r="C1289" s="13" t="s">
        <v>287</v>
      </c>
      <c r="D1289" s="17">
        <f>SUMIFS(ShadowLedger!$D:$D,ShadowLedger!$G:$G,A1289,ShadowLedger!$C:$C,"&gt;="&amp;DATE(LEFT(SUBSTITUTE(C1289,"'",""),4),MID(SUBSTITUTE(C1289,"'",""),6,2),1),ShadowLedger!$C:$C,"&lt;"&amp;EOMONTH(DATE(LEFT(SUBSTITUTE(C1289,"'",""),4),MID(SUBSTITUTE(C1289,"'",""),6,2),1),0)+1)</f>
        <v>0</v>
      </c>
      <c r="E1289" s="17">
        <f t="shared" si="1"/>
        <v>60</v>
      </c>
      <c r="F1289" s="17">
        <f t="shared" si="2"/>
        <v>0</v>
      </c>
    </row>
    <row r="1290">
      <c r="A1290" s="5" t="s">
        <v>66</v>
      </c>
      <c r="B1290" s="6">
        <v>60.0</v>
      </c>
      <c r="C1290" s="13" t="s">
        <v>287</v>
      </c>
      <c r="D1290" s="17">
        <f>SUMIFS(ShadowLedger!$D:$D,ShadowLedger!$G:$G,A1290,ShadowLedger!$C:$C,"&gt;="&amp;DATE(LEFT(SUBSTITUTE(C1290,"'",""),4),MID(SUBSTITUTE(C1290,"'",""),6,2),1),ShadowLedger!$C:$C,"&lt;"&amp;EOMONTH(DATE(LEFT(SUBSTITUTE(C1290,"'",""),4),MID(SUBSTITUTE(C1290,"'",""),6,2),1),0)+1)</f>
        <v>0</v>
      </c>
      <c r="E1290" s="17">
        <f t="shared" si="1"/>
        <v>60</v>
      </c>
      <c r="F1290" s="17">
        <f t="shared" si="2"/>
        <v>0</v>
      </c>
    </row>
    <row r="1291">
      <c r="A1291" s="5" t="s">
        <v>67</v>
      </c>
      <c r="B1291" s="6">
        <v>60.0</v>
      </c>
      <c r="C1291" s="13" t="s">
        <v>287</v>
      </c>
      <c r="D1291" s="17">
        <f>SUMIFS(ShadowLedger!$D:$D,ShadowLedger!$G:$G,A1291,ShadowLedger!$C:$C,"&gt;="&amp;DATE(LEFT(SUBSTITUTE(C1291,"'",""),4),MID(SUBSTITUTE(C1291,"'",""),6,2),1),ShadowLedger!$C:$C,"&lt;"&amp;EOMONTH(DATE(LEFT(SUBSTITUTE(C1291,"'",""),4),MID(SUBSTITUTE(C1291,"'",""),6,2),1),0)+1)</f>
        <v>0</v>
      </c>
      <c r="E1291" s="17">
        <f t="shared" si="1"/>
        <v>60</v>
      </c>
      <c r="F1291" s="17">
        <f t="shared" si="2"/>
        <v>0</v>
      </c>
    </row>
    <row r="1292">
      <c r="A1292" s="5" t="s">
        <v>68</v>
      </c>
      <c r="B1292" s="6">
        <v>60.0</v>
      </c>
      <c r="C1292" s="13" t="s">
        <v>287</v>
      </c>
      <c r="D1292" s="17">
        <f>SUMIFS(ShadowLedger!$D:$D,ShadowLedger!$G:$G,A1292,ShadowLedger!$C:$C,"&gt;="&amp;DATE(LEFT(SUBSTITUTE(C1292,"'",""),4),MID(SUBSTITUTE(C1292,"'",""),6,2),1),ShadowLedger!$C:$C,"&lt;"&amp;EOMONTH(DATE(LEFT(SUBSTITUTE(C1292,"'",""),4),MID(SUBSTITUTE(C1292,"'",""),6,2),1),0)+1)</f>
        <v>0</v>
      </c>
      <c r="E1292" s="17">
        <f t="shared" si="1"/>
        <v>60</v>
      </c>
      <c r="F1292" s="17">
        <f t="shared" si="2"/>
        <v>0</v>
      </c>
    </row>
    <row r="1293">
      <c r="A1293" s="5" t="s">
        <v>69</v>
      </c>
      <c r="B1293" s="6">
        <v>0.0</v>
      </c>
      <c r="C1293" s="13" t="s">
        <v>287</v>
      </c>
      <c r="D1293" s="17">
        <f>SUMIFS(ShadowLedger!$D:$D,ShadowLedger!$G:$G,A1293,ShadowLedger!$C:$C,"&gt;="&amp;DATE(LEFT(SUBSTITUTE(C1293,"'",""),4),MID(SUBSTITUTE(C1293,"'",""),6,2),1),ShadowLedger!$C:$C,"&lt;"&amp;EOMONTH(DATE(LEFT(SUBSTITUTE(C1293,"'",""),4),MID(SUBSTITUTE(C1293,"'",""),6,2),1),0)+1)</f>
        <v>0</v>
      </c>
      <c r="E1293" s="17">
        <f t="shared" si="1"/>
        <v>0</v>
      </c>
      <c r="F1293" s="17">
        <f t="shared" si="2"/>
        <v>0</v>
      </c>
    </row>
    <row r="1294">
      <c r="A1294" s="5" t="s">
        <v>54</v>
      </c>
      <c r="B1294" s="6">
        <v>1099.0</v>
      </c>
      <c r="C1294" s="13" t="s">
        <v>288</v>
      </c>
      <c r="D1294" s="17">
        <f>SUMIFS(ShadowLedger!$D:$D,ShadowLedger!$G:$G,A1294,ShadowLedger!$C:$C,"&gt;="&amp;DATE(LEFT(SUBSTITUTE(C1294,"'",""),4),MID(SUBSTITUTE(C1294,"'",""),6,2),1),ShadowLedger!$C:$C,"&lt;"&amp;EOMONTH(DATE(LEFT(SUBSTITUTE(C1294,"'",""),4),MID(SUBSTITUTE(C1294,"'",""),6,2),1),0)+1)</f>
        <v>0</v>
      </c>
      <c r="E1294" s="17">
        <f t="shared" si="1"/>
        <v>1099</v>
      </c>
      <c r="F1294" s="17">
        <f t="shared" si="2"/>
        <v>0</v>
      </c>
    </row>
    <row r="1295">
      <c r="A1295" s="5" t="s">
        <v>55</v>
      </c>
      <c r="B1295" s="6">
        <v>836.0</v>
      </c>
      <c r="C1295" s="13" t="s">
        <v>288</v>
      </c>
      <c r="D1295" s="17">
        <f>SUMIFS(ShadowLedger!$D:$D,ShadowLedger!$G:$G,A1295,ShadowLedger!$C:$C,"&gt;="&amp;DATE(LEFT(SUBSTITUTE(C1295,"'",""),4),MID(SUBSTITUTE(C1295,"'",""),6,2),1),ShadowLedger!$C:$C,"&lt;"&amp;EOMONTH(DATE(LEFT(SUBSTITUTE(C1295,"'",""),4),MID(SUBSTITUTE(C1295,"'",""),6,2),1),0)+1)</f>
        <v>0</v>
      </c>
      <c r="E1295" s="17">
        <f t="shared" si="1"/>
        <v>836</v>
      </c>
      <c r="F1295" s="17">
        <f t="shared" si="2"/>
        <v>0</v>
      </c>
    </row>
    <row r="1296">
      <c r="A1296" s="5" t="s">
        <v>56</v>
      </c>
      <c r="B1296" s="6">
        <v>597.0</v>
      </c>
      <c r="C1296" s="13" t="s">
        <v>288</v>
      </c>
      <c r="D1296" s="17">
        <f>SUMIFS(ShadowLedger!$D:$D,ShadowLedger!$G:$G,A1296,ShadowLedger!$C:$C,"&gt;="&amp;DATE(LEFT(SUBSTITUTE(C1296,"'",""),4),MID(SUBSTITUTE(C1296,"'",""),6,2),1),ShadowLedger!$C:$C,"&lt;"&amp;EOMONTH(DATE(LEFT(SUBSTITUTE(C1296,"'",""),4),MID(SUBSTITUTE(C1296,"'",""),6,2),1),0)+1)</f>
        <v>0</v>
      </c>
      <c r="E1296" s="17">
        <f t="shared" si="1"/>
        <v>597</v>
      </c>
      <c r="F1296" s="17">
        <f t="shared" si="2"/>
        <v>0</v>
      </c>
    </row>
    <row r="1297">
      <c r="A1297" s="5" t="s">
        <v>57</v>
      </c>
      <c r="B1297" s="6">
        <v>597.0</v>
      </c>
      <c r="C1297" s="13" t="s">
        <v>288</v>
      </c>
      <c r="D1297" s="17">
        <f>SUMIFS(ShadowLedger!$D:$D,ShadowLedger!$G:$G,A1297,ShadowLedger!$C:$C,"&gt;="&amp;DATE(LEFT(SUBSTITUTE(C1297,"'",""),4),MID(SUBSTITUTE(C1297,"'",""),6,2),1),ShadowLedger!$C:$C,"&lt;"&amp;EOMONTH(DATE(LEFT(SUBSTITUTE(C1297,"'",""),4),MID(SUBSTITUTE(C1297,"'",""),6,2),1),0)+1)</f>
        <v>0</v>
      </c>
      <c r="E1297" s="17">
        <f t="shared" si="1"/>
        <v>597</v>
      </c>
      <c r="F1297" s="17">
        <f t="shared" si="2"/>
        <v>0</v>
      </c>
    </row>
    <row r="1298">
      <c r="A1298" s="5" t="s">
        <v>58</v>
      </c>
      <c r="B1298" s="6">
        <v>478.0</v>
      </c>
      <c r="C1298" s="13" t="s">
        <v>288</v>
      </c>
      <c r="D1298" s="17">
        <f>SUMIFS(ShadowLedger!$D:$D,ShadowLedger!$G:$G,A1298,ShadowLedger!$C:$C,"&gt;="&amp;DATE(LEFT(SUBSTITUTE(C1298,"'",""),4),MID(SUBSTITUTE(C1298,"'",""),6,2),1),ShadowLedger!$C:$C,"&lt;"&amp;EOMONTH(DATE(LEFT(SUBSTITUTE(C1298,"'",""),4),MID(SUBSTITUTE(C1298,"'",""),6,2),1),0)+1)</f>
        <v>0</v>
      </c>
      <c r="E1298" s="17">
        <f t="shared" si="1"/>
        <v>478</v>
      </c>
      <c r="F1298" s="17">
        <f t="shared" si="2"/>
        <v>0</v>
      </c>
    </row>
    <row r="1299">
      <c r="A1299" s="5" t="s">
        <v>59</v>
      </c>
      <c r="B1299" s="6">
        <v>239.0</v>
      </c>
      <c r="C1299" s="13" t="s">
        <v>288</v>
      </c>
      <c r="D1299" s="17">
        <f>SUMIFS(ShadowLedger!$D:$D,ShadowLedger!$G:$G,A1299,ShadowLedger!$C:$C,"&gt;="&amp;DATE(LEFT(SUBSTITUTE(C1299,"'",""),4),MID(SUBSTITUTE(C1299,"'",""),6,2),1),ShadowLedger!$C:$C,"&lt;"&amp;EOMONTH(DATE(LEFT(SUBSTITUTE(C1299,"'",""),4),MID(SUBSTITUTE(C1299,"'",""),6,2),1),0)+1)</f>
        <v>0</v>
      </c>
      <c r="E1299" s="17">
        <f t="shared" si="1"/>
        <v>239</v>
      </c>
      <c r="F1299" s="17">
        <f t="shared" si="2"/>
        <v>0</v>
      </c>
    </row>
    <row r="1300">
      <c r="A1300" s="5" t="s">
        <v>60</v>
      </c>
      <c r="B1300" s="6">
        <v>179.0</v>
      </c>
      <c r="C1300" s="13" t="s">
        <v>288</v>
      </c>
      <c r="D1300" s="17">
        <f>SUMIFS(ShadowLedger!$D:$D,ShadowLedger!$G:$G,A1300,ShadowLedger!$C:$C,"&gt;="&amp;DATE(LEFT(SUBSTITUTE(C1300,"'",""),4),MID(SUBSTITUTE(C1300,"'",""),6,2),1),ShadowLedger!$C:$C,"&lt;"&amp;EOMONTH(DATE(LEFT(SUBSTITUTE(C1300,"'",""),4),MID(SUBSTITUTE(C1300,"'",""),6,2),1),0)+1)</f>
        <v>0</v>
      </c>
      <c r="E1300" s="17">
        <f t="shared" si="1"/>
        <v>179</v>
      </c>
      <c r="F1300" s="17">
        <f t="shared" si="2"/>
        <v>0</v>
      </c>
    </row>
    <row r="1301">
      <c r="A1301" s="5" t="s">
        <v>61</v>
      </c>
      <c r="B1301" s="6">
        <v>143.0</v>
      </c>
      <c r="C1301" s="13" t="s">
        <v>288</v>
      </c>
      <c r="D1301" s="17">
        <f>SUMIFS(ShadowLedger!$D:$D,ShadowLedger!$G:$G,A1301,ShadowLedger!$C:$C,"&gt;="&amp;DATE(LEFT(SUBSTITUTE(C1301,"'",""),4),MID(SUBSTITUTE(C1301,"'",""),6,2),1),ShadowLedger!$C:$C,"&lt;"&amp;EOMONTH(DATE(LEFT(SUBSTITUTE(C1301,"'",""),4),MID(SUBSTITUTE(C1301,"'",""),6,2),1),0)+1)</f>
        <v>0</v>
      </c>
      <c r="E1301" s="17">
        <f t="shared" si="1"/>
        <v>143</v>
      </c>
      <c r="F1301" s="17">
        <f t="shared" si="2"/>
        <v>0</v>
      </c>
    </row>
    <row r="1302">
      <c r="A1302" s="5" t="s">
        <v>62</v>
      </c>
      <c r="B1302" s="6">
        <v>143.0</v>
      </c>
      <c r="C1302" s="13" t="s">
        <v>288</v>
      </c>
      <c r="D1302" s="17">
        <f>SUMIFS(ShadowLedger!$D:$D,ShadowLedger!$G:$G,A1302,ShadowLedger!$C:$C,"&gt;="&amp;DATE(LEFT(SUBSTITUTE(C1302,"'",""),4),MID(SUBSTITUTE(C1302,"'",""),6,2),1),ShadowLedger!$C:$C,"&lt;"&amp;EOMONTH(DATE(LEFT(SUBSTITUTE(C1302,"'",""),4),MID(SUBSTITUTE(C1302,"'",""),6,2),1),0)+1)</f>
        <v>0</v>
      </c>
      <c r="E1302" s="17">
        <f t="shared" si="1"/>
        <v>143</v>
      </c>
      <c r="F1302" s="17">
        <f t="shared" si="2"/>
        <v>0</v>
      </c>
    </row>
    <row r="1303">
      <c r="A1303" s="5" t="s">
        <v>63</v>
      </c>
      <c r="B1303" s="6">
        <v>119.0</v>
      </c>
      <c r="C1303" s="13" t="s">
        <v>288</v>
      </c>
      <c r="D1303" s="17">
        <f>SUMIFS(ShadowLedger!$D:$D,ShadowLedger!$G:$G,A1303,ShadowLedger!$C:$C,"&gt;="&amp;DATE(LEFT(SUBSTITUTE(C1303,"'",""),4),MID(SUBSTITUTE(C1303,"'",""),6,2),1),ShadowLedger!$C:$C,"&lt;"&amp;EOMONTH(DATE(LEFT(SUBSTITUTE(C1303,"'",""),4),MID(SUBSTITUTE(C1303,"'",""),6,2),1),0)+1)</f>
        <v>0</v>
      </c>
      <c r="E1303" s="17">
        <f t="shared" si="1"/>
        <v>119</v>
      </c>
      <c r="F1303" s="17">
        <f t="shared" si="2"/>
        <v>0</v>
      </c>
    </row>
    <row r="1304">
      <c r="A1304" s="5" t="s">
        <v>64</v>
      </c>
      <c r="B1304" s="6">
        <v>119.0</v>
      </c>
      <c r="C1304" s="13" t="s">
        <v>288</v>
      </c>
      <c r="D1304" s="17">
        <f>SUMIFS(ShadowLedger!$D:$D,ShadowLedger!$G:$G,A1304,ShadowLedger!$C:$C,"&gt;="&amp;DATE(LEFT(SUBSTITUTE(C1304,"'",""),4),MID(SUBSTITUTE(C1304,"'",""),6,2),1),ShadowLedger!$C:$C,"&lt;"&amp;EOMONTH(DATE(LEFT(SUBSTITUTE(C1304,"'",""),4),MID(SUBSTITUTE(C1304,"'",""),6,2),1),0)+1)</f>
        <v>0</v>
      </c>
      <c r="E1304" s="17">
        <f t="shared" si="1"/>
        <v>119</v>
      </c>
      <c r="F1304" s="17">
        <f t="shared" si="2"/>
        <v>0</v>
      </c>
    </row>
    <row r="1305">
      <c r="A1305" s="5" t="s">
        <v>70</v>
      </c>
      <c r="B1305" s="6">
        <v>119.0</v>
      </c>
      <c r="C1305" s="13" t="s">
        <v>288</v>
      </c>
      <c r="D1305" s="17">
        <f>SUMIFS(ShadowLedger!$D:$D,ShadowLedger!$G:$G,A1305,ShadowLedger!$C:$C,"&gt;="&amp;DATE(LEFT(SUBSTITUTE(C1305,"'",""),4),MID(SUBSTITUTE(C1305,"'",""),6,2),1),ShadowLedger!$C:$C,"&lt;"&amp;EOMONTH(DATE(LEFT(SUBSTITUTE(C1305,"'",""),4),MID(SUBSTITUTE(C1305,"'",""),6,2),1),0)+1)</f>
        <v>0</v>
      </c>
      <c r="E1305" s="17">
        <f t="shared" si="1"/>
        <v>119</v>
      </c>
      <c r="F1305" s="17">
        <f t="shared" si="2"/>
        <v>0</v>
      </c>
    </row>
    <row r="1306">
      <c r="A1306" s="5" t="s">
        <v>65</v>
      </c>
      <c r="B1306" s="6">
        <v>60.0</v>
      </c>
      <c r="C1306" s="13" t="s">
        <v>288</v>
      </c>
      <c r="D1306" s="17">
        <f>SUMIFS(ShadowLedger!$D:$D,ShadowLedger!$G:$G,A1306,ShadowLedger!$C:$C,"&gt;="&amp;DATE(LEFT(SUBSTITUTE(C1306,"'",""),4),MID(SUBSTITUTE(C1306,"'",""),6,2),1),ShadowLedger!$C:$C,"&lt;"&amp;EOMONTH(DATE(LEFT(SUBSTITUTE(C1306,"'",""),4),MID(SUBSTITUTE(C1306,"'",""),6,2),1),0)+1)</f>
        <v>0</v>
      </c>
      <c r="E1306" s="17">
        <f t="shared" si="1"/>
        <v>60</v>
      </c>
      <c r="F1306" s="17">
        <f t="shared" si="2"/>
        <v>0</v>
      </c>
    </row>
    <row r="1307">
      <c r="A1307" s="5" t="s">
        <v>66</v>
      </c>
      <c r="B1307" s="6">
        <v>60.0</v>
      </c>
      <c r="C1307" s="13" t="s">
        <v>288</v>
      </c>
      <c r="D1307" s="17">
        <f>SUMIFS(ShadowLedger!$D:$D,ShadowLedger!$G:$G,A1307,ShadowLedger!$C:$C,"&gt;="&amp;DATE(LEFT(SUBSTITUTE(C1307,"'",""),4),MID(SUBSTITUTE(C1307,"'",""),6,2),1),ShadowLedger!$C:$C,"&lt;"&amp;EOMONTH(DATE(LEFT(SUBSTITUTE(C1307,"'",""),4),MID(SUBSTITUTE(C1307,"'",""),6,2),1),0)+1)</f>
        <v>0</v>
      </c>
      <c r="E1307" s="17">
        <f t="shared" si="1"/>
        <v>60</v>
      </c>
      <c r="F1307" s="17">
        <f t="shared" si="2"/>
        <v>0</v>
      </c>
    </row>
    <row r="1308">
      <c r="A1308" s="5" t="s">
        <v>67</v>
      </c>
      <c r="B1308" s="6">
        <v>60.0</v>
      </c>
      <c r="C1308" s="13" t="s">
        <v>288</v>
      </c>
      <c r="D1308" s="17">
        <f>SUMIFS(ShadowLedger!$D:$D,ShadowLedger!$G:$G,A1308,ShadowLedger!$C:$C,"&gt;="&amp;DATE(LEFT(SUBSTITUTE(C1308,"'",""),4),MID(SUBSTITUTE(C1308,"'",""),6,2),1),ShadowLedger!$C:$C,"&lt;"&amp;EOMONTH(DATE(LEFT(SUBSTITUTE(C1308,"'",""),4),MID(SUBSTITUTE(C1308,"'",""),6,2),1),0)+1)</f>
        <v>0</v>
      </c>
      <c r="E1308" s="17">
        <f t="shared" si="1"/>
        <v>60</v>
      </c>
      <c r="F1308" s="17">
        <f t="shared" si="2"/>
        <v>0</v>
      </c>
    </row>
    <row r="1309">
      <c r="A1309" s="5" t="s">
        <v>68</v>
      </c>
      <c r="B1309" s="6">
        <v>60.0</v>
      </c>
      <c r="C1309" s="13" t="s">
        <v>288</v>
      </c>
      <c r="D1309" s="17">
        <f>SUMIFS(ShadowLedger!$D:$D,ShadowLedger!$G:$G,A1309,ShadowLedger!$C:$C,"&gt;="&amp;DATE(LEFT(SUBSTITUTE(C1309,"'",""),4),MID(SUBSTITUTE(C1309,"'",""),6,2),1),ShadowLedger!$C:$C,"&lt;"&amp;EOMONTH(DATE(LEFT(SUBSTITUTE(C1309,"'",""),4),MID(SUBSTITUTE(C1309,"'",""),6,2),1),0)+1)</f>
        <v>0</v>
      </c>
      <c r="E1309" s="17">
        <f t="shared" si="1"/>
        <v>60</v>
      </c>
      <c r="F1309" s="17">
        <f t="shared" si="2"/>
        <v>0</v>
      </c>
    </row>
    <row r="1310">
      <c r="A1310" s="5" t="s">
        <v>69</v>
      </c>
      <c r="B1310" s="6">
        <v>0.0</v>
      </c>
      <c r="C1310" s="13" t="s">
        <v>288</v>
      </c>
      <c r="D1310" s="17">
        <f>SUMIFS(ShadowLedger!$D:$D,ShadowLedger!$G:$G,A1310,ShadowLedger!$C:$C,"&gt;="&amp;DATE(LEFT(SUBSTITUTE(C1310,"'",""),4),MID(SUBSTITUTE(C1310,"'",""),6,2),1),ShadowLedger!$C:$C,"&lt;"&amp;EOMONTH(DATE(LEFT(SUBSTITUTE(C1310,"'",""),4),MID(SUBSTITUTE(C1310,"'",""),6,2),1),0)+1)</f>
        <v>0</v>
      </c>
      <c r="E1310" s="17">
        <f t="shared" si="1"/>
        <v>0</v>
      </c>
      <c r="F1310" s="17">
        <f t="shared" si="2"/>
        <v>0</v>
      </c>
    </row>
    <row r="1311">
      <c r="A1311" s="5" t="s">
        <v>54</v>
      </c>
      <c r="B1311" s="6">
        <v>1099.0</v>
      </c>
      <c r="C1311" s="13" t="s">
        <v>289</v>
      </c>
      <c r="D1311" s="17">
        <f>SUMIFS(ShadowLedger!$D:$D,ShadowLedger!$G:$G,A1311,ShadowLedger!$C:$C,"&gt;="&amp;DATE(LEFT(SUBSTITUTE(C1311,"'",""),4),MID(SUBSTITUTE(C1311,"'",""),6,2),1),ShadowLedger!$C:$C,"&lt;"&amp;EOMONTH(DATE(LEFT(SUBSTITUTE(C1311,"'",""),4),MID(SUBSTITUTE(C1311,"'",""),6,2),1),0)+1)</f>
        <v>0</v>
      </c>
      <c r="E1311" s="17">
        <f t="shared" si="1"/>
        <v>1099</v>
      </c>
      <c r="F1311" s="17">
        <f t="shared" si="2"/>
        <v>0</v>
      </c>
    </row>
    <row r="1312">
      <c r="A1312" s="5" t="s">
        <v>55</v>
      </c>
      <c r="B1312" s="6">
        <v>836.0</v>
      </c>
      <c r="C1312" s="13" t="s">
        <v>289</v>
      </c>
      <c r="D1312" s="17">
        <f>SUMIFS(ShadowLedger!$D:$D,ShadowLedger!$G:$G,A1312,ShadowLedger!$C:$C,"&gt;="&amp;DATE(LEFT(SUBSTITUTE(C1312,"'",""),4),MID(SUBSTITUTE(C1312,"'",""),6,2),1),ShadowLedger!$C:$C,"&lt;"&amp;EOMONTH(DATE(LEFT(SUBSTITUTE(C1312,"'",""),4),MID(SUBSTITUTE(C1312,"'",""),6,2),1),0)+1)</f>
        <v>0</v>
      </c>
      <c r="E1312" s="17">
        <f t="shared" si="1"/>
        <v>836</v>
      </c>
      <c r="F1312" s="17">
        <f t="shared" si="2"/>
        <v>0</v>
      </c>
    </row>
    <row r="1313">
      <c r="A1313" s="5" t="s">
        <v>56</v>
      </c>
      <c r="B1313" s="6">
        <v>597.0</v>
      </c>
      <c r="C1313" s="13" t="s">
        <v>289</v>
      </c>
      <c r="D1313" s="17">
        <f>SUMIFS(ShadowLedger!$D:$D,ShadowLedger!$G:$G,A1313,ShadowLedger!$C:$C,"&gt;="&amp;DATE(LEFT(SUBSTITUTE(C1313,"'",""),4),MID(SUBSTITUTE(C1313,"'",""),6,2),1),ShadowLedger!$C:$C,"&lt;"&amp;EOMONTH(DATE(LEFT(SUBSTITUTE(C1313,"'",""),4),MID(SUBSTITUTE(C1313,"'",""),6,2),1),0)+1)</f>
        <v>0</v>
      </c>
      <c r="E1313" s="17">
        <f t="shared" si="1"/>
        <v>597</v>
      </c>
      <c r="F1313" s="17">
        <f t="shared" si="2"/>
        <v>0</v>
      </c>
    </row>
    <row r="1314">
      <c r="A1314" s="5" t="s">
        <v>57</v>
      </c>
      <c r="B1314" s="6">
        <v>597.0</v>
      </c>
      <c r="C1314" s="13" t="s">
        <v>289</v>
      </c>
      <c r="D1314" s="17">
        <f>SUMIFS(ShadowLedger!$D:$D,ShadowLedger!$G:$G,A1314,ShadowLedger!$C:$C,"&gt;="&amp;DATE(LEFT(SUBSTITUTE(C1314,"'",""),4),MID(SUBSTITUTE(C1314,"'",""),6,2),1),ShadowLedger!$C:$C,"&lt;"&amp;EOMONTH(DATE(LEFT(SUBSTITUTE(C1314,"'",""),4),MID(SUBSTITUTE(C1314,"'",""),6,2),1),0)+1)</f>
        <v>0</v>
      </c>
      <c r="E1314" s="17">
        <f t="shared" si="1"/>
        <v>597</v>
      </c>
      <c r="F1314" s="17">
        <f t="shared" si="2"/>
        <v>0</v>
      </c>
    </row>
    <row r="1315">
      <c r="A1315" s="5" t="s">
        <v>58</v>
      </c>
      <c r="B1315" s="6">
        <v>478.0</v>
      </c>
      <c r="C1315" s="13" t="s">
        <v>289</v>
      </c>
      <c r="D1315" s="17">
        <f>SUMIFS(ShadowLedger!$D:$D,ShadowLedger!$G:$G,A1315,ShadowLedger!$C:$C,"&gt;="&amp;DATE(LEFT(SUBSTITUTE(C1315,"'",""),4),MID(SUBSTITUTE(C1315,"'",""),6,2),1),ShadowLedger!$C:$C,"&lt;"&amp;EOMONTH(DATE(LEFT(SUBSTITUTE(C1315,"'",""),4),MID(SUBSTITUTE(C1315,"'",""),6,2),1),0)+1)</f>
        <v>0</v>
      </c>
      <c r="E1315" s="17">
        <f t="shared" si="1"/>
        <v>478</v>
      </c>
      <c r="F1315" s="17">
        <f t="shared" si="2"/>
        <v>0</v>
      </c>
    </row>
    <row r="1316">
      <c r="A1316" s="5" t="s">
        <v>59</v>
      </c>
      <c r="B1316" s="6">
        <v>239.0</v>
      </c>
      <c r="C1316" s="13" t="s">
        <v>289</v>
      </c>
      <c r="D1316" s="17">
        <f>SUMIFS(ShadowLedger!$D:$D,ShadowLedger!$G:$G,A1316,ShadowLedger!$C:$C,"&gt;="&amp;DATE(LEFT(SUBSTITUTE(C1316,"'",""),4),MID(SUBSTITUTE(C1316,"'",""),6,2),1),ShadowLedger!$C:$C,"&lt;"&amp;EOMONTH(DATE(LEFT(SUBSTITUTE(C1316,"'",""),4),MID(SUBSTITUTE(C1316,"'",""),6,2),1),0)+1)</f>
        <v>0</v>
      </c>
      <c r="E1316" s="17">
        <f t="shared" si="1"/>
        <v>239</v>
      </c>
      <c r="F1316" s="17">
        <f t="shared" si="2"/>
        <v>0</v>
      </c>
    </row>
    <row r="1317">
      <c r="A1317" s="5" t="s">
        <v>60</v>
      </c>
      <c r="B1317" s="6">
        <v>179.0</v>
      </c>
      <c r="C1317" s="13" t="s">
        <v>289</v>
      </c>
      <c r="D1317" s="17">
        <f>SUMIFS(ShadowLedger!$D:$D,ShadowLedger!$G:$G,A1317,ShadowLedger!$C:$C,"&gt;="&amp;DATE(LEFT(SUBSTITUTE(C1317,"'",""),4),MID(SUBSTITUTE(C1317,"'",""),6,2),1),ShadowLedger!$C:$C,"&lt;"&amp;EOMONTH(DATE(LEFT(SUBSTITUTE(C1317,"'",""),4),MID(SUBSTITUTE(C1317,"'",""),6,2),1),0)+1)</f>
        <v>0</v>
      </c>
      <c r="E1317" s="17">
        <f t="shared" si="1"/>
        <v>179</v>
      </c>
      <c r="F1317" s="17">
        <f t="shared" si="2"/>
        <v>0</v>
      </c>
    </row>
    <row r="1318">
      <c r="A1318" s="5" t="s">
        <v>61</v>
      </c>
      <c r="B1318" s="6">
        <v>143.0</v>
      </c>
      <c r="C1318" s="13" t="s">
        <v>289</v>
      </c>
      <c r="D1318" s="17">
        <f>SUMIFS(ShadowLedger!$D:$D,ShadowLedger!$G:$G,A1318,ShadowLedger!$C:$C,"&gt;="&amp;DATE(LEFT(SUBSTITUTE(C1318,"'",""),4),MID(SUBSTITUTE(C1318,"'",""),6,2),1),ShadowLedger!$C:$C,"&lt;"&amp;EOMONTH(DATE(LEFT(SUBSTITUTE(C1318,"'",""),4),MID(SUBSTITUTE(C1318,"'",""),6,2),1),0)+1)</f>
        <v>0</v>
      </c>
      <c r="E1318" s="17">
        <f t="shared" si="1"/>
        <v>143</v>
      </c>
      <c r="F1318" s="17">
        <f t="shared" si="2"/>
        <v>0</v>
      </c>
    </row>
    <row r="1319">
      <c r="A1319" s="5" t="s">
        <v>62</v>
      </c>
      <c r="B1319" s="6">
        <v>143.0</v>
      </c>
      <c r="C1319" s="13" t="s">
        <v>289</v>
      </c>
      <c r="D1319" s="17">
        <f>SUMIFS(ShadowLedger!$D:$D,ShadowLedger!$G:$G,A1319,ShadowLedger!$C:$C,"&gt;="&amp;DATE(LEFT(SUBSTITUTE(C1319,"'",""),4),MID(SUBSTITUTE(C1319,"'",""),6,2),1),ShadowLedger!$C:$C,"&lt;"&amp;EOMONTH(DATE(LEFT(SUBSTITUTE(C1319,"'",""),4),MID(SUBSTITUTE(C1319,"'",""),6,2),1),0)+1)</f>
        <v>0</v>
      </c>
      <c r="E1319" s="17">
        <f t="shared" si="1"/>
        <v>143</v>
      </c>
      <c r="F1319" s="17">
        <f t="shared" si="2"/>
        <v>0</v>
      </c>
    </row>
    <row r="1320">
      <c r="A1320" s="5" t="s">
        <v>63</v>
      </c>
      <c r="B1320" s="6">
        <v>119.0</v>
      </c>
      <c r="C1320" s="13" t="s">
        <v>289</v>
      </c>
      <c r="D1320" s="17">
        <f>SUMIFS(ShadowLedger!$D:$D,ShadowLedger!$G:$G,A1320,ShadowLedger!$C:$C,"&gt;="&amp;DATE(LEFT(SUBSTITUTE(C1320,"'",""),4),MID(SUBSTITUTE(C1320,"'",""),6,2),1),ShadowLedger!$C:$C,"&lt;"&amp;EOMONTH(DATE(LEFT(SUBSTITUTE(C1320,"'",""),4),MID(SUBSTITUTE(C1320,"'",""),6,2),1),0)+1)</f>
        <v>0</v>
      </c>
      <c r="E1320" s="17">
        <f t="shared" si="1"/>
        <v>119</v>
      </c>
      <c r="F1320" s="17">
        <f t="shared" si="2"/>
        <v>0</v>
      </c>
    </row>
    <row r="1321">
      <c r="A1321" s="5" t="s">
        <v>64</v>
      </c>
      <c r="B1321" s="6">
        <v>119.0</v>
      </c>
      <c r="C1321" s="13" t="s">
        <v>289</v>
      </c>
      <c r="D1321" s="17">
        <f>SUMIFS(ShadowLedger!$D:$D,ShadowLedger!$G:$G,A1321,ShadowLedger!$C:$C,"&gt;="&amp;DATE(LEFT(SUBSTITUTE(C1321,"'",""),4),MID(SUBSTITUTE(C1321,"'",""),6,2),1),ShadowLedger!$C:$C,"&lt;"&amp;EOMONTH(DATE(LEFT(SUBSTITUTE(C1321,"'",""),4),MID(SUBSTITUTE(C1321,"'",""),6,2),1),0)+1)</f>
        <v>0</v>
      </c>
      <c r="E1321" s="17">
        <f t="shared" si="1"/>
        <v>119</v>
      </c>
      <c r="F1321" s="17">
        <f t="shared" si="2"/>
        <v>0</v>
      </c>
    </row>
    <row r="1322">
      <c r="A1322" s="5" t="s">
        <v>70</v>
      </c>
      <c r="B1322" s="6">
        <v>119.0</v>
      </c>
      <c r="C1322" s="13" t="s">
        <v>289</v>
      </c>
      <c r="D1322" s="17">
        <f>SUMIFS(ShadowLedger!$D:$D,ShadowLedger!$G:$G,A1322,ShadowLedger!$C:$C,"&gt;="&amp;DATE(LEFT(SUBSTITUTE(C1322,"'",""),4),MID(SUBSTITUTE(C1322,"'",""),6,2),1),ShadowLedger!$C:$C,"&lt;"&amp;EOMONTH(DATE(LEFT(SUBSTITUTE(C1322,"'",""),4),MID(SUBSTITUTE(C1322,"'",""),6,2),1),0)+1)</f>
        <v>0</v>
      </c>
      <c r="E1322" s="17">
        <f t="shared" si="1"/>
        <v>119</v>
      </c>
      <c r="F1322" s="17">
        <f t="shared" si="2"/>
        <v>0</v>
      </c>
    </row>
    <row r="1323">
      <c r="A1323" s="5" t="s">
        <v>65</v>
      </c>
      <c r="B1323" s="6">
        <v>60.0</v>
      </c>
      <c r="C1323" s="13" t="s">
        <v>289</v>
      </c>
      <c r="D1323" s="17">
        <f>SUMIFS(ShadowLedger!$D:$D,ShadowLedger!$G:$G,A1323,ShadowLedger!$C:$C,"&gt;="&amp;DATE(LEFT(SUBSTITUTE(C1323,"'",""),4),MID(SUBSTITUTE(C1323,"'",""),6,2),1),ShadowLedger!$C:$C,"&lt;"&amp;EOMONTH(DATE(LEFT(SUBSTITUTE(C1323,"'",""),4),MID(SUBSTITUTE(C1323,"'",""),6,2),1),0)+1)</f>
        <v>0</v>
      </c>
      <c r="E1323" s="17">
        <f t="shared" si="1"/>
        <v>60</v>
      </c>
      <c r="F1323" s="17">
        <f t="shared" si="2"/>
        <v>0</v>
      </c>
    </row>
    <row r="1324">
      <c r="A1324" s="5" t="s">
        <v>66</v>
      </c>
      <c r="B1324" s="6">
        <v>60.0</v>
      </c>
      <c r="C1324" s="13" t="s">
        <v>289</v>
      </c>
      <c r="D1324" s="17">
        <f>SUMIFS(ShadowLedger!$D:$D,ShadowLedger!$G:$G,A1324,ShadowLedger!$C:$C,"&gt;="&amp;DATE(LEFT(SUBSTITUTE(C1324,"'",""),4),MID(SUBSTITUTE(C1324,"'",""),6,2),1),ShadowLedger!$C:$C,"&lt;"&amp;EOMONTH(DATE(LEFT(SUBSTITUTE(C1324,"'",""),4),MID(SUBSTITUTE(C1324,"'",""),6,2),1),0)+1)</f>
        <v>0</v>
      </c>
      <c r="E1324" s="17">
        <f t="shared" si="1"/>
        <v>60</v>
      </c>
      <c r="F1324" s="17">
        <f t="shared" si="2"/>
        <v>0</v>
      </c>
    </row>
    <row r="1325">
      <c r="A1325" s="5" t="s">
        <v>67</v>
      </c>
      <c r="B1325" s="6">
        <v>60.0</v>
      </c>
      <c r="C1325" s="13" t="s">
        <v>289</v>
      </c>
      <c r="D1325" s="17">
        <f>SUMIFS(ShadowLedger!$D:$D,ShadowLedger!$G:$G,A1325,ShadowLedger!$C:$C,"&gt;="&amp;DATE(LEFT(SUBSTITUTE(C1325,"'",""),4),MID(SUBSTITUTE(C1325,"'",""),6,2),1),ShadowLedger!$C:$C,"&lt;"&amp;EOMONTH(DATE(LEFT(SUBSTITUTE(C1325,"'",""),4),MID(SUBSTITUTE(C1325,"'",""),6,2),1),0)+1)</f>
        <v>0</v>
      </c>
      <c r="E1325" s="17">
        <f t="shared" si="1"/>
        <v>60</v>
      </c>
      <c r="F1325" s="17">
        <f t="shared" si="2"/>
        <v>0</v>
      </c>
    </row>
    <row r="1326">
      <c r="A1326" s="5" t="s">
        <v>68</v>
      </c>
      <c r="B1326" s="6">
        <v>60.0</v>
      </c>
      <c r="C1326" s="13" t="s">
        <v>289</v>
      </c>
      <c r="D1326" s="17">
        <f>SUMIFS(ShadowLedger!$D:$D,ShadowLedger!$G:$G,A1326,ShadowLedger!$C:$C,"&gt;="&amp;DATE(LEFT(SUBSTITUTE(C1326,"'",""),4),MID(SUBSTITUTE(C1326,"'",""),6,2),1),ShadowLedger!$C:$C,"&lt;"&amp;EOMONTH(DATE(LEFT(SUBSTITUTE(C1326,"'",""),4),MID(SUBSTITUTE(C1326,"'",""),6,2),1),0)+1)</f>
        <v>0</v>
      </c>
      <c r="E1326" s="17">
        <f t="shared" si="1"/>
        <v>60</v>
      </c>
      <c r="F1326" s="17">
        <f t="shared" si="2"/>
        <v>0</v>
      </c>
    </row>
    <row r="1327">
      <c r="A1327" s="5" t="s">
        <v>69</v>
      </c>
      <c r="B1327" s="6">
        <v>0.0</v>
      </c>
      <c r="C1327" s="13" t="s">
        <v>289</v>
      </c>
      <c r="D1327" s="17">
        <f>SUMIFS(ShadowLedger!$D:$D,ShadowLedger!$G:$G,A1327,ShadowLedger!$C:$C,"&gt;="&amp;DATE(LEFT(SUBSTITUTE(C1327,"'",""),4),MID(SUBSTITUTE(C1327,"'",""),6,2),1),ShadowLedger!$C:$C,"&lt;"&amp;EOMONTH(DATE(LEFT(SUBSTITUTE(C1327,"'",""),4),MID(SUBSTITUTE(C1327,"'",""),6,2),1),0)+1)</f>
        <v>0</v>
      </c>
      <c r="E1327" s="17">
        <f t="shared" si="1"/>
        <v>0</v>
      </c>
      <c r="F1327" s="17">
        <f t="shared" si="2"/>
        <v>0</v>
      </c>
    </row>
    <row r="1328">
      <c r="A1328" s="5" t="s">
        <v>54</v>
      </c>
      <c r="B1328" s="6">
        <v>1099.0</v>
      </c>
      <c r="C1328" s="13" t="s">
        <v>290</v>
      </c>
      <c r="D1328" s="17">
        <f>SUMIFS(ShadowLedger!$D:$D,ShadowLedger!$G:$G,A1328,ShadowLedger!$C:$C,"&gt;="&amp;DATE(LEFT(SUBSTITUTE(C1328,"'",""),4),MID(SUBSTITUTE(C1328,"'",""),6,2),1),ShadowLedger!$C:$C,"&lt;"&amp;EOMONTH(DATE(LEFT(SUBSTITUTE(C1328,"'",""),4),MID(SUBSTITUTE(C1328,"'",""),6,2),1),0)+1)</f>
        <v>0</v>
      </c>
      <c r="E1328" s="17">
        <f t="shared" si="1"/>
        <v>1099</v>
      </c>
      <c r="F1328" s="17">
        <f t="shared" si="2"/>
        <v>0</v>
      </c>
    </row>
    <row r="1329">
      <c r="A1329" s="5" t="s">
        <v>55</v>
      </c>
      <c r="B1329" s="6">
        <v>836.0</v>
      </c>
      <c r="C1329" s="13" t="s">
        <v>290</v>
      </c>
      <c r="D1329" s="17">
        <f>SUMIFS(ShadowLedger!$D:$D,ShadowLedger!$G:$G,A1329,ShadowLedger!$C:$C,"&gt;="&amp;DATE(LEFT(SUBSTITUTE(C1329,"'",""),4),MID(SUBSTITUTE(C1329,"'",""),6,2),1),ShadowLedger!$C:$C,"&lt;"&amp;EOMONTH(DATE(LEFT(SUBSTITUTE(C1329,"'",""),4),MID(SUBSTITUTE(C1329,"'",""),6,2),1),0)+1)</f>
        <v>0</v>
      </c>
      <c r="E1329" s="17">
        <f t="shared" si="1"/>
        <v>836</v>
      </c>
      <c r="F1329" s="17">
        <f t="shared" si="2"/>
        <v>0</v>
      </c>
    </row>
    <row r="1330">
      <c r="A1330" s="5" t="s">
        <v>56</v>
      </c>
      <c r="B1330" s="6">
        <v>597.0</v>
      </c>
      <c r="C1330" s="13" t="s">
        <v>290</v>
      </c>
      <c r="D1330" s="17">
        <f>SUMIFS(ShadowLedger!$D:$D,ShadowLedger!$G:$G,A1330,ShadowLedger!$C:$C,"&gt;="&amp;DATE(LEFT(SUBSTITUTE(C1330,"'",""),4),MID(SUBSTITUTE(C1330,"'",""),6,2),1),ShadowLedger!$C:$C,"&lt;"&amp;EOMONTH(DATE(LEFT(SUBSTITUTE(C1330,"'",""),4),MID(SUBSTITUTE(C1330,"'",""),6,2),1),0)+1)</f>
        <v>0</v>
      </c>
      <c r="E1330" s="17">
        <f t="shared" si="1"/>
        <v>597</v>
      </c>
      <c r="F1330" s="17">
        <f t="shared" si="2"/>
        <v>0</v>
      </c>
    </row>
    <row r="1331">
      <c r="A1331" s="5" t="s">
        <v>57</v>
      </c>
      <c r="B1331" s="6">
        <v>597.0</v>
      </c>
      <c r="C1331" s="13" t="s">
        <v>290</v>
      </c>
      <c r="D1331" s="17">
        <f>SUMIFS(ShadowLedger!$D:$D,ShadowLedger!$G:$G,A1331,ShadowLedger!$C:$C,"&gt;="&amp;DATE(LEFT(SUBSTITUTE(C1331,"'",""),4),MID(SUBSTITUTE(C1331,"'",""),6,2),1),ShadowLedger!$C:$C,"&lt;"&amp;EOMONTH(DATE(LEFT(SUBSTITUTE(C1331,"'",""),4),MID(SUBSTITUTE(C1331,"'",""),6,2),1),0)+1)</f>
        <v>0</v>
      </c>
      <c r="E1331" s="17">
        <f t="shared" si="1"/>
        <v>597</v>
      </c>
      <c r="F1331" s="17">
        <f t="shared" si="2"/>
        <v>0</v>
      </c>
    </row>
    <row r="1332">
      <c r="A1332" s="5" t="s">
        <v>58</v>
      </c>
      <c r="B1332" s="6">
        <v>478.0</v>
      </c>
      <c r="C1332" s="13" t="s">
        <v>290</v>
      </c>
      <c r="D1332" s="17">
        <f>SUMIFS(ShadowLedger!$D:$D,ShadowLedger!$G:$G,A1332,ShadowLedger!$C:$C,"&gt;="&amp;DATE(LEFT(SUBSTITUTE(C1332,"'",""),4),MID(SUBSTITUTE(C1332,"'",""),6,2),1),ShadowLedger!$C:$C,"&lt;"&amp;EOMONTH(DATE(LEFT(SUBSTITUTE(C1332,"'",""),4),MID(SUBSTITUTE(C1332,"'",""),6,2),1),0)+1)</f>
        <v>0</v>
      </c>
      <c r="E1332" s="17">
        <f t="shared" si="1"/>
        <v>478</v>
      </c>
      <c r="F1332" s="17">
        <f t="shared" si="2"/>
        <v>0</v>
      </c>
    </row>
    <row r="1333">
      <c r="A1333" s="5" t="s">
        <v>59</v>
      </c>
      <c r="B1333" s="6">
        <v>239.0</v>
      </c>
      <c r="C1333" s="13" t="s">
        <v>290</v>
      </c>
      <c r="D1333" s="17">
        <f>SUMIFS(ShadowLedger!$D:$D,ShadowLedger!$G:$G,A1333,ShadowLedger!$C:$C,"&gt;="&amp;DATE(LEFT(SUBSTITUTE(C1333,"'",""),4),MID(SUBSTITUTE(C1333,"'",""),6,2),1),ShadowLedger!$C:$C,"&lt;"&amp;EOMONTH(DATE(LEFT(SUBSTITUTE(C1333,"'",""),4),MID(SUBSTITUTE(C1333,"'",""),6,2),1),0)+1)</f>
        <v>0</v>
      </c>
      <c r="E1333" s="17">
        <f t="shared" si="1"/>
        <v>239</v>
      </c>
      <c r="F1333" s="17">
        <f t="shared" si="2"/>
        <v>0</v>
      </c>
    </row>
    <row r="1334">
      <c r="A1334" s="5" t="s">
        <v>60</v>
      </c>
      <c r="B1334" s="6">
        <v>179.0</v>
      </c>
      <c r="C1334" s="13" t="s">
        <v>290</v>
      </c>
      <c r="D1334" s="17">
        <f>SUMIFS(ShadowLedger!$D:$D,ShadowLedger!$G:$G,A1334,ShadowLedger!$C:$C,"&gt;="&amp;DATE(LEFT(SUBSTITUTE(C1334,"'",""),4),MID(SUBSTITUTE(C1334,"'",""),6,2),1),ShadowLedger!$C:$C,"&lt;"&amp;EOMONTH(DATE(LEFT(SUBSTITUTE(C1334,"'",""),4),MID(SUBSTITUTE(C1334,"'",""),6,2),1),0)+1)</f>
        <v>0</v>
      </c>
      <c r="E1334" s="17">
        <f t="shared" si="1"/>
        <v>179</v>
      </c>
      <c r="F1334" s="17">
        <f t="shared" si="2"/>
        <v>0</v>
      </c>
    </row>
    <row r="1335">
      <c r="A1335" s="5" t="s">
        <v>61</v>
      </c>
      <c r="B1335" s="6">
        <v>143.0</v>
      </c>
      <c r="C1335" s="13" t="s">
        <v>290</v>
      </c>
      <c r="D1335" s="17">
        <f>SUMIFS(ShadowLedger!$D:$D,ShadowLedger!$G:$G,A1335,ShadowLedger!$C:$C,"&gt;="&amp;DATE(LEFT(SUBSTITUTE(C1335,"'",""),4),MID(SUBSTITUTE(C1335,"'",""),6,2),1),ShadowLedger!$C:$C,"&lt;"&amp;EOMONTH(DATE(LEFT(SUBSTITUTE(C1335,"'",""),4),MID(SUBSTITUTE(C1335,"'",""),6,2),1),0)+1)</f>
        <v>0</v>
      </c>
      <c r="E1335" s="17">
        <f t="shared" si="1"/>
        <v>143</v>
      </c>
      <c r="F1335" s="17">
        <f t="shared" si="2"/>
        <v>0</v>
      </c>
    </row>
    <row r="1336">
      <c r="A1336" s="5" t="s">
        <v>62</v>
      </c>
      <c r="B1336" s="6">
        <v>143.0</v>
      </c>
      <c r="C1336" s="13" t="s">
        <v>290</v>
      </c>
      <c r="D1336" s="17">
        <f>SUMIFS(ShadowLedger!$D:$D,ShadowLedger!$G:$G,A1336,ShadowLedger!$C:$C,"&gt;="&amp;DATE(LEFT(SUBSTITUTE(C1336,"'",""),4),MID(SUBSTITUTE(C1336,"'",""),6,2),1),ShadowLedger!$C:$C,"&lt;"&amp;EOMONTH(DATE(LEFT(SUBSTITUTE(C1336,"'",""),4),MID(SUBSTITUTE(C1336,"'",""),6,2),1),0)+1)</f>
        <v>0</v>
      </c>
      <c r="E1336" s="17">
        <f t="shared" si="1"/>
        <v>143</v>
      </c>
      <c r="F1336" s="17">
        <f t="shared" si="2"/>
        <v>0</v>
      </c>
    </row>
    <row r="1337">
      <c r="A1337" s="5" t="s">
        <v>63</v>
      </c>
      <c r="B1337" s="6">
        <v>119.0</v>
      </c>
      <c r="C1337" s="13" t="s">
        <v>290</v>
      </c>
      <c r="D1337" s="17">
        <f>SUMIFS(ShadowLedger!$D:$D,ShadowLedger!$G:$G,A1337,ShadowLedger!$C:$C,"&gt;="&amp;DATE(LEFT(SUBSTITUTE(C1337,"'",""),4),MID(SUBSTITUTE(C1337,"'",""),6,2),1),ShadowLedger!$C:$C,"&lt;"&amp;EOMONTH(DATE(LEFT(SUBSTITUTE(C1337,"'",""),4),MID(SUBSTITUTE(C1337,"'",""),6,2),1),0)+1)</f>
        <v>0</v>
      </c>
      <c r="E1337" s="17">
        <f t="shared" si="1"/>
        <v>119</v>
      </c>
      <c r="F1337" s="17">
        <f t="shared" si="2"/>
        <v>0</v>
      </c>
    </row>
    <row r="1338">
      <c r="A1338" s="5" t="s">
        <v>64</v>
      </c>
      <c r="B1338" s="6">
        <v>119.0</v>
      </c>
      <c r="C1338" s="13" t="s">
        <v>290</v>
      </c>
      <c r="D1338" s="17">
        <f>SUMIFS(ShadowLedger!$D:$D,ShadowLedger!$G:$G,A1338,ShadowLedger!$C:$C,"&gt;="&amp;DATE(LEFT(SUBSTITUTE(C1338,"'",""),4),MID(SUBSTITUTE(C1338,"'",""),6,2),1),ShadowLedger!$C:$C,"&lt;"&amp;EOMONTH(DATE(LEFT(SUBSTITUTE(C1338,"'",""),4),MID(SUBSTITUTE(C1338,"'",""),6,2),1),0)+1)</f>
        <v>0</v>
      </c>
      <c r="E1338" s="17">
        <f t="shared" si="1"/>
        <v>119</v>
      </c>
      <c r="F1338" s="17">
        <f t="shared" si="2"/>
        <v>0</v>
      </c>
    </row>
    <row r="1339">
      <c r="A1339" s="5" t="s">
        <v>70</v>
      </c>
      <c r="B1339" s="6">
        <v>119.0</v>
      </c>
      <c r="C1339" s="13" t="s">
        <v>290</v>
      </c>
      <c r="D1339" s="17">
        <f>SUMIFS(ShadowLedger!$D:$D,ShadowLedger!$G:$G,A1339,ShadowLedger!$C:$C,"&gt;="&amp;DATE(LEFT(SUBSTITUTE(C1339,"'",""),4),MID(SUBSTITUTE(C1339,"'",""),6,2),1),ShadowLedger!$C:$C,"&lt;"&amp;EOMONTH(DATE(LEFT(SUBSTITUTE(C1339,"'",""),4),MID(SUBSTITUTE(C1339,"'",""),6,2),1),0)+1)</f>
        <v>0</v>
      </c>
      <c r="E1339" s="17">
        <f t="shared" si="1"/>
        <v>119</v>
      </c>
      <c r="F1339" s="17">
        <f t="shared" si="2"/>
        <v>0</v>
      </c>
    </row>
    <row r="1340">
      <c r="A1340" s="5" t="s">
        <v>65</v>
      </c>
      <c r="B1340" s="6">
        <v>60.0</v>
      </c>
      <c r="C1340" s="13" t="s">
        <v>290</v>
      </c>
      <c r="D1340" s="17">
        <f>SUMIFS(ShadowLedger!$D:$D,ShadowLedger!$G:$G,A1340,ShadowLedger!$C:$C,"&gt;="&amp;DATE(LEFT(SUBSTITUTE(C1340,"'",""),4),MID(SUBSTITUTE(C1340,"'",""),6,2),1),ShadowLedger!$C:$C,"&lt;"&amp;EOMONTH(DATE(LEFT(SUBSTITUTE(C1340,"'",""),4),MID(SUBSTITUTE(C1340,"'",""),6,2),1),0)+1)</f>
        <v>0</v>
      </c>
      <c r="E1340" s="17">
        <f t="shared" si="1"/>
        <v>60</v>
      </c>
      <c r="F1340" s="17">
        <f t="shared" si="2"/>
        <v>0</v>
      </c>
    </row>
    <row r="1341">
      <c r="A1341" s="5" t="s">
        <v>66</v>
      </c>
      <c r="B1341" s="6">
        <v>60.0</v>
      </c>
      <c r="C1341" s="13" t="s">
        <v>290</v>
      </c>
      <c r="D1341" s="17">
        <f>SUMIFS(ShadowLedger!$D:$D,ShadowLedger!$G:$G,A1341,ShadowLedger!$C:$C,"&gt;="&amp;DATE(LEFT(SUBSTITUTE(C1341,"'",""),4),MID(SUBSTITUTE(C1341,"'",""),6,2),1),ShadowLedger!$C:$C,"&lt;"&amp;EOMONTH(DATE(LEFT(SUBSTITUTE(C1341,"'",""),4),MID(SUBSTITUTE(C1341,"'",""),6,2),1),0)+1)</f>
        <v>0</v>
      </c>
      <c r="E1341" s="17">
        <f t="shared" si="1"/>
        <v>60</v>
      </c>
      <c r="F1341" s="17">
        <f t="shared" si="2"/>
        <v>0</v>
      </c>
    </row>
    <row r="1342">
      <c r="A1342" s="5" t="s">
        <v>67</v>
      </c>
      <c r="B1342" s="6">
        <v>60.0</v>
      </c>
      <c r="C1342" s="13" t="s">
        <v>290</v>
      </c>
      <c r="D1342" s="17">
        <f>SUMIFS(ShadowLedger!$D:$D,ShadowLedger!$G:$G,A1342,ShadowLedger!$C:$C,"&gt;="&amp;DATE(LEFT(SUBSTITUTE(C1342,"'",""),4),MID(SUBSTITUTE(C1342,"'",""),6,2),1),ShadowLedger!$C:$C,"&lt;"&amp;EOMONTH(DATE(LEFT(SUBSTITUTE(C1342,"'",""),4),MID(SUBSTITUTE(C1342,"'",""),6,2),1),0)+1)</f>
        <v>0</v>
      </c>
      <c r="E1342" s="17">
        <f t="shared" si="1"/>
        <v>60</v>
      </c>
      <c r="F1342" s="17">
        <f t="shared" si="2"/>
        <v>0</v>
      </c>
    </row>
    <row r="1343">
      <c r="A1343" s="5" t="s">
        <v>68</v>
      </c>
      <c r="B1343" s="6">
        <v>60.0</v>
      </c>
      <c r="C1343" s="13" t="s">
        <v>290</v>
      </c>
      <c r="D1343" s="17">
        <f>SUMIFS(ShadowLedger!$D:$D,ShadowLedger!$G:$G,A1343,ShadowLedger!$C:$C,"&gt;="&amp;DATE(LEFT(SUBSTITUTE(C1343,"'",""),4),MID(SUBSTITUTE(C1343,"'",""),6,2),1),ShadowLedger!$C:$C,"&lt;"&amp;EOMONTH(DATE(LEFT(SUBSTITUTE(C1343,"'",""),4),MID(SUBSTITUTE(C1343,"'",""),6,2),1),0)+1)</f>
        <v>0</v>
      </c>
      <c r="E1343" s="17">
        <f t="shared" si="1"/>
        <v>60</v>
      </c>
      <c r="F1343" s="17">
        <f t="shared" si="2"/>
        <v>0</v>
      </c>
    </row>
    <row r="1344">
      <c r="A1344" s="5" t="s">
        <v>69</v>
      </c>
      <c r="B1344" s="6">
        <v>0.0</v>
      </c>
      <c r="C1344" s="13" t="s">
        <v>290</v>
      </c>
      <c r="D1344" s="17">
        <f>SUMIFS(ShadowLedger!$D:$D,ShadowLedger!$G:$G,A1344,ShadowLedger!$C:$C,"&gt;="&amp;DATE(LEFT(SUBSTITUTE(C1344,"'",""),4),MID(SUBSTITUTE(C1344,"'",""),6,2),1),ShadowLedger!$C:$C,"&lt;"&amp;EOMONTH(DATE(LEFT(SUBSTITUTE(C1344,"'",""),4),MID(SUBSTITUTE(C1344,"'",""),6,2),1),0)+1)</f>
        <v>0</v>
      </c>
      <c r="E1344" s="17">
        <f t="shared" si="1"/>
        <v>0</v>
      </c>
      <c r="F1344" s="17">
        <f t="shared" si="2"/>
        <v>0</v>
      </c>
    </row>
    <row r="1345">
      <c r="A1345" s="5" t="s">
        <v>54</v>
      </c>
      <c r="B1345" s="6">
        <v>1099.0</v>
      </c>
      <c r="C1345" s="13" t="s">
        <v>291</v>
      </c>
      <c r="D1345" s="17">
        <f>SUMIFS(ShadowLedger!$D:$D,ShadowLedger!$G:$G,A1345,ShadowLedger!$C:$C,"&gt;="&amp;DATE(LEFT(SUBSTITUTE(C1345,"'",""),4),MID(SUBSTITUTE(C1345,"'",""),6,2),1),ShadowLedger!$C:$C,"&lt;"&amp;EOMONTH(DATE(LEFT(SUBSTITUTE(C1345,"'",""),4),MID(SUBSTITUTE(C1345,"'",""),6,2),1),0)+1)</f>
        <v>0</v>
      </c>
      <c r="E1345" s="17">
        <f t="shared" si="1"/>
        <v>1099</v>
      </c>
      <c r="F1345" s="17">
        <f t="shared" si="2"/>
        <v>0</v>
      </c>
    </row>
    <row r="1346">
      <c r="A1346" s="5" t="s">
        <v>55</v>
      </c>
      <c r="B1346" s="6">
        <v>836.0</v>
      </c>
      <c r="C1346" s="13" t="s">
        <v>291</v>
      </c>
      <c r="D1346" s="17">
        <f>SUMIFS(ShadowLedger!$D:$D,ShadowLedger!$G:$G,A1346,ShadowLedger!$C:$C,"&gt;="&amp;DATE(LEFT(SUBSTITUTE(C1346,"'",""),4),MID(SUBSTITUTE(C1346,"'",""),6,2),1),ShadowLedger!$C:$C,"&lt;"&amp;EOMONTH(DATE(LEFT(SUBSTITUTE(C1346,"'",""),4),MID(SUBSTITUTE(C1346,"'",""),6,2),1),0)+1)</f>
        <v>0</v>
      </c>
      <c r="E1346" s="17">
        <f t="shared" si="1"/>
        <v>836</v>
      </c>
      <c r="F1346" s="17">
        <f t="shared" si="2"/>
        <v>0</v>
      </c>
    </row>
    <row r="1347">
      <c r="A1347" s="5" t="s">
        <v>56</v>
      </c>
      <c r="B1347" s="6">
        <v>597.0</v>
      </c>
      <c r="C1347" s="13" t="s">
        <v>291</v>
      </c>
      <c r="D1347" s="17">
        <f>SUMIFS(ShadowLedger!$D:$D,ShadowLedger!$G:$G,A1347,ShadowLedger!$C:$C,"&gt;="&amp;DATE(LEFT(SUBSTITUTE(C1347,"'",""),4),MID(SUBSTITUTE(C1347,"'",""),6,2),1),ShadowLedger!$C:$C,"&lt;"&amp;EOMONTH(DATE(LEFT(SUBSTITUTE(C1347,"'",""),4),MID(SUBSTITUTE(C1347,"'",""),6,2),1),0)+1)</f>
        <v>0</v>
      </c>
      <c r="E1347" s="17">
        <f t="shared" si="1"/>
        <v>597</v>
      </c>
      <c r="F1347" s="17">
        <f t="shared" si="2"/>
        <v>0</v>
      </c>
    </row>
    <row r="1348">
      <c r="A1348" s="5" t="s">
        <v>57</v>
      </c>
      <c r="B1348" s="6">
        <v>597.0</v>
      </c>
      <c r="C1348" s="13" t="s">
        <v>291</v>
      </c>
      <c r="D1348" s="17">
        <f>SUMIFS(ShadowLedger!$D:$D,ShadowLedger!$G:$G,A1348,ShadowLedger!$C:$C,"&gt;="&amp;DATE(LEFT(SUBSTITUTE(C1348,"'",""),4),MID(SUBSTITUTE(C1348,"'",""),6,2),1),ShadowLedger!$C:$C,"&lt;"&amp;EOMONTH(DATE(LEFT(SUBSTITUTE(C1348,"'",""),4),MID(SUBSTITUTE(C1348,"'",""),6,2),1),0)+1)</f>
        <v>0</v>
      </c>
      <c r="E1348" s="17">
        <f t="shared" si="1"/>
        <v>597</v>
      </c>
      <c r="F1348" s="17">
        <f t="shared" si="2"/>
        <v>0</v>
      </c>
    </row>
    <row r="1349">
      <c r="A1349" s="5" t="s">
        <v>58</v>
      </c>
      <c r="B1349" s="6">
        <v>478.0</v>
      </c>
      <c r="C1349" s="13" t="s">
        <v>291</v>
      </c>
      <c r="D1349" s="17">
        <f>SUMIFS(ShadowLedger!$D:$D,ShadowLedger!$G:$G,A1349,ShadowLedger!$C:$C,"&gt;="&amp;DATE(LEFT(SUBSTITUTE(C1349,"'",""),4),MID(SUBSTITUTE(C1349,"'",""),6,2),1),ShadowLedger!$C:$C,"&lt;"&amp;EOMONTH(DATE(LEFT(SUBSTITUTE(C1349,"'",""),4),MID(SUBSTITUTE(C1349,"'",""),6,2),1),0)+1)</f>
        <v>0</v>
      </c>
      <c r="E1349" s="17">
        <f t="shared" si="1"/>
        <v>478</v>
      </c>
      <c r="F1349" s="17">
        <f t="shared" si="2"/>
        <v>0</v>
      </c>
    </row>
    <row r="1350">
      <c r="A1350" s="5" t="s">
        <v>59</v>
      </c>
      <c r="B1350" s="6">
        <v>239.0</v>
      </c>
      <c r="C1350" s="13" t="s">
        <v>291</v>
      </c>
      <c r="D1350" s="17">
        <f>SUMIFS(ShadowLedger!$D:$D,ShadowLedger!$G:$G,A1350,ShadowLedger!$C:$C,"&gt;="&amp;DATE(LEFT(SUBSTITUTE(C1350,"'",""),4),MID(SUBSTITUTE(C1350,"'",""),6,2),1),ShadowLedger!$C:$C,"&lt;"&amp;EOMONTH(DATE(LEFT(SUBSTITUTE(C1350,"'",""),4),MID(SUBSTITUTE(C1350,"'",""),6,2),1),0)+1)</f>
        <v>0</v>
      </c>
      <c r="E1350" s="17">
        <f t="shared" si="1"/>
        <v>239</v>
      </c>
      <c r="F1350" s="17">
        <f t="shared" si="2"/>
        <v>0</v>
      </c>
    </row>
    <row r="1351">
      <c r="A1351" s="5" t="s">
        <v>60</v>
      </c>
      <c r="B1351" s="6">
        <v>179.0</v>
      </c>
      <c r="C1351" s="13" t="s">
        <v>291</v>
      </c>
      <c r="D1351" s="17">
        <f>SUMIFS(ShadowLedger!$D:$D,ShadowLedger!$G:$G,A1351,ShadowLedger!$C:$C,"&gt;="&amp;DATE(LEFT(SUBSTITUTE(C1351,"'",""),4),MID(SUBSTITUTE(C1351,"'",""),6,2),1),ShadowLedger!$C:$C,"&lt;"&amp;EOMONTH(DATE(LEFT(SUBSTITUTE(C1351,"'",""),4),MID(SUBSTITUTE(C1351,"'",""),6,2),1),0)+1)</f>
        <v>0</v>
      </c>
      <c r="E1351" s="17">
        <f t="shared" si="1"/>
        <v>179</v>
      </c>
      <c r="F1351" s="17">
        <f t="shared" si="2"/>
        <v>0</v>
      </c>
    </row>
    <row r="1352">
      <c r="A1352" s="5" t="s">
        <v>61</v>
      </c>
      <c r="B1352" s="6">
        <v>143.0</v>
      </c>
      <c r="C1352" s="13" t="s">
        <v>291</v>
      </c>
      <c r="D1352" s="17">
        <f>SUMIFS(ShadowLedger!$D:$D,ShadowLedger!$G:$G,A1352,ShadowLedger!$C:$C,"&gt;="&amp;DATE(LEFT(SUBSTITUTE(C1352,"'",""),4),MID(SUBSTITUTE(C1352,"'",""),6,2),1),ShadowLedger!$C:$C,"&lt;"&amp;EOMONTH(DATE(LEFT(SUBSTITUTE(C1352,"'",""),4),MID(SUBSTITUTE(C1352,"'",""),6,2),1),0)+1)</f>
        <v>0</v>
      </c>
      <c r="E1352" s="17">
        <f t="shared" si="1"/>
        <v>143</v>
      </c>
      <c r="F1352" s="17">
        <f t="shared" si="2"/>
        <v>0</v>
      </c>
    </row>
    <row r="1353">
      <c r="A1353" s="5" t="s">
        <v>62</v>
      </c>
      <c r="B1353" s="6">
        <v>143.0</v>
      </c>
      <c r="C1353" s="13" t="s">
        <v>291</v>
      </c>
      <c r="D1353" s="17">
        <f>SUMIFS(ShadowLedger!$D:$D,ShadowLedger!$G:$G,A1353,ShadowLedger!$C:$C,"&gt;="&amp;DATE(LEFT(SUBSTITUTE(C1353,"'",""),4),MID(SUBSTITUTE(C1353,"'",""),6,2),1),ShadowLedger!$C:$C,"&lt;"&amp;EOMONTH(DATE(LEFT(SUBSTITUTE(C1353,"'",""),4),MID(SUBSTITUTE(C1353,"'",""),6,2),1),0)+1)</f>
        <v>0</v>
      </c>
      <c r="E1353" s="17">
        <f t="shared" si="1"/>
        <v>143</v>
      </c>
      <c r="F1353" s="17">
        <f t="shared" si="2"/>
        <v>0</v>
      </c>
    </row>
    <row r="1354">
      <c r="A1354" s="5" t="s">
        <v>63</v>
      </c>
      <c r="B1354" s="6">
        <v>119.0</v>
      </c>
      <c r="C1354" s="13" t="s">
        <v>291</v>
      </c>
      <c r="D1354" s="17">
        <f>SUMIFS(ShadowLedger!$D:$D,ShadowLedger!$G:$G,A1354,ShadowLedger!$C:$C,"&gt;="&amp;DATE(LEFT(SUBSTITUTE(C1354,"'",""),4),MID(SUBSTITUTE(C1354,"'",""),6,2),1),ShadowLedger!$C:$C,"&lt;"&amp;EOMONTH(DATE(LEFT(SUBSTITUTE(C1354,"'",""),4),MID(SUBSTITUTE(C1354,"'",""),6,2),1),0)+1)</f>
        <v>0</v>
      </c>
      <c r="E1354" s="17">
        <f t="shared" si="1"/>
        <v>119</v>
      </c>
      <c r="F1354" s="17">
        <f t="shared" si="2"/>
        <v>0</v>
      </c>
    </row>
    <row r="1355">
      <c r="A1355" s="5" t="s">
        <v>64</v>
      </c>
      <c r="B1355" s="6">
        <v>119.0</v>
      </c>
      <c r="C1355" s="13" t="s">
        <v>291</v>
      </c>
      <c r="D1355" s="17">
        <f>SUMIFS(ShadowLedger!$D:$D,ShadowLedger!$G:$G,A1355,ShadowLedger!$C:$C,"&gt;="&amp;DATE(LEFT(SUBSTITUTE(C1355,"'",""),4),MID(SUBSTITUTE(C1355,"'",""),6,2),1),ShadowLedger!$C:$C,"&lt;"&amp;EOMONTH(DATE(LEFT(SUBSTITUTE(C1355,"'",""),4),MID(SUBSTITUTE(C1355,"'",""),6,2),1),0)+1)</f>
        <v>0</v>
      </c>
      <c r="E1355" s="17">
        <f t="shared" si="1"/>
        <v>119</v>
      </c>
      <c r="F1355" s="17">
        <f t="shared" si="2"/>
        <v>0</v>
      </c>
    </row>
    <row r="1356">
      <c r="A1356" s="5" t="s">
        <v>70</v>
      </c>
      <c r="B1356" s="6">
        <v>119.0</v>
      </c>
      <c r="C1356" s="13" t="s">
        <v>291</v>
      </c>
      <c r="D1356" s="17">
        <f>SUMIFS(ShadowLedger!$D:$D,ShadowLedger!$G:$G,A1356,ShadowLedger!$C:$C,"&gt;="&amp;DATE(LEFT(SUBSTITUTE(C1356,"'",""),4),MID(SUBSTITUTE(C1356,"'",""),6,2),1),ShadowLedger!$C:$C,"&lt;"&amp;EOMONTH(DATE(LEFT(SUBSTITUTE(C1356,"'",""),4),MID(SUBSTITUTE(C1356,"'",""),6,2),1),0)+1)</f>
        <v>0</v>
      </c>
      <c r="E1356" s="17">
        <f t="shared" si="1"/>
        <v>119</v>
      </c>
      <c r="F1356" s="17">
        <f t="shared" si="2"/>
        <v>0</v>
      </c>
    </row>
    <row r="1357">
      <c r="A1357" s="5" t="s">
        <v>65</v>
      </c>
      <c r="B1357" s="6">
        <v>60.0</v>
      </c>
      <c r="C1357" s="13" t="s">
        <v>291</v>
      </c>
      <c r="D1357" s="17">
        <f>SUMIFS(ShadowLedger!$D:$D,ShadowLedger!$G:$G,A1357,ShadowLedger!$C:$C,"&gt;="&amp;DATE(LEFT(SUBSTITUTE(C1357,"'",""),4),MID(SUBSTITUTE(C1357,"'",""),6,2),1),ShadowLedger!$C:$C,"&lt;"&amp;EOMONTH(DATE(LEFT(SUBSTITUTE(C1357,"'",""),4),MID(SUBSTITUTE(C1357,"'",""),6,2),1),0)+1)</f>
        <v>0</v>
      </c>
      <c r="E1357" s="17">
        <f t="shared" si="1"/>
        <v>60</v>
      </c>
      <c r="F1357" s="17">
        <f t="shared" si="2"/>
        <v>0</v>
      </c>
    </row>
    <row r="1358">
      <c r="A1358" s="5" t="s">
        <v>66</v>
      </c>
      <c r="B1358" s="6">
        <v>60.0</v>
      </c>
      <c r="C1358" s="13" t="s">
        <v>291</v>
      </c>
      <c r="D1358" s="17">
        <f>SUMIFS(ShadowLedger!$D:$D,ShadowLedger!$G:$G,A1358,ShadowLedger!$C:$C,"&gt;="&amp;DATE(LEFT(SUBSTITUTE(C1358,"'",""),4),MID(SUBSTITUTE(C1358,"'",""),6,2),1),ShadowLedger!$C:$C,"&lt;"&amp;EOMONTH(DATE(LEFT(SUBSTITUTE(C1358,"'",""),4),MID(SUBSTITUTE(C1358,"'",""),6,2),1),0)+1)</f>
        <v>0</v>
      </c>
      <c r="E1358" s="17">
        <f t="shared" si="1"/>
        <v>60</v>
      </c>
      <c r="F1358" s="17">
        <f t="shared" si="2"/>
        <v>0</v>
      </c>
    </row>
    <row r="1359">
      <c r="A1359" s="5" t="s">
        <v>67</v>
      </c>
      <c r="B1359" s="6">
        <v>60.0</v>
      </c>
      <c r="C1359" s="13" t="s">
        <v>291</v>
      </c>
      <c r="D1359" s="17">
        <f>SUMIFS(ShadowLedger!$D:$D,ShadowLedger!$G:$G,A1359,ShadowLedger!$C:$C,"&gt;="&amp;DATE(LEFT(SUBSTITUTE(C1359,"'",""),4),MID(SUBSTITUTE(C1359,"'",""),6,2),1),ShadowLedger!$C:$C,"&lt;"&amp;EOMONTH(DATE(LEFT(SUBSTITUTE(C1359,"'",""),4),MID(SUBSTITUTE(C1359,"'",""),6,2),1),0)+1)</f>
        <v>0</v>
      </c>
      <c r="E1359" s="17">
        <f t="shared" si="1"/>
        <v>60</v>
      </c>
      <c r="F1359" s="17">
        <f t="shared" si="2"/>
        <v>0</v>
      </c>
    </row>
    <row r="1360">
      <c r="A1360" s="5" t="s">
        <v>68</v>
      </c>
      <c r="B1360" s="6">
        <v>60.0</v>
      </c>
      <c r="C1360" s="13" t="s">
        <v>291</v>
      </c>
      <c r="D1360" s="17">
        <f>SUMIFS(ShadowLedger!$D:$D,ShadowLedger!$G:$G,A1360,ShadowLedger!$C:$C,"&gt;="&amp;DATE(LEFT(SUBSTITUTE(C1360,"'",""),4),MID(SUBSTITUTE(C1360,"'",""),6,2),1),ShadowLedger!$C:$C,"&lt;"&amp;EOMONTH(DATE(LEFT(SUBSTITUTE(C1360,"'",""),4),MID(SUBSTITUTE(C1360,"'",""),6,2),1),0)+1)</f>
        <v>0</v>
      </c>
      <c r="E1360" s="17">
        <f t="shared" si="1"/>
        <v>60</v>
      </c>
      <c r="F1360" s="17">
        <f t="shared" si="2"/>
        <v>0</v>
      </c>
    </row>
    <row r="1361">
      <c r="A1361" s="5" t="s">
        <v>69</v>
      </c>
      <c r="B1361" s="6">
        <v>0.0</v>
      </c>
      <c r="C1361" s="13" t="s">
        <v>291</v>
      </c>
      <c r="D1361" s="17">
        <f>SUMIFS(ShadowLedger!$D:$D,ShadowLedger!$G:$G,A1361,ShadowLedger!$C:$C,"&gt;="&amp;DATE(LEFT(SUBSTITUTE(C1361,"'",""),4),MID(SUBSTITUTE(C1361,"'",""),6,2),1),ShadowLedger!$C:$C,"&lt;"&amp;EOMONTH(DATE(LEFT(SUBSTITUTE(C1361,"'",""),4),MID(SUBSTITUTE(C1361,"'",""),6,2),1),0)+1)</f>
        <v>0</v>
      </c>
      <c r="E1361" s="17">
        <f t="shared" si="1"/>
        <v>0</v>
      </c>
      <c r="F1361" s="17">
        <f t="shared" si="2"/>
        <v>0</v>
      </c>
    </row>
    <row r="1362">
      <c r="A1362" s="5" t="s">
        <v>54</v>
      </c>
      <c r="B1362" s="6">
        <v>1099.0</v>
      </c>
      <c r="C1362" s="13" t="s">
        <v>292</v>
      </c>
      <c r="D1362" s="17">
        <f>SUMIFS(ShadowLedger!$D:$D,ShadowLedger!$G:$G,A1362,ShadowLedger!$C:$C,"&gt;="&amp;DATE(LEFT(SUBSTITUTE(C1362,"'",""),4),MID(SUBSTITUTE(C1362,"'",""),6,2),1),ShadowLedger!$C:$C,"&lt;"&amp;EOMONTH(DATE(LEFT(SUBSTITUTE(C1362,"'",""),4),MID(SUBSTITUTE(C1362,"'",""),6,2),1),0)+1)</f>
        <v>0</v>
      </c>
      <c r="E1362" s="17">
        <f t="shared" si="1"/>
        <v>1099</v>
      </c>
      <c r="F1362" s="17">
        <f t="shared" si="2"/>
        <v>0</v>
      </c>
    </row>
    <row r="1363">
      <c r="A1363" s="5" t="s">
        <v>55</v>
      </c>
      <c r="B1363" s="6">
        <v>836.0</v>
      </c>
      <c r="C1363" s="13" t="s">
        <v>292</v>
      </c>
      <c r="D1363" s="17">
        <f>SUMIFS(ShadowLedger!$D:$D,ShadowLedger!$G:$G,A1363,ShadowLedger!$C:$C,"&gt;="&amp;DATE(LEFT(SUBSTITUTE(C1363,"'",""),4),MID(SUBSTITUTE(C1363,"'",""),6,2),1),ShadowLedger!$C:$C,"&lt;"&amp;EOMONTH(DATE(LEFT(SUBSTITUTE(C1363,"'",""),4),MID(SUBSTITUTE(C1363,"'",""),6,2),1),0)+1)</f>
        <v>0</v>
      </c>
      <c r="E1363" s="17">
        <f t="shared" si="1"/>
        <v>836</v>
      </c>
      <c r="F1363" s="17">
        <f t="shared" si="2"/>
        <v>0</v>
      </c>
    </row>
    <row r="1364">
      <c r="A1364" s="5" t="s">
        <v>56</v>
      </c>
      <c r="B1364" s="6">
        <v>597.0</v>
      </c>
      <c r="C1364" s="13" t="s">
        <v>292</v>
      </c>
      <c r="D1364" s="17">
        <f>SUMIFS(ShadowLedger!$D:$D,ShadowLedger!$G:$G,A1364,ShadowLedger!$C:$C,"&gt;="&amp;DATE(LEFT(SUBSTITUTE(C1364,"'",""),4),MID(SUBSTITUTE(C1364,"'",""),6,2),1),ShadowLedger!$C:$C,"&lt;"&amp;EOMONTH(DATE(LEFT(SUBSTITUTE(C1364,"'",""),4),MID(SUBSTITUTE(C1364,"'",""),6,2),1),0)+1)</f>
        <v>0</v>
      </c>
      <c r="E1364" s="17">
        <f t="shared" si="1"/>
        <v>597</v>
      </c>
      <c r="F1364" s="17">
        <f t="shared" si="2"/>
        <v>0</v>
      </c>
    </row>
    <row r="1365">
      <c r="A1365" s="5" t="s">
        <v>57</v>
      </c>
      <c r="B1365" s="6">
        <v>597.0</v>
      </c>
      <c r="C1365" s="13" t="s">
        <v>292</v>
      </c>
      <c r="D1365" s="17">
        <f>SUMIFS(ShadowLedger!$D:$D,ShadowLedger!$G:$G,A1365,ShadowLedger!$C:$C,"&gt;="&amp;DATE(LEFT(SUBSTITUTE(C1365,"'",""),4),MID(SUBSTITUTE(C1365,"'",""),6,2),1),ShadowLedger!$C:$C,"&lt;"&amp;EOMONTH(DATE(LEFT(SUBSTITUTE(C1365,"'",""),4),MID(SUBSTITUTE(C1365,"'",""),6,2),1),0)+1)</f>
        <v>0</v>
      </c>
      <c r="E1365" s="17">
        <f t="shared" si="1"/>
        <v>597</v>
      </c>
      <c r="F1365" s="17">
        <f t="shared" si="2"/>
        <v>0</v>
      </c>
    </row>
    <row r="1366">
      <c r="A1366" s="5" t="s">
        <v>58</v>
      </c>
      <c r="B1366" s="6">
        <v>478.0</v>
      </c>
      <c r="C1366" s="13" t="s">
        <v>292</v>
      </c>
      <c r="D1366" s="17">
        <f>SUMIFS(ShadowLedger!$D:$D,ShadowLedger!$G:$G,A1366,ShadowLedger!$C:$C,"&gt;="&amp;DATE(LEFT(SUBSTITUTE(C1366,"'",""),4),MID(SUBSTITUTE(C1366,"'",""),6,2),1),ShadowLedger!$C:$C,"&lt;"&amp;EOMONTH(DATE(LEFT(SUBSTITUTE(C1366,"'",""),4),MID(SUBSTITUTE(C1366,"'",""),6,2),1),0)+1)</f>
        <v>0</v>
      </c>
      <c r="E1366" s="17">
        <f t="shared" si="1"/>
        <v>478</v>
      </c>
      <c r="F1366" s="17">
        <f t="shared" si="2"/>
        <v>0</v>
      </c>
    </row>
    <row r="1367">
      <c r="A1367" s="5" t="s">
        <v>59</v>
      </c>
      <c r="B1367" s="6">
        <v>239.0</v>
      </c>
      <c r="C1367" s="13" t="s">
        <v>292</v>
      </c>
      <c r="D1367" s="17">
        <f>SUMIFS(ShadowLedger!$D:$D,ShadowLedger!$G:$G,A1367,ShadowLedger!$C:$C,"&gt;="&amp;DATE(LEFT(SUBSTITUTE(C1367,"'",""),4),MID(SUBSTITUTE(C1367,"'",""),6,2),1),ShadowLedger!$C:$C,"&lt;"&amp;EOMONTH(DATE(LEFT(SUBSTITUTE(C1367,"'",""),4),MID(SUBSTITUTE(C1367,"'",""),6,2),1),0)+1)</f>
        <v>0</v>
      </c>
      <c r="E1367" s="17">
        <f t="shared" si="1"/>
        <v>239</v>
      </c>
      <c r="F1367" s="17">
        <f t="shared" si="2"/>
        <v>0</v>
      </c>
    </row>
    <row r="1368">
      <c r="A1368" s="5" t="s">
        <v>60</v>
      </c>
      <c r="B1368" s="6">
        <v>179.0</v>
      </c>
      <c r="C1368" s="13" t="s">
        <v>292</v>
      </c>
      <c r="D1368" s="17">
        <f>SUMIFS(ShadowLedger!$D:$D,ShadowLedger!$G:$G,A1368,ShadowLedger!$C:$C,"&gt;="&amp;DATE(LEFT(SUBSTITUTE(C1368,"'",""),4),MID(SUBSTITUTE(C1368,"'",""),6,2),1),ShadowLedger!$C:$C,"&lt;"&amp;EOMONTH(DATE(LEFT(SUBSTITUTE(C1368,"'",""),4),MID(SUBSTITUTE(C1368,"'",""),6,2),1),0)+1)</f>
        <v>0</v>
      </c>
      <c r="E1368" s="17">
        <f t="shared" si="1"/>
        <v>179</v>
      </c>
      <c r="F1368" s="17">
        <f t="shared" si="2"/>
        <v>0</v>
      </c>
    </row>
    <row r="1369">
      <c r="A1369" s="5" t="s">
        <v>61</v>
      </c>
      <c r="B1369" s="6">
        <v>143.0</v>
      </c>
      <c r="C1369" s="13" t="s">
        <v>292</v>
      </c>
      <c r="D1369" s="17">
        <f>SUMIFS(ShadowLedger!$D:$D,ShadowLedger!$G:$G,A1369,ShadowLedger!$C:$C,"&gt;="&amp;DATE(LEFT(SUBSTITUTE(C1369,"'",""),4),MID(SUBSTITUTE(C1369,"'",""),6,2),1),ShadowLedger!$C:$C,"&lt;"&amp;EOMONTH(DATE(LEFT(SUBSTITUTE(C1369,"'",""),4),MID(SUBSTITUTE(C1369,"'",""),6,2),1),0)+1)</f>
        <v>0</v>
      </c>
      <c r="E1369" s="17">
        <f t="shared" si="1"/>
        <v>143</v>
      </c>
      <c r="F1369" s="17">
        <f t="shared" si="2"/>
        <v>0</v>
      </c>
    </row>
    <row r="1370">
      <c r="A1370" s="5" t="s">
        <v>62</v>
      </c>
      <c r="B1370" s="6">
        <v>143.0</v>
      </c>
      <c r="C1370" s="13" t="s">
        <v>292</v>
      </c>
      <c r="D1370" s="17">
        <f>SUMIFS(ShadowLedger!$D:$D,ShadowLedger!$G:$G,A1370,ShadowLedger!$C:$C,"&gt;="&amp;DATE(LEFT(SUBSTITUTE(C1370,"'",""),4),MID(SUBSTITUTE(C1370,"'",""),6,2),1),ShadowLedger!$C:$C,"&lt;"&amp;EOMONTH(DATE(LEFT(SUBSTITUTE(C1370,"'",""),4),MID(SUBSTITUTE(C1370,"'",""),6,2),1),0)+1)</f>
        <v>0</v>
      </c>
      <c r="E1370" s="17">
        <f t="shared" si="1"/>
        <v>143</v>
      </c>
      <c r="F1370" s="17">
        <f t="shared" si="2"/>
        <v>0</v>
      </c>
    </row>
    <row r="1371">
      <c r="A1371" s="5" t="s">
        <v>63</v>
      </c>
      <c r="B1371" s="6">
        <v>119.0</v>
      </c>
      <c r="C1371" s="13" t="s">
        <v>292</v>
      </c>
      <c r="D1371" s="17">
        <f>SUMIFS(ShadowLedger!$D:$D,ShadowLedger!$G:$G,A1371,ShadowLedger!$C:$C,"&gt;="&amp;DATE(LEFT(SUBSTITUTE(C1371,"'",""),4),MID(SUBSTITUTE(C1371,"'",""),6,2),1),ShadowLedger!$C:$C,"&lt;"&amp;EOMONTH(DATE(LEFT(SUBSTITUTE(C1371,"'",""),4),MID(SUBSTITUTE(C1371,"'",""),6,2),1),0)+1)</f>
        <v>0</v>
      </c>
      <c r="E1371" s="17">
        <f t="shared" si="1"/>
        <v>119</v>
      </c>
      <c r="F1371" s="17">
        <f t="shared" si="2"/>
        <v>0</v>
      </c>
    </row>
    <row r="1372">
      <c r="A1372" s="5" t="s">
        <v>64</v>
      </c>
      <c r="B1372" s="6">
        <v>119.0</v>
      </c>
      <c r="C1372" s="13" t="s">
        <v>292</v>
      </c>
      <c r="D1372" s="17">
        <f>SUMIFS(ShadowLedger!$D:$D,ShadowLedger!$G:$G,A1372,ShadowLedger!$C:$C,"&gt;="&amp;DATE(LEFT(SUBSTITUTE(C1372,"'",""),4),MID(SUBSTITUTE(C1372,"'",""),6,2),1),ShadowLedger!$C:$C,"&lt;"&amp;EOMONTH(DATE(LEFT(SUBSTITUTE(C1372,"'",""),4),MID(SUBSTITUTE(C1372,"'",""),6,2),1),0)+1)</f>
        <v>0</v>
      </c>
      <c r="E1372" s="17">
        <f t="shared" si="1"/>
        <v>119</v>
      </c>
      <c r="F1372" s="17">
        <f t="shared" si="2"/>
        <v>0</v>
      </c>
    </row>
    <row r="1373">
      <c r="A1373" s="5" t="s">
        <v>70</v>
      </c>
      <c r="B1373" s="6">
        <v>119.0</v>
      </c>
      <c r="C1373" s="13" t="s">
        <v>292</v>
      </c>
      <c r="D1373" s="17">
        <f>SUMIFS(ShadowLedger!$D:$D,ShadowLedger!$G:$G,A1373,ShadowLedger!$C:$C,"&gt;="&amp;DATE(LEFT(SUBSTITUTE(C1373,"'",""),4),MID(SUBSTITUTE(C1373,"'",""),6,2),1),ShadowLedger!$C:$C,"&lt;"&amp;EOMONTH(DATE(LEFT(SUBSTITUTE(C1373,"'",""),4),MID(SUBSTITUTE(C1373,"'",""),6,2),1),0)+1)</f>
        <v>0</v>
      </c>
      <c r="E1373" s="17">
        <f t="shared" si="1"/>
        <v>119</v>
      </c>
      <c r="F1373" s="17">
        <f t="shared" si="2"/>
        <v>0</v>
      </c>
    </row>
    <row r="1374">
      <c r="A1374" s="5" t="s">
        <v>65</v>
      </c>
      <c r="B1374" s="6">
        <v>60.0</v>
      </c>
      <c r="C1374" s="13" t="s">
        <v>292</v>
      </c>
      <c r="D1374" s="17">
        <f>SUMIFS(ShadowLedger!$D:$D,ShadowLedger!$G:$G,A1374,ShadowLedger!$C:$C,"&gt;="&amp;DATE(LEFT(SUBSTITUTE(C1374,"'",""),4),MID(SUBSTITUTE(C1374,"'",""),6,2),1),ShadowLedger!$C:$C,"&lt;"&amp;EOMONTH(DATE(LEFT(SUBSTITUTE(C1374,"'",""),4),MID(SUBSTITUTE(C1374,"'",""),6,2),1),0)+1)</f>
        <v>0</v>
      </c>
      <c r="E1374" s="17">
        <f t="shared" si="1"/>
        <v>60</v>
      </c>
      <c r="F1374" s="17">
        <f t="shared" si="2"/>
        <v>0</v>
      </c>
    </row>
    <row r="1375">
      <c r="A1375" s="5" t="s">
        <v>66</v>
      </c>
      <c r="B1375" s="6">
        <v>60.0</v>
      </c>
      <c r="C1375" s="13" t="s">
        <v>292</v>
      </c>
      <c r="D1375" s="17">
        <f>SUMIFS(ShadowLedger!$D:$D,ShadowLedger!$G:$G,A1375,ShadowLedger!$C:$C,"&gt;="&amp;DATE(LEFT(SUBSTITUTE(C1375,"'",""),4),MID(SUBSTITUTE(C1375,"'",""),6,2),1),ShadowLedger!$C:$C,"&lt;"&amp;EOMONTH(DATE(LEFT(SUBSTITUTE(C1375,"'",""),4),MID(SUBSTITUTE(C1375,"'",""),6,2),1),0)+1)</f>
        <v>0</v>
      </c>
      <c r="E1375" s="17">
        <f t="shared" si="1"/>
        <v>60</v>
      </c>
      <c r="F1375" s="17">
        <f t="shared" si="2"/>
        <v>0</v>
      </c>
    </row>
    <row r="1376">
      <c r="A1376" s="5" t="s">
        <v>67</v>
      </c>
      <c r="B1376" s="6">
        <v>60.0</v>
      </c>
      <c r="C1376" s="13" t="s">
        <v>292</v>
      </c>
      <c r="D1376" s="17">
        <f>SUMIFS(ShadowLedger!$D:$D,ShadowLedger!$G:$G,A1376,ShadowLedger!$C:$C,"&gt;="&amp;DATE(LEFT(SUBSTITUTE(C1376,"'",""),4),MID(SUBSTITUTE(C1376,"'",""),6,2),1),ShadowLedger!$C:$C,"&lt;"&amp;EOMONTH(DATE(LEFT(SUBSTITUTE(C1376,"'",""),4),MID(SUBSTITUTE(C1376,"'",""),6,2),1),0)+1)</f>
        <v>0</v>
      </c>
      <c r="E1376" s="17">
        <f t="shared" si="1"/>
        <v>60</v>
      </c>
      <c r="F1376" s="17">
        <f t="shared" si="2"/>
        <v>0</v>
      </c>
    </row>
    <row r="1377">
      <c r="A1377" s="5" t="s">
        <v>68</v>
      </c>
      <c r="B1377" s="6">
        <v>60.0</v>
      </c>
      <c r="C1377" s="13" t="s">
        <v>292</v>
      </c>
      <c r="D1377" s="17">
        <f>SUMIFS(ShadowLedger!$D:$D,ShadowLedger!$G:$G,A1377,ShadowLedger!$C:$C,"&gt;="&amp;DATE(LEFT(SUBSTITUTE(C1377,"'",""),4),MID(SUBSTITUTE(C1377,"'",""),6,2),1),ShadowLedger!$C:$C,"&lt;"&amp;EOMONTH(DATE(LEFT(SUBSTITUTE(C1377,"'",""),4),MID(SUBSTITUTE(C1377,"'",""),6,2),1),0)+1)</f>
        <v>0</v>
      </c>
      <c r="E1377" s="17">
        <f t="shared" si="1"/>
        <v>60</v>
      </c>
      <c r="F1377" s="17">
        <f t="shared" si="2"/>
        <v>0</v>
      </c>
    </row>
    <row r="1378">
      <c r="A1378" s="5" t="s">
        <v>69</v>
      </c>
      <c r="B1378" s="6">
        <v>0.0</v>
      </c>
      <c r="C1378" s="13" t="s">
        <v>292</v>
      </c>
      <c r="D1378" s="17">
        <f>SUMIFS(ShadowLedger!$D:$D,ShadowLedger!$G:$G,A1378,ShadowLedger!$C:$C,"&gt;="&amp;DATE(LEFT(SUBSTITUTE(C1378,"'",""),4),MID(SUBSTITUTE(C1378,"'",""),6,2),1),ShadowLedger!$C:$C,"&lt;"&amp;EOMONTH(DATE(LEFT(SUBSTITUTE(C1378,"'",""),4),MID(SUBSTITUTE(C1378,"'",""),6,2),1),0)+1)</f>
        <v>0</v>
      </c>
      <c r="E1378" s="17">
        <f t="shared" si="1"/>
        <v>0</v>
      </c>
      <c r="F1378" s="17">
        <f t="shared" si="2"/>
        <v>0</v>
      </c>
    </row>
    <row r="1379">
      <c r="A1379" s="5" t="s">
        <v>54</v>
      </c>
      <c r="B1379" s="6">
        <v>1099.0</v>
      </c>
      <c r="C1379" s="13" t="s">
        <v>293</v>
      </c>
      <c r="D1379" s="17">
        <f>SUMIFS(ShadowLedger!$D:$D,ShadowLedger!$G:$G,A1379,ShadowLedger!$C:$C,"&gt;="&amp;DATE(LEFT(SUBSTITUTE(C1379,"'",""),4),MID(SUBSTITUTE(C1379,"'",""),6,2),1),ShadowLedger!$C:$C,"&lt;"&amp;EOMONTH(DATE(LEFT(SUBSTITUTE(C1379,"'",""),4),MID(SUBSTITUTE(C1379,"'",""),6,2),1),0)+1)</f>
        <v>0</v>
      </c>
      <c r="E1379" s="17">
        <f t="shared" si="1"/>
        <v>1099</v>
      </c>
      <c r="F1379" s="17">
        <f t="shared" si="2"/>
        <v>0</v>
      </c>
    </row>
    <row r="1380">
      <c r="A1380" s="5" t="s">
        <v>55</v>
      </c>
      <c r="B1380" s="6">
        <v>836.0</v>
      </c>
      <c r="C1380" s="13" t="s">
        <v>293</v>
      </c>
      <c r="D1380" s="17">
        <f>SUMIFS(ShadowLedger!$D:$D,ShadowLedger!$G:$G,A1380,ShadowLedger!$C:$C,"&gt;="&amp;DATE(LEFT(SUBSTITUTE(C1380,"'",""),4),MID(SUBSTITUTE(C1380,"'",""),6,2),1),ShadowLedger!$C:$C,"&lt;"&amp;EOMONTH(DATE(LEFT(SUBSTITUTE(C1380,"'",""),4),MID(SUBSTITUTE(C1380,"'",""),6,2),1),0)+1)</f>
        <v>0</v>
      </c>
      <c r="E1380" s="17">
        <f t="shared" si="1"/>
        <v>836</v>
      </c>
      <c r="F1380" s="17">
        <f t="shared" si="2"/>
        <v>0</v>
      </c>
    </row>
    <row r="1381">
      <c r="A1381" s="5" t="s">
        <v>56</v>
      </c>
      <c r="B1381" s="6">
        <v>597.0</v>
      </c>
      <c r="C1381" s="13" t="s">
        <v>293</v>
      </c>
      <c r="D1381" s="17">
        <f>SUMIFS(ShadowLedger!$D:$D,ShadowLedger!$G:$G,A1381,ShadowLedger!$C:$C,"&gt;="&amp;DATE(LEFT(SUBSTITUTE(C1381,"'",""),4),MID(SUBSTITUTE(C1381,"'",""),6,2),1),ShadowLedger!$C:$C,"&lt;"&amp;EOMONTH(DATE(LEFT(SUBSTITUTE(C1381,"'",""),4),MID(SUBSTITUTE(C1381,"'",""),6,2),1),0)+1)</f>
        <v>0</v>
      </c>
      <c r="E1381" s="17">
        <f t="shared" si="1"/>
        <v>597</v>
      </c>
      <c r="F1381" s="17">
        <f t="shared" si="2"/>
        <v>0</v>
      </c>
    </row>
    <row r="1382">
      <c r="A1382" s="5" t="s">
        <v>57</v>
      </c>
      <c r="B1382" s="6">
        <v>597.0</v>
      </c>
      <c r="C1382" s="13" t="s">
        <v>293</v>
      </c>
      <c r="D1382" s="17">
        <f>SUMIFS(ShadowLedger!$D:$D,ShadowLedger!$G:$G,A1382,ShadowLedger!$C:$C,"&gt;="&amp;DATE(LEFT(SUBSTITUTE(C1382,"'",""),4),MID(SUBSTITUTE(C1382,"'",""),6,2),1),ShadowLedger!$C:$C,"&lt;"&amp;EOMONTH(DATE(LEFT(SUBSTITUTE(C1382,"'",""),4),MID(SUBSTITUTE(C1382,"'",""),6,2),1),0)+1)</f>
        <v>0</v>
      </c>
      <c r="E1382" s="17">
        <f t="shared" si="1"/>
        <v>597</v>
      </c>
      <c r="F1382" s="17">
        <f t="shared" si="2"/>
        <v>0</v>
      </c>
    </row>
    <row r="1383">
      <c r="A1383" s="5" t="s">
        <v>58</v>
      </c>
      <c r="B1383" s="6">
        <v>478.0</v>
      </c>
      <c r="C1383" s="13" t="s">
        <v>293</v>
      </c>
      <c r="D1383" s="17">
        <f>SUMIFS(ShadowLedger!$D:$D,ShadowLedger!$G:$G,A1383,ShadowLedger!$C:$C,"&gt;="&amp;DATE(LEFT(SUBSTITUTE(C1383,"'",""),4),MID(SUBSTITUTE(C1383,"'",""),6,2),1),ShadowLedger!$C:$C,"&lt;"&amp;EOMONTH(DATE(LEFT(SUBSTITUTE(C1383,"'",""),4),MID(SUBSTITUTE(C1383,"'",""),6,2),1),0)+1)</f>
        <v>0</v>
      </c>
      <c r="E1383" s="17">
        <f t="shared" si="1"/>
        <v>478</v>
      </c>
      <c r="F1383" s="17">
        <f t="shared" si="2"/>
        <v>0</v>
      </c>
    </row>
    <row r="1384">
      <c r="A1384" s="5" t="s">
        <v>59</v>
      </c>
      <c r="B1384" s="6">
        <v>239.0</v>
      </c>
      <c r="C1384" s="13" t="s">
        <v>293</v>
      </c>
      <c r="D1384" s="17">
        <f>SUMIFS(ShadowLedger!$D:$D,ShadowLedger!$G:$G,A1384,ShadowLedger!$C:$C,"&gt;="&amp;DATE(LEFT(SUBSTITUTE(C1384,"'",""),4),MID(SUBSTITUTE(C1384,"'",""),6,2),1),ShadowLedger!$C:$C,"&lt;"&amp;EOMONTH(DATE(LEFT(SUBSTITUTE(C1384,"'",""),4),MID(SUBSTITUTE(C1384,"'",""),6,2),1),0)+1)</f>
        <v>0</v>
      </c>
      <c r="E1384" s="17">
        <f t="shared" si="1"/>
        <v>239</v>
      </c>
      <c r="F1384" s="17">
        <f t="shared" si="2"/>
        <v>0</v>
      </c>
    </row>
    <row r="1385">
      <c r="A1385" s="5" t="s">
        <v>60</v>
      </c>
      <c r="B1385" s="6">
        <v>179.0</v>
      </c>
      <c r="C1385" s="13" t="s">
        <v>293</v>
      </c>
      <c r="D1385" s="17">
        <f>SUMIFS(ShadowLedger!$D:$D,ShadowLedger!$G:$G,A1385,ShadowLedger!$C:$C,"&gt;="&amp;DATE(LEFT(SUBSTITUTE(C1385,"'",""),4),MID(SUBSTITUTE(C1385,"'",""),6,2),1),ShadowLedger!$C:$C,"&lt;"&amp;EOMONTH(DATE(LEFT(SUBSTITUTE(C1385,"'",""),4),MID(SUBSTITUTE(C1385,"'",""),6,2),1),0)+1)</f>
        <v>0</v>
      </c>
      <c r="E1385" s="17">
        <f t="shared" si="1"/>
        <v>179</v>
      </c>
      <c r="F1385" s="17">
        <f t="shared" si="2"/>
        <v>0</v>
      </c>
    </row>
    <row r="1386">
      <c r="A1386" s="5" t="s">
        <v>61</v>
      </c>
      <c r="B1386" s="6">
        <v>143.0</v>
      </c>
      <c r="C1386" s="13" t="s">
        <v>293</v>
      </c>
      <c r="D1386" s="17">
        <f>SUMIFS(ShadowLedger!$D:$D,ShadowLedger!$G:$G,A1386,ShadowLedger!$C:$C,"&gt;="&amp;DATE(LEFT(SUBSTITUTE(C1386,"'",""),4),MID(SUBSTITUTE(C1386,"'",""),6,2),1),ShadowLedger!$C:$C,"&lt;"&amp;EOMONTH(DATE(LEFT(SUBSTITUTE(C1386,"'",""),4),MID(SUBSTITUTE(C1386,"'",""),6,2),1),0)+1)</f>
        <v>0</v>
      </c>
      <c r="E1386" s="17">
        <f t="shared" si="1"/>
        <v>143</v>
      </c>
      <c r="F1386" s="17">
        <f t="shared" si="2"/>
        <v>0</v>
      </c>
    </row>
    <row r="1387">
      <c r="A1387" s="5" t="s">
        <v>62</v>
      </c>
      <c r="B1387" s="6">
        <v>143.0</v>
      </c>
      <c r="C1387" s="13" t="s">
        <v>293</v>
      </c>
      <c r="D1387" s="17">
        <f>SUMIFS(ShadowLedger!$D:$D,ShadowLedger!$G:$G,A1387,ShadowLedger!$C:$C,"&gt;="&amp;DATE(LEFT(SUBSTITUTE(C1387,"'",""),4),MID(SUBSTITUTE(C1387,"'",""),6,2),1),ShadowLedger!$C:$C,"&lt;"&amp;EOMONTH(DATE(LEFT(SUBSTITUTE(C1387,"'",""),4),MID(SUBSTITUTE(C1387,"'",""),6,2),1),0)+1)</f>
        <v>0</v>
      </c>
      <c r="E1387" s="17">
        <f t="shared" si="1"/>
        <v>143</v>
      </c>
      <c r="F1387" s="17">
        <f t="shared" si="2"/>
        <v>0</v>
      </c>
    </row>
    <row r="1388">
      <c r="A1388" s="5" t="s">
        <v>63</v>
      </c>
      <c r="B1388" s="6">
        <v>119.0</v>
      </c>
      <c r="C1388" s="13" t="s">
        <v>293</v>
      </c>
      <c r="D1388" s="17">
        <f>SUMIFS(ShadowLedger!$D:$D,ShadowLedger!$G:$G,A1388,ShadowLedger!$C:$C,"&gt;="&amp;DATE(LEFT(SUBSTITUTE(C1388,"'",""),4),MID(SUBSTITUTE(C1388,"'",""),6,2),1),ShadowLedger!$C:$C,"&lt;"&amp;EOMONTH(DATE(LEFT(SUBSTITUTE(C1388,"'",""),4),MID(SUBSTITUTE(C1388,"'",""),6,2),1),0)+1)</f>
        <v>0</v>
      </c>
      <c r="E1388" s="17">
        <f t="shared" si="1"/>
        <v>119</v>
      </c>
      <c r="F1388" s="17">
        <f t="shared" si="2"/>
        <v>0</v>
      </c>
    </row>
    <row r="1389">
      <c r="A1389" s="5" t="s">
        <v>64</v>
      </c>
      <c r="B1389" s="6">
        <v>119.0</v>
      </c>
      <c r="C1389" s="13" t="s">
        <v>293</v>
      </c>
      <c r="D1389" s="17">
        <f>SUMIFS(ShadowLedger!$D:$D,ShadowLedger!$G:$G,A1389,ShadowLedger!$C:$C,"&gt;="&amp;DATE(LEFT(SUBSTITUTE(C1389,"'",""),4),MID(SUBSTITUTE(C1389,"'",""),6,2),1),ShadowLedger!$C:$C,"&lt;"&amp;EOMONTH(DATE(LEFT(SUBSTITUTE(C1389,"'",""),4),MID(SUBSTITUTE(C1389,"'",""),6,2),1),0)+1)</f>
        <v>0</v>
      </c>
      <c r="E1389" s="17">
        <f t="shared" si="1"/>
        <v>119</v>
      </c>
      <c r="F1389" s="17">
        <f t="shared" si="2"/>
        <v>0</v>
      </c>
    </row>
    <row r="1390">
      <c r="A1390" s="5" t="s">
        <v>70</v>
      </c>
      <c r="B1390" s="6">
        <v>119.0</v>
      </c>
      <c r="C1390" s="13" t="s">
        <v>293</v>
      </c>
      <c r="D1390" s="17">
        <f>SUMIFS(ShadowLedger!$D:$D,ShadowLedger!$G:$G,A1390,ShadowLedger!$C:$C,"&gt;="&amp;DATE(LEFT(SUBSTITUTE(C1390,"'",""),4),MID(SUBSTITUTE(C1390,"'",""),6,2),1),ShadowLedger!$C:$C,"&lt;"&amp;EOMONTH(DATE(LEFT(SUBSTITUTE(C1390,"'",""),4),MID(SUBSTITUTE(C1390,"'",""),6,2),1),0)+1)</f>
        <v>0</v>
      </c>
      <c r="E1390" s="17">
        <f t="shared" si="1"/>
        <v>119</v>
      </c>
      <c r="F1390" s="17">
        <f t="shared" si="2"/>
        <v>0</v>
      </c>
    </row>
    <row r="1391">
      <c r="A1391" s="5" t="s">
        <v>65</v>
      </c>
      <c r="B1391" s="6">
        <v>60.0</v>
      </c>
      <c r="C1391" s="13" t="s">
        <v>293</v>
      </c>
      <c r="D1391" s="17">
        <f>SUMIFS(ShadowLedger!$D:$D,ShadowLedger!$G:$G,A1391,ShadowLedger!$C:$C,"&gt;="&amp;DATE(LEFT(SUBSTITUTE(C1391,"'",""),4),MID(SUBSTITUTE(C1391,"'",""),6,2),1),ShadowLedger!$C:$C,"&lt;"&amp;EOMONTH(DATE(LEFT(SUBSTITUTE(C1391,"'",""),4),MID(SUBSTITUTE(C1391,"'",""),6,2),1),0)+1)</f>
        <v>0</v>
      </c>
      <c r="E1391" s="17">
        <f t="shared" si="1"/>
        <v>60</v>
      </c>
      <c r="F1391" s="17">
        <f t="shared" si="2"/>
        <v>0</v>
      </c>
    </row>
    <row r="1392">
      <c r="A1392" s="5" t="s">
        <v>66</v>
      </c>
      <c r="B1392" s="6">
        <v>60.0</v>
      </c>
      <c r="C1392" s="13" t="s">
        <v>293</v>
      </c>
      <c r="D1392" s="17">
        <f>SUMIFS(ShadowLedger!$D:$D,ShadowLedger!$G:$G,A1392,ShadowLedger!$C:$C,"&gt;="&amp;DATE(LEFT(SUBSTITUTE(C1392,"'",""),4),MID(SUBSTITUTE(C1392,"'",""),6,2),1),ShadowLedger!$C:$C,"&lt;"&amp;EOMONTH(DATE(LEFT(SUBSTITUTE(C1392,"'",""),4),MID(SUBSTITUTE(C1392,"'",""),6,2),1),0)+1)</f>
        <v>0</v>
      </c>
      <c r="E1392" s="17">
        <f t="shared" si="1"/>
        <v>60</v>
      </c>
      <c r="F1392" s="17">
        <f t="shared" si="2"/>
        <v>0</v>
      </c>
    </row>
    <row r="1393">
      <c r="A1393" s="5" t="s">
        <v>67</v>
      </c>
      <c r="B1393" s="6">
        <v>60.0</v>
      </c>
      <c r="C1393" s="13" t="s">
        <v>293</v>
      </c>
      <c r="D1393" s="17">
        <f>SUMIFS(ShadowLedger!$D:$D,ShadowLedger!$G:$G,A1393,ShadowLedger!$C:$C,"&gt;="&amp;DATE(LEFT(SUBSTITUTE(C1393,"'",""),4),MID(SUBSTITUTE(C1393,"'",""),6,2),1),ShadowLedger!$C:$C,"&lt;"&amp;EOMONTH(DATE(LEFT(SUBSTITUTE(C1393,"'",""),4),MID(SUBSTITUTE(C1393,"'",""),6,2),1),0)+1)</f>
        <v>0</v>
      </c>
      <c r="E1393" s="17">
        <f t="shared" si="1"/>
        <v>60</v>
      </c>
      <c r="F1393" s="17">
        <f t="shared" si="2"/>
        <v>0</v>
      </c>
    </row>
    <row r="1394">
      <c r="A1394" s="5" t="s">
        <v>68</v>
      </c>
      <c r="B1394" s="6">
        <v>60.0</v>
      </c>
      <c r="C1394" s="13" t="s">
        <v>293</v>
      </c>
      <c r="D1394" s="17">
        <f>SUMIFS(ShadowLedger!$D:$D,ShadowLedger!$G:$G,A1394,ShadowLedger!$C:$C,"&gt;="&amp;DATE(LEFT(SUBSTITUTE(C1394,"'",""),4),MID(SUBSTITUTE(C1394,"'",""),6,2),1),ShadowLedger!$C:$C,"&lt;"&amp;EOMONTH(DATE(LEFT(SUBSTITUTE(C1394,"'",""),4),MID(SUBSTITUTE(C1394,"'",""),6,2),1),0)+1)</f>
        <v>0</v>
      </c>
      <c r="E1394" s="17">
        <f t="shared" si="1"/>
        <v>60</v>
      </c>
      <c r="F1394" s="17">
        <f t="shared" si="2"/>
        <v>0</v>
      </c>
    </row>
    <row r="1395">
      <c r="A1395" s="5" t="s">
        <v>69</v>
      </c>
      <c r="B1395" s="6">
        <v>0.0</v>
      </c>
      <c r="C1395" s="13" t="s">
        <v>293</v>
      </c>
      <c r="D1395" s="17">
        <f>SUMIFS(ShadowLedger!$D:$D,ShadowLedger!$G:$G,A1395,ShadowLedger!$C:$C,"&gt;="&amp;DATE(LEFT(SUBSTITUTE(C1395,"'",""),4),MID(SUBSTITUTE(C1395,"'",""),6,2),1),ShadowLedger!$C:$C,"&lt;"&amp;EOMONTH(DATE(LEFT(SUBSTITUTE(C1395,"'",""),4),MID(SUBSTITUTE(C1395,"'",""),6,2),1),0)+1)</f>
        <v>0</v>
      </c>
      <c r="E1395" s="17">
        <f t="shared" si="1"/>
        <v>0</v>
      </c>
      <c r="F1395" s="17">
        <f t="shared" si="2"/>
        <v>0</v>
      </c>
    </row>
    <row r="1396">
      <c r="A1396" s="5" t="s">
        <v>54</v>
      </c>
      <c r="B1396" s="6">
        <v>1099.0</v>
      </c>
      <c r="C1396" s="13" t="s">
        <v>294</v>
      </c>
      <c r="D1396" s="17">
        <f>SUMIFS(ShadowLedger!$D:$D,ShadowLedger!$G:$G,A1396,ShadowLedger!$C:$C,"&gt;="&amp;DATE(LEFT(SUBSTITUTE(C1396,"'",""),4),MID(SUBSTITUTE(C1396,"'",""),6,2),1),ShadowLedger!$C:$C,"&lt;"&amp;EOMONTH(DATE(LEFT(SUBSTITUTE(C1396,"'",""),4),MID(SUBSTITUTE(C1396,"'",""),6,2),1),0)+1)</f>
        <v>0</v>
      </c>
      <c r="E1396" s="17">
        <f t="shared" si="1"/>
        <v>1099</v>
      </c>
      <c r="F1396" s="17">
        <f t="shared" si="2"/>
        <v>0</v>
      </c>
    </row>
    <row r="1397">
      <c r="A1397" s="5" t="s">
        <v>55</v>
      </c>
      <c r="B1397" s="6">
        <v>836.0</v>
      </c>
      <c r="C1397" s="13" t="s">
        <v>294</v>
      </c>
      <c r="D1397" s="17">
        <f>SUMIFS(ShadowLedger!$D:$D,ShadowLedger!$G:$G,A1397,ShadowLedger!$C:$C,"&gt;="&amp;DATE(LEFT(SUBSTITUTE(C1397,"'",""),4),MID(SUBSTITUTE(C1397,"'",""),6,2),1),ShadowLedger!$C:$C,"&lt;"&amp;EOMONTH(DATE(LEFT(SUBSTITUTE(C1397,"'",""),4),MID(SUBSTITUTE(C1397,"'",""),6,2),1),0)+1)</f>
        <v>0</v>
      </c>
      <c r="E1397" s="17">
        <f t="shared" si="1"/>
        <v>836</v>
      </c>
      <c r="F1397" s="17">
        <f t="shared" si="2"/>
        <v>0</v>
      </c>
    </row>
    <row r="1398">
      <c r="A1398" s="5" t="s">
        <v>56</v>
      </c>
      <c r="B1398" s="6">
        <v>597.0</v>
      </c>
      <c r="C1398" s="13" t="s">
        <v>294</v>
      </c>
      <c r="D1398" s="17">
        <f>SUMIFS(ShadowLedger!$D:$D,ShadowLedger!$G:$G,A1398,ShadowLedger!$C:$C,"&gt;="&amp;DATE(LEFT(SUBSTITUTE(C1398,"'",""),4),MID(SUBSTITUTE(C1398,"'",""),6,2),1),ShadowLedger!$C:$C,"&lt;"&amp;EOMONTH(DATE(LEFT(SUBSTITUTE(C1398,"'",""),4),MID(SUBSTITUTE(C1398,"'",""),6,2),1),0)+1)</f>
        <v>0</v>
      </c>
      <c r="E1398" s="17">
        <f t="shared" si="1"/>
        <v>597</v>
      </c>
      <c r="F1398" s="17">
        <f t="shared" si="2"/>
        <v>0</v>
      </c>
    </row>
    <row r="1399">
      <c r="A1399" s="5" t="s">
        <v>57</v>
      </c>
      <c r="B1399" s="6">
        <v>597.0</v>
      </c>
      <c r="C1399" s="13" t="s">
        <v>294</v>
      </c>
      <c r="D1399" s="17">
        <f>SUMIFS(ShadowLedger!$D:$D,ShadowLedger!$G:$G,A1399,ShadowLedger!$C:$C,"&gt;="&amp;DATE(LEFT(SUBSTITUTE(C1399,"'",""),4),MID(SUBSTITUTE(C1399,"'",""),6,2),1),ShadowLedger!$C:$C,"&lt;"&amp;EOMONTH(DATE(LEFT(SUBSTITUTE(C1399,"'",""),4),MID(SUBSTITUTE(C1399,"'",""),6,2),1),0)+1)</f>
        <v>0</v>
      </c>
      <c r="E1399" s="17">
        <f t="shared" si="1"/>
        <v>597</v>
      </c>
      <c r="F1399" s="17">
        <f t="shared" si="2"/>
        <v>0</v>
      </c>
    </row>
    <row r="1400">
      <c r="A1400" s="5" t="s">
        <v>58</v>
      </c>
      <c r="B1400" s="6">
        <v>478.0</v>
      </c>
      <c r="C1400" s="13" t="s">
        <v>294</v>
      </c>
      <c r="D1400" s="17">
        <f>SUMIFS(ShadowLedger!$D:$D,ShadowLedger!$G:$G,A1400,ShadowLedger!$C:$C,"&gt;="&amp;DATE(LEFT(SUBSTITUTE(C1400,"'",""),4),MID(SUBSTITUTE(C1400,"'",""),6,2),1),ShadowLedger!$C:$C,"&lt;"&amp;EOMONTH(DATE(LEFT(SUBSTITUTE(C1400,"'",""),4),MID(SUBSTITUTE(C1400,"'",""),6,2),1),0)+1)</f>
        <v>0</v>
      </c>
      <c r="E1400" s="17">
        <f t="shared" si="1"/>
        <v>478</v>
      </c>
      <c r="F1400" s="17">
        <f t="shared" si="2"/>
        <v>0</v>
      </c>
    </row>
    <row r="1401">
      <c r="A1401" s="5" t="s">
        <v>59</v>
      </c>
      <c r="B1401" s="6">
        <v>239.0</v>
      </c>
      <c r="C1401" s="13" t="s">
        <v>294</v>
      </c>
      <c r="D1401" s="17">
        <f>SUMIFS(ShadowLedger!$D:$D,ShadowLedger!$G:$G,A1401,ShadowLedger!$C:$C,"&gt;="&amp;DATE(LEFT(SUBSTITUTE(C1401,"'",""),4),MID(SUBSTITUTE(C1401,"'",""),6,2),1),ShadowLedger!$C:$C,"&lt;"&amp;EOMONTH(DATE(LEFT(SUBSTITUTE(C1401,"'",""),4),MID(SUBSTITUTE(C1401,"'",""),6,2),1),0)+1)</f>
        <v>0</v>
      </c>
      <c r="E1401" s="17">
        <f t="shared" si="1"/>
        <v>239</v>
      </c>
      <c r="F1401" s="17">
        <f t="shared" si="2"/>
        <v>0</v>
      </c>
    </row>
    <row r="1402">
      <c r="A1402" s="5" t="s">
        <v>60</v>
      </c>
      <c r="B1402" s="6">
        <v>179.0</v>
      </c>
      <c r="C1402" s="13" t="s">
        <v>294</v>
      </c>
      <c r="D1402" s="17">
        <f>SUMIFS(ShadowLedger!$D:$D,ShadowLedger!$G:$G,A1402,ShadowLedger!$C:$C,"&gt;="&amp;DATE(LEFT(SUBSTITUTE(C1402,"'",""),4),MID(SUBSTITUTE(C1402,"'",""),6,2),1),ShadowLedger!$C:$C,"&lt;"&amp;EOMONTH(DATE(LEFT(SUBSTITUTE(C1402,"'",""),4),MID(SUBSTITUTE(C1402,"'",""),6,2),1),0)+1)</f>
        <v>0</v>
      </c>
      <c r="E1402" s="17">
        <f t="shared" si="1"/>
        <v>179</v>
      </c>
      <c r="F1402" s="17">
        <f t="shared" si="2"/>
        <v>0</v>
      </c>
    </row>
    <row r="1403">
      <c r="A1403" s="5" t="s">
        <v>61</v>
      </c>
      <c r="B1403" s="6">
        <v>143.0</v>
      </c>
      <c r="C1403" s="13" t="s">
        <v>294</v>
      </c>
      <c r="D1403" s="17">
        <f>SUMIFS(ShadowLedger!$D:$D,ShadowLedger!$G:$G,A1403,ShadowLedger!$C:$C,"&gt;="&amp;DATE(LEFT(SUBSTITUTE(C1403,"'",""),4),MID(SUBSTITUTE(C1403,"'",""),6,2),1),ShadowLedger!$C:$C,"&lt;"&amp;EOMONTH(DATE(LEFT(SUBSTITUTE(C1403,"'",""),4),MID(SUBSTITUTE(C1403,"'",""),6,2),1),0)+1)</f>
        <v>0</v>
      </c>
      <c r="E1403" s="17">
        <f t="shared" si="1"/>
        <v>143</v>
      </c>
      <c r="F1403" s="17">
        <f t="shared" si="2"/>
        <v>0</v>
      </c>
    </row>
    <row r="1404">
      <c r="A1404" s="5" t="s">
        <v>62</v>
      </c>
      <c r="B1404" s="6">
        <v>143.0</v>
      </c>
      <c r="C1404" s="13" t="s">
        <v>294</v>
      </c>
      <c r="D1404" s="17">
        <f>SUMIFS(ShadowLedger!$D:$D,ShadowLedger!$G:$G,A1404,ShadowLedger!$C:$C,"&gt;="&amp;DATE(LEFT(SUBSTITUTE(C1404,"'",""),4),MID(SUBSTITUTE(C1404,"'",""),6,2),1),ShadowLedger!$C:$C,"&lt;"&amp;EOMONTH(DATE(LEFT(SUBSTITUTE(C1404,"'",""),4),MID(SUBSTITUTE(C1404,"'",""),6,2),1),0)+1)</f>
        <v>0</v>
      </c>
      <c r="E1404" s="17">
        <f t="shared" si="1"/>
        <v>143</v>
      </c>
      <c r="F1404" s="17">
        <f t="shared" si="2"/>
        <v>0</v>
      </c>
    </row>
    <row r="1405">
      <c r="A1405" s="5" t="s">
        <v>63</v>
      </c>
      <c r="B1405" s="6">
        <v>119.0</v>
      </c>
      <c r="C1405" s="13" t="s">
        <v>294</v>
      </c>
      <c r="D1405" s="17">
        <f>SUMIFS(ShadowLedger!$D:$D,ShadowLedger!$G:$G,A1405,ShadowLedger!$C:$C,"&gt;="&amp;DATE(LEFT(SUBSTITUTE(C1405,"'",""),4),MID(SUBSTITUTE(C1405,"'",""),6,2),1),ShadowLedger!$C:$C,"&lt;"&amp;EOMONTH(DATE(LEFT(SUBSTITUTE(C1405,"'",""),4),MID(SUBSTITUTE(C1405,"'",""),6,2),1),0)+1)</f>
        <v>0</v>
      </c>
      <c r="E1405" s="17">
        <f t="shared" si="1"/>
        <v>119</v>
      </c>
      <c r="F1405" s="17">
        <f t="shared" si="2"/>
        <v>0</v>
      </c>
    </row>
    <row r="1406">
      <c r="A1406" s="5" t="s">
        <v>64</v>
      </c>
      <c r="B1406" s="6">
        <v>119.0</v>
      </c>
      <c r="C1406" s="13" t="s">
        <v>294</v>
      </c>
      <c r="D1406" s="17">
        <f>SUMIFS(ShadowLedger!$D:$D,ShadowLedger!$G:$G,A1406,ShadowLedger!$C:$C,"&gt;="&amp;DATE(LEFT(SUBSTITUTE(C1406,"'",""),4),MID(SUBSTITUTE(C1406,"'",""),6,2),1),ShadowLedger!$C:$C,"&lt;"&amp;EOMONTH(DATE(LEFT(SUBSTITUTE(C1406,"'",""),4),MID(SUBSTITUTE(C1406,"'",""),6,2),1),0)+1)</f>
        <v>0</v>
      </c>
      <c r="E1406" s="17">
        <f t="shared" si="1"/>
        <v>119</v>
      </c>
      <c r="F1406" s="17">
        <f t="shared" si="2"/>
        <v>0</v>
      </c>
    </row>
    <row r="1407">
      <c r="A1407" s="5" t="s">
        <v>70</v>
      </c>
      <c r="B1407" s="6">
        <v>119.0</v>
      </c>
      <c r="C1407" s="13" t="s">
        <v>294</v>
      </c>
      <c r="D1407" s="17">
        <f>SUMIFS(ShadowLedger!$D:$D,ShadowLedger!$G:$G,A1407,ShadowLedger!$C:$C,"&gt;="&amp;DATE(LEFT(SUBSTITUTE(C1407,"'",""),4),MID(SUBSTITUTE(C1407,"'",""),6,2),1),ShadowLedger!$C:$C,"&lt;"&amp;EOMONTH(DATE(LEFT(SUBSTITUTE(C1407,"'",""),4),MID(SUBSTITUTE(C1407,"'",""),6,2),1),0)+1)</f>
        <v>0</v>
      </c>
      <c r="E1407" s="17">
        <f t="shared" si="1"/>
        <v>119</v>
      </c>
      <c r="F1407" s="17">
        <f t="shared" si="2"/>
        <v>0</v>
      </c>
    </row>
    <row r="1408">
      <c r="A1408" s="5" t="s">
        <v>65</v>
      </c>
      <c r="B1408" s="6">
        <v>60.0</v>
      </c>
      <c r="C1408" s="13" t="s">
        <v>294</v>
      </c>
      <c r="D1408" s="17">
        <f>SUMIFS(ShadowLedger!$D:$D,ShadowLedger!$G:$G,A1408,ShadowLedger!$C:$C,"&gt;="&amp;DATE(LEFT(SUBSTITUTE(C1408,"'",""),4),MID(SUBSTITUTE(C1408,"'",""),6,2),1),ShadowLedger!$C:$C,"&lt;"&amp;EOMONTH(DATE(LEFT(SUBSTITUTE(C1408,"'",""),4),MID(SUBSTITUTE(C1408,"'",""),6,2),1),0)+1)</f>
        <v>0</v>
      </c>
      <c r="E1408" s="17">
        <f t="shared" si="1"/>
        <v>60</v>
      </c>
      <c r="F1408" s="17">
        <f t="shared" si="2"/>
        <v>0</v>
      </c>
    </row>
    <row r="1409">
      <c r="A1409" s="5" t="s">
        <v>66</v>
      </c>
      <c r="B1409" s="6">
        <v>60.0</v>
      </c>
      <c r="C1409" s="13" t="s">
        <v>294</v>
      </c>
      <c r="D1409" s="17">
        <f>SUMIFS(ShadowLedger!$D:$D,ShadowLedger!$G:$G,A1409,ShadowLedger!$C:$C,"&gt;="&amp;DATE(LEFT(SUBSTITUTE(C1409,"'",""),4),MID(SUBSTITUTE(C1409,"'",""),6,2),1),ShadowLedger!$C:$C,"&lt;"&amp;EOMONTH(DATE(LEFT(SUBSTITUTE(C1409,"'",""),4),MID(SUBSTITUTE(C1409,"'",""),6,2),1),0)+1)</f>
        <v>0</v>
      </c>
      <c r="E1409" s="17">
        <f t="shared" si="1"/>
        <v>60</v>
      </c>
      <c r="F1409" s="17">
        <f t="shared" si="2"/>
        <v>0</v>
      </c>
    </row>
    <row r="1410">
      <c r="A1410" s="5" t="s">
        <v>67</v>
      </c>
      <c r="B1410" s="6">
        <v>60.0</v>
      </c>
      <c r="C1410" s="13" t="s">
        <v>294</v>
      </c>
      <c r="D1410" s="17">
        <f>SUMIFS(ShadowLedger!$D:$D,ShadowLedger!$G:$G,A1410,ShadowLedger!$C:$C,"&gt;="&amp;DATE(LEFT(SUBSTITUTE(C1410,"'",""),4),MID(SUBSTITUTE(C1410,"'",""),6,2),1),ShadowLedger!$C:$C,"&lt;"&amp;EOMONTH(DATE(LEFT(SUBSTITUTE(C1410,"'",""),4),MID(SUBSTITUTE(C1410,"'",""),6,2),1),0)+1)</f>
        <v>0</v>
      </c>
      <c r="E1410" s="17">
        <f t="shared" si="1"/>
        <v>60</v>
      </c>
      <c r="F1410" s="17">
        <f t="shared" si="2"/>
        <v>0</v>
      </c>
    </row>
    <row r="1411">
      <c r="A1411" s="5" t="s">
        <v>68</v>
      </c>
      <c r="B1411" s="6">
        <v>60.0</v>
      </c>
      <c r="C1411" s="13" t="s">
        <v>294</v>
      </c>
      <c r="D1411" s="17">
        <f>SUMIFS(ShadowLedger!$D:$D,ShadowLedger!$G:$G,A1411,ShadowLedger!$C:$C,"&gt;="&amp;DATE(LEFT(SUBSTITUTE(C1411,"'",""),4),MID(SUBSTITUTE(C1411,"'",""),6,2),1),ShadowLedger!$C:$C,"&lt;"&amp;EOMONTH(DATE(LEFT(SUBSTITUTE(C1411,"'",""),4),MID(SUBSTITUTE(C1411,"'",""),6,2),1),0)+1)</f>
        <v>0</v>
      </c>
      <c r="E1411" s="17">
        <f t="shared" si="1"/>
        <v>60</v>
      </c>
      <c r="F1411" s="17">
        <f t="shared" si="2"/>
        <v>0</v>
      </c>
    </row>
    <row r="1412">
      <c r="A1412" s="5" t="s">
        <v>69</v>
      </c>
      <c r="B1412" s="6">
        <v>0.0</v>
      </c>
      <c r="C1412" s="13" t="s">
        <v>294</v>
      </c>
      <c r="D1412" s="17">
        <f>SUMIFS(ShadowLedger!$D:$D,ShadowLedger!$G:$G,A1412,ShadowLedger!$C:$C,"&gt;="&amp;DATE(LEFT(SUBSTITUTE(C1412,"'",""),4),MID(SUBSTITUTE(C1412,"'",""),6,2),1),ShadowLedger!$C:$C,"&lt;"&amp;EOMONTH(DATE(LEFT(SUBSTITUTE(C1412,"'",""),4),MID(SUBSTITUTE(C1412,"'",""),6,2),1),0)+1)</f>
        <v>0</v>
      </c>
      <c r="E1412" s="17">
        <f t="shared" si="1"/>
        <v>0</v>
      </c>
      <c r="F1412" s="17">
        <f t="shared" si="2"/>
        <v>0</v>
      </c>
    </row>
    <row r="1413">
      <c r="A1413" s="5" t="s">
        <v>54</v>
      </c>
      <c r="B1413" s="6">
        <v>1099.0</v>
      </c>
      <c r="C1413" s="13" t="s">
        <v>295</v>
      </c>
      <c r="D1413" s="17">
        <f>SUMIFS(ShadowLedger!$D:$D,ShadowLedger!$G:$G,A1413,ShadowLedger!$C:$C,"&gt;="&amp;DATE(LEFT(SUBSTITUTE(C1413,"'",""),4),MID(SUBSTITUTE(C1413,"'",""),6,2),1),ShadowLedger!$C:$C,"&lt;"&amp;EOMONTH(DATE(LEFT(SUBSTITUTE(C1413,"'",""),4),MID(SUBSTITUTE(C1413,"'",""),6,2),1),0)+1)</f>
        <v>0</v>
      </c>
      <c r="E1413" s="17">
        <f t="shared" si="1"/>
        <v>1099</v>
      </c>
      <c r="F1413" s="17">
        <f t="shared" si="2"/>
        <v>0</v>
      </c>
    </row>
    <row r="1414">
      <c r="A1414" s="5" t="s">
        <v>55</v>
      </c>
      <c r="B1414" s="6">
        <v>836.0</v>
      </c>
      <c r="C1414" s="13" t="s">
        <v>295</v>
      </c>
      <c r="D1414" s="17">
        <f>SUMIFS(ShadowLedger!$D:$D,ShadowLedger!$G:$G,A1414,ShadowLedger!$C:$C,"&gt;="&amp;DATE(LEFT(SUBSTITUTE(C1414,"'",""),4),MID(SUBSTITUTE(C1414,"'",""),6,2),1),ShadowLedger!$C:$C,"&lt;"&amp;EOMONTH(DATE(LEFT(SUBSTITUTE(C1414,"'",""),4),MID(SUBSTITUTE(C1414,"'",""),6,2),1),0)+1)</f>
        <v>0</v>
      </c>
      <c r="E1414" s="17">
        <f t="shared" si="1"/>
        <v>836</v>
      </c>
      <c r="F1414" s="17">
        <f t="shared" si="2"/>
        <v>0</v>
      </c>
    </row>
    <row r="1415">
      <c r="A1415" s="5" t="s">
        <v>56</v>
      </c>
      <c r="B1415" s="6">
        <v>597.0</v>
      </c>
      <c r="C1415" s="13" t="s">
        <v>295</v>
      </c>
      <c r="D1415" s="17">
        <f>SUMIFS(ShadowLedger!$D:$D,ShadowLedger!$G:$G,A1415,ShadowLedger!$C:$C,"&gt;="&amp;DATE(LEFT(SUBSTITUTE(C1415,"'",""),4),MID(SUBSTITUTE(C1415,"'",""),6,2),1),ShadowLedger!$C:$C,"&lt;"&amp;EOMONTH(DATE(LEFT(SUBSTITUTE(C1415,"'",""),4),MID(SUBSTITUTE(C1415,"'",""),6,2),1),0)+1)</f>
        <v>0</v>
      </c>
      <c r="E1415" s="17">
        <f t="shared" si="1"/>
        <v>597</v>
      </c>
      <c r="F1415" s="17">
        <f t="shared" si="2"/>
        <v>0</v>
      </c>
    </row>
    <row r="1416">
      <c r="A1416" s="5" t="s">
        <v>57</v>
      </c>
      <c r="B1416" s="6">
        <v>597.0</v>
      </c>
      <c r="C1416" s="13" t="s">
        <v>295</v>
      </c>
      <c r="D1416" s="17">
        <f>SUMIFS(ShadowLedger!$D:$D,ShadowLedger!$G:$G,A1416,ShadowLedger!$C:$C,"&gt;="&amp;DATE(LEFT(SUBSTITUTE(C1416,"'",""),4),MID(SUBSTITUTE(C1416,"'",""),6,2),1),ShadowLedger!$C:$C,"&lt;"&amp;EOMONTH(DATE(LEFT(SUBSTITUTE(C1416,"'",""),4),MID(SUBSTITUTE(C1416,"'",""),6,2),1),0)+1)</f>
        <v>0</v>
      </c>
      <c r="E1416" s="17">
        <f t="shared" si="1"/>
        <v>597</v>
      </c>
      <c r="F1416" s="17">
        <f t="shared" si="2"/>
        <v>0</v>
      </c>
    </row>
    <row r="1417">
      <c r="A1417" s="5" t="s">
        <v>58</v>
      </c>
      <c r="B1417" s="6">
        <v>478.0</v>
      </c>
      <c r="C1417" s="13" t="s">
        <v>295</v>
      </c>
      <c r="D1417" s="17">
        <f>SUMIFS(ShadowLedger!$D:$D,ShadowLedger!$G:$G,A1417,ShadowLedger!$C:$C,"&gt;="&amp;DATE(LEFT(SUBSTITUTE(C1417,"'",""),4),MID(SUBSTITUTE(C1417,"'",""),6,2),1),ShadowLedger!$C:$C,"&lt;"&amp;EOMONTH(DATE(LEFT(SUBSTITUTE(C1417,"'",""),4),MID(SUBSTITUTE(C1417,"'",""),6,2),1),0)+1)</f>
        <v>0</v>
      </c>
      <c r="E1417" s="17">
        <f t="shared" si="1"/>
        <v>478</v>
      </c>
      <c r="F1417" s="17">
        <f t="shared" si="2"/>
        <v>0</v>
      </c>
    </row>
    <row r="1418">
      <c r="A1418" s="5" t="s">
        <v>59</v>
      </c>
      <c r="B1418" s="6">
        <v>239.0</v>
      </c>
      <c r="C1418" s="13" t="s">
        <v>295</v>
      </c>
      <c r="D1418" s="17">
        <f>SUMIFS(ShadowLedger!$D:$D,ShadowLedger!$G:$G,A1418,ShadowLedger!$C:$C,"&gt;="&amp;DATE(LEFT(SUBSTITUTE(C1418,"'",""),4),MID(SUBSTITUTE(C1418,"'",""),6,2),1),ShadowLedger!$C:$C,"&lt;"&amp;EOMONTH(DATE(LEFT(SUBSTITUTE(C1418,"'",""),4),MID(SUBSTITUTE(C1418,"'",""),6,2),1),0)+1)</f>
        <v>0</v>
      </c>
      <c r="E1418" s="17">
        <f t="shared" si="1"/>
        <v>239</v>
      </c>
      <c r="F1418" s="17">
        <f t="shared" si="2"/>
        <v>0</v>
      </c>
    </row>
    <row r="1419">
      <c r="A1419" s="5" t="s">
        <v>60</v>
      </c>
      <c r="B1419" s="6">
        <v>179.0</v>
      </c>
      <c r="C1419" s="13" t="s">
        <v>295</v>
      </c>
      <c r="D1419" s="17">
        <f>SUMIFS(ShadowLedger!$D:$D,ShadowLedger!$G:$G,A1419,ShadowLedger!$C:$C,"&gt;="&amp;DATE(LEFT(SUBSTITUTE(C1419,"'",""),4),MID(SUBSTITUTE(C1419,"'",""),6,2),1),ShadowLedger!$C:$C,"&lt;"&amp;EOMONTH(DATE(LEFT(SUBSTITUTE(C1419,"'",""),4),MID(SUBSTITUTE(C1419,"'",""),6,2),1),0)+1)</f>
        <v>0</v>
      </c>
      <c r="E1419" s="17">
        <f t="shared" si="1"/>
        <v>179</v>
      </c>
      <c r="F1419" s="17">
        <f t="shared" si="2"/>
        <v>0</v>
      </c>
    </row>
    <row r="1420">
      <c r="A1420" s="5" t="s">
        <v>61</v>
      </c>
      <c r="B1420" s="6">
        <v>143.0</v>
      </c>
      <c r="C1420" s="13" t="s">
        <v>295</v>
      </c>
      <c r="D1420" s="17">
        <f>SUMIFS(ShadowLedger!$D:$D,ShadowLedger!$G:$G,A1420,ShadowLedger!$C:$C,"&gt;="&amp;DATE(LEFT(SUBSTITUTE(C1420,"'",""),4),MID(SUBSTITUTE(C1420,"'",""),6,2),1),ShadowLedger!$C:$C,"&lt;"&amp;EOMONTH(DATE(LEFT(SUBSTITUTE(C1420,"'",""),4),MID(SUBSTITUTE(C1420,"'",""),6,2),1),0)+1)</f>
        <v>0</v>
      </c>
      <c r="E1420" s="17">
        <f t="shared" si="1"/>
        <v>143</v>
      </c>
      <c r="F1420" s="17">
        <f t="shared" si="2"/>
        <v>0</v>
      </c>
    </row>
    <row r="1421">
      <c r="A1421" s="5" t="s">
        <v>62</v>
      </c>
      <c r="B1421" s="6">
        <v>143.0</v>
      </c>
      <c r="C1421" s="13" t="s">
        <v>295</v>
      </c>
      <c r="D1421" s="17">
        <f>SUMIFS(ShadowLedger!$D:$D,ShadowLedger!$G:$G,A1421,ShadowLedger!$C:$C,"&gt;="&amp;DATE(LEFT(SUBSTITUTE(C1421,"'",""),4),MID(SUBSTITUTE(C1421,"'",""),6,2),1),ShadowLedger!$C:$C,"&lt;"&amp;EOMONTH(DATE(LEFT(SUBSTITUTE(C1421,"'",""),4),MID(SUBSTITUTE(C1421,"'",""),6,2),1),0)+1)</f>
        <v>0</v>
      </c>
      <c r="E1421" s="17">
        <f t="shared" si="1"/>
        <v>143</v>
      </c>
      <c r="F1421" s="17">
        <f t="shared" si="2"/>
        <v>0</v>
      </c>
    </row>
    <row r="1422">
      <c r="A1422" s="5" t="s">
        <v>63</v>
      </c>
      <c r="B1422" s="6">
        <v>119.0</v>
      </c>
      <c r="C1422" s="13" t="s">
        <v>295</v>
      </c>
      <c r="D1422" s="17">
        <f>SUMIFS(ShadowLedger!$D:$D,ShadowLedger!$G:$G,A1422,ShadowLedger!$C:$C,"&gt;="&amp;DATE(LEFT(SUBSTITUTE(C1422,"'",""),4),MID(SUBSTITUTE(C1422,"'",""),6,2),1),ShadowLedger!$C:$C,"&lt;"&amp;EOMONTH(DATE(LEFT(SUBSTITUTE(C1422,"'",""),4),MID(SUBSTITUTE(C1422,"'",""),6,2),1),0)+1)</f>
        <v>0</v>
      </c>
      <c r="E1422" s="17">
        <f t="shared" si="1"/>
        <v>119</v>
      </c>
      <c r="F1422" s="17">
        <f t="shared" si="2"/>
        <v>0</v>
      </c>
    </row>
    <row r="1423">
      <c r="A1423" s="5" t="s">
        <v>64</v>
      </c>
      <c r="B1423" s="6">
        <v>119.0</v>
      </c>
      <c r="C1423" s="13" t="s">
        <v>295</v>
      </c>
      <c r="D1423" s="17">
        <f>SUMIFS(ShadowLedger!$D:$D,ShadowLedger!$G:$G,A1423,ShadowLedger!$C:$C,"&gt;="&amp;DATE(LEFT(SUBSTITUTE(C1423,"'",""),4),MID(SUBSTITUTE(C1423,"'",""),6,2),1),ShadowLedger!$C:$C,"&lt;"&amp;EOMONTH(DATE(LEFT(SUBSTITUTE(C1423,"'",""),4),MID(SUBSTITUTE(C1423,"'",""),6,2),1),0)+1)</f>
        <v>0</v>
      </c>
      <c r="E1423" s="17">
        <f t="shared" si="1"/>
        <v>119</v>
      </c>
      <c r="F1423" s="17">
        <f t="shared" si="2"/>
        <v>0</v>
      </c>
    </row>
    <row r="1424">
      <c r="A1424" s="5" t="s">
        <v>70</v>
      </c>
      <c r="B1424" s="6">
        <v>119.0</v>
      </c>
      <c r="C1424" s="13" t="s">
        <v>295</v>
      </c>
      <c r="D1424" s="17">
        <f>SUMIFS(ShadowLedger!$D:$D,ShadowLedger!$G:$G,A1424,ShadowLedger!$C:$C,"&gt;="&amp;DATE(LEFT(SUBSTITUTE(C1424,"'",""),4),MID(SUBSTITUTE(C1424,"'",""),6,2),1),ShadowLedger!$C:$C,"&lt;"&amp;EOMONTH(DATE(LEFT(SUBSTITUTE(C1424,"'",""),4),MID(SUBSTITUTE(C1424,"'",""),6,2),1),0)+1)</f>
        <v>0</v>
      </c>
      <c r="E1424" s="17">
        <f t="shared" si="1"/>
        <v>119</v>
      </c>
      <c r="F1424" s="17">
        <f t="shared" si="2"/>
        <v>0</v>
      </c>
    </row>
    <row r="1425">
      <c r="A1425" s="5" t="s">
        <v>65</v>
      </c>
      <c r="B1425" s="6">
        <v>60.0</v>
      </c>
      <c r="C1425" s="13" t="s">
        <v>295</v>
      </c>
      <c r="D1425" s="17">
        <f>SUMIFS(ShadowLedger!$D:$D,ShadowLedger!$G:$G,A1425,ShadowLedger!$C:$C,"&gt;="&amp;DATE(LEFT(SUBSTITUTE(C1425,"'",""),4),MID(SUBSTITUTE(C1425,"'",""),6,2),1),ShadowLedger!$C:$C,"&lt;"&amp;EOMONTH(DATE(LEFT(SUBSTITUTE(C1425,"'",""),4),MID(SUBSTITUTE(C1425,"'",""),6,2),1),0)+1)</f>
        <v>0</v>
      </c>
      <c r="E1425" s="17">
        <f t="shared" si="1"/>
        <v>60</v>
      </c>
      <c r="F1425" s="17">
        <f t="shared" si="2"/>
        <v>0</v>
      </c>
    </row>
    <row r="1426">
      <c r="A1426" s="5" t="s">
        <v>66</v>
      </c>
      <c r="B1426" s="6">
        <v>60.0</v>
      </c>
      <c r="C1426" s="13" t="s">
        <v>295</v>
      </c>
      <c r="D1426" s="17">
        <f>SUMIFS(ShadowLedger!$D:$D,ShadowLedger!$G:$G,A1426,ShadowLedger!$C:$C,"&gt;="&amp;DATE(LEFT(SUBSTITUTE(C1426,"'",""),4),MID(SUBSTITUTE(C1426,"'",""),6,2),1),ShadowLedger!$C:$C,"&lt;"&amp;EOMONTH(DATE(LEFT(SUBSTITUTE(C1426,"'",""),4),MID(SUBSTITUTE(C1426,"'",""),6,2),1),0)+1)</f>
        <v>0</v>
      </c>
      <c r="E1426" s="17">
        <f t="shared" si="1"/>
        <v>60</v>
      </c>
      <c r="F1426" s="17">
        <f t="shared" si="2"/>
        <v>0</v>
      </c>
    </row>
    <row r="1427">
      <c r="A1427" s="5" t="s">
        <v>67</v>
      </c>
      <c r="B1427" s="6">
        <v>60.0</v>
      </c>
      <c r="C1427" s="13" t="s">
        <v>295</v>
      </c>
      <c r="D1427" s="17">
        <f>SUMIFS(ShadowLedger!$D:$D,ShadowLedger!$G:$G,A1427,ShadowLedger!$C:$C,"&gt;="&amp;DATE(LEFT(SUBSTITUTE(C1427,"'",""),4),MID(SUBSTITUTE(C1427,"'",""),6,2),1),ShadowLedger!$C:$C,"&lt;"&amp;EOMONTH(DATE(LEFT(SUBSTITUTE(C1427,"'",""),4),MID(SUBSTITUTE(C1427,"'",""),6,2),1),0)+1)</f>
        <v>0</v>
      </c>
      <c r="E1427" s="17">
        <f t="shared" si="1"/>
        <v>60</v>
      </c>
      <c r="F1427" s="17">
        <f t="shared" si="2"/>
        <v>0</v>
      </c>
    </row>
    <row r="1428">
      <c r="A1428" s="5" t="s">
        <v>68</v>
      </c>
      <c r="B1428" s="6">
        <v>60.0</v>
      </c>
      <c r="C1428" s="13" t="s">
        <v>295</v>
      </c>
      <c r="D1428" s="17">
        <f>SUMIFS(ShadowLedger!$D:$D,ShadowLedger!$G:$G,A1428,ShadowLedger!$C:$C,"&gt;="&amp;DATE(LEFT(SUBSTITUTE(C1428,"'",""),4),MID(SUBSTITUTE(C1428,"'",""),6,2),1),ShadowLedger!$C:$C,"&lt;"&amp;EOMONTH(DATE(LEFT(SUBSTITUTE(C1428,"'",""),4),MID(SUBSTITUTE(C1428,"'",""),6,2),1),0)+1)</f>
        <v>0</v>
      </c>
      <c r="E1428" s="17">
        <f t="shared" si="1"/>
        <v>60</v>
      </c>
      <c r="F1428" s="17">
        <f t="shared" si="2"/>
        <v>0</v>
      </c>
    </row>
    <row r="1429">
      <c r="A1429" s="5" t="s">
        <v>69</v>
      </c>
      <c r="B1429" s="6">
        <v>0.0</v>
      </c>
      <c r="C1429" s="13" t="s">
        <v>295</v>
      </c>
      <c r="D1429" s="17">
        <f>SUMIFS(ShadowLedger!$D:$D,ShadowLedger!$G:$G,A1429,ShadowLedger!$C:$C,"&gt;="&amp;DATE(LEFT(SUBSTITUTE(C1429,"'",""),4),MID(SUBSTITUTE(C1429,"'",""),6,2),1),ShadowLedger!$C:$C,"&lt;"&amp;EOMONTH(DATE(LEFT(SUBSTITUTE(C1429,"'",""),4),MID(SUBSTITUTE(C1429,"'",""),6,2),1),0)+1)</f>
        <v>0</v>
      </c>
      <c r="E1429" s="17">
        <f t="shared" si="1"/>
        <v>0</v>
      </c>
      <c r="F1429" s="17">
        <f t="shared" si="2"/>
        <v>0</v>
      </c>
    </row>
    <row r="1430">
      <c r="A1430" s="5" t="s">
        <v>54</v>
      </c>
      <c r="B1430" s="6">
        <v>1099.0</v>
      </c>
      <c r="C1430" s="13" t="s">
        <v>296</v>
      </c>
      <c r="D1430" s="17">
        <f>SUMIFS(ShadowLedger!$D:$D,ShadowLedger!$G:$G,A1430,ShadowLedger!$C:$C,"&gt;="&amp;DATE(LEFT(SUBSTITUTE(C1430,"'",""),4),MID(SUBSTITUTE(C1430,"'",""),6,2),1),ShadowLedger!$C:$C,"&lt;"&amp;EOMONTH(DATE(LEFT(SUBSTITUTE(C1430,"'",""),4),MID(SUBSTITUTE(C1430,"'",""),6,2),1),0)+1)</f>
        <v>0</v>
      </c>
      <c r="E1430" s="17">
        <f t="shared" si="1"/>
        <v>1099</v>
      </c>
      <c r="F1430" s="17">
        <f t="shared" si="2"/>
        <v>0</v>
      </c>
    </row>
    <row r="1431">
      <c r="A1431" s="5" t="s">
        <v>55</v>
      </c>
      <c r="B1431" s="6">
        <v>836.0</v>
      </c>
      <c r="C1431" s="13" t="s">
        <v>296</v>
      </c>
      <c r="D1431" s="17">
        <f>SUMIFS(ShadowLedger!$D:$D,ShadowLedger!$G:$G,A1431,ShadowLedger!$C:$C,"&gt;="&amp;DATE(LEFT(SUBSTITUTE(C1431,"'",""),4),MID(SUBSTITUTE(C1431,"'",""),6,2),1),ShadowLedger!$C:$C,"&lt;"&amp;EOMONTH(DATE(LEFT(SUBSTITUTE(C1431,"'",""),4),MID(SUBSTITUTE(C1431,"'",""),6,2),1),0)+1)</f>
        <v>0</v>
      </c>
      <c r="E1431" s="17">
        <f t="shared" si="1"/>
        <v>836</v>
      </c>
      <c r="F1431" s="17">
        <f t="shared" si="2"/>
        <v>0</v>
      </c>
    </row>
    <row r="1432">
      <c r="A1432" s="5" t="s">
        <v>56</v>
      </c>
      <c r="B1432" s="6">
        <v>597.0</v>
      </c>
      <c r="C1432" s="13" t="s">
        <v>296</v>
      </c>
      <c r="D1432" s="17">
        <f>SUMIFS(ShadowLedger!$D:$D,ShadowLedger!$G:$G,A1432,ShadowLedger!$C:$C,"&gt;="&amp;DATE(LEFT(SUBSTITUTE(C1432,"'",""),4),MID(SUBSTITUTE(C1432,"'",""),6,2),1),ShadowLedger!$C:$C,"&lt;"&amp;EOMONTH(DATE(LEFT(SUBSTITUTE(C1432,"'",""),4),MID(SUBSTITUTE(C1432,"'",""),6,2),1),0)+1)</f>
        <v>0</v>
      </c>
      <c r="E1432" s="17">
        <f t="shared" si="1"/>
        <v>597</v>
      </c>
      <c r="F1432" s="17">
        <f t="shared" si="2"/>
        <v>0</v>
      </c>
    </row>
    <row r="1433">
      <c r="A1433" s="5" t="s">
        <v>57</v>
      </c>
      <c r="B1433" s="6">
        <v>597.0</v>
      </c>
      <c r="C1433" s="13" t="s">
        <v>296</v>
      </c>
      <c r="D1433" s="17">
        <f>SUMIFS(ShadowLedger!$D:$D,ShadowLedger!$G:$G,A1433,ShadowLedger!$C:$C,"&gt;="&amp;DATE(LEFT(SUBSTITUTE(C1433,"'",""),4),MID(SUBSTITUTE(C1433,"'",""),6,2),1),ShadowLedger!$C:$C,"&lt;"&amp;EOMONTH(DATE(LEFT(SUBSTITUTE(C1433,"'",""),4),MID(SUBSTITUTE(C1433,"'",""),6,2),1),0)+1)</f>
        <v>0</v>
      </c>
      <c r="E1433" s="17">
        <f t="shared" si="1"/>
        <v>597</v>
      </c>
      <c r="F1433" s="17">
        <f t="shared" si="2"/>
        <v>0</v>
      </c>
    </row>
    <row r="1434">
      <c r="A1434" s="5" t="s">
        <v>58</v>
      </c>
      <c r="B1434" s="6">
        <v>478.0</v>
      </c>
      <c r="C1434" s="13" t="s">
        <v>296</v>
      </c>
      <c r="D1434" s="17">
        <f>SUMIFS(ShadowLedger!$D:$D,ShadowLedger!$G:$G,A1434,ShadowLedger!$C:$C,"&gt;="&amp;DATE(LEFT(SUBSTITUTE(C1434,"'",""),4),MID(SUBSTITUTE(C1434,"'",""),6,2),1),ShadowLedger!$C:$C,"&lt;"&amp;EOMONTH(DATE(LEFT(SUBSTITUTE(C1434,"'",""),4),MID(SUBSTITUTE(C1434,"'",""),6,2),1),0)+1)</f>
        <v>0</v>
      </c>
      <c r="E1434" s="17">
        <f t="shared" si="1"/>
        <v>478</v>
      </c>
      <c r="F1434" s="17">
        <f t="shared" si="2"/>
        <v>0</v>
      </c>
    </row>
    <row r="1435">
      <c r="A1435" s="5" t="s">
        <v>59</v>
      </c>
      <c r="B1435" s="6">
        <v>239.0</v>
      </c>
      <c r="C1435" s="13" t="s">
        <v>296</v>
      </c>
      <c r="D1435" s="17">
        <f>SUMIFS(ShadowLedger!$D:$D,ShadowLedger!$G:$G,A1435,ShadowLedger!$C:$C,"&gt;="&amp;DATE(LEFT(SUBSTITUTE(C1435,"'",""),4),MID(SUBSTITUTE(C1435,"'",""),6,2),1),ShadowLedger!$C:$C,"&lt;"&amp;EOMONTH(DATE(LEFT(SUBSTITUTE(C1435,"'",""),4),MID(SUBSTITUTE(C1435,"'",""),6,2),1),0)+1)</f>
        <v>0</v>
      </c>
      <c r="E1435" s="17">
        <f t="shared" si="1"/>
        <v>239</v>
      </c>
      <c r="F1435" s="17">
        <f t="shared" si="2"/>
        <v>0</v>
      </c>
    </row>
    <row r="1436">
      <c r="A1436" s="5" t="s">
        <v>60</v>
      </c>
      <c r="B1436" s="6">
        <v>179.0</v>
      </c>
      <c r="C1436" s="13" t="s">
        <v>296</v>
      </c>
      <c r="D1436" s="17">
        <f>SUMIFS(ShadowLedger!$D:$D,ShadowLedger!$G:$G,A1436,ShadowLedger!$C:$C,"&gt;="&amp;DATE(LEFT(SUBSTITUTE(C1436,"'",""),4),MID(SUBSTITUTE(C1436,"'",""),6,2),1),ShadowLedger!$C:$C,"&lt;"&amp;EOMONTH(DATE(LEFT(SUBSTITUTE(C1436,"'",""),4),MID(SUBSTITUTE(C1436,"'",""),6,2),1),0)+1)</f>
        <v>0</v>
      </c>
      <c r="E1436" s="17">
        <f t="shared" si="1"/>
        <v>179</v>
      </c>
      <c r="F1436" s="17">
        <f t="shared" si="2"/>
        <v>0</v>
      </c>
    </row>
    <row r="1437">
      <c r="A1437" s="5" t="s">
        <v>61</v>
      </c>
      <c r="B1437" s="6">
        <v>143.0</v>
      </c>
      <c r="C1437" s="13" t="s">
        <v>296</v>
      </c>
      <c r="D1437" s="17">
        <f>SUMIFS(ShadowLedger!$D:$D,ShadowLedger!$G:$G,A1437,ShadowLedger!$C:$C,"&gt;="&amp;DATE(LEFT(SUBSTITUTE(C1437,"'",""),4),MID(SUBSTITUTE(C1437,"'",""),6,2),1),ShadowLedger!$C:$C,"&lt;"&amp;EOMONTH(DATE(LEFT(SUBSTITUTE(C1437,"'",""),4),MID(SUBSTITUTE(C1437,"'",""),6,2),1),0)+1)</f>
        <v>0</v>
      </c>
      <c r="E1437" s="17">
        <f t="shared" si="1"/>
        <v>143</v>
      </c>
      <c r="F1437" s="17">
        <f t="shared" si="2"/>
        <v>0</v>
      </c>
    </row>
    <row r="1438">
      <c r="A1438" s="5" t="s">
        <v>62</v>
      </c>
      <c r="B1438" s="6">
        <v>143.0</v>
      </c>
      <c r="C1438" s="13" t="s">
        <v>296</v>
      </c>
      <c r="D1438" s="17">
        <f>SUMIFS(ShadowLedger!$D:$D,ShadowLedger!$G:$G,A1438,ShadowLedger!$C:$C,"&gt;="&amp;DATE(LEFT(SUBSTITUTE(C1438,"'",""),4),MID(SUBSTITUTE(C1438,"'",""),6,2),1),ShadowLedger!$C:$C,"&lt;"&amp;EOMONTH(DATE(LEFT(SUBSTITUTE(C1438,"'",""),4),MID(SUBSTITUTE(C1438,"'",""),6,2),1),0)+1)</f>
        <v>0</v>
      </c>
      <c r="E1438" s="17">
        <f t="shared" si="1"/>
        <v>143</v>
      </c>
      <c r="F1438" s="17">
        <f t="shared" si="2"/>
        <v>0</v>
      </c>
    </row>
    <row r="1439">
      <c r="A1439" s="5" t="s">
        <v>63</v>
      </c>
      <c r="B1439" s="6">
        <v>119.0</v>
      </c>
      <c r="C1439" s="13" t="s">
        <v>296</v>
      </c>
      <c r="D1439" s="17">
        <f>SUMIFS(ShadowLedger!$D:$D,ShadowLedger!$G:$G,A1439,ShadowLedger!$C:$C,"&gt;="&amp;DATE(LEFT(SUBSTITUTE(C1439,"'",""),4),MID(SUBSTITUTE(C1439,"'",""),6,2),1),ShadowLedger!$C:$C,"&lt;"&amp;EOMONTH(DATE(LEFT(SUBSTITUTE(C1439,"'",""),4),MID(SUBSTITUTE(C1439,"'",""),6,2),1),0)+1)</f>
        <v>0</v>
      </c>
      <c r="E1439" s="17">
        <f t="shared" si="1"/>
        <v>119</v>
      </c>
      <c r="F1439" s="17">
        <f t="shared" si="2"/>
        <v>0</v>
      </c>
    </row>
    <row r="1440">
      <c r="A1440" s="5" t="s">
        <v>64</v>
      </c>
      <c r="B1440" s="6">
        <v>119.0</v>
      </c>
      <c r="C1440" s="13" t="s">
        <v>296</v>
      </c>
      <c r="D1440" s="17">
        <f>SUMIFS(ShadowLedger!$D:$D,ShadowLedger!$G:$G,A1440,ShadowLedger!$C:$C,"&gt;="&amp;DATE(LEFT(SUBSTITUTE(C1440,"'",""),4),MID(SUBSTITUTE(C1440,"'",""),6,2),1),ShadowLedger!$C:$C,"&lt;"&amp;EOMONTH(DATE(LEFT(SUBSTITUTE(C1440,"'",""),4),MID(SUBSTITUTE(C1440,"'",""),6,2),1),0)+1)</f>
        <v>0</v>
      </c>
      <c r="E1440" s="17">
        <f t="shared" si="1"/>
        <v>119</v>
      </c>
      <c r="F1440" s="17">
        <f t="shared" si="2"/>
        <v>0</v>
      </c>
    </row>
    <row r="1441">
      <c r="A1441" s="5" t="s">
        <v>70</v>
      </c>
      <c r="B1441" s="6">
        <v>119.0</v>
      </c>
      <c r="C1441" s="13" t="s">
        <v>296</v>
      </c>
      <c r="D1441" s="17">
        <f>SUMIFS(ShadowLedger!$D:$D,ShadowLedger!$G:$G,A1441,ShadowLedger!$C:$C,"&gt;="&amp;DATE(LEFT(SUBSTITUTE(C1441,"'",""),4),MID(SUBSTITUTE(C1441,"'",""),6,2),1),ShadowLedger!$C:$C,"&lt;"&amp;EOMONTH(DATE(LEFT(SUBSTITUTE(C1441,"'",""),4),MID(SUBSTITUTE(C1441,"'",""),6,2),1),0)+1)</f>
        <v>0</v>
      </c>
      <c r="E1441" s="17">
        <f t="shared" si="1"/>
        <v>119</v>
      </c>
      <c r="F1441" s="17">
        <f t="shared" si="2"/>
        <v>0</v>
      </c>
    </row>
    <row r="1442">
      <c r="A1442" s="5" t="s">
        <v>65</v>
      </c>
      <c r="B1442" s="6">
        <v>60.0</v>
      </c>
      <c r="C1442" s="13" t="s">
        <v>296</v>
      </c>
      <c r="D1442" s="17">
        <f>SUMIFS(ShadowLedger!$D:$D,ShadowLedger!$G:$G,A1442,ShadowLedger!$C:$C,"&gt;="&amp;DATE(LEFT(SUBSTITUTE(C1442,"'",""),4),MID(SUBSTITUTE(C1442,"'",""),6,2),1),ShadowLedger!$C:$C,"&lt;"&amp;EOMONTH(DATE(LEFT(SUBSTITUTE(C1442,"'",""),4),MID(SUBSTITUTE(C1442,"'",""),6,2),1),0)+1)</f>
        <v>0</v>
      </c>
      <c r="E1442" s="17">
        <f t="shared" si="1"/>
        <v>60</v>
      </c>
      <c r="F1442" s="17">
        <f t="shared" si="2"/>
        <v>0</v>
      </c>
    </row>
    <row r="1443">
      <c r="A1443" s="5" t="s">
        <v>66</v>
      </c>
      <c r="B1443" s="6">
        <v>60.0</v>
      </c>
      <c r="C1443" s="13" t="s">
        <v>296</v>
      </c>
      <c r="D1443" s="17">
        <f>SUMIFS(ShadowLedger!$D:$D,ShadowLedger!$G:$G,A1443,ShadowLedger!$C:$C,"&gt;="&amp;DATE(LEFT(SUBSTITUTE(C1443,"'",""),4),MID(SUBSTITUTE(C1443,"'",""),6,2),1),ShadowLedger!$C:$C,"&lt;"&amp;EOMONTH(DATE(LEFT(SUBSTITUTE(C1443,"'",""),4),MID(SUBSTITUTE(C1443,"'",""),6,2),1),0)+1)</f>
        <v>0</v>
      </c>
      <c r="E1443" s="17">
        <f t="shared" si="1"/>
        <v>60</v>
      </c>
      <c r="F1443" s="17">
        <f t="shared" si="2"/>
        <v>0</v>
      </c>
    </row>
    <row r="1444">
      <c r="A1444" s="5" t="s">
        <v>67</v>
      </c>
      <c r="B1444" s="6">
        <v>60.0</v>
      </c>
      <c r="C1444" s="13" t="s">
        <v>296</v>
      </c>
      <c r="D1444" s="17">
        <f>SUMIFS(ShadowLedger!$D:$D,ShadowLedger!$G:$G,A1444,ShadowLedger!$C:$C,"&gt;="&amp;DATE(LEFT(SUBSTITUTE(C1444,"'",""),4),MID(SUBSTITUTE(C1444,"'",""),6,2),1),ShadowLedger!$C:$C,"&lt;"&amp;EOMONTH(DATE(LEFT(SUBSTITUTE(C1444,"'",""),4),MID(SUBSTITUTE(C1444,"'",""),6,2),1),0)+1)</f>
        <v>0</v>
      </c>
      <c r="E1444" s="17">
        <f t="shared" si="1"/>
        <v>60</v>
      </c>
      <c r="F1444" s="17">
        <f t="shared" si="2"/>
        <v>0</v>
      </c>
    </row>
    <row r="1445">
      <c r="A1445" s="5" t="s">
        <v>68</v>
      </c>
      <c r="B1445" s="6">
        <v>60.0</v>
      </c>
      <c r="C1445" s="13" t="s">
        <v>296</v>
      </c>
      <c r="D1445" s="17">
        <f>SUMIFS(ShadowLedger!$D:$D,ShadowLedger!$G:$G,A1445,ShadowLedger!$C:$C,"&gt;="&amp;DATE(LEFT(SUBSTITUTE(C1445,"'",""),4),MID(SUBSTITUTE(C1445,"'",""),6,2),1),ShadowLedger!$C:$C,"&lt;"&amp;EOMONTH(DATE(LEFT(SUBSTITUTE(C1445,"'",""),4),MID(SUBSTITUTE(C1445,"'",""),6,2),1),0)+1)</f>
        <v>0</v>
      </c>
      <c r="E1445" s="17">
        <f t="shared" si="1"/>
        <v>60</v>
      </c>
      <c r="F1445" s="17">
        <f t="shared" si="2"/>
        <v>0</v>
      </c>
    </row>
    <row r="1446">
      <c r="A1446" s="5" t="s">
        <v>69</v>
      </c>
      <c r="B1446" s="6">
        <v>0.0</v>
      </c>
      <c r="C1446" s="13" t="s">
        <v>296</v>
      </c>
      <c r="D1446" s="17">
        <f>SUMIFS(ShadowLedger!$D:$D,ShadowLedger!$G:$G,A1446,ShadowLedger!$C:$C,"&gt;="&amp;DATE(LEFT(SUBSTITUTE(C1446,"'",""),4),MID(SUBSTITUTE(C1446,"'",""),6,2),1),ShadowLedger!$C:$C,"&lt;"&amp;EOMONTH(DATE(LEFT(SUBSTITUTE(C1446,"'",""),4),MID(SUBSTITUTE(C1446,"'",""),6,2),1),0)+1)</f>
        <v>0</v>
      </c>
      <c r="E1446" s="17">
        <f t="shared" si="1"/>
        <v>0</v>
      </c>
      <c r="F1446" s="17">
        <f t="shared" si="2"/>
        <v>0</v>
      </c>
    </row>
    <row r="1447">
      <c r="A1447" s="5" t="s">
        <v>54</v>
      </c>
      <c r="B1447" s="6">
        <v>1131.0</v>
      </c>
      <c r="C1447" s="13" t="s">
        <v>297</v>
      </c>
      <c r="D1447" s="17">
        <f>SUMIFS(ShadowLedger!$D:$D,ShadowLedger!$G:$G,A1447,ShadowLedger!$C:$C,"&gt;="&amp;DATE(LEFT(SUBSTITUTE(C1447,"'",""),4),MID(SUBSTITUTE(C1447,"'",""),6,2),1),ShadowLedger!$C:$C,"&lt;"&amp;EOMONTH(DATE(LEFT(SUBSTITUTE(C1447,"'",""),4),MID(SUBSTITUTE(C1447,"'",""),6,2),1),0)+1)</f>
        <v>0</v>
      </c>
      <c r="E1447" s="17">
        <f t="shared" si="1"/>
        <v>1131</v>
      </c>
      <c r="F1447" s="17">
        <f t="shared" si="2"/>
        <v>0</v>
      </c>
    </row>
    <row r="1448">
      <c r="A1448" s="5" t="s">
        <v>55</v>
      </c>
      <c r="B1448" s="6">
        <v>861.0</v>
      </c>
      <c r="C1448" s="13" t="s">
        <v>297</v>
      </c>
      <c r="D1448" s="17">
        <f>SUMIFS(ShadowLedger!$D:$D,ShadowLedger!$G:$G,A1448,ShadowLedger!$C:$C,"&gt;="&amp;DATE(LEFT(SUBSTITUTE(C1448,"'",""),4),MID(SUBSTITUTE(C1448,"'",""),6,2),1),ShadowLedger!$C:$C,"&lt;"&amp;EOMONTH(DATE(LEFT(SUBSTITUTE(C1448,"'",""),4),MID(SUBSTITUTE(C1448,"'",""),6,2),1),0)+1)</f>
        <v>0</v>
      </c>
      <c r="E1448" s="17">
        <f t="shared" si="1"/>
        <v>861</v>
      </c>
      <c r="F1448" s="17">
        <f t="shared" si="2"/>
        <v>0</v>
      </c>
    </row>
    <row r="1449">
      <c r="A1449" s="5" t="s">
        <v>56</v>
      </c>
      <c r="B1449" s="6">
        <v>615.0</v>
      </c>
      <c r="C1449" s="13" t="s">
        <v>297</v>
      </c>
      <c r="D1449" s="17">
        <f>SUMIFS(ShadowLedger!$D:$D,ShadowLedger!$G:$G,A1449,ShadowLedger!$C:$C,"&gt;="&amp;DATE(LEFT(SUBSTITUTE(C1449,"'",""),4),MID(SUBSTITUTE(C1449,"'",""),6,2),1),ShadowLedger!$C:$C,"&lt;"&amp;EOMONTH(DATE(LEFT(SUBSTITUTE(C1449,"'",""),4),MID(SUBSTITUTE(C1449,"'",""),6,2),1),0)+1)</f>
        <v>0</v>
      </c>
      <c r="E1449" s="17">
        <f t="shared" si="1"/>
        <v>615</v>
      </c>
      <c r="F1449" s="17">
        <f t="shared" si="2"/>
        <v>0</v>
      </c>
    </row>
    <row r="1450">
      <c r="A1450" s="5" t="s">
        <v>57</v>
      </c>
      <c r="B1450" s="6">
        <v>615.0</v>
      </c>
      <c r="C1450" s="13" t="s">
        <v>297</v>
      </c>
      <c r="D1450" s="17">
        <f>SUMIFS(ShadowLedger!$D:$D,ShadowLedger!$G:$G,A1450,ShadowLedger!$C:$C,"&gt;="&amp;DATE(LEFT(SUBSTITUTE(C1450,"'",""),4),MID(SUBSTITUTE(C1450,"'",""),6,2),1),ShadowLedger!$C:$C,"&lt;"&amp;EOMONTH(DATE(LEFT(SUBSTITUTE(C1450,"'",""),4),MID(SUBSTITUTE(C1450,"'",""),6,2),1),0)+1)</f>
        <v>0</v>
      </c>
      <c r="E1450" s="17">
        <f t="shared" si="1"/>
        <v>615</v>
      </c>
      <c r="F1450" s="17">
        <f t="shared" si="2"/>
        <v>0</v>
      </c>
    </row>
    <row r="1451">
      <c r="A1451" s="5" t="s">
        <v>58</v>
      </c>
      <c r="B1451" s="6">
        <v>492.0</v>
      </c>
      <c r="C1451" s="13" t="s">
        <v>297</v>
      </c>
      <c r="D1451" s="17">
        <f>SUMIFS(ShadowLedger!$D:$D,ShadowLedger!$G:$G,A1451,ShadowLedger!$C:$C,"&gt;="&amp;DATE(LEFT(SUBSTITUTE(C1451,"'",""),4),MID(SUBSTITUTE(C1451,"'",""),6,2),1),ShadowLedger!$C:$C,"&lt;"&amp;EOMONTH(DATE(LEFT(SUBSTITUTE(C1451,"'",""),4),MID(SUBSTITUTE(C1451,"'",""),6,2),1),0)+1)</f>
        <v>0</v>
      </c>
      <c r="E1451" s="17">
        <f t="shared" si="1"/>
        <v>492</v>
      </c>
      <c r="F1451" s="17">
        <f t="shared" si="2"/>
        <v>0</v>
      </c>
    </row>
    <row r="1452">
      <c r="A1452" s="5" t="s">
        <v>59</v>
      </c>
      <c r="B1452" s="6">
        <v>246.0</v>
      </c>
      <c r="C1452" s="13" t="s">
        <v>297</v>
      </c>
      <c r="D1452" s="17">
        <f>SUMIFS(ShadowLedger!$D:$D,ShadowLedger!$G:$G,A1452,ShadowLedger!$C:$C,"&gt;="&amp;DATE(LEFT(SUBSTITUTE(C1452,"'",""),4),MID(SUBSTITUTE(C1452,"'",""),6,2),1),ShadowLedger!$C:$C,"&lt;"&amp;EOMONTH(DATE(LEFT(SUBSTITUTE(C1452,"'",""),4),MID(SUBSTITUTE(C1452,"'",""),6,2),1),0)+1)</f>
        <v>0</v>
      </c>
      <c r="E1452" s="17">
        <f t="shared" si="1"/>
        <v>246</v>
      </c>
      <c r="F1452" s="17">
        <f t="shared" si="2"/>
        <v>0</v>
      </c>
    </row>
    <row r="1453">
      <c r="A1453" s="5" t="s">
        <v>60</v>
      </c>
      <c r="B1453" s="6">
        <v>184.0</v>
      </c>
      <c r="C1453" s="13" t="s">
        <v>297</v>
      </c>
      <c r="D1453" s="17">
        <f>SUMIFS(ShadowLedger!$D:$D,ShadowLedger!$G:$G,A1453,ShadowLedger!$C:$C,"&gt;="&amp;DATE(LEFT(SUBSTITUTE(C1453,"'",""),4),MID(SUBSTITUTE(C1453,"'",""),6,2),1),ShadowLedger!$C:$C,"&lt;"&amp;EOMONTH(DATE(LEFT(SUBSTITUTE(C1453,"'",""),4),MID(SUBSTITUTE(C1453,"'",""),6,2),1),0)+1)</f>
        <v>0</v>
      </c>
      <c r="E1453" s="17">
        <f t="shared" si="1"/>
        <v>184</v>
      </c>
      <c r="F1453" s="17">
        <f t="shared" si="2"/>
        <v>0</v>
      </c>
    </row>
    <row r="1454">
      <c r="A1454" s="5" t="s">
        <v>61</v>
      </c>
      <c r="B1454" s="6">
        <v>148.0</v>
      </c>
      <c r="C1454" s="13" t="s">
        <v>297</v>
      </c>
      <c r="D1454" s="17">
        <f>SUMIFS(ShadowLedger!$D:$D,ShadowLedger!$G:$G,A1454,ShadowLedger!$C:$C,"&gt;="&amp;DATE(LEFT(SUBSTITUTE(C1454,"'",""),4),MID(SUBSTITUTE(C1454,"'",""),6,2),1),ShadowLedger!$C:$C,"&lt;"&amp;EOMONTH(DATE(LEFT(SUBSTITUTE(C1454,"'",""),4),MID(SUBSTITUTE(C1454,"'",""),6,2),1),0)+1)</f>
        <v>0</v>
      </c>
      <c r="E1454" s="17">
        <f t="shared" si="1"/>
        <v>148</v>
      </c>
      <c r="F1454" s="17">
        <f t="shared" si="2"/>
        <v>0</v>
      </c>
    </row>
    <row r="1455">
      <c r="A1455" s="5" t="s">
        <v>62</v>
      </c>
      <c r="B1455" s="6">
        <v>148.0</v>
      </c>
      <c r="C1455" s="13" t="s">
        <v>297</v>
      </c>
      <c r="D1455" s="17">
        <f>SUMIFS(ShadowLedger!$D:$D,ShadowLedger!$G:$G,A1455,ShadowLedger!$C:$C,"&gt;="&amp;DATE(LEFT(SUBSTITUTE(C1455,"'",""),4),MID(SUBSTITUTE(C1455,"'",""),6,2),1),ShadowLedger!$C:$C,"&lt;"&amp;EOMONTH(DATE(LEFT(SUBSTITUTE(C1455,"'",""),4),MID(SUBSTITUTE(C1455,"'",""),6,2),1),0)+1)</f>
        <v>0</v>
      </c>
      <c r="E1455" s="17">
        <f t="shared" si="1"/>
        <v>148</v>
      </c>
      <c r="F1455" s="17">
        <f t="shared" si="2"/>
        <v>0</v>
      </c>
    </row>
    <row r="1456">
      <c r="A1456" s="5" t="s">
        <v>63</v>
      </c>
      <c r="B1456" s="6">
        <v>123.0</v>
      </c>
      <c r="C1456" s="13" t="s">
        <v>297</v>
      </c>
      <c r="D1456" s="17">
        <f>SUMIFS(ShadowLedger!$D:$D,ShadowLedger!$G:$G,A1456,ShadowLedger!$C:$C,"&gt;="&amp;DATE(LEFT(SUBSTITUTE(C1456,"'",""),4),MID(SUBSTITUTE(C1456,"'",""),6,2),1),ShadowLedger!$C:$C,"&lt;"&amp;EOMONTH(DATE(LEFT(SUBSTITUTE(C1456,"'",""),4),MID(SUBSTITUTE(C1456,"'",""),6,2),1),0)+1)</f>
        <v>0</v>
      </c>
      <c r="E1456" s="17">
        <f t="shared" si="1"/>
        <v>123</v>
      </c>
      <c r="F1456" s="17">
        <f t="shared" si="2"/>
        <v>0</v>
      </c>
    </row>
    <row r="1457">
      <c r="A1457" s="5" t="s">
        <v>64</v>
      </c>
      <c r="B1457" s="6">
        <v>123.0</v>
      </c>
      <c r="C1457" s="13" t="s">
        <v>297</v>
      </c>
      <c r="D1457" s="17">
        <f>SUMIFS(ShadowLedger!$D:$D,ShadowLedger!$G:$G,A1457,ShadowLedger!$C:$C,"&gt;="&amp;DATE(LEFT(SUBSTITUTE(C1457,"'",""),4),MID(SUBSTITUTE(C1457,"'",""),6,2),1),ShadowLedger!$C:$C,"&lt;"&amp;EOMONTH(DATE(LEFT(SUBSTITUTE(C1457,"'",""),4),MID(SUBSTITUTE(C1457,"'",""),6,2),1),0)+1)</f>
        <v>0</v>
      </c>
      <c r="E1457" s="17">
        <f t="shared" si="1"/>
        <v>123</v>
      </c>
      <c r="F1457" s="17">
        <f t="shared" si="2"/>
        <v>0</v>
      </c>
    </row>
    <row r="1458">
      <c r="A1458" s="5" t="s">
        <v>70</v>
      </c>
      <c r="B1458" s="6">
        <v>123.0</v>
      </c>
      <c r="C1458" s="13" t="s">
        <v>297</v>
      </c>
      <c r="D1458" s="17">
        <f>SUMIFS(ShadowLedger!$D:$D,ShadowLedger!$G:$G,A1458,ShadowLedger!$C:$C,"&gt;="&amp;DATE(LEFT(SUBSTITUTE(C1458,"'",""),4),MID(SUBSTITUTE(C1458,"'",""),6,2),1),ShadowLedger!$C:$C,"&lt;"&amp;EOMONTH(DATE(LEFT(SUBSTITUTE(C1458,"'",""),4),MID(SUBSTITUTE(C1458,"'",""),6,2),1),0)+1)</f>
        <v>0</v>
      </c>
      <c r="E1458" s="17">
        <f t="shared" si="1"/>
        <v>123</v>
      </c>
      <c r="F1458" s="17">
        <f t="shared" si="2"/>
        <v>0</v>
      </c>
    </row>
    <row r="1459">
      <c r="A1459" s="5" t="s">
        <v>65</v>
      </c>
      <c r="B1459" s="6">
        <v>61.0</v>
      </c>
      <c r="C1459" s="13" t="s">
        <v>297</v>
      </c>
      <c r="D1459" s="17">
        <f>SUMIFS(ShadowLedger!$D:$D,ShadowLedger!$G:$G,A1459,ShadowLedger!$C:$C,"&gt;="&amp;DATE(LEFT(SUBSTITUTE(C1459,"'",""),4),MID(SUBSTITUTE(C1459,"'",""),6,2),1),ShadowLedger!$C:$C,"&lt;"&amp;EOMONTH(DATE(LEFT(SUBSTITUTE(C1459,"'",""),4),MID(SUBSTITUTE(C1459,"'",""),6,2),1),0)+1)</f>
        <v>0</v>
      </c>
      <c r="E1459" s="17">
        <f t="shared" si="1"/>
        <v>61</v>
      </c>
      <c r="F1459" s="17">
        <f t="shared" si="2"/>
        <v>0</v>
      </c>
    </row>
    <row r="1460">
      <c r="A1460" s="5" t="s">
        <v>66</v>
      </c>
      <c r="B1460" s="6">
        <v>61.0</v>
      </c>
      <c r="C1460" s="13" t="s">
        <v>297</v>
      </c>
      <c r="D1460" s="17">
        <f>SUMIFS(ShadowLedger!$D:$D,ShadowLedger!$G:$G,A1460,ShadowLedger!$C:$C,"&gt;="&amp;DATE(LEFT(SUBSTITUTE(C1460,"'",""),4),MID(SUBSTITUTE(C1460,"'",""),6,2),1),ShadowLedger!$C:$C,"&lt;"&amp;EOMONTH(DATE(LEFT(SUBSTITUTE(C1460,"'",""),4),MID(SUBSTITUTE(C1460,"'",""),6,2),1),0)+1)</f>
        <v>0</v>
      </c>
      <c r="E1460" s="17">
        <f t="shared" si="1"/>
        <v>61</v>
      </c>
      <c r="F1460" s="17">
        <f t="shared" si="2"/>
        <v>0</v>
      </c>
    </row>
    <row r="1461">
      <c r="A1461" s="5" t="s">
        <v>67</v>
      </c>
      <c r="B1461" s="6">
        <v>61.0</v>
      </c>
      <c r="C1461" s="13" t="s">
        <v>297</v>
      </c>
      <c r="D1461" s="17">
        <f>SUMIFS(ShadowLedger!$D:$D,ShadowLedger!$G:$G,A1461,ShadowLedger!$C:$C,"&gt;="&amp;DATE(LEFT(SUBSTITUTE(C1461,"'",""),4),MID(SUBSTITUTE(C1461,"'",""),6,2),1),ShadowLedger!$C:$C,"&lt;"&amp;EOMONTH(DATE(LEFT(SUBSTITUTE(C1461,"'",""),4),MID(SUBSTITUTE(C1461,"'",""),6,2),1),0)+1)</f>
        <v>0</v>
      </c>
      <c r="E1461" s="17">
        <f t="shared" si="1"/>
        <v>61</v>
      </c>
      <c r="F1461" s="17">
        <f t="shared" si="2"/>
        <v>0</v>
      </c>
    </row>
    <row r="1462">
      <c r="A1462" s="5" t="s">
        <v>68</v>
      </c>
      <c r="B1462" s="6">
        <v>61.0</v>
      </c>
      <c r="C1462" s="13" t="s">
        <v>297</v>
      </c>
      <c r="D1462" s="17">
        <f>SUMIFS(ShadowLedger!$D:$D,ShadowLedger!$G:$G,A1462,ShadowLedger!$C:$C,"&gt;="&amp;DATE(LEFT(SUBSTITUTE(C1462,"'",""),4),MID(SUBSTITUTE(C1462,"'",""),6,2),1),ShadowLedger!$C:$C,"&lt;"&amp;EOMONTH(DATE(LEFT(SUBSTITUTE(C1462,"'",""),4),MID(SUBSTITUTE(C1462,"'",""),6,2),1),0)+1)</f>
        <v>0</v>
      </c>
      <c r="E1462" s="17">
        <f t="shared" si="1"/>
        <v>61</v>
      </c>
      <c r="F1462" s="17">
        <f t="shared" si="2"/>
        <v>0</v>
      </c>
    </row>
    <row r="1463">
      <c r="A1463" s="5" t="s">
        <v>69</v>
      </c>
      <c r="B1463" s="6">
        <v>0.0</v>
      </c>
      <c r="C1463" s="13" t="s">
        <v>297</v>
      </c>
      <c r="D1463" s="17">
        <f>SUMIFS(ShadowLedger!$D:$D,ShadowLedger!$G:$G,A1463,ShadowLedger!$C:$C,"&gt;="&amp;DATE(LEFT(SUBSTITUTE(C1463,"'",""),4),MID(SUBSTITUTE(C1463,"'",""),6,2),1),ShadowLedger!$C:$C,"&lt;"&amp;EOMONTH(DATE(LEFT(SUBSTITUTE(C1463,"'",""),4),MID(SUBSTITUTE(C1463,"'",""),6,2),1),0)+1)</f>
        <v>0</v>
      </c>
      <c r="E1463" s="17">
        <f t="shared" si="1"/>
        <v>0</v>
      </c>
      <c r="F1463" s="17">
        <f t="shared" si="2"/>
        <v>0</v>
      </c>
    </row>
    <row r="1464">
      <c r="A1464" s="5" t="s">
        <v>54</v>
      </c>
      <c r="B1464" s="6">
        <v>1131.0</v>
      </c>
      <c r="C1464" s="13" t="s">
        <v>298</v>
      </c>
      <c r="D1464" s="17">
        <f>SUMIFS(ShadowLedger!$D:$D,ShadowLedger!$G:$G,A1464,ShadowLedger!$C:$C,"&gt;="&amp;DATE(LEFT(SUBSTITUTE(C1464,"'",""),4),MID(SUBSTITUTE(C1464,"'",""),6,2),1),ShadowLedger!$C:$C,"&lt;"&amp;EOMONTH(DATE(LEFT(SUBSTITUTE(C1464,"'",""),4),MID(SUBSTITUTE(C1464,"'",""),6,2),1),0)+1)</f>
        <v>0</v>
      </c>
      <c r="E1464" s="17">
        <f t="shared" si="1"/>
        <v>1131</v>
      </c>
      <c r="F1464" s="17">
        <f t="shared" si="2"/>
        <v>0</v>
      </c>
    </row>
    <row r="1465">
      <c r="A1465" s="5" t="s">
        <v>55</v>
      </c>
      <c r="B1465" s="6">
        <v>861.0</v>
      </c>
      <c r="C1465" s="13" t="s">
        <v>298</v>
      </c>
      <c r="D1465" s="17">
        <f>SUMIFS(ShadowLedger!$D:$D,ShadowLedger!$G:$G,A1465,ShadowLedger!$C:$C,"&gt;="&amp;DATE(LEFT(SUBSTITUTE(C1465,"'",""),4),MID(SUBSTITUTE(C1465,"'",""),6,2),1),ShadowLedger!$C:$C,"&lt;"&amp;EOMONTH(DATE(LEFT(SUBSTITUTE(C1465,"'",""),4),MID(SUBSTITUTE(C1465,"'",""),6,2),1),0)+1)</f>
        <v>0</v>
      </c>
      <c r="E1465" s="17">
        <f t="shared" si="1"/>
        <v>861</v>
      </c>
      <c r="F1465" s="17">
        <f t="shared" si="2"/>
        <v>0</v>
      </c>
    </row>
    <row r="1466">
      <c r="A1466" s="5" t="s">
        <v>56</v>
      </c>
      <c r="B1466" s="6">
        <v>615.0</v>
      </c>
      <c r="C1466" s="13" t="s">
        <v>298</v>
      </c>
      <c r="D1466" s="17">
        <f>SUMIFS(ShadowLedger!$D:$D,ShadowLedger!$G:$G,A1466,ShadowLedger!$C:$C,"&gt;="&amp;DATE(LEFT(SUBSTITUTE(C1466,"'",""),4),MID(SUBSTITUTE(C1466,"'",""),6,2),1),ShadowLedger!$C:$C,"&lt;"&amp;EOMONTH(DATE(LEFT(SUBSTITUTE(C1466,"'",""),4),MID(SUBSTITUTE(C1466,"'",""),6,2),1),0)+1)</f>
        <v>0</v>
      </c>
      <c r="E1466" s="17">
        <f t="shared" si="1"/>
        <v>615</v>
      </c>
      <c r="F1466" s="17">
        <f t="shared" si="2"/>
        <v>0</v>
      </c>
    </row>
    <row r="1467">
      <c r="A1467" s="5" t="s">
        <v>57</v>
      </c>
      <c r="B1467" s="6">
        <v>615.0</v>
      </c>
      <c r="C1467" s="13" t="s">
        <v>298</v>
      </c>
      <c r="D1467" s="17">
        <f>SUMIFS(ShadowLedger!$D:$D,ShadowLedger!$G:$G,A1467,ShadowLedger!$C:$C,"&gt;="&amp;DATE(LEFT(SUBSTITUTE(C1467,"'",""),4),MID(SUBSTITUTE(C1467,"'",""),6,2),1),ShadowLedger!$C:$C,"&lt;"&amp;EOMONTH(DATE(LEFT(SUBSTITUTE(C1467,"'",""),4),MID(SUBSTITUTE(C1467,"'",""),6,2),1),0)+1)</f>
        <v>0</v>
      </c>
      <c r="E1467" s="17">
        <f t="shared" si="1"/>
        <v>615</v>
      </c>
      <c r="F1467" s="17">
        <f t="shared" si="2"/>
        <v>0</v>
      </c>
    </row>
    <row r="1468">
      <c r="A1468" s="5" t="s">
        <v>58</v>
      </c>
      <c r="B1468" s="6">
        <v>492.0</v>
      </c>
      <c r="C1468" s="13" t="s">
        <v>298</v>
      </c>
      <c r="D1468" s="17">
        <f>SUMIFS(ShadowLedger!$D:$D,ShadowLedger!$G:$G,A1468,ShadowLedger!$C:$C,"&gt;="&amp;DATE(LEFT(SUBSTITUTE(C1468,"'",""),4),MID(SUBSTITUTE(C1468,"'",""),6,2),1),ShadowLedger!$C:$C,"&lt;"&amp;EOMONTH(DATE(LEFT(SUBSTITUTE(C1468,"'",""),4),MID(SUBSTITUTE(C1468,"'",""),6,2),1),0)+1)</f>
        <v>0</v>
      </c>
      <c r="E1468" s="17">
        <f t="shared" si="1"/>
        <v>492</v>
      </c>
      <c r="F1468" s="17">
        <f t="shared" si="2"/>
        <v>0</v>
      </c>
    </row>
    <row r="1469">
      <c r="A1469" s="5" t="s">
        <v>59</v>
      </c>
      <c r="B1469" s="6">
        <v>246.0</v>
      </c>
      <c r="C1469" s="13" t="s">
        <v>298</v>
      </c>
      <c r="D1469" s="17">
        <f>SUMIFS(ShadowLedger!$D:$D,ShadowLedger!$G:$G,A1469,ShadowLedger!$C:$C,"&gt;="&amp;DATE(LEFT(SUBSTITUTE(C1469,"'",""),4),MID(SUBSTITUTE(C1469,"'",""),6,2),1),ShadowLedger!$C:$C,"&lt;"&amp;EOMONTH(DATE(LEFT(SUBSTITUTE(C1469,"'",""),4),MID(SUBSTITUTE(C1469,"'",""),6,2),1),0)+1)</f>
        <v>0</v>
      </c>
      <c r="E1469" s="17">
        <f t="shared" si="1"/>
        <v>246</v>
      </c>
      <c r="F1469" s="17">
        <f t="shared" si="2"/>
        <v>0</v>
      </c>
    </row>
    <row r="1470">
      <c r="A1470" s="5" t="s">
        <v>60</v>
      </c>
      <c r="B1470" s="6">
        <v>184.0</v>
      </c>
      <c r="C1470" s="13" t="s">
        <v>298</v>
      </c>
      <c r="D1470" s="17">
        <f>SUMIFS(ShadowLedger!$D:$D,ShadowLedger!$G:$G,A1470,ShadowLedger!$C:$C,"&gt;="&amp;DATE(LEFT(SUBSTITUTE(C1470,"'",""),4),MID(SUBSTITUTE(C1470,"'",""),6,2),1),ShadowLedger!$C:$C,"&lt;"&amp;EOMONTH(DATE(LEFT(SUBSTITUTE(C1470,"'",""),4),MID(SUBSTITUTE(C1470,"'",""),6,2),1),0)+1)</f>
        <v>0</v>
      </c>
      <c r="E1470" s="17">
        <f t="shared" si="1"/>
        <v>184</v>
      </c>
      <c r="F1470" s="17">
        <f t="shared" si="2"/>
        <v>0</v>
      </c>
    </row>
    <row r="1471">
      <c r="A1471" s="5" t="s">
        <v>61</v>
      </c>
      <c r="B1471" s="6">
        <v>148.0</v>
      </c>
      <c r="C1471" s="13" t="s">
        <v>298</v>
      </c>
      <c r="D1471" s="17">
        <f>SUMIFS(ShadowLedger!$D:$D,ShadowLedger!$G:$G,A1471,ShadowLedger!$C:$C,"&gt;="&amp;DATE(LEFT(SUBSTITUTE(C1471,"'",""),4),MID(SUBSTITUTE(C1471,"'",""),6,2),1),ShadowLedger!$C:$C,"&lt;"&amp;EOMONTH(DATE(LEFT(SUBSTITUTE(C1471,"'",""),4),MID(SUBSTITUTE(C1471,"'",""),6,2),1),0)+1)</f>
        <v>0</v>
      </c>
      <c r="E1471" s="17">
        <f t="shared" si="1"/>
        <v>148</v>
      </c>
      <c r="F1471" s="17">
        <f t="shared" si="2"/>
        <v>0</v>
      </c>
    </row>
    <row r="1472">
      <c r="A1472" s="5" t="s">
        <v>62</v>
      </c>
      <c r="B1472" s="6">
        <v>148.0</v>
      </c>
      <c r="C1472" s="13" t="s">
        <v>298</v>
      </c>
      <c r="D1472" s="17">
        <f>SUMIFS(ShadowLedger!$D:$D,ShadowLedger!$G:$G,A1472,ShadowLedger!$C:$C,"&gt;="&amp;DATE(LEFT(SUBSTITUTE(C1472,"'",""),4),MID(SUBSTITUTE(C1472,"'",""),6,2),1),ShadowLedger!$C:$C,"&lt;"&amp;EOMONTH(DATE(LEFT(SUBSTITUTE(C1472,"'",""),4),MID(SUBSTITUTE(C1472,"'",""),6,2),1),0)+1)</f>
        <v>0</v>
      </c>
      <c r="E1472" s="17">
        <f t="shared" si="1"/>
        <v>148</v>
      </c>
      <c r="F1472" s="17">
        <f t="shared" si="2"/>
        <v>0</v>
      </c>
    </row>
    <row r="1473">
      <c r="A1473" s="5" t="s">
        <v>63</v>
      </c>
      <c r="B1473" s="6">
        <v>123.0</v>
      </c>
      <c r="C1473" s="13" t="s">
        <v>298</v>
      </c>
      <c r="D1473" s="17">
        <f>SUMIFS(ShadowLedger!$D:$D,ShadowLedger!$G:$G,A1473,ShadowLedger!$C:$C,"&gt;="&amp;DATE(LEFT(SUBSTITUTE(C1473,"'",""),4),MID(SUBSTITUTE(C1473,"'",""),6,2),1),ShadowLedger!$C:$C,"&lt;"&amp;EOMONTH(DATE(LEFT(SUBSTITUTE(C1473,"'",""),4),MID(SUBSTITUTE(C1473,"'",""),6,2),1),0)+1)</f>
        <v>0</v>
      </c>
      <c r="E1473" s="17">
        <f t="shared" si="1"/>
        <v>123</v>
      </c>
      <c r="F1473" s="17">
        <f t="shared" si="2"/>
        <v>0</v>
      </c>
    </row>
    <row r="1474">
      <c r="A1474" s="5" t="s">
        <v>64</v>
      </c>
      <c r="B1474" s="6">
        <v>123.0</v>
      </c>
      <c r="C1474" s="13" t="s">
        <v>298</v>
      </c>
      <c r="D1474" s="17">
        <f>SUMIFS(ShadowLedger!$D:$D,ShadowLedger!$G:$G,A1474,ShadowLedger!$C:$C,"&gt;="&amp;DATE(LEFT(SUBSTITUTE(C1474,"'",""),4),MID(SUBSTITUTE(C1474,"'",""),6,2),1),ShadowLedger!$C:$C,"&lt;"&amp;EOMONTH(DATE(LEFT(SUBSTITUTE(C1474,"'",""),4),MID(SUBSTITUTE(C1474,"'",""),6,2),1),0)+1)</f>
        <v>0</v>
      </c>
      <c r="E1474" s="17">
        <f t="shared" si="1"/>
        <v>123</v>
      </c>
      <c r="F1474" s="17">
        <f t="shared" si="2"/>
        <v>0</v>
      </c>
    </row>
    <row r="1475">
      <c r="A1475" s="5" t="s">
        <v>70</v>
      </c>
      <c r="B1475" s="6">
        <v>123.0</v>
      </c>
      <c r="C1475" s="13" t="s">
        <v>298</v>
      </c>
      <c r="D1475" s="17">
        <f>SUMIFS(ShadowLedger!$D:$D,ShadowLedger!$G:$G,A1475,ShadowLedger!$C:$C,"&gt;="&amp;DATE(LEFT(SUBSTITUTE(C1475,"'",""),4),MID(SUBSTITUTE(C1475,"'",""),6,2),1),ShadowLedger!$C:$C,"&lt;"&amp;EOMONTH(DATE(LEFT(SUBSTITUTE(C1475,"'",""),4),MID(SUBSTITUTE(C1475,"'",""),6,2),1),0)+1)</f>
        <v>0</v>
      </c>
      <c r="E1475" s="17">
        <f t="shared" si="1"/>
        <v>123</v>
      </c>
      <c r="F1475" s="17">
        <f t="shared" si="2"/>
        <v>0</v>
      </c>
    </row>
    <row r="1476">
      <c r="A1476" s="5" t="s">
        <v>65</v>
      </c>
      <c r="B1476" s="6">
        <v>61.0</v>
      </c>
      <c r="C1476" s="13" t="s">
        <v>298</v>
      </c>
      <c r="D1476" s="17">
        <f>SUMIFS(ShadowLedger!$D:$D,ShadowLedger!$G:$G,A1476,ShadowLedger!$C:$C,"&gt;="&amp;DATE(LEFT(SUBSTITUTE(C1476,"'",""),4),MID(SUBSTITUTE(C1476,"'",""),6,2),1),ShadowLedger!$C:$C,"&lt;"&amp;EOMONTH(DATE(LEFT(SUBSTITUTE(C1476,"'",""),4),MID(SUBSTITUTE(C1476,"'",""),6,2),1),0)+1)</f>
        <v>0</v>
      </c>
      <c r="E1476" s="17">
        <f t="shared" si="1"/>
        <v>61</v>
      </c>
      <c r="F1476" s="17">
        <f t="shared" si="2"/>
        <v>0</v>
      </c>
    </row>
    <row r="1477">
      <c r="A1477" s="5" t="s">
        <v>66</v>
      </c>
      <c r="B1477" s="6">
        <v>61.0</v>
      </c>
      <c r="C1477" s="13" t="s">
        <v>298</v>
      </c>
      <c r="D1477" s="17">
        <f>SUMIFS(ShadowLedger!$D:$D,ShadowLedger!$G:$G,A1477,ShadowLedger!$C:$C,"&gt;="&amp;DATE(LEFT(SUBSTITUTE(C1477,"'",""),4),MID(SUBSTITUTE(C1477,"'",""),6,2),1),ShadowLedger!$C:$C,"&lt;"&amp;EOMONTH(DATE(LEFT(SUBSTITUTE(C1477,"'",""),4),MID(SUBSTITUTE(C1477,"'",""),6,2),1),0)+1)</f>
        <v>0</v>
      </c>
      <c r="E1477" s="17">
        <f t="shared" si="1"/>
        <v>61</v>
      </c>
      <c r="F1477" s="17">
        <f t="shared" si="2"/>
        <v>0</v>
      </c>
    </row>
    <row r="1478">
      <c r="A1478" s="5" t="s">
        <v>67</v>
      </c>
      <c r="B1478" s="6">
        <v>61.0</v>
      </c>
      <c r="C1478" s="13" t="s">
        <v>298</v>
      </c>
      <c r="D1478" s="17">
        <f>SUMIFS(ShadowLedger!$D:$D,ShadowLedger!$G:$G,A1478,ShadowLedger!$C:$C,"&gt;="&amp;DATE(LEFT(SUBSTITUTE(C1478,"'",""),4),MID(SUBSTITUTE(C1478,"'",""),6,2),1),ShadowLedger!$C:$C,"&lt;"&amp;EOMONTH(DATE(LEFT(SUBSTITUTE(C1478,"'",""),4),MID(SUBSTITUTE(C1478,"'",""),6,2),1),0)+1)</f>
        <v>0</v>
      </c>
      <c r="E1478" s="17">
        <f t="shared" si="1"/>
        <v>61</v>
      </c>
      <c r="F1478" s="17">
        <f t="shared" si="2"/>
        <v>0</v>
      </c>
    </row>
    <row r="1479">
      <c r="A1479" s="5" t="s">
        <v>68</v>
      </c>
      <c r="B1479" s="6">
        <v>61.0</v>
      </c>
      <c r="C1479" s="13" t="s">
        <v>298</v>
      </c>
      <c r="D1479" s="17">
        <f>SUMIFS(ShadowLedger!$D:$D,ShadowLedger!$G:$G,A1479,ShadowLedger!$C:$C,"&gt;="&amp;DATE(LEFT(SUBSTITUTE(C1479,"'",""),4),MID(SUBSTITUTE(C1479,"'",""),6,2),1),ShadowLedger!$C:$C,"&lt;"&amp;EOMONTH(DATE(LEFT(SUBSTITUTE(C1479,"'",""),4),MID(SUBSTITUTE(C1479,"'",""),6,2),1),0)+1)</f>
        <v>0</v>
      </c>
      <c r="E1479" s="17">
        <f t="shared" si="1"/>
        <v>61</v>
      </c>
      <c r="F1479" s="17">
        <f t="shared" si="2"/>
        <v>0</v>
      </c>
    </row>
    <row r="1480">
      <c r="A1480" s="5" t="s">
        <v>69</v>
      </c>
      <c r="B1480" s="6">
        <v>0.0</v>
      </c>
      <c r="C1480" s="13" t="s">
        <v>298</v>
      </c>
      <c r="D1480" s="17">
        <f>SUMIFS(ShadowLedger!$D:$D,ShadowLedger!$G:$G,A1480,ShadowLedger!$C:$C,"&gt;="&amp;DATE(LEFT(SUBSTITUTE(C1480,"'",""),4),MID(SUBSTITUTE(C1480,"'",""),6,2),1),ShadowLedger!$C:$C,"&lt;"&amp;EOMONTH(DATE(LEFT(SUBSTITUTE(C1480,"'",""),4),MID(SUBSTITUTE(C1480,"'",""),6,2),1),0)+1)</f>
        <v>0</v>
      </c>
      <c r="E1480" s="17">
        <f t="shared" si="1"/>
        <v>0</v>
      </c>
      <c r="F1480" s="17">
        <f t="shared" si="2"/>
        <v>0</v>
      </c>
    </row>
    <row r="1481">
      <c r="A1481" s="5" t="s">
        <v>54</v>
      </c>
      <c r="B1481" s="6">
        <v>1131.0</v>
      </c>
      <c r="C1481" s="13" t="s">
        <v>299</v>
      </c>
      <c r="D1481" s="17">
        <f>SUMIFS(ShadowLedger!$D:$D,ShadowLedger!$G:$G,A1481,ShadowLedger!$C:$C,"&gt;="&amp;DATE(LEFT(SUBSTITUTE(C1481,"'",""),4),MID(SUBSTITUTE(C1481,"'",""),6,2),1),ShadowLedger!$C:$C,"&lt;"&amp;EOMONTH(DATE(LEFT(SUBSTITUTE(C1481,"'",""),4),MID(SUBSTITUTE(C1481,"'",""),6,2),1),0)+1)</f>
        <v>0</v>
      </c>
      <c r="E1481" s="17">
        <f t="shared" si="1"/>
        <v>1131</v>
      </c>
      <c r="F1481" s="17">
        <f t="shared" si="2"/>
        <v>0</v>
      </c>
    </row>
    <row r="1482">
      <c r="A1482" s="5" t="s">
        <v>55</v>
      </c>
      <c r="B1482" s="6">
        <v>861.0</v>
      </c>
      <c r="C1482" s="13" t="s">
        <v>299</v>
      </c>
      <c r="D1482" s="17">
        <f>SUMIFS(ShadowLedger!$D:$D,ShadowLedger!$G:$G,A1482,ShadowLedger!$C:$C,"&gt;="&amp;DATE(LEFT(SUBSTITUTE(C1482,"'",""),4),MID(SUBSTITUTE(C1482,"'",""),6,2),1),ShadowLedger!$C:$C,"&lt;"&amp;EOMONTH(DATE(LEFT(SUBSTITUTE(C1482,"'",""),4),MID(SUBSTITUTE(C1482,"'",""),6,2),1),0)+1)</f>
        <v>0</v>
      </c>
      <c r="E1482" s="17">
        <f t="shared" si="1"/>
        <v>861</v>
      </c>
      <c r="F1482" s="17">
        <f t="shared" si="2"/>
        <v>0</v>
      </c>
    </row>
    <row r="1483">
      <c r="A1483" s="5" t="s">
        <v>56</v>
      </c>
      <c r="B1483" s="6">
        <v>615.0</v>
      </c>
      <c r="C1483" s="13" t="s">
        <v>299</v>
      </c>
      <c r="D1483" s="17">
        <f>SUMIFS(ShadowLedger!$D:$D,ShadowLedger!$G:$G,A1483,ShadowLedger!$C:$C,"&gt;="&amp;DATE(LEFT(SUBSTITUTE(C1483,"'",""),4),MID(SUBSTITUTE(C1483,"'",""),6,2),1),ShadowLedger!$C:$C,"&lt;"&amp;EOMONTH(DATE(LEFT(SUBSTITUTE(C1483,"'",""),4),MID(SUBSTITUTE(C1483,"'",""),6,2),1),0)+1)</f>
        <v>0</v>
      </c>
      <c r="E1483" s="17">
        <f t="shared" si="1"/>
        <v>615</v>
      </c>
      <c r="F1483" s="17">
        <f t="shared" si="2"/>
        <v>0</v>
      </c>
    </row>
    <row r="1484">
      <c r="A1484" s="5" t="s">
        <v>57</v>
      </c>
      <c r="B1484" s="6">
        <v>615.0</v>
      </c>
      <c r="C1484" s="13" t="s">
        <v>299</v>
      </c>
      <c r="D1484" s="17">
        <f>SUMIFS(ShadowLedger!$D:$D,ShadowLedger!$G:$G,A1484,ShadowLedger!$C:$C,"&gt;="&amp;DATE(LEFT(SUBSTITUTE(C1484,"'",""),4),MID(SUBSTITUTE(C1484,"'",""),6,2),1),ShadowLedger!$C:$C,"&lt;"&amp;EOMONTH(DATE(LEFT(SUBSTITUTE(C1484,"'",""),4),MID(SUBSTITUTE(C1484,"'",""),6,2),1),0)+1)</f>
        <v>0</v>
      </c>
      <c r="E1484" s="17">
        <f t="shared" si="1"/>
        <v>615</v>
      </c>
      <c r="F1484" s="17">
        <f t="shared" si="2"/>
        <v>0</v>
      </c>
    </row>
    <row r="1485">
      <c r="A1485" s="5" t="s">
        <v>58</v>
      </c>
      <c r="B1485" s="6">
        <v>492.0</v>
      </c>
      <c r="C1485" s="13" t="s">
        <v>299</v>
      </c>
      <c r="D1485" s="17">
        <f>SUMIFS(ShadowLedger!$D:$D,ShadowLedger!$G:$G,A1485,ShadowLedger!$C:$C,"&gt;="&amp;DATE(LEFT(SUBSTITUTE(C1485,"'",""),4),MID(SUBSTITUTE(C1485,"'",""),6,2),1),ShadowLedger!$C:$C,"&lt;"&amp;EOMONTH(DATE(LEFT(SUBSTITUTE(C1485,"'",""),4),MID(SUBSTITUTE(C1485,"'",""),6,2),1),0)+1)</f>
        <v>0</v>
      </c>
      <c r="E1485" s="17">
        <f t="shared" si="1"/>
        <v>492</v>
      </c>
      <c r="F1485" s="17">
        <f t="shared" si="2"/>
        <v>0</v>
      </c>
    </row>
    <row r="1486">
      <c r="A1486" s="5" t="s">
        <v>59</v>
      </c>
      <c r="B1486" s="6">
        <v>246.0</v>
      </c>
      <c r="C1486" s="13" t="s">
        <v>299</v>
      </c>
      <c r="D1486" s="17">
        <f>SUMIFS(ShadowLedger!$D:$D,ShadowLedger!$G:$G,A1486,ShadowLedger!$C:$C,"&gt;="&amp;DATE(LEFT(SUBSTITUTE(C1486,"'",""),4),MID(SUBSTITUTE(C1486,"'",""),6,2),1),ShadowLedger!$C:$C,"&lt;"&amp;EOMONTH(DATE(LEFT(SUBSTITUTE(C1486,"'",""),4),MID(SUBSTITUTE(C1486,"'",""),6,2),1),0)+1)</f>
        <v>0</v>
      </c>
      <c r="E1486" s="17">
        <f t="shared" si="1"/>
        <v>246</v>
      </c>
      <c r="F1486" s="17">
        <f t="shared" si="2"/>
        <v>0</v>
      </c>
    </row>
    <row r="1487">
      <c r="A1487" s="5" t="s">
        <v>60</v>
      </c>
      <c r="B1487" s="6">
        <v>184.0</v>
      </c>
      <c r="C1487" s="13" t="s">
        <v>299</v>
      </c>
      <c r="D1487" s="17">
        <f>SUMIFS(ShadowLedger!$D:$D,ShadowLedger!$G:$G,A1487,ShadowLedger!$C:$C,"&gt;="&amp;DATE(LEFT(SUBSTITUTE(C1487,"'",""),4),MID(SUBSTITUTE(C1487,"'",""),6,2),1),ShadowLedger!$C:$C,"&lt;"&amp;EOMONTH(DATE(LEFT(SUBSTITUTE(C1487,"'",""),4),MID(SUBSTITUTE(C1487,"'",""),6,2),1),0)+1)</f>
        <v>0</v>
      </c>
      <c r="E1487" s="17">
        <f t="shared" si="1"/>
        <v>184</v>
      </c>
      <c r="F1487" s="17">
        <f t="shared" si="2"/>
        <v>0</v>
      </c>
    </row>
    <row r="1488">
      <c r="A1488" s="5" t="s">
        <v>61</v>
      </c>
      <c r="B1488" s="6">
        <v>148.0</v>
      </c>
      <c r="C1488" s="13" t="s">
        <v>299</v>
      </c>
      <c r="D1488" s="17">
        <f>SUMIFS(ShadowLedger!$D:$D,ShadowLedger!$G:$G,A1488,ShadowLedger!$C:$C,"&gt;="&amp;DATE(LEFT(SUBSTITUTE(C1488,"'",""),4),MID(SUBSTITUTE(C1488,"'",""),6,2),1),ShadowLedger!$C:$C,"&lt;"&amp;EOMONTH(DATE(LEFT(SUBSTITUTE(C1488,"'",""),4),MID(SUBSTITUTE(C1488,"'",""),6,2),1),0)+1)</f>
        <v>0</v>
      </c>
      <c r="E1488" s="17">
        <f t="shared" si="1"/>
        <v>148</v>
      </c>
      <c r="F1488" s="17">
        <f t="shared" si="2"/>
        <v>0</v>
      </c>
    </row>
    <row r="1489">
      <c r="A1489" s="5" t="s">
        <v>62</v>
      </c>
      <c r="B1489" s="6">
        <v>148.0</v>
      </c>
      <c r="C1489" s="13" t="s">
        <v>299</v>
      </c>
      <c r="D1489" s="17">
        <f>SUMIFS(ShadowLedger!$D:$D,ShadowLedger!$G:$G,A1489,ShadowLedger!$C:$C,"&gt;="&amp;DATE(LEFT(SUBSTITUTE(C1489,"'",""),4),MID(SUBSTITUTE(C1489,"'",""),6,2),1),ShadowLedger!$C:$C,"&lt;"&amp;EOMONTH(DATE(LEFT(SUBSTITUTE(C1489,"'",""),4),MID(SUBSTITUTE(C1489,"'",""),6,2),1),0)+1)</f>
        <v>0</v>
      </c>
      <c r="E1489" s="17">
        <f t="shared" si="1"/>
        <v>148</v>
      </c>
      <c r="F1489" s="17">
        <f t="shared" si="2"/>
        <v>0</v>
      </c>
    </row>
    <row r="1490">
      <c r="A1490" s="5" t="s">
        <v>63</v>
      </c>
      <c r="B1490" s="6">
        <v>123.0</v>
      </c>
      <c r="C1490" s="13" t="s">
        <v>299</v>
      </c>
      <c r="D1490" s="17">
        <f>SUMIFS(ShadowLedger!$D:$D,ShadowLedger!$G:$G,A1490,ShadowLedger!$C:$C,"&gt;="&amp;DATE(LEFT(SUBSTITUTE(C1490,"'",""),4),MID(SUBSTITUTE(C1490,"'",""),6,2),1),ShadowLedger!$C:$C,"&lt;"&amp;EOMONTH(DATE(LEFT(SUBSTITUTE(C1490,"'",""),4),MID(SUBSTITUTE(C1490,"'",""),6,2),1),0)+1)</f>
        <v>0</v>
      </c>
      <c r="E1490" s="17">
        <f t="shared" si="1"/>
        <v>123</v>
      </c>
      <c r="F1490" s="17">
        <f t="shared" si="2"/>
        <v>0</v>
      </c>
    </row>
    <row r="1491">
      <c r="A1491" s="5" t="s">
        <v>64</v>
      </c>
      <c r="B1491" s="6">
        <v>123.0</v>
      </c>
      <c r="C1491" s="13" t="s">
        <v>299</v>
      </c>
      <c r="D1491" s="17">
        <f>SUMIFS(ShadowLedger!$D:$D,ShadowLedger!$G:$G,A1491,ShadowLedger!$C:$C,"&gt;="&amp;DATE(LEFT(SUBSTITUTE(C1491,"'",""),4),MID(SUBSTITUTE(C1491,"'",""),6,2),1),ShadowLedger!$C:$C,"&lt;"&amp;EOMONTH(DATE(LEFT(SUBSTITUTE(C1491,"'",""),4),MID(SUBSTITUTE(C1491,"'",""),6,2),1),0)+1)</f>
        <v>0</v>
      </c>
      <c r="E1491" s="17">
        <f t="shared" si="1"/>
        <v>123</v>
      </c>
      <c r="F1491" s="17">
        <f t="shared" si="2"/>
        <v>0</v>
      </c>
    </row>
    <row r="1492">
      <c r="A1492" s="5" t="s">
        <v>70</v>
      </c>
      <c r="B1492" s="6">
        <v>123.0</v>
      </c>
      <c r="C1492" s="13" t="s">
        <v>299</v>
      </c>
      <c r="D1492" s="17">
        <f>SUMIFS(ShadowLedger!$D:$D,ShadowLedger!$G:$G,A1492,ShadowLedger!$C:$C,"&gt;="&amp;DATE(LEFT(SUBSTITUTE(C1492,"'",""),4),MID(SUBSTITUTE(C1492,"'",""),6,2),1),ShadowLedger!$C:$C,"&lt;"&amp;EOMONTH(DATE(LEFT(SUBSTITUTE(C1492,"'",""),4),MID(SUBSTITUTE(C1492,"'",""),6,2),1),0)+1)</f>
        <v>0</v>
      </c>
      <c r="E1492" s="17">
        <f t="shared" si="1"/>
        <v>123</v>
      </c>
      <c r="F1492" s="17">
        <f t="shared" si="2"/>
        <v>0</v>
      </c>
    </row>
    <row r="1493">
      <c r="A1493" s="5" t="s">
        <v>65</v>
      </c>
      <c r="B1493" s="6">
        <v>61.0</v>
      </c>
      <c r="C1493" s="13" t="s">
        <v>299</v>
      </c>
      <c r="D1493" s="17">
        <f>SUMIFS(ShadowLedger!$D:$D,ShadowLedger!$G:$G,A1493,ShadowLedger!$C:$C,"&gt;="&amp;DATE(LEFT(SUBSTITUTE(C1493,"'",""),4),MID(SUBSTITUTE(C1493,"'",""),6,2),1),ShadowLedger!$C:$C,"&lt;"&amp;EOMONTH(DATE(LEFT(SUBSTITUTE(C1493,"'",""),4),MID(SUBSTITUTE(C1493,"'",""),6,2),1),0)+1)</f>
        <v>0</v>
      </c>
      <c r="E1493" s="17">
        <f t="shared" si="1"/>
        <v>61</v>
      </c>
      <c r="F1493" s="17">
        <f t="shared" si="2"/>
        <v>0</v>
      </c>
    </row>
    <row r="1494">
      <c r="A1494" s="5" t="s">
        <v>66</v>
      </c>
      <c r="B1494" s="6">
        <v>61.0</v>
      </c>
      <c r="C1494" s="13" t="s">
        <v>299</v>
      </c>
      <c r="D1494" s="17">
        <f>SUMIFS(ShadowLedger!$D:$D,ShadowLedger!$G:$G,A1494,ShadowLedger!$C:$C,"&gt;="&amp;DATE(LEFT(SUBSTITUTE(C1494,"'",""),4),MID(SUBSTITUTE(C1494,"'",""),6,2),1),ShadowLedger!$C:$C,"&lt;"&amp;EOMONTH(DATE(LEFT(SUBSTITUTE(C1494,"'",""),4),MID(SUBSTITUTE(C1494,"'",""),6,2),1),0)+1)</f>
        <v>0</v>
      </c>
      <c r="E1494" s="17">
        <f t="shared" si="1"/>
        <v>61</v>
      </c>
      <c r="F1494" s="17">
        <f t="shared" si="2"/>
        <v>0</v>
      </c>
    </row>
    <row r="1495">
      <c r="A1495" s="5" t="s">
        <v>67</v>
      </c>
      <c r="B1495" s="6">
        <v>61.0</v>
      </c>
      <c r="C1495" s="13" t="s">
        <v>299</v>
      </c>
      <c r="D1495" s="17">
        <f>SUMIFS(ShadowLedger!$D:$D,ShadowLedger!$G:$G,A1495,ShadowLedger!$C:$C,"&gt;="&amp;DATE(LEFT(SUBSTITUTE(C1495,"'",""),4),MID(SUBSTITUTE(C1495,"'",""),6,2),1),ShadowLedger!$C:$C,"&lt;"&amp;EOMONTH(DATE(LEFT(SUBSTITUTE(C1495,"'",""),4),MID(SUBSTITUTE(C1495,"'",""),6,2),1),0)+1)</f>
        <v>0</v>
      </c>
      <c r="E1495" s="17">
        <f t="shared" si="1"/>
        <v>61</v>
      </c>
      <c r="F1495" s="17">
        <f t="shared" si="2"/>
        <v>0</v>
      </c>
    </row>
    <row r="1496">
      <c r="A1496" s="5" t="s">
        <v>68</v>
      </c>
      <c r="B1496" s="6">
        <v>61.0</v>
      </c>
      <c r="C1496" s="13" t="s">
        <v>299</v>
      </c>
      <c r="D1496" s="17">
        <f>SUMIFS(ShadowLedger!$D:$D,ShadowLedger!$G:$G,A1496,ShadowLedger!$C:$C,"&gt;="&amp;DATE(LEFT(SUBSTITUTE(C1496,"'",""),4),MID(SUBSTITUTE(C1496,"'",""),6,2),1),ShadowLedger!$C:$C,"&lt;"&amp;EOMONTH(DATE(LEFT(SUBSTITUTE(C1496,"'",""),4),MID(SUBSTITUTE(C1496,"'",""),6,2),1),0)+1)</f>
        <v>0</v>
      </c>
      <c r="E1496" s="17">
        <f t="shared" si="1"/>
        <v>61</v>
      </c>
      <c r="F1496" s="17">
        <f t="shared" si="2"/>
        <v>0</v>
      </c>
    </row>
    <row r="1497">
      <c r="A1497" s="5" t="s">
        <v>69</v>
      </c>
      <c r="B1497" s="6">
        <v>0.0</v>
      </c>
      <c r="C1497" s="13" t="s">
        <v>299</v>
      </c>
      <c r="D1497" s="17">
        <f>SUMIFS(ShadowLedger!$D:$D,ShadowLedger!$G:$G,A1497,ShadowLedger!$C:$C,"&gt;="&amp;DATE(LEFT(SUBSTITUTE(C1497,"'",""),4),MID(SUBSTITUTE(C1497,"'",""),6,2),1),ShadowLedger!$C:$C,"&lt;"&amp;EOMONTH(DATE(LEFT(SUBSTITUTE(C1497,"'",""),4),MID(SUBSTITUTE(C1497,"'",""),6,2),1),0)+1)</f>
        <v>0</v>
      </c>
      <c r="E1497" s="17">
        <f t="shared" si="1"/>
        <v>0</v>
      </c>
      <c r="F1497" s="17">
        <f t="shared" si="2"/>
        <v>0</v>
      </c>
    </row>
    <row r="1498">
      <c r="A1498" s="5" t="s">
        <v>54</v>
      </c>
      <c r="B1498" s="6">
        <v>1131.0</v>
      </c>
      <c r="C1498" s="13" t="s">
        <v>300</v>
      </c>
      <c r="D1498" s="17">
        <f>SUMIFS(ShadowLedger!$D:$D,ShadowLedger!$G:$G,A1498,ShadowLedger!$C:$C,"&gt;="&amp;DATE(LEFT(SUBSTITUTE(C1498,"'",""),4),MID(SUBSTITUTE(C1498,"'",""),6,2),1),ShadowLedger!$C:$C,"&lt;"&amp;EOMONTH(DATE(LEFT(SUBSTITUTE(C1498,"'",""),4),MID(SUBSTITUTE(C1498,"'",""),6,2),1),0)+1)</f>
        <v>0</v>
      </c>
      <c r="E1498" s="17">
        <f t="shared" si="1"/>
        <v>1131</v>
      </c>
      <c r="F1498" s="17">
        <f t="shared" si="2"/>
        <v>0</v>
      </c>
    </row>
    <row r="1499">
      <c r="A1499" s="5" t="s">
        <v>55</v>
      </c>
      <c r="B1499" s="6">
        <v>861.0</v>
      </c>
      <c r="C1499" s="13" t="s">
        <v>300</v>
      </c>
      <c r="D1499" s="17">
        <f>SUMIFS(ShadowLedger!$D:$D,ShadowLedger!$G:$G,A1499,ShadowLedger!$C:$C,"&gt;="&amp;DATE(LEFT(SUBSTITUTE(C1499,"'",""),4),MID(SUBSTITUTE(C1499,"'",""),6,2),1),ShadowLedger!$C:$C,"&lt;"&amp;EOMONTH(DATE(LEFT(SUBSTITUTE(C1499,"'",""),4),MID(SUBSTITUTE(C1499,"'",""),6,2),1),0)+1)</f>
        <v>0</v>
      </c>
      <c r="E1499" s="17">
        <f t="shared" si="1"/>
        <v>861</v>
      </c>
      <c r="F1499" s="17">
        <f t="shared" si="2"/>
        <v>0</v>
      </c>
    </row>
    <row r="1500">
      <c r="A1500" s="5" t="s">
        <v>56</v>
      </c>
      <c r="B1500" s="6">
        <v>615.0</v>
      </c>
      <c r="C1500" s="13" t="s">
        <v>300</v>
      </c>
      <c r="D1500" s="17">
        <f>SUMIFS(ShadowLedger!$D:$D,ShadowLedger!$G:$G,A1500,ShadowLedger!$C:$C,"&gt;="&amp;DATE(LEFT(SUBSTITUTE(C1500,"'",""),4),MID(SUBSTITUTE(C1500,"'",""),6,2),1),ShadowLedger!$C:$C,"&lt;"&amp;EOMONTH(DATE(LEFT(SUBSTITUTE(C1500,"'",""),4),MID(SUBSTITUTE(C1500,"'",""),6,2),1),0)+1)</f>
        <v>0</v>
      </c>
      <c r="E1500" s="17">
        <f t="shared" si="1"/>
        <v>615</v>
      </c>
      <c r="F1500" s="17">
        <f t="shared" si="2"/>
        <v>0</v>
      </c>
    </row>
    <row r="1501">
      <c r="A1501" s="5" t="s">
        <v>57</v>
      </c>
      <c r="B1501" s="6">
        <v>615.0</v>
      </c>
      <c r="C1501" s="13" t="s">
        <v>300</v>
      </c>
      <c r="D1501" s="17">
        <f>SUMIFS(ShadowLedger!$D:$D,ShadowLedger!$G:$G,A1501,ShadowLedger!$C:$C,"&gt;="&amp;DATE(LEFT(SUBSTITUTE(C1501,"'",""),4),MID(SUBSTITUTE(C1501,"'",""),6,2),1),ShadowLedger!$C:$C,"&lt;"&amp;EOMONTH(DATE(LEFT(SUBSTITUTE(C1501,"'",""),4),MID(SUBSTITUTE(C1501,"'",""),6,2),1),0)+1)</f>
        <v>0</v>
      </c>
      <c r="E1501" s="17">
        <f t="shared" si="1"/>
        <v>615</v>
      </c>
      <c r="F1501" s="17">
        <f t="shared" si="2"/>
        <v>0</v>
      </c>
    </row>
    <row r="1502">
      <c r="A1502" s="5" t="s">
        <v>58</v>
      </c>
      <c r="B1502" s="6">
        <v>492.0</v>
      </c>
      <c r="C1502" s="13" t="s">
        <v>300</v>
      </c>
      <c r="D1502" s="17">
        <f>SUMIFS(ShadowLedger!$D:$D,ShadowLedger!$G:$G,A1502,ShadowLedger!$C:$C,"&gt;="&amp;DATE(LEFT(SUBSTITUTE(C1502,"'",""),4),MID(SUBSTITUTE(C1502,"'",""),6,2),1),ShadowLedger!$C:$C,"&lt;"&amp;EOMONTH(DATE(LEFT(SUBSTITUTE(C1502,"'",""),4),MID(SUBSTITUTE(C1502,"'",""),6,2),1),0)+1)</f>
        <v>0</v>
      </c>
      <c r="E1502" s="17">
        <f t="shared" si="1"/>
        <v>492</v>
      </c>
      <c r="F1502" s="17">
        <f t="shared" si="2"/>
        <v>0</v>
      </c>
    </row>
    <row r="1503">
      <c r="A1503" s="5" t="s">
        <v>59</v>
      </c>
      <c r="B1503" s="6">
        <v>246.0</v>
      </c>
      <c r="C1503" s="13" t="s">
        <v>300</v>
      </c>
      <c r="D1503" s="17">
        <f>SUMIFS(ShadowLedger!$D:$D,ShadowLedger!$G:$G,A1503,ShadowLedger!$C:$C,"&gt;="&amp;DATE(LEFT(SUBSTITUTE(C1503,"'",""),4),MID(SUBSTITUTE(C1503,"'",""),6,2),1),ShadowLedger!$C:$C,"&lt;"&amp;EOMONTH(DATE(LEFT(SUBSTITUTE(C1503,"'",""),4),MID(SUBSTITUTE(C1503,"'",""),6,2),1),0)+1)</f>
        <v>0</v>
      </c>
      <c r="E1503" s="17">
        <f t="shared" si="1"/>
        <v>246</v>
      </c>
      <c r="F1503" s="17">
        <f t="shared" si="2"/>
        <v>0</v>
      </c>
    </row>
    <row r="1504">
      <c r="A1504" s="5" t="s">
        <v>60</v>
      </c>
      <c r="B1504" s="6">
        <v>184.0</v>
      </c>
      <c r="C1504" s="13" t="s">
        <v>300</v>
      </c>
      <c r="D1504" s="17">
        <f>SUMIFS(ShadowLedger!$D:$D,ShadowLedger!$G:$G,A1504,ShadowLedger!$C:$C,"&gt;="&amp;DATE(LEFT(SUBSTITUTE(C1504,"'",""),4),MID(SUBSTITUTE(C1504,"'",""),6,2),1),ShadowLedger!$C:$C,"&lt;"&amp;EOMONTH(DATE(LEFT(SUBSTITUTE(C1504,"'",""),4),MID(SUBSTITUTE(C1504,"'",""),6,2),1),0)+1)</f>
        <v>0</v>
      </c>
      <c r="E1504" s="17">
        <f t="shared" si="1"/>
        <v>184</v>
      </c>
      <c r="F1504" s="17">
        <f t="shared" si="2"/>
        <v>0</v>
      </c>
    </row>
    <row r="1505">
      <c r="A1505" s="5" t="s">
        <v>61</v>
      </c>
      <c r="B1505" s="6">
        <v>148.0</v>
      </c>
      <c r="C1505" s="13" t="s">
        <v>300</v>
      </c>
      <c r="D1505" s="17">
        <f>SUMIFS(ShadowLedger!$D:$D,ShadowLedger!$G:$G,A1505,ShadowLedger!$C:$C,"&gt;="&amp;DATE(LEFT(SUBSTITUTE(C1505,"'",""),4),MID(SUBSTITUTE(C1505,"'",""),6,2),1),ShadowLedger!$C:$C,"&lt;"&amp;EOMONTH(DATE(LEFT(SUBSTITUTE(C1505,"'",""),4),MID(SUBSTITUTE(C1505,"'",""),6,2),1),0)+1)</f>
        <v>0</v>
      </c>
      <c r="E1505" s="17">
        <f t="shared" si="1"/>
        <v>148</v>
      </c>
      <c r="F1505" s="17">
        <f t="shared" si="2"/>
        <v>0</v>
      </c>
    </row>
    <row r="1506">
      <c r="A1506" s="5" t="s">
        <v>62</v>
      </c>
      <c r="B1506" s="6">
        <v>148.0</v>
      </c>
      <c r="C1506" s="13" t="s">
        <v>300</v>
      </c>
      <c r="D1506" s="17">
        <f>SUMIFS(ShadowLedger!$D:$D,ShadowLedger!$G:$G,A1506,ShadowLedger!$C:$C,"&gt;="&amp;DATE(LEFT(SUBSTITUTE(C1506,"'",""),4),MID(SUBSTITUTE(C1506,"'",""),6,2),1),ShadowLedger!$C:$C,"&lt;"&amp;EOMONTH(DATE(LEFT(SUBSTITUTE(C1506,"'",""),4),MID(SUBSTITUTE(C1506,"'",""),6,2),1),0)+1)</f>
        <v>0</v>
      </c>
      <c r="E1506" s="17">
        <f t="shared" si="1"/>
        <v>148</v>
      </c>
      <c r="F1506" s="17">
        <f t="shared" si="2"/>
        <v>0</v>
      </c>
    </row>
    <row r="1507">
      <c r="A1507" s="5" t="s">
        <v>63</v>
      </c>
      <c r="B1507" s="6">
        <v>123.0</v>
      </c>
      <c r="C1507" s="13" t="s">
        <v>300</v>
      </c>
      <c r="D1507" s="17">
        <f>SUMIFS(ShadowLedger!$D:$D,ShadowLedger!$G:$G,A1507,ShadowLedger!$C:$C,"&gt;="&amp;DATE(LEFT(SUBSTITUTE(C1507,"'",""),4),MID(SUBSTITUTE(C1507,"'",""),6,2),1),ShadowLedger!$C:$C,"&lt;"&amp;EOMONTH(DATE(LEFT(SUBSTITUTE(C1507,"'",""),4),MID(SUBSTITUTE(C1507,"'",""),6,2),1),0)+1)</f>
        <v>0</v>
      </c>
      <c r="E1507" s="17">
        <f t="shared" si="1"/>
        <v>123</v>
      </c>
      <c r="F1507" s="17">
        <f t="shared" si="2"/>
        <v>0</v>
      </c>
    </row>
    <row r="1508">
      <c r="A1508" s="5" t="s">
        <v>64</v>
      </c>
      <c r="B1508" s="6">
        <v>123.0</v>
      </c>
      <c r="C1508" s="13" t="s">
        <v>300</v>
      </c>
      <c r="D1508" s="17">
        <f>SUMIFS(ShadowLedger!$D:$D,ShadowLedger!$G:$G,A1508,ShadowLedger!$C:$C,"&gt;="&amp;DATE(LEFT(SUBSTITUTE(C1508,"'",""),4),MID(SUBSTITUTE(C1508,"'",""),6,2),1),ShadowLedger!$C:$C,"&lt;"&amp;EOMONTH(DATE(LEFT(SUBSTITUTE(C1508,"'",""),4),MID(SUBSTITUTE(C1508,"'",""),6,2),1),0)+1)</f>
        <v>0</v>
      </c>
      <c r="E1508" s="17">
        <f t="shared" si="1"/>
        <v>123</v>
      </c>
      <c r="F1508" s="17">
        <f t="shared" si="2"/>
        <v>0</v>
      </c>
    </row>
    <row r="1509">
      <c r="A1509" s="5" t="s">
        <v>70</v>
      </c>
      <c r="B1509" s="6">
        <v>123.0</v>
      </c>
      <c r="C1509" s="13" t="s">
        <v>300</v>
      </c>
      <c r="D1509" s="17">
        <f>SUMIFS(ShadowLedger!$D:$D,ShadowLedger!$G:$G,A1509,ShadowLedger!$C:$C,"&gt;="&amp;DATE(LEFT(SUBSTITUTE(C1509,"'",""),4),MID(SUBSTITUTE(C1509,"'",""),6,2),1),ShadowLedger!$C:$C,"&lt;"&amp;EOMONTH(DATE(LEFT(SUBSTITUTE(C1509,"'",""),4),MID(SUBSTITUTE(C1509,"'",""),6,2),1),0)+1)</f>
        <v>0</v>
      </c>
      <c r="E1509" s="17">
        <f t="shared" si="1"/>
        <v>123</v>
      </c>
      <c r="F1509" s="17">
        <f t="shared" si="2"/>
        <v>0</v>
      </c>
    </row>
    <row r="1510">
      <c r="A1510" s="5" t="s">
        <v>65</v>
      </c>
      <c r="B1510" s="6">
        <v>61.0</v>
      </c>
      <c r="C1510" s="13" t="s">
        <v>300</v>
      </c>
      <c r="D1510" s="17">
        <f>SUMIFS(ShadowLedger!$D:$D,ShadowLedger!$G:$G,A1510,ShadowLedger!$C:$C,"&gt;="&amp;DATE(LEFT(SUBSTITUTE(C1510,"'",""),4),MID(SUBSTITUTE(C1510,"'",""),6,2),1),ShadowLedger!$C:$C,"&lt;"&amp;EOMONTH(DATE(LEFT(SUBSTITUTE(C1510,"'",""),4),MID(SUBSTITUTE(C1510,"'",""),6,2),1),0)+1)</f>
        <v>0</v>
      </c>
      <c r="E1510" s="17">
        <f t="shared" si="1"/>
        <v>61</v>
      </c>
      <c r="F1510" s="17">
        <f t="shared" si="2"/>
        <v>0</v>
      </c>
    </row>
    <row r="1511">
      <c r="A1511" s="5" t="s">
        <v>66</v>
      </c>
      <c r="B1511" s="6">
        <v>61.0</v>
      </c>
      <c r="C1511" s="13" t="s">
        <v>300</v>
      </c>
      <c r="D1511" s="17">
        <f>SUMIFS(ShadowLedger!$D:$D,ShadowLedger!$G:$G,A1511,ShadowLedger!$C:$C,"&gt;="&amp;DATE(LEFT(SUBSTITUTE(C1511,"'",""),4),MID(SUBSTITUTE(C1511,"'",""),6,2),1),ShadowLedger!$C:$C,"&lt;"&amp;EOMONTH(DATE(LEFT(SUBSTITUTE(C1511,"'",""),4),MID(SUBSTITUTE(C1511,"'",""),6,2),1),0)+1)</f>
        <v>0</v>
      </c>
      <c r="E1511" s="17">
        <f t="shared" si="1"/>
        <v>61</v>
      </c>
      <c r="F1511" s="17">
        <f t="shared" si="2"/>
        <v>0</v>
      </c>
    </row>
    <row r="1512">
      <c r="A1512" s="5" t="s">
        <v>67</v>
      </c>
      <c r="B1512" s="6">
        <v>61.0</v>
      </c>
      <c r="C1512" s="13" t="s">
        <v>300</v>
      </c>
      <c r="D1512" s="17">
        <f>SUMIFS(ShadowLedger!$D:$D,ShadowLedger!$G:$G,A1512,ShadowLedger!$C:$C,"&gt;="&amp;DATE(LEFT(SUBSTITUTE(C1512,"'",""),4),MID(SUBSTITUTE(C1512,"'",""),6,2),1),ShadowLedger!$C:$C,"&lt;"&amp;EOMONTH(DATE(LEFT(SUBSTITUTE(C1512,"'",""),4),MID(SUBSTITUTE(C1512,"'",""),6,2),1),0)+1)</f>
        <v>0</v>
      </c>
      <c r="E1512" s="17">
        <f t="shared" si="1"/>
        <v>61</v>
      </c>
      <c r="F1512" s="17">
        <f t="shared" si="2"/>
        <v>0</v>
      </c>
    </row>
    <row r="1513">
      <c r="A1513" s="5" t="s">
        <v>68</v>
      </c>
      <c r="B1513" s="6">
        <v>61.0</v>
      </c>
      <c r="C1513" s="13" t="s">
        <v>300</v>
      </c>
      <c r="D1513" s="17">
        <f>SUMIFS(ShadowLedger!$D:$D,ShadowLedger!$G:$G,A1513,ShadowLedger!$C:$C,"&gt;="&amp;DATE(LEFT(SUBSTITUTE(C1513,"'",""),4),MID(SUBSTITUTE(C1513,"'",""),6,2),1),ShadowLedger!$C:$C,"&lt;"&amp;EOMONTH(DATE(LEFT(SUBSTITUTE(C1513,"'",""),4),MID(SUBSTITUTE(C1513,"'",""),6,2),1),0)+1)</f>
        <v>0</v>
      </c>
      <c r="E1513" s="17">
        <f t="shared" si="1"/>
        <v>61</v>
      </c>
      <c r="F1513" s="17">
        <f t="shared" si="2"/>
        <v>0</v>
      </c>
    </row>
    <row r="1514">
      <c r="A1514" s="5" t="s">
        <v>69</v>
      </c>
      <c r="B1514" s="6">
        <v>0.0</v>
      </c>
      <c r="C1514" s="13" t="s">
        <v>300</v>
      </c>
      <c r="D1514" s="17">
        <f>SUMIFS(ShadowLedger!$D:$D,ShadowLedger!$G:$G,A1514,ShadowLedger!$C:$C,"&gt;="&amp;DATE(LEFT(SUBSTITUTE(C1514,"'",""),4),MID(SUBSTITUTE(C1514,"'",""),6,2),1),ShadowLedger!$C:$C,"&lt;"&amp;EOMONTH(DATE(LEFT(SUBSTITUTE(C1514,"'",""),4),MID(SUBSTITUTE(C1514,"'",""),6,2),1),0)+1)</f>
        <v>0</v>
      </c>
      <c r="E1514" s="17">
        <f t="shared" si="1"/>
        <v>0</v>
      </c>
      <c r="F1514" s="17">
        <f t="shared" si="2"/>
        <v>0</v>
      </c>
    </row>
    <row r="1515">
      <c r="A1515" s="5" t="s">
        <v>54</v>
      </c>
      <c r="B1515" s="6">
        <v>1131.0</v>
      </c>
      <c r="C1515" s="13" t="s">
        <v>301</v>
      </c>
      <c r="D1515" s="17">
        <f>SUMIFS(ShadowLedger!$D:$D,ShadowLedger!$G:$G,A1515,ShadowLedger!$C:$C,"&gt;="&amp;DATE(LEFT(SUBSTITUTE(C1515,"'",""),4),MID(SUBSTITUTE(C1515,"'",""),6,2),1),ShadowLedger!$C:$C,"&lt;"&amp;EOMONTH(DATE(LEFT(SUBSTITUTE(C1515,"'",""),4),MID(SUBSTITUTE(C1515,"'",""),6,2),1),0)+1)</f>
        <v>0</v>
      </c>
      <c r="E1515" s="17">
        <f t="shared" si="1"/>
        <v>1131</v>
      </c>
      <c r="F1515" s="17">
        <f t="shared" si="2"/>
        <v>0</v>
      </c>
    </row>
    <row r="1516">
      <c r="A1516" s="5" t="s">
        <v>55</v>
      </c>
      <c r="B1516" s="6">
        <v>861.0</v>
      </c>
      <c r="C1516" s="13" t="s">
        <v>301</v>
      </c>
      <c r="D1516" s="17">
        <f>SUMIFS(ShadowLedger!$D:$D,ShadowLedger!$G:$G,A1516,ShadowLedger!$C:$C,"&gt;="&amp;DATE(LEFT(SUBSTITUTE(C1516,"'",""),4),MID(SUBSTITUTE(C1516,"'",""),6,2),1),ShadowLedger!$C:$C,"&lt;"&amp;EOMONTH(DATE(LEFT(SUBSTITUTE(C1516,"'",""),4),MID(SUBSTITUTE(C1516,"'",""),6,2),1),0)+1)</f>
        <v>0</v>
      </c>
      <c r="E1516" s="17">
        <f t="shared" si="1"/>
        <v>861</v>
      </c>
      <c r="F1516" s="17">
        <f t="shared" si="2"/>
        <v>0</v>
      </c>
    </row>
    <row r="1517">
      <c r="A1517" s="5" t="s">
        <v>56</v>
      </c>
      <c r="B1517" s="6">
        <v>615.0</v>
      </c>
      <c r="C1517" s="13" t="s">
        <v>301</v>
      </c>
      <c r="D1517" s="17">
        <f>SUMIFS(ShadowLedger!$D:$D,ShadowLedger!$G:$G,A1517,ShadowLedger!$C:$C,"&gt;="&amp;DATE(LEFT(SUBSTITUTE(C1517,"'",""),4),MID(SUBSTITUTE(C1517,"'",""),6,2),1),ShadowLedger!$C:$C,"&lt;"&amp;EOMONTH(DATE(LEFT(SUBSTITUTE(C1517,"'",""),4),MID(SUBSTITUTE(C1517,"'",""),6,2),1),0)+1)</f>
        <v>0</v>
      </c>
      <c r="E1517" s="17">
        <f t="shared" si="1"/>
        <v>615</v>
      </c>
      <c r="F1517" s="17">
        <f t="shared" si="2"/>
        <v>0</v>
      </c>
    </row>
    <row r="1518">
      <c r="A1518" s="5" t="s">
        <v>57</v>
      </c>
      <c r="B1518" s="6">
        <v>615.0</v>
      </c>
      <c r="C1518" s="13" t="s">
        <v>301</v>
      </c>
      <c r="D1518" s="17">
        <f>SUMIFS(ShadowLedger!$D:$D,ShadowLedger!$G:$G,A1518,ShadowLedger!$C:$C,"&gt;="&amp;DATE(LEFT(SUBSTITUTE(C1518,"'",""),4),MID(SUBSTITUTE(C1518,"'",""),6,2),1),ShadowLedger!$C:$C,"&lt;"&amp;EOMONTH(DATE(LEFT(SUBSTITUTE(C1518,"'",""),4),MID(SUBSTITUTE(C1518,"'",""),6,2),1),0)+1)</f>
        <v>0</v>
      </c>
      <c r="E1518" s="17">
        <f t="shared" si="1"/>
        <v>615</v>
      </c>
      <c r="F1518" s="17">
        <f t="shared" si="2"/>
        <v>0</v>
      </c>
    </row>
    <row r="1519">
      <c r="A1519" s="5" t="s">
        <v>58</v>
      </c>
      <c r="B1519" s="6">
        <v>492.0</v>
      </c>
      <c r="C1519" s="13" t="s">
        <v>301</v>
      </c>
      <c r="D1519" s="17">
        <f>SUMIFS(ShadowLedger!$D:$D,ShadowLedger!$G:$G,A1519,ShadowLedger!$C:$C,"&gt;="&amp;DATE(LEFT(SUBSTITUTE(C1519,"'",""),4),MID(SUBSTITUTE(C1519,"'",""),6,2),1),ShadowLedger!$C:$C,"&lt;"&amp;EOMONTH(DATE(LEFT(SUBSTITUTE(C1519,"'",""),4),MID(SUBSTITUTE(C1519,"'",""),6,2),1),0)+1)</f>
        <v>0</v>
      </c>
      <c r="E1519" s="17">
        <f t="shared" si="1"/>
        <v>492</v>
      </c>
      <c r="F1519" s="17">
        <f t="shared" si="2"/>
        <v>0</v>
      </c>
    </row>
    <row r="1520">
      <c r="A1520" s="5" t="s">
        <v>59</v>
      </c>
      <c r="B1520" s="6">
        <v>246.0</v>
      </c>
      <c r="C1520" s="13" t="s">
        <v>301</v>
      </c>
      <c r="D1520" s="17">
        <f>SUMIFS(ShadowLedger!$D:$D,ShadowLedger!$G:$G,A1520,ShadowLedger!$C:$C,"&gt;="&amp;DATE(LEFT(SUBSTITUTE(C1520,"'",""),4),MID(SUBSTITUTE(C1520,"'",""),6,2),1),ShadowLedger!$C:$C,"&lt;"&amp;EOMONTH(DATE(LEFT(SUBSTITUTE(C1520,"'",""),4),MID(SUBSTITUTE(C1520,"'",""),6,2),1),0)+1)</f>
        <v>0</v>
      </c>
      <c r="E1520" s="17">
        <f t="shared" si="1"/>
        <v>246</v>
      </c>
      <c r="F1520" s="17">
        <f t="shared" si="2"/>
        <v>0</v>
      </c>
    </row>
    <row r="1521">
      <c r="A1521" s="5" t="s">
        <v>60</v>
      </c>
      <c r="B1521" s="6">
        <v>184.0</v>
      </c>
      <c r="C1521" s="13" t="s">
        <v>301</v>
      </c>
      <c r="D1521" s="17">
        <f>SUMIFS(ShadowLedger!$D:$D,ShadowLedger!$G:$G,A1521,ShadowLedger!$C:$C,"&gt;="&amp;DATE(LEFT(SUBSTITUTE(C1521,"'",""),4),MID(SUBSTITUTE(C1521,"'",""),6,2),1),ShadowLedger!$C:$C,"&lt;"&amp;EOMONTH(DATE(LEFT(SUBSTITUTE(C1521,"'",""),4),MID(SUBSTITUTE(C1521,"'",""),6,2),1),0)+1)</f>
        <v>0</v>
      </c>
      <c r="E1521" s="17">
        <f t="shared" si="1"/>
        <v>184</v>
      </c>
      <c r="F1521" s="17">
        <f t="shared" si="2"/>
        <v>0</v>
      </c>
    </row>
    <row r="1522">
      <c r="A1522" s="5" t="s">
        <v>61</v>
      </c>
      <c r="B1522" s="6">
        <v>148.0</v>
      </c>
      <c r="C1522" s="13" t="s">
        <v>301</v>
      </c>
      <c r="D1522" s="17">
        <f>SUMIFS(ShadowLedger!$D:$D,ShadowLedger!$G:$G,A1522,ShadowLedger!$C:$C,"&gt;="&amp;DATE(LEFT(SUBSTITUTE(C1522,"'",""),4),MID(SUBSTITUTE(C1522,"'",""),6,2),1),ShadowLedger!$C:$C,"&lt;"&amp;EOMONTH(DATE(LEFT(SUBSTITUTE(C1522,"'",""),4),MID(SUBSTITUTE(C1522,"'",""),6,2),1),0)+1)</f>
        <v>0</v>
      </c>
      <c r="E1522" s="17">
        <f t="shared" si="1"/>
        <v>148</v>
      </c>
      <c r="F1522" s="17">
        <f t="shared" si="2"/>
        <v>0</v>
      </c>
    </row>
    <row r="1523">
      <c r="A1523" s="5" t="s">
        <v>62</v>
      </c>
      <c r="B1523" s="6">
        <v>148.0</v>
      </c>
      <c r="C1523" s="13" t="s">
        <v>301</v>
      </c>
      <c r="D1523" s="17">
        <f>SUMIFS(ShadowLedger!$D:$D,ShadowLedger!$G:$G,A1523,ShadowLedger!$C:$C,"&gt;="&amp;DATE(LEFT(SUBSTITUTE(C1523,"'",""),4),MID(SUBSTITUTE(C1523,"'",""),6,2),1),ShadowLedger!$C:$C,"&lt;"&amp;EOMONTH(DATE(LEFT(SUBSTITUTE(C1523,"'",""),4),MID(SUBSTITUTE(C1523,"'",""),6,2),1),0)+1)</f>
        <v>0</v>
      </c>
      <c r="E1523" s="17">
        <f t="shared" si="1"/>
        <v>148</v>
      </c>
      <c r="F1523" s="17">
        <f t="shared" si="2"/>
        <v>0</v>
      </c>
    </row>
    <row r="1524">
      <c r="A1524" s="5" t="s">
        <v>63</v>
      </c>
      <c r="B1524" s="6">
        <v>123.0</v>
      </c>
      <c r="C1524" s="13" t="s">
        <v>301</v>
      </c>
      <c r="D1524" s="17">
        <f>SUMIFS(ShadowLedger!$D:$D,ShadowLedger!$G:$G,A1524,ShadowLedger!$C:$C,"&gt;="&amp;DATE(LEFT(SUBSTITUTE(C1524,"'",""),4),MID(SUBSTITUTE(C1524,"'",""),6,2),1),ShadowLedger!$C:$C,"&lt;"&amp;EOMONTH(DATE(LEFT(SUBSTITUTE(C1524,"'",""),4),MID(SUBSTITUTE(C1524,"'",""),6,2),1),0)+1)</f>
        <v>0</v>
      </c>
      <c r="E1524" s="17">
        <f t="shared" si="1"/>
        <v>123</v>
      </c>
      <c r="F1524" s="17">
        <f t="shared" si="2"/>
        <v>0</v>
      </c>
    </row>
    <row r="1525">
      <c r="A1525" s="5" t="s">
        <v>64</v>
      </c>
      <c r="B1525" s="6">
        <v>123.0</v>
      </c>
      <c r="C1525" s="13" t="s">
        <v>301</v>
      </c>
      <c r="D1525" s="17">
        <f>SUMIFS(ShadowLedger!$D:$D,ShadowLedger!$G:$G,A1525,ShadowLedger!$C:$C,"&gt;="&amp;DATE(LEFT(SUBSTITUTE(C1525,"'",""),4),MID(SUBSTITUTE(C1525,"'",""),6,2),1),ShadowLedger!$C:$C,"&lt;"&amp;EOMONTH(DATE(LEFT(SUBSTITUTE(C1525,"'",""),4),MID(SUBSTITUTE(C1525,"'",""),6,2),1),0)+1)</f>
        <v>0</v>
      </c>
      <c r="E1525" s="17">
        <f t="shared" si="1"/>
        <v>123</v>
      </c>
      <c r="F1525" s="17">
        <f t="shared" si="2"/>
        <v>0</v>
      </c>
    </row>
    <row r="1526">
      <c r="A1526" s="5" t="s">
        <v>70</v>
      </c>
      <c r="B1526" s="6">
        <v>123.0</v>
      </c>
      <c r="C1526" s="13" t="s">
        <v>301</v>
      </c>
      <c r="D1526" s="17">
        <f>SUMIFS(ShadowLedger!$D:$D,ShadowLedger!$G:$G,A1526,ShadowLedger!$C:$C,"&gt;="&amp;DATE(LEFT(SUBSTITUTE(C1526,"'",""),4),MID(SUBSTITUTE(C1526,"'",""),6,2),1),ShadowLedger!$C:$C,"&lt;"&amp;EOMONTH(DATE(LEFT(SUBSTITUTE(C1526,"'",""),4),MID(SUBSTITUTE(C1526,"'",""),6,2),1),0)+1)</f>
        <v>0</v>
      </c>
      <c r="E1526" s="17">
        <f t="shared" si="1"/>
        <v>123</v>
      </c>
      <c r="F1526" s="17">
        <f t="shared" si="2"/>
        <v>0</v>
      </c>
    </row>
    <row r="1527">
      <c r="A1527" s="5" t="s">
        <v>65</v>
      </c>
      <c r="B1527" s="6">
        <v>61.0</v>
      </c>
      <c r="C1527" s="13" t="s">
        <v>301</v>
      </c>
      <c r="D1527" s="17">
        <f>SUMIFS(ShadowLedger!$D:$D,ShadowLedger!$G:$G,A1527,ShadowLedger!$C:$C,"&gt;="&amp;DATE(LEFT(SUBSTITUTE(C1527,"'",""),4),MID(SUBSTITUTE(C1527,"'",""),6,2),1),ShadowLedger!$C:$C,"&lt;"&amp;EOMONTH(DATE(LEFT(SUBSTITUTE(C1527,"'",""),4),MID(SUBSTITUTE(C1527,"'",""),6,2),1),0)+1)</f>
        <v>0</v>
      </c>
      <c r="E1527" s="17">
        <f t="shared" si="1"/>
        <v>61</v>
      </c>
      <c r="F1527" s="17">
        <f t="shared" si="2"/>
        <v>0</v>
      </c>
    </row>
    <row r="1528">
      <c r="A1528" s="5" t="s">
        <v>66</v>
      </c>
      <c r="B1528" s="6">
        <v>61.0</v>
      </c>
      <c r="C1528" s="13" t="s">
        <v>301</v>
      </c>
      <c r="D1528" s="17">
        <f>SUMIFS(ShadowLedger!$D:$D,ShadowLedger!$G:$G,A1528,ShadowLedger!$C:$C,"&gt;="&amp;DATE(LEFT(SUBSTITUTE(C1528,"'",""),4),MID(SUBSTITUTE(C1528,"'",""),6,2),1),ShadowLedger!$C:$C,"&lt;"&amp;EOMONTH(DATE(LEFT(SUBSTITUTE(C1528,"'",""),4),MID(SUBSTITUTE(C1528,"'",""),6,2),1),0)+1)</f>
        <v>0</v>
      </c>
      <c r="E1528" s="17">
        <f t="shared" si="1"/>
        <v>61</v>
      </c>
      <c r="F1528" s="17">
        <f t="shared" si="2"/>
        <v>0</v>
      </c>
    </row>
    <row r="1529">
      <c r="A1529" s="5" t="s">
        <v>67</v>
      </c>
      <c r="B1529" s="6">
        <v>61.0</v>
      </c>
      <c r="C1529" s="13" t="s">
        <v>301</v>
      </c>
      <c r="D1529" s="17">
        <f>SUMIFS(ShadowLedger!$D:$D,ShadowLedger!$G:$G,A1529,ShadowLedger!$C:$C,"&gt;="&amp;DATE(LEFT(SUBSTITUTE(C1529,"'",""),4),MID(SUBSTITUTE(C1529,"'",""),6,2),1),ShadowLedger!$C:$C,"&lt;"&amp;EOMONTH(DATE(LEFT(SUBSTITUTE(C1529,"'",""),4),MID(SUBSTITUTE(C1529,"'",""),6,2),1),0)+1)</f>
        <v>0</v>
      </c>
      <c r="E1529" s="17">
        <f t="shared" si="1"/>
        <v>61</v>
      </c>
      <c r="F1529" s="17">
        <f t="shared" si="2"/>
        <v>0</v>
      </c>
    </row>
    <row r="1530">
      <c r="A1530" s="5" t="s">
        <v>68</v>
      </c>
      <c r="B1530" s="6">
        <v>61.0</v>
      </c>
      <c r="C1530" s="13" t="s">
        <v>301</v>
      </c>
      <c r="D1530" s="17">
        <f>SUMIFS(ShadowLedger!$D:$D,ShadowLedger!$G:$G,A1530,ShadowLedger!$C:$C,"&gt;="&amp;DATE(LEFT(SUBSTITUTE(C1530,"'",""),4),MID(SUBSTITUTE(C1530,"'",""),6,2),1),ShadowLedger!$C:$C,"&lt;"&amp;EOMONTH(DATE(LEFT(SUBSTITUTE(C1530,"'",""),4),MID(SUBSTITUTE(C1530,"'",""),6,2),1),0)+1)</f>
        <v>0</v>
      </c>
      <c r="E1530" s="17">
        <f t="shared" si="1"/>
        <v>61</v>
      </c>
      <c r="F1530" s="17">
        <f t="shared" si="2"/>
        <v>0</v>
      </c>
    </row>
    <row r="1531">
      <c r="A1531" s="5" t="s">
        <v>69</v>
      </c>
      <c r="B1531" s="6">
        <v>0.0</v>
      </c>
      <c r="C1531" s="13" t="s">
        <v>301</v>
      </c>
      <c r="D1531" s="17">
        <f>SUMIFS(ShadowLedger!$D:$D,ShadowLedger!$G:$G,A1531,ShadowLedger!$C:$C,"&gt;="&amp;DATE(LEFT(SUBSTITUTE(C1531,"'",""),4),MID(SUBSTITUTE(C1531,"'",""),6,2),1),ShadowLedger!$C:$C,"&lt;"&amp;EOMONTH(DATE(LEFT(SUBSTITUTE(C1531,"'",""),4),MID(SUBSTITUTE(C1531,"'",""),6,2),1),0)+1)</f>
        <v>0</v>
      </c>
      <c r="E1531" s="17">
        <f t="shared" si="1"/>
        <v>0</v>
      </c>
      <c r="F1531" s="17">
        <f t="shared" si="2"/>
        <v>0</v>
      </c>
    </row>
    <row r="1532">
      <c r="A1532" s="5" t="s">
        <v>54</v>
      </c>
      <c r="B1532" s="6">
        <v>1131.0</v>
      </c>
      <c r="C1532" s="13" t="s">
        <v>302</v>
      </c>
      <c r="D1532" s="17">
        <f>SUMIFS(ShadowLedger!$D:$D,ShadowLedger!$G:$G,A1532,ShadowLedger!$C:$C,"&gt;="&amp;DATE(LEFT(SUBSTITUTE(C1532,"'",""),4),MID(SUBSTITUTE(C1532,"'",""),6,2),1),ShadowLedger!$C:$C,"&lt;"&amp;EOMONTH(DATE(LEFT(SUBSTITUTE(C1532,"'",""),4),MID(SUBSTITUTE(C1532,"'",""),6,2),1),0)+1)</f>
        <v>0</v>
      </c>
      <c r="E1532" s="17">
        <f t="shared" si="1"/>
        <v>1131</v>
      </c>
      <c r="F1532" s="17">
        <f t="shared" si="2"/>
        <v>0</v>
      </c>
    </row>
    <row r="1533">
      <c r="A1533" s="5" t="s">
        <v>55</v>
      </c>
      <c r="B1533" s="6">
        <v>861.0</v>
      </c>
      <c r="C1533" s="13" t="s">
        <v>302</v>
      </c>
      <c r="D1533" s="17">
        <f>SUMIFS(ShadowLedger!$D:$D,ShadowLedger!$G:$G,A1533,ShadowLedger!$C:$C,"&gt;="&amp;DATE(LEFT(SUBSTITUTE(C1533,"'",""),4),MID(SUBSTITUTE(C1533,"'",""),6,2),1),ShadowLedger!$C:$C,"&lt;"&amp;EOMONTH(DATE(LEFT(SUBSTITUTE(C1533,"'",""),4),MID(SUBSTITUTE(C1533,"'",""),6,2),1),0)+1)</f>
        <v>0</v>
      </c>
      <c r="E1533" s="17">
        <f t="shared" si="1"/>
        <v>861</v>
      </c>
      <c r="F1533" s="17">
        <f t="shared" si="2"/>
        <v>0</v>
      </c>
    </row>
    <row r="1534">
      <c r="A1534" s="5" t="s">
        <v>56</v>
      </c>
      <c r="B1534" s="6">
        <v>615.0</v>
      </c>
      <c r="C1534" s="13" t="s">
        <v>302</v>
      </c>
      <c r="D1534" s="17">
        <f>SUMIFS(ShadowLedger!$D:$D,ShadowLedger!$G:$G,A1534,ShadowLedger!$C:$C,"&gt;="&amp;DATE(LEFT(SUBSTITUTE(C1534,"'",""),4),MID(SUBSTITUTE(C1534,"'",""),6,2),1),ShadowLedger!$C:$C,"&lt;"&amp;EOMONTH(DATE(LEFT(SUBSTITUTE(C1534,"'",""),4),MID(SUBSTITUTE(C1534,"'",""),6,2),1),0)+1)</f>
        <v>0</v>
      </c>
      <c r="E1534" s="17">
        <f t="shared" si="1"/>
        <v>615</v>
      </c>
      <c r="F1534" s="17">
        <f t="shared" si="2"/>
        <v>0</v>
      </c>
    </row>
    <row r="1535">
      <c r="A1535" s="5" t="s">
        <v>57</v>
      </c>
      <c r="B1535" s="6">
        <v>615.0</v>
      </c>
      <c r="C1535" s="13" t="s">
        <v>302</v>
      </c>
      <c r="D1535" s="17">
        <f>SUMIFS(ShadowLedger!$D:$D,ShadowLedger!$G:$G,A1535,ShadowLedger!$C:$C,"&gt;="&amp;DATE(LEFT(SUBSTITUTE(C1535,"'",""),4),MID(SUBSTITUTE(C1535,"'",""),6,2),1),ShadowLedger!$C:$C,"&lt;"&amp;EOMONTH(DATE(LEFT(SUBSTITUTE(C1535,"'",""),4),MID(SUBSTITUTE(C1535,"'",""),6,2),1),0)+1)</f>
        <v>0</v>
      </c>
      <c r="E1535" s="17">
        <f t="shared" si="1"/>
        <v>615</v>
      </c>
      <c r="F1535" s="17">
        <f t="shared" si="2"/>
        <v>0</v>
      </c>
    </row>
    <row r="1536">
      <c r="A1536" s="5" t="s">
        <v>58</v>
      </c>
      <c r="B1536" s="6">
        <v>492.0</v>
      </c>
      <c r="C1536" s="13" t="s">
        <v>302</v>
      </c>
      <c r="D1536" s="17">
        <f>SUMIFS(ShadowLedger!$D:$D,ShadowLedger!$G:$G,A1536,ShadowLedger!$C:$C,"&gt;="&amp;DATE(LEFT(SUBSTITUTE(C1536,"'",""),4),MID(SUBSTITUTE(C1536,"'",""),6,2),1),ShadowLedger!$C:$C,"&lt;"&amp;EOMONTH(DATE(LEFT(SUBSTITUTE(C1536,"'",""),4),MID(SUBSTITUTE(C1536,"'",""),6,2),1),0)+1)</f>
        <v>0</v>
      </c>
      <c r="E1536" s="17">
        <f t="shared" si="1"/>
        <v>492</v>
      </c>
      <c r="F1536" s="17">
        <f t="shared" si="2"/>
        <v>0</v>
      </c>
    </row>
    <row r="1537">
      <c r="A1537" s="5" t="s">
        <v>59</v>
      </c>
      <c r="B1537" s="6">
        <v>246.0</v>
      </c>
      <c r="C1537" s="13" t="s">
        <v>302</v>
      </c>
      <c r="D1537" s="17">
        <f>SUMIFS(ShadowLedger!$D:$D,ShadowLedger!$G:$G,A1537,ShadowLedger!$C:$C,"&gt;="&amp;DATE(LEFT(SUBSTITUTE(C1537,"'",""),4),MID(SUBSTITUTE(C1537,"'",""),6,2),1),ShadowLedger!$C:$C,"&lt;"&amp;EOMONTH(DATE(LEFT(SUBSTITUTE(C1537,"'",""),4),MID(SUBSTITUTE(C1537,"'",""),6,2),1),0)+1)</f>
        <v>0</v>
      </c>
      <c r="E1537" s="17">
        <f t="shared" si="1"/>
        <v>246</v>
      </c>
      <c r="F1537" s="17">
        <f t="shared" si="2"/>
        <v>0</v>
      </c>
    </row>
    <row r="1538">
      <c r="A1538" s="5" t="s">
        <v>60</v>
      </c>
      <c r="B1538" s="6">
        <v>184.0</v>
      </c>
      <c r="C1538" s="13" t="s">
        <v>302</v>
      </c>
      <c r="D1538" s="17">
        <f>SUMIFS(ShadowLedger!$D:$D,ShadowLedger!$G:$G,A1538,ShadowLedger!$C:$C,"&gt;="&amp;DATE(LEFT(SUBSTITUTE(C1538,"'",""),4),MID(SUBSTITUTE(C1538,"'",""),6,2),1),ShadowLedger!$C:$C,"&lt;"&amp;EOMONTH(DATE(LEFT(SUBSTITUTE(C1538,"'",""),4),MID(SUBSTITUTE(C1538,"'",""),6,2),1),0)+1)</f>
        <v>0</v>
      </c>
      <c r="E1538" s="17">
        <f t="shared" si="1"/>
        <v>184</v>
      </c>
      <c r="F1538" s="17">
        <f t="shared" si="2"/>
        <v>0</v>
      </c>
    </row>
    <row r="1539">
      <c r="A1539" s="5" t="s">
        <v>61</v>
      </c>
      <c r="B1539" s="6">
        <v>148.0</v>
      </c>
      <c r="C1539" s="13" t="s">
        <v>302</v>
      </c>
      <c r="D1539" s="17">
        <f>SUMIFS(ShadowLedger!$D:$D,ShadowLedger!$G:$G,A1539,ShadowLedger!$C:$C,"&gt;="&amp;DATE(LEFT(SUBSTITUTE(C1539,"'",""),4),MID(SUBSTITUTE(C1539,"'",""),6,2),1),ShadowLedger!$C:$C,"&lt;"&amp;EOMONTH(DATE(LEFT(SUBSTITUTE(C1539,"'",""),4),MID(SUBSTITUTE(C1539,"'",""),6,2),1),0)+1)</f>
        <v>0</v>
      </c>
      <c r="E1539" s="17">
        <f t="shared" si="1"/>
        <v>148</v>
      </c>
      <c r="F1539" s="17">
        <f t="shared" si="2"/>
        <v>0</v>
      </c>
    </row>
    <row r="1540">
      <c r="A1540" s="5" t="s">
        <v>62</v>
      </c>
      <c r="B1540" s="6">
        <v>148.0</v>
      </c>
      <c r="C1540" s="13" t="s">
        <v>302</v>
      </c>
      <c r="D1540" s="17">
        <f>SUMIFS(ShadowLedger!$D:$D,ShadowLedger!$G:$G,A1540,ShadowLedger!$C:$C,"&gt;="&amp;DATE(LEFT(SUBSTITUTE(C1540,"'",""),4),MID(SUBSTITUTE(C1540,"'",""),6,2),1),ShadowLedger!$C:$C,"&lt;"&amp;EOMONTH(DATE(LEFT(SUBSTITUTE(C1540,"'",""),4),MID(SUBSTITUTE(C1540,"'",""),6,2),1),0)+1)</f>
        <v>0</v>
      </c>
      <c r="E1540" s="17">
        <f t="shared" si="1"/>
        <v>148</v>
      </c>
      <c r="F1540" s="17">
        <f t="shared" si="2"/>
        <v>0</v>
      </c>
    </row>
    <row r="1541">
      <c r="A1541" s="5" t="s">
        <v>63</v>
      </c>
      <c r="B1541" s="6">
        <v>123.0</v>
      </c>
      <c r="C1541" s="13" t="s">
        <v>302</v>
      </c>
      <c r="D1541" s="17">
        <f>SUMIFS(ShadowLedger!$D:$D,ShadowLedger!$G:$G,A1541,ShadowLedger!$C:$C,"&gt;="&amp;DATE(LEFT(SUBSTITUTE(C1541,"'",""),4),MID(SUBSTITUTE(C1541,"'",""),6,2),1),ShadowLedger!$C:$C,"&lt;"&amp;EOMONTH(DATE(LEFT(SUBSTITUTE(C1541,"'",""),4),MID(SUBSTITUTE(C1541,"'",""),6,2),1),0)+1)</f>
        <v>0</v>
      </c>
      <c r="E1541" s="17">
        <f t="shared" si="1"/>
        <v>123</v>
      </c>
      <c r="F1541" s="17">
        <f t="shared" si="2"/>
        <v>0</v>
      </c>
    </row>
    <row r="1542">
      <c r="A1542" s="5" t="s">
        <v>64</v>
      </c>
      <c r="B1542" s="6">
        <v>123.0</v>
      </c>
      <c r="C1542" s="13" t="s">
        <v>302</v>
      </c>
      <c r="D1542" s="17">
        <f>SUMIFS(ShadowLedger!$D:$D,ShadowLedger!$G:$G,A1542,ShadowLedger!$C:$C,"&gt;="&amp;DATE(LEFT(SUBSTITUTE(C1542,"'",""),4),MID(SUBSTITUTE(C1542,"'",""),6,2),1),ShadowLedger!$C:$C,"&lt;"&amp;EOMONTH(DATE(LEFT(SUBSTITUTE(C1542,"'",""),4),MID(SUBSTITUTE(C1542,"'",""),6,2),1),0)+1)</f>
        <v>0</v>
      </c>
      <c r="E1542" s="17">
        <f t="shared" si="1"/>
        <v>123</v>
      </c>
      <c r="F1542" s="17">
        <f t="shared" si="2"/>
        <v>0</v>
      </c>
    </row>
    <row r="1543">
      <c r="A1543" s="5" t="s">
        <v>70</v>
      </c>
      <c r="B1543" s="6">
        <v>123.0</v>
      </c>
      <c r="C1543" s="13" t="s">
        <v>302</v>
      </c>
      <c r="D1543" s="17">
        <f>SUMIFS(ShadowLedger!$D:$D,ShadowLedger!$G:$G,A1543,ShadowLedger!$C:$C,"&gt;="&amp;DATE(LEFT(SUBSTITUTE(C1543,"'",""),4),MID(SUBSTITUTE(C1543,"'",""),6,2),1),ShadowLedger!$C:$C,"&lt;"&amp;EOMONTH(DATE(LEFT(SUBSTITUTE(C1543,"'",""),4),MID(SUBSTITUTE(C1543,"'",""),6,2),1),0)+1)</f>
        <v>0</v>
      </c>
      <c r="E1543" s="17">
        <f t="shared" si="1"/>
        <v>123</v>
      </c>
      <c r="F1543" s="17">
        <f t="shared" si="2"/>
        <v>0</v>
      </c>
    </row>
    <row r="1544">
      <c r="A1544" s="5" t="s">
        <v>65</v>
      </c>
      <c r="B1544" s="6">
        <v>61.0</v>
      </c>
      <c r="C1544" s="13" t="s">
        <v>302</v>
      </c>
      <c r="D1544" s="17">
        <f>SUMIFS(ShadowLedger!$D:$D,ShadowLedger!$G:$G,A1544,ShadowLedger!$C:$C,"&gt;="&amp;DATE(LEFT(SUBSTITUTE(C1544,"'",""),4),MID(SUBSTITUTE(C1544,"'",""),6,2),1),ShadowLedger!$C:$C,"&lt;"&amp;EOMONTH(DATE(LEFT(SUBSTITUTE(C1544,"'",""),4),MID(SUBSTITUTE(C1544,"'",""),6,2),1),0)+1)</f>
        <v>0</v>
      </c>
      <c r="E1544" s="17">
        <f t="shared" si="1"/>
        <v>61</v>
      </c>
      <c r="F1544" s="17">
        <f t="shared" si="2"/>
        <v>0</v>
      </c>
    </row>
    <row r="1545">
      <c r="A1545" s="5" t="s">
        <v>66</v>
      </c>
      <c r="B1545" s="6">
        <v>61.0</v>
      </c>
      <c r="C1545" s="13" t="s">
        <v>302</v>
      </c>
      <c r="D1545" s="17">
        <f>SUMIFS(ShadowLedger!$D:$D,ShadowLedger!$G:$G,A1545,ShadowLedger!$C:$C,"&gt;="&amp;DATE(LEFT(SUBSTITUTE(C1545,"'",""),4),MID(SUBSTITUTE(C1545,"'",""),6,2),1),ShadowLedger!$C:$C,"&lt;"&amp;EOMONTH(DATE(LEFT(SUBSTITUTE(C1545,"'",""),4),MID(SUBSTITUTE(C1545,"'",""),6,2),1),0)+1)</f>
        <v>0</v>
      </c>
      <c r="E1545" s="17">
        <f t="shared" si="1"/>
        <v>61</v>
      </c>
      <c r="F1545" s="17">
        <f t="shared" si="2"/>
        <v>0</v>
      </c>
    </row>
    <row r="1546">
      <c r="A1546" s="5" t="s">
        <v>67</v>
      </c>
      <c r="B1546" s="6">
        <v>61.0</v>
      </c>
      <c r="C1546" s="13" t="s">
        <v>302</v>
      </c>
      <c r="D1546" s="17">
        <f>SUMIFS(ShadowLedger!$D:$D,ShadowLedger!$G:$G,A1546,ShadowLedger!$C:$C,"&gt;="&amp;DATE(LEFT(SUBSTITUTE(C1546,"'",""),4),MID(SUBSTITUTE(C1546,"'",""),6,2),1),ShadowLedger!$C:$C,"&lt;"&amp;EOMONTH(DATE(LEFT(SUBSTITUTE(C1546,"'",""),4),MID(SUBSTITUTE(C1546,"'",""),6,2),1),0)+1)</f>
        <v>0</v>
      </c>
      <c r="E1546" s="17">
        <f t="shared" si="1"/>
        <v>61</v>
      </c>
      <c r="F1546" s="17">
        <f t="shared" si="2"/>
        <v>0</v>
      </c>
    </row>
    <row r="1547">
      <c r="A1547" s="5" t="s">
        <v>68</v>
      </c>
      <c r="B1547" s="6">
        <v>61.0</v>
      </c>
      <c r="C1547" s="13" t="s">
        <v>302</v>
      </c>
      <c r="D1547" s="17">
        <f>SUMIFS(ShadowLedger!$D:$D,ShadowLedger!$G:$G,A1547,ShadowLedger!$C:$C,"&gt;="&amp;DATE(LEFT(SUBSTITUTE(C1547,"'",""),4),MID(SUBSTITUTE(C1547,"'",""),6,2),1),ShadowLedger!$C:$C,"&lt;"&amp;EOMONTH(DATE(LEFT(SUBSTITUTE(C1547,"'",""),4),MID(SUBSTITUTE(C1547,"'",""),6,2),1),0)+1)</f>
        <v>0</v>
      </c>
      <c r="E1547" s="17">
        <f t="shared" si="1"/>
        <v>61</v>
      </c>
      <c r="F1547" s="17">
        <f t="shared" si="2"/>
        <v>0</v>
      </c>
    </row>
    <row r="1548">
      <c r="A1548" s="5" t="s">
        <v>69</v>
      </c>
      <c r="B1548" s="6">
        <v>0.0</v>
      </c>
      <c r="C1548" s="13" t="s">
        <v>302</v>
      </c>
      <c r="D1548" s="17">
        <f>SUMIFS(ShadowLedger!$D:$D,ShadowLedger!$G:$G,A1548,ShadowLedger!$C:$C,"&gt;="&amp;DATE(LEFT(SUBSTITUTE(C1548,"'",""),4),MID(SUBSTITUTE(C1548,"'",""),6,2),1),ShadowLedger!$C:$C,"&lt;"&amp;EOMONTH(DATE(LEFT(SUBSTITUTE(C1548,"'",""),4),MID(SUBSTITUTE(C1548,"'",""),6,2),1),0)+1)</f>
        <v>0</v>
      </c>
      <c r="E1548" s="17">
        <f t="shared" si="1"/>
        <v>0</v>
      </c>
      <c r="F1548" s="17">
        <f t="shared" si="2"/>
        <v>0</v>
      </c>
    </row>
    <row r="1549">
      <c r="A1549" s="5" t="s">
        <v>54</v>
      </c>
      <c r="B1549" s="6">
        <v>1131.0</v>
      </c>
      <c r="C1549" s="13" t="s">
        <v>303</v>
      </c>
      <c r="D1549" s="17">
        <f>SUMIFS(ShadowLedger!$D:$D,ShadowLedger!$G:$G,A1549,ShadowLedger!$C:$C,"&gt;="&amp;DATE(LEFT(SUBSTITUTE(C1549,"'",""),4),MID(SUBSTITUTE(C1549,"'",""),6,2),1),ShadowLedger!$C:$C,"&lt;"&amp;EOMONTH(DATE(LEFT(SUBSTITUTE(C1549,"'",""),4),MID(SUBSTITUTE(C1549,"'",""),6,2),1),0)+1)</f>
        <v>0</v>
      </c>
      <c r="E1549" s="17">
        <f t="shared" si="1"/>
        <v>1131</v>
      </c>
      <c r="F1549" s="17">
        <f t="shared" si="2"/>
        <v>0</v>
      </c>
    </row>
    <row r="1550">
      <c r="A1550" s="5" t="s">
        <v>55</v>
      </c>
      <c r="B1550" s="6">
        <v>861.0</v>
      </c>
      <c r="C1550" s="13" t="s">
        <v>303</v>
      </c>
      <c r="D1550" s="17">
        <f>SUMIFS(ShadowLedger!$D:$D,ShadowLedger!$G:$G,A1550,ShadowLedger!$C:$C,"&gt;="&amp;DATE(LEFT(SUBSTITUTE(C1550,"'",""),4),MID(SUBSTITUTE(C1550,"'",""),6,2),1),ShadowLedger!$C:$C,"&lt;"&amp;EOMONTH(DATE(LEFT(SUBSTITUTE(C1550,"'",""),4),MID(SUBSTITUTE(C1550,"'",""),6,2),1),0)+1)</f>
        <v>0</v>
      </c>
      <c r="E1550" s="17">
        <f t="shared" si="1"/>
        <v>861</v>
      </c>
      <c r="F1550" s="17">
        <f t="shared" si="2"/>
        <v>0</v>
      </c>
    </row>
    <row r="1551">
      <c r="A1551" s="5" t="s">
        <v>56</v>
      </c>
      <c r="B1551" s="6">
        <v>615.0</v>
      </c>
      <c r="C1551" s="13" t="s">
        <v>303</v>
      </c>
      <c r="D1551" s="17">
        <f>SUMIFS(ShadowLedger!$D:$D,ShadowLedger!$G:$G,A1551,ShadowLedger!$C:$C,"&gt;="&amp;DATE(LEFT(SUBSTITUTE(C1551,"'",""),4),MID(SUBSTITUTE(C1551,"'",""),6,2),1),ShadowLedger!$C:$C,"&lt;"&amp;EOMONTH(DATE(LEFT(SUBSTITUTE(C1551,"'",""),4),MID(SUBSTITUTE(C1551,"'",""),6,2),1),0)+1)</f>
        <v>0</v>
      </c>
      <c r="E1551" s="17">
        <f t="shared" si="1"/>
        <v>615</v>
      </c>
      <c r="F1551" s="17">
        <f t="shared" si="2"/>
        <v>0</v>
      </c>
    </row>
    <row r="1552">
      <c r="A1552" s="5" t="s">
        <v>57</v>
      </c>
      <c r="B1552" s="6">
        <v>615.0</v>
      </c>
      <c r="C1552" s="13" t="s">
        <v>303</v>
      </c>
      <c r="D1552" s="17">
        <f>SUMIFS(ShadowLedger!$D:$D,ShadowLedger!$G:$G,A1552,ShadowLedger!$C:$C,"&gt;="&amp;DATE(LEFT(SUBSTITUTE(C1552,"'",""),4),MID(SUBSTITUTE(C1552,"'",""),6,2),1),ShadowLedger!$C:$C,"&lt;"&amp;EOMONTH(DATE(LEFT(SUBSTITUTE(C1552,"'",""),4),MID(SUBSTITUTE(C1552,"'",""),6,2),1),0)+1)</f>
        <v>0</v>
      </c>
      <c r="E1552" s="17">
        <f t="shared" si="1"/>
        <v>615</v>
      </c>
      <c r="F1552" s="17">
        <f t="shared" si="2"/>
        <v>0</v>
      </c>
    </row>
    <row r="1553">
      <c r="A1553" s="5" t="s">
        <v>58</v>
      </c>
      <c r="B1553" s="6">
        <v>492.0</v>
      </c>
      <c r="C1553" s="13" t="s">
        <v>303</v>
      </c>
      <c r="D1553" s="17">
        <f>SUMIFS(ShadowLedger!$D:$D,ShadowLedger!$G:$G,A1553,ShadowLedger!$C:$C,"&gt;="&amp;DATE(LEFT(SUBSTITUTE(C1553,"'",""),4),MID(SUBSTITUTE(C1553,"'",""),6,2),1),ShadowLedger!$C:$C,"&lt;"&amp;EOMONTH(DATE(LEFT(SUBSTITUTE(C1553,"'",""),4),MID(SUBSTITUTE(C1553,"'",""),6,2),1),0)+1)</f>
        <v>0</v>
      </c>
      <c r="E1553" s="17">
        <f t="shared" si="1"/>
        <v>492</v>
      </c>
      <c r="F1553" s="17">
        <f t="shared" si="2"/>
        <v>0</v>
      </c>
    </row>
    <row r="1554">
      <c r="A1554" s="5" t="s">
        <v>59</v>
      </c>
      <c r="B1554" s="6">
        <v>246.0</v>
      </c>
      <c r="C1554" s="13" t="s">
        <v>303</v>
      </c>
      <c r="D1554" s="17">
        <f>SUMIFS(ShadowLedger!$D:$D,ShadowLedger!$G:$G,A1554,ShadowLedger!$C:$C,"&gt;="&amp;DATE(LEFT(SUBSTITUTE(C1554,"'",""),4),MID(SUBSTITUTE(C1554,"'",""),6,2),1),ShadowLedger!$C:$C,"&lt;"&amp;EOMONTH(DATE(LEFT(SUBSTITUTE(C1554,"'",""),4),MID(SUBSTITUTE(C1554,"'",""),6,2),1),0)+1)</f>
        <v>0</v>
      </c>
      <c r="E1554" s="17">
        <f t="shared" si="1"/>
        <v>246</v>
      </c>
      <c r="F1554" s="17">
        <f t="shared" si="2"/>
        <v>0</v>
      </c>
    </row>
    <row r="1555">
      <c r="A1555" s="5" t="s">
        <v>60</v>
      </c>
      <c r="B1555" s="6">
        <v>184.0</v>
      </c>
      <c r="C1555" s="13" t="s">
        <v>303</v>
      </c>
      <c r="D1555" s="17">
        <f>SUMIFS(ShadowLedger!$D:$D,ShadowLedger!$G:$G,A1555,ShadowLedger!$C:$C,"&gt;="&amp;DATE(LEFT(SUBSTITUTE(C1555,"'",""),4),MID(SUBSTITUTE(C1555,"'",""),6,2),1),ShadowLedger!$C:$C,"&lt;"&amp;EOMONTH(DATE(LEFT(SUBSTITUTE(C1555,"'",""),4),MID(SUBSTITUTE(C1555,"'",""),6,2),1),0)+1)</f>
        <v>0</v>
      </c>
      <c r="E1555" s="17">
        <f t="shared" si="1"/>
        <v>184</v>
      </c>
      <c r="F1555" s="17">
        <f t="shared" si="2"/>
        <v>0</v>
      </c>
    </row>
    <row r="1556">
      <c r="A1556" s="5" t="s">
        <v>61</v>
      </c>
      <c r="B1556" s="6">
        <v>148.0</v>
      </c>
      <c r="C1556" s="13" t="s">
        <v>303</v>
      </c>
      <c r="D1556" s="17">
        <f>SUMIFS(ShadowLedger!$D:$D,ShadowLedger!$G:$G,A1556,ShadowLedger!$C:$C,"&gt;="&amp;DATE(LEFT(SUBSTITUTE(C1556,"'",""),4),MID(SUBSTITUTE(C1556,"'",""),6,2),1),ShadowLedger!$C:$C,"&lt;"&amp;EOMONTH(DATE(LEFT(SUBSTITUTE(C1556,"'",""),4),MID(SUBSTITUTE(C1556,"'",""),6,2),1),0)+1)</f>
        <v>0</v>
      </c>
      <c r="E1556" s="17">
        <f t="shared" si="1"/>
        <v>148</v>
      </c>
      <c r="F1556" s="17">
        <f t="shared" si="2"/>
        <v>0</v>
      </c>
    </row>
    <row r="1557">
      <c r="A1557" s="5" t="s">
        <v>62</v>
      </c>
      <c r="B1557" s="6">
        <v>148.0</v>
      </c>
      <c r="C1557" s="13" t="s">
        <v>303</v>
      </c>
      <c r="D1557" s="17">
        <f>SUMIFS(ShadowLedger!$D:$D,ShadowLedger!$G:$G,A1557,ShadowLedger!$C:$C,"&gt;="&amp;DATE(LEFT(SUBSTITUTE(C1557,"'",""),4),MID(SUBSTITUTE(C1557,"'",""),6,2),1),ShadowLedger!$C:$C,"&lt;"&amp;EOMONTH(DATE(LEFT(SUBSTITUTE(C1557,"'",""),4),MID(SUBSTITUTE(C1557,"'",""),6,2),1),0)+1)</f>
        <v>0</v>
      </c>
      <c r="E1557" s="17">
        <f t="shared" si="1"/>
        <v>148</v>
      </c>
      <c r="F1557" s="17">
        <f t="shared" si="2"/>
        <v>0</v>
      </c>
    </row>
    <row r="1558">
      <c r="A1558" s="5" t="s">
        <v>63</v>
      </c>
      <c r="B1558" s="6">
        <v>123.0</v>
      </c>
      <c r="C1558" s="13" t="s">
        <v>303</v>
      </c>
      <c r="D1558" s="17">
        <f>SUMIFS(ShadowLedger!$D:$D,ShadowLedger!$G:$G,A1558,ShadowLedger!$C:$C,"&gt;="&amp;DATE(LEFT(SUBSTITUTE(C1558,"'",""),4),MID(SUBSTITUTE(C1558,"'",""),6,2),1),ShadowLedger!$C:$C,"&lt;"&amp;EOMONTH(DATE(LEFT(SUBSTITUTE(C1558,"'",""),4),MID(SUBSTITUTE(C1558,"'",""),6,2),1),0)+1)</f>
        <v>0</v>
      </c>
      <c r="E1558" s="17">
        <f t="shared" si="1"/>
        <v>123</v>
      </c>
      <c r="F1558" s="17">
        <f t="shared" si="2"/>
        <v>0</v>
      </c>
    </row>
    <row r="1559">
      <c r="A1559" s="5" t="s">
        <v>64</v>
      </c>
      <c r="B1559" s="6">
        <v>123.0</v>
      </c>
      <c r="C1559" s="13" t="s">
        <v>303</v>
      </c>
      <c r="D1559" s="17">
        <f>SUMIFS(ShadowLedger!$D:$D,ShadowLedger!$G:$G,A1559,ShadowLedger!$C:$C,"&gt;="&amp;DATE(LEFT(SUBSTITUTE(C1559,"'",""),4),MID(SUBSTITUTE(C1559,"'",""),6,2),1),ShadowLedger!$C:$C,"&lt;"&amp;EOMONTH(DATE(LEFT(SUBSTITUTE(C1559,"'",""),4),MID(SUBSTITUTE(C1559,"'",""),6,2),1),0)+1)</f>
        <v>0</v>
      </c>
      <c r="E1559" s="17">
        <f t="shared" si="1"/>
        <v>123</v>
      </c>
      <c r="F1559" s="17">
        <f t="shared" si="2"/>
        <v>0</v>
      </c>
    </row>
    <row r="1560">
      <c r="A1560" s="5" t="s">
        <v>70</v>
      </c>
      <c r="B1560" s="6">
        <v>123.0</v>
      </c>
      <c r="C1560" s="13" t="s">
        <v>303</v>
      </c>
      <c r="D1560" s="17">
        <f>SUMIFS(ShadowLedger!$D:$D,ShadowLedger!$G:$G,A1560,ShadowLedger!$C:$C,"&gt;="&amp;DATE(LEFT(SUBSTITUTE(C1560,"'",""),4),MID(SUBSTITUTE(C1560,"'",""),6,2),1),ShadowLedger!$C:$C,"&lt;"&amp;EOMONTH(DATE(LEFT(SUBSTITUTE(C1560,"'",""),4),MID(SUBSTITUTE(C1560,"'",""),6,2),1),0)+1)</f>
        <v>0</v>
      </c>
      <c r="E1560" s="17">
        <f t="shared" si="1"/>
        <v>123</v>
      </c>
      <c r="F1560" s="17">
        <f t="shared" si="2"/>
        <v>0</v>
      </c>
    </row>
    <row r="1561">
      <c r="A1561" s="5" t="s">
        <v>65</v>
      </c>
      <c r="B1561" s="6">
        <v>61.0</v>
      </c>
      <c r="C1561" s="13" t="s">
        <v>303</v>
      </c>
      <c r="D1561" s="17">
        <f>SUMIFS(ShadowLedger!$D:$D,ShadowLedger!$G:$G,A1561,ShadowLedger!$C:$C,"&gt;="&amp;DATE(LEFT(SUBSTITUTE(C1561,"'",""),4),MID(SUBSTITUTE(C1561,"'",""),6,2),1),ShadowLedger!$C:$C,"&lt;"&amp;EOMONTH(DATE(LEFT(SUBSTITUTE(C1561,"'",""),4),MID(SUBSTITUTE(C1561,"'",""),6,2),1),0)+1)</f>
        <v>0</v>
      </c>
      <c r="E1561" s="17">
        <f t="shared" si="1"/>
        <v>61</v>
      </c>
      <c r="F1561" s="17">
        <f t="shared" si="2"/>
        <v>0</v>
      </c>
    </row>
    <row r="1562">
      <c r="A1562" s="5" t="s">
        <v>66</v>
      </c>
      <c r="B1562" s="6">
        <v>61.0</v>
      </c>
      <c r="C1562" s="13" t="s">
        <v>303</v>
      </c>
      <c r="D1562" s="17">
        <f>SUMIFS(ShadowLedger!$D:$D,ShadowLedger!$G:$G,A1562,ShadowLedger!$C:$C,"&gt;="&amp;DATE(LEFT(SUBSTITUTE(C1562,"'",""),4),MID(SUBSTITUTE(C1562,"'",""),6,2),1),ShadowLedger!$C:$C,"&lt;"&amp;EOMONTH(DATE(LEFT(SUBSTITUTE(C1562,"'",""),4),MID(SUBSTITUTE(C1562,"'",""),6,2),1),0)+1)</f>
        <v>0</v>
      </c>
      <c r="E1562" s="17">
        <f t="shared" si="1"/>
        <v>61</v>
      </c>
      <c r="F1562" s="17">
        <f t="shared" si="2"/>
        <v>0</v>
      </c>
    </row>
    <row r="1563">
      <c r="A1563" s="5" t="s">
        <v>67</v>
      </c>
      <c r="B1563" s="6">
        <v>61.0</v>
      </c>
      <c r="C1563" s="13" t="s">
        <v>303</v>
      </c>
      <c r="D1563" s="17">
        <f>SUMIFS(ShadowLedger!$D:$D,ShadowLedger!$G:$G,A1563,ShadowLedger!$C:$C,"&gt;="&amp;DATE(LEFT(SUBSTITUTE(C1563,"'",""),4),MID(SUBSTITUTE(C1563,"'",""),6,2),1),ShadowLedger!$C:$C,"&lt;"&amp;EOMONTH(DATE(LEFT(SUBSTITUTE(C1563,"'",""),4),MID(SUBSTITUTE(C1563,"'",""),6,2),1),0)+1)</f>
        <v>0</v>
      </c>
      <c r="E1563" s="17">
        <f t="shared" si="1"/>
        <v>61</v>
      </c>
      <c r="F1563" s="17">
        <f t="shared" si="2"/>
        <v>0</v>
      </c>
    </row>
    <row r="1564">
      <c r="A1564" s="5" t="s">
        <v>68</v>
      </c>
      <c r="B1564" s="6">
        <v>61.0</v>
      </c>
      <c r="C1564" s="13" t="s">
        <v>303</v>
      </c>
      <c r="D1564" s="17">
        <f>SUMIFS(ShadowLedger!$D:$D,ShadowLedger!$G:$G,A1564,ShadowLedger!$C:$C,"&gt;="&amp;DATE(LEFT(SUBSTITUTE(C1564,"'",""),4),MID(SUBSTITUTE(C1564,"'",""),6,2),1),ShadowLedger!$C:$C,"&lt;"&amp;EOMONTH(DATE(LEFT(SUBSTITUTE(C1564,"'",""),4),MID(SUBSTITUTE(C1564,"'",""),6,2),1),0)+1)</f>
        <v>0</v>
      </c>
      <c r="E1564" s="17">
        <f t="shared" si="1"/>
        <v>61</v>
      </c>
      <c r="F1564" s="17">
        <f t="shared" si="2"/>
        <v>0</v>
      </c>
    </row>
    <row r="1565">
      <c r="A1565" s="5" t="s">
        <v>69</v>
      </c>
      <c r="B1565" s="6">
        <v>0.0</v>
      </c>
      <c r="C1565" s="13" t="s">
        <v>303</v>
      </c>
      <c r="D1565" s="17">
        <f>SUMIFS(ShadowLedger!$D:$D,ShadowLedger!$G:$G,A1565,ShadowLedger!$C:$C,"&gt;="&amp;DATE(LEFT(SUBSTITUTE(C1565,"'",""),4),MID(SUBSTITUTE(C1565,"'",""),6,2),1),ShadowLedger!$C:$C,"&lt;"&amp;EOMONTH(DATE(LEFT(SUBSTITUTE(C1565,"'",""),4),MID(SUBSTITUTE(C1565,"'",""),6,2),1),0)+1)</f>
        <v>0</v>
      </c>
      <c r="E1565" s="17">
        <f t="shared" si="1"/>
        <v>0</v>
      </c>
      <c r="F1565" s="17">
        <f t="shared" si="2"/>
        <v>0</v>
      </c>
    </row>
    <row r="1566">
      <c r="A1566" s="5" t="s">
        <v>54</v>
      </c>
      <c r="B1566" s="6">
        <v>1131.0</v>
      </c>
      <c r="C1566" s="13" t="s">
        <v>304</v>
      </c>
      <c r="D1566" s="17">
        <f>SUMIFS(ShadowLedger!$D:$D,ShadowLedger!$G:$G,A1566,ShadowLedger!$C:$C,"&gt;="&amp;DATE(LEFT(SUBSTITUTE(C1566,"'",""),4),MID(SUBSTITUTE(C1566,"'",""),6,2),1),ShadowLedger!$C:$C,"&lt;"&amp;EOMONTH(DATE(LEFT(SUBSTITUTE(C1566,"'",""),4),MID(SUBSTITUTE(C1566,"'",""),6,2),1),0)+1)</f>
        <v>0</v>
      </c>
      <c r="E1566" s="17">
        <f t="shared" si="1"/>
        <v>1131</v>
      </c>
      <c r="F1566" s="17">
        <f t="shared" si="2"/>
        <v>0</v>
      </c>
    </row>
    <row r="1567">
      <c r="A1567" s="5" t="s">
        <v>55</v>
      </c>
      <c r="B1567" s="6">
        <v>861.0</v>
      </c>
      <c r="C1567" s="13" t="s">
        <v>304</v>
      </c>
      <c r="D1567" s="17">
        <f>SUMIFS(ShadowLedger!$D:$D,ShadowLedger!$G:$G,A1567,ShadowLedger!$C:$C,"&gt;="&amp;DATE(LEFT(SUBSTITUTE(C1567,"'",""),4),MID(SUBSTITUTE(C1567,"'",""),6,2),1),ShadowLedger!$C:$C,"&lt;"&amp;EOMONTH(DATE(LEFT(SUBSTITUTE(C1567,"'",""),4),MID(SUBSTITUTE(C1567,"'",""),6,2),1),0)+1)</f>
        <v>0</v>
      </c>
      <c r="E1567" s="17">
        <f t="shared" si="1"/>
        <v>861</v>
      </c>
      <c r="F1567" s="17">
        <f t="shared" si="2"/>
        <v>0</v>
      </c>
    </row>
    <row r="1568">
      <c r="A1568" s="5" t="s">
        <v>56</v>
      </c>
      <c r="B1568" s="6">
        <v>615.0</v>
      </c>
      <c r="C1568" s="13" t="s">
        <v>304</v>
      </c>
      <c r="D1568" s="17">
        <f>SUMIFS(ShadowLedger!$D:$D,ShadowLedger!$G:$G,A1568,ShadowLedger!$C:$C,"&gt;="&amp;DATE(LEFT(SUBSTITUTE(C1568,"'",""),4),MID(SUBSTITUTE(C1568,"'",""),6,2),1),ShadowLedger!$C:$C,"&lt;"&amp;EOMONTH(DATE(LEFT(SUBSTITUTE(C1568,"'",""),4),MID(SUBSTITUTE(C1568,"'",""),6,2),1),0)+1)</f>
        <v>0</v>
      </c>
      <c r="E1568" s="17">
        <f t="shared" si="1"/>
        <v>615</v>
      </c>
      <c r="F1568" s="17">
        <f t="shared" si="2"/>
        <v>0</v>
      </c>
    </row>
    <row r="1569">
      <c r="A1569" s="5" t="s">
        <v>57</v>
      </c>
      <c r="B1569" s="6">
        <v>615.0</v>
      </c>
      <c r="C1569" s="13" t="s">
        <v>304</v>
      </c>
      <c r="D1569" s="17">
        <f>SUMIFS(ShadowLedger!$D:$D,ShadowLedger!$G:$G,A1569,ShadowLedger!$C:$C,"&gt;="&amp;DATE(LEFT(SUBSTITUTE(C1569,"'",""),4),MID(SUBSTITUTE(C1569,"'",""),6,2),1),ShadowLedger!$C:$C,"&lt;"&amp;EOMONTH(DATE(LEFT(SUBSTITUTE(C1569,"'",""),4),MID(SUBSTITUTE(C1569,"'",""),6,2),1),0)+1)</f>
        <v>0</v>
      </c>
      <c r="E1569" s="17">
        <f t="shared" si="1"/>
        <v>615</v>
      </c>
      <c r="F1569" s="17">
        <f t="shared" si="2"/>
        <v>0</v>
      </c>
    </row>
    <row r="1570">
      <c r="A1570" s="5" t="s">
        <v>58</v>
      </c>
      <c r="B1570" s="6">
        <v>492.0</v>
      </c>
      <c r="C1570" s="13" t="s">
        <v>304</v>
      </c>
      <c r="D1570" s="17">
        <f>SUMIFS(ShadowLedger!$D:$D,ShadowLedger!$G:$G,A1570,ShadowLedger!$C:$C,"&gt;="&amp;DATE(LEFT(SUBSTITUTE(C1570,"'",""),4),MID(SUBSTITUTE(C1570,"'",""),6,2),1),ShadowLedger!$C:$C,"&lt;"&amp;EOMONTH(DATE(LEFT(SUBSTITUTE(C1570,"'",""),4),MID(SUBSTITUTE(C1570,"'",""),6,2),1),0)+1)</f>
        <v>0</v>
      </c>
      <c r="E1570" s="17">
        <f t="shared" si="1"/>
        <v>492</v>
      </c>
      <c r="F1570" s="17">
        <f t="shared" si="2"/>
        <v>0</v>
      </c>
    </row>
    <row r="1571">
      <c r="A1571" s="5" t="s">
        <v>59</v>
      </c>
      <c r="B1571" s="6">
        <v>246.0</v>
      </c>
      <c r="C1571" s="13" t="s">
        <v>304</v>
      </c>
      <c r="D1571" s="17">
        <f>SUMIFS(ShadowLedger!$D:$D,ShadowLedger!$G:$G,A1571,ShadowLedger!$C:$C,"&gt;="&amp;DATE(LEFT(SUBSTITUTE(C1571,"'",""),4),MID(SUBSTITUTE(C1571,"'",""),6,2),1),ShadowLedger!$C:$C,"&lt;"&amp;EOMONTH(DATE(LEFT(SUBSTITUTE(C1571,"'",""),4),MID(SUBSTITUTE(C1571,"'",""),6,2),1),0)+1)</f>
        <v>0</v>
      </c>
      <c r="E1571" s="17">
        <f t="shared" si="1"/>
        <v>246</v>
      </c>
      <c r="F1571" s="17">
        <f t="shared" si="2"/>
        <v>0</v>
      </c>
    </row>
    <row r="1572">
      <c r="A1572" s="5" t="s">
        <v>60</v>
      </c>
      <c r="B1572" s="6">
        <v>184.0</v>
      </c>
      <c r="C1572" s="13" t="s">
        <v>304</v>
      </c>
      <c r="D1572" s="17">
        <f>SUMIFS(ShadowLedger!$D:$D,ShadowLedger!$G:$G,A1572,ShadowLedger!$C:$C,"&gt;="&amp;DATE(LEFT(SUBSTITUTE(C1572,"'",""),4),MID(SUBSTITUTE(C1572,"'",""),6,2),1),ShadowLedger!$C:$C,"&lt;"&amp;EOMONTH(DATE(LEFT(SUBSTITUTE(C1572,"'",""),4),MID(SUBSTITUTE(C1572,"'",""),6,2),1),0)+1)</f>
        <v>0</v>
      </c>
      <c r="E1572" s="17">
        <f t="shared" si="1"/>
        <v>184</v>
      </c>
      <c r="F1572" s="17">
        <f t="shared" si="2"/>
        <v>0</v>
      </c>
    </row>
    <row r="1573">
      <c r="A1573" s="5" t="s">
        <v>61</v>
      </c>
      <c r="B1573" s="6">
        <v>148.0</v>
      </c>
      <c r="C1573" s="13" t="s">
        <v>304</v>
      </c>
      <c r="D1573" s="17">
        <f>SUMIFS(ShadowLedger!$D:$D,ShadowLedger!$G:$G,A1573,ShadowLedger!$C:$C,"&gt;="&amp;DATE(LEFT(SUBSTITUTE(C1573,"'",""),4),MID(SUBSTITUTE(C1573,"'",""),6,2),1),ShadowLedger!$C:$C,"&lt;"&amp;EOMONTH(DATE(LEFT(SUBSTITUTE(C1573,"'",""),4),MID(SUBSTITUTE(C1573,"'",""),6,2),1),0)+1)</f>
        <v>0</v>
      </c>
      <c r="E1573" s="17">
        <f t="shared" si="1"/>
        <v>148</v>
      </c>
      <c r="F1573" s="17">
        <f t="shared" si="2"/>
        <v>0</v>
      </c>
    </row>
    <row r="1574">
      <c r="A1574" s="5" t="s">
        <v>62</v>
      </c>
      <c r="B1574" s="6">
        <v>148.0</v>
      </c>
      <c r="C1574" s="13" t="s">
        <v>304</v>
      </c>
      <c r="D1574" s="17">
        <f>SUMIFS(ShadowLedger!$D:$D,ShadowLedger!$G:$G,A1574,ShadowLedger!$C:$C,"&gt;="&amp;DATE(LEFT(SUBSTITUTE(C1574,"'",""),4),MID(SUBSTITUTE(C1574,"'",""),6,2),1),ShadowLedger!$C:$C,"&lt;"&amp;EOMONTH(DATE(LEFT(SUBSTITUTE(C1574,"'",""),4),MID(SUBSTITUTE(C1574,"'",""),6,2),1),0)+1)</f>
        <v>0</v>
      </c>
      <c r="E1574" s="17">
        <f t="shared" si="1"/>
        <v>148</v>
      </c>
      <c r="F1574" s="17">
        <f t="shared" si="2"/>
        <v>0</v>
      </c>
    </row>
    <row r="1575">
      <c r="A1575" s="5" t="s">
        <v>63</v>
      </c>
      <c r="B1575" s="6">
        <v>123.0</v>
      </c>
      <c r="C1575" s="13" t="s">
        <v>304</v>
      </c>
      <c r="D1575" s="17">
        <f>SUMIFS(ShadowLedger!$D:$D,ShadowLedger!$G:$G,A1575,ShadowLedger!$C:$C,"&gt;="&amp;DATE(LEFT(SUBSTITUTE(C1575,"'",""),4),MID(SUBSTITUTE(C1575,"'",""),6,2),1),ShadowLedger!$C:$C,"&lt;"&amp;EOMONTH(DATE(LEFT(SUBSTITUTE(C1575,"'",""),4),MID(SUBSTITUTE(C1575,"'",""),6,2),1),0)+1)</f>
        <v>0</v>
      </c>
      <c r="E1575" s="17">
        <f t="shared" si="1"/>
        <v>123</v>
      </c>
      <c r="F1575" s="17">
        <f t="shared" si="2"/>
        <v>0</v>
      </c>
    </row>
    <row r="1576">
      <c r="A1576" s="5" t="s">
        <v>64</v>
      </c>
      <c r="B1576" s="6">
        <v>123.0</v>
      </c>
      <c r="C1576" s="13" t="s">
        <v>304</v>
      </c>
      <c r="D1576" s="17">
        <f>SUMIFS(ShadowLedger!$D:$D,ShadowLedger!$G:$G,A1576,ShadowLedger!$C:$C,"&gt;="&amp;DATE(LEFT(SUBSTITUTE(C1576,"'",""),4),MID(SUBSTITUTE(C1576,"'",""),6,2),1),ShadowLedger!$C:$C,"&lt;"&amp;EOMONTH(DATE(LEFT(SUBSTITUTE(C1576,"'",""),4),MID(SUBSTITUTE(C1576,"'",""),6,2),1),0)+1)</f>
        <v>0</v>
      </c>
      <c r="E1576" s="17">
        <f t="shared" si="1"/>
        <v>123</v>
      </c>
      <c r="F1576" s="17">
        <f t="shared" si="2"/>
        <v>0</v>
      </c>
    </row>
    <row r="1577">
      <c r="A1577" s="5" t="s">
        <v>70</v>
      </c>
      <c r="B1577" s="6">
        <v>123.0</v>
      </c>
      <c r="C1577" s="13" t="s">
        <v>304</v>
      </c>
      <c r="D1577" s="17">
        <f>SUMIFS(ShadowLedger!$D:$D,ShadowLedger!$G:$G,A1577,ShadowLedger!$C:$C,"&gt;="&amp;DATE(LEFT(SUBSTITUTE(C1577,"'",""),4),MID(SUBSTITUTE(C1577,"'",""),6,2),1),ShadowLedger!$C:$C,"&lt;"&amp;EOMONTH(DATE(LEFT(SUBSTITUTE(C1577,"'",""),4),MID(SUBSTITUTE(C1577,"'",""),6,2),1),0)+1)</f>
        <v>0</v>
      </c>
      <c r="E1577" s="17">
        <f t="shared" si="1"/>
        <v>123</v>
      </c>
      <c r="F1577" s="17">
        <f t="shared" si="2"/>
        <v>0</v>
      </c>
    </row>
    <row r="1578">
      <c r="A1578" s="5" t="s">
        <v>65</v>
      </c>
      <c r="B1578" s="6">
        <v>61.0</v>
      </c>
      <c r="C1578" s="13" t="s">
        <v>304</v>
      </c>
      <c r="D1578" s="17">
        <f>SUMIFS(ShadowLedger!$D:$D,ShadowLedger!$G:$G,A1578,ShadowLedger!$C:$C,"&gt;="&amp;DATE(LEFT(SUBSTITUTE(C1578,"'",""),4),MID(SUBSTITUTE(C1578,"'",""),6,2),1),ShadowLedger!$C:$C,"&lt;"&amp;EOMONTH(DATE(LEFT(SUBSTITUTE(C1578,"'",""),4),MID(SUBSTITUTE(C1578,"'",""),6,2),1),0)+1)</f>
        <v>0</v>
      </c>
      <c r="E1578" s="17">
        <f t="shared" si="1"/>
        <v>61</v>
      </c>
      <c r="F1578" s="17">
        <f t="shared" si="2"/>
        <v>0</v>
      </c>
    </row>
    <row r="1579">
      <c r="A1579" s="5" t="s">
        <v>66</v>
      </c>
      <c r="B1579" s="6">
        <v>61.0</v>
      </c>
      <c r="C1579" s="13" t="s">
        <v>304</v>
      </c>
      <c r="D1579" s="17">
        <f>SUMIFS(ShadowLedger!$D:$D,ShadowLedger!$G:$G,A1579,ShadowLedger!$C:$C,"&gt;="&amp;DATE(LEFT(SUBSTITUTE(C1579,"'",""),4),MID(SUBSTITUTE(C1579,"'",""),6,2),1),ShadowLedger!$C:$C,"&lt;"&amp;EOMONTH(DATE(LEFT(SUBSTITUTE(C1579,"'",""),4),MID(SUBSTITUTE(C1579,"'",""),6,2),1),0)+1)</f>
        <v>0</v>
      </c>
      <c r="E1579" s="17">
        <f t="shared" si="1"/>
        <v>61</v>
      </c>
      <c r="F1579" s="17">
        <f t="shared" si="2"/>
        <v>0</v>
      </c>
    </row>
    <row r="1580">
      <c r="A1580" s="5" t="s">
        <v>67</v>
      </c>
      <c r="B1580" s="6">
        <v>61.0</v>
      </c>
      <c r="C1580" s="13" t="s">
        <v>304</v>
      </c>
      <c r="D1580" s="17">
        <f>SUMIFS(ShadowLedger!$D:$D,ShadowLedger!$G:$G,A1580,ShadowLedger!$C:$C,"&gt;="&amp;DATE(LEFT(SUBSTITUTE(C1580,"'",""),4),MID(SUBSTITUTE(C1580,"'",""),6,2),1),ShadowLedger!$C:$C,"&lt;"&amp;EOMONTH(DATE(LEFT(SUBSTITUTE(C1580,"'",""),4),MID(SUBSTITUTE(C1580,"'",""),6,2),1),0)+1)</f>
        <v>0</v>
      </c>
      <c r="E1580" s="17">
        <f t="shared" si="1"/>
        <v>61</v>
      </c>
      <c r="F1580" s="17">
        <f t="shared" si="2"/>
        <v>0</v>
      </c>
    </row>
    <row r="1581">
      <c r="A1581" s="5" t="s">
        <v>68</v>
      </c>
      <c r="B1581" s="6">
        <v>61.0</v>
      </c>
      <c r="C1581" s="13" t="s">
        <v>304</v>
      </c>
      <c r="D1581" s="17">
        <f>SUMIFS(ShadowLedger!$D:$D,ShadowLedger!$G:$G,A1581,ShadowLedger!$C:$C,"&gt;="&amp;DATE(LEFT(SUBSTITUTE(C1581,"'",""),4),MID(SUBSTITUTE(C1581,"'",""),6,2),1),ShadowLedger!$C:$C,"&lt;"&amp;EOMONTH(DATE(LEFT(SUBSTITUTE(C1581,"'",""),4),MID(SUBSTITUTE(C1581,"'",""),6,2),1),0)+1)</f>
        <v>0</v>
      </c>
      <c r="E1581" s="17">
        <f t="shared" si="1"/>
        <v>61</v>
      </c>
      <c r="F1581" s="17">
        <f t="shared" si="2"/>
        <v>0</v>
      </c>
    </row>
    <row r="1582">
      <c r="A1582" s="5" t="s">
        <v>69</v>
      </c>
      <c r="B1582" s="6">
        <v>0.0</v>
      </c>
      <c r="C1582" s="13" t="s">
        <v>304</v>
      </c>
      <c r="D1582" s="17">
        <f>SUMIFS(ShadowLedger!$D:$D,ShadowLedger!$G:$G,A1582,ShadowLedger!$C:$C,"&gt;="&amp;DATE(LEFT(SUBSTITUTE(C1582,"'",""),4),MID(SUBSTITUTE(C1582,"'",""),6,2),1),ShadowLedger!$C:$C,"&lt;"&amp;EOMONTH(DATE(LEFT(SUBSTITUTE(C1582,"'",""),4),MID(SUBSTITUTE(C1582,"'",""),6,2),1),0)+1)</f>
        <v>0</v>
      </c>
      <c r="E1582" s="17">
        <f t="shared" si="1"/>
        <v>0</v>
      </c>
      <c r="F1582" s="17">
        <f t="shared" si="2"/>
        <v>0</v>
      </c>
    </row>
    <row r="1583">
      <c r="A1583" s="5" t="s">
        <v>54</v>
      </c>
      <c r="B1583" s="6">
        <v>1131.0</v>
      </c>
      <c r="C1583" s="13" t="s">
        <v>305</v>
      </c>
      <c r="D1583" s="17">
        <f>SUMIFS(ShadowLedger!$D:$D,ShadowLedger!$G:$G,A1583,ShadowLedger!$C:$C,"&gt;="&amp;DATE(LEFT(SUBSTITUTE(C1583,"'",""),4),MID(SUBSTITUTE(C1583,"'",""),6,2),1),ShadowLedger!$C:$C,"&lt;"&amp;EOMONTH(DATE(LEFT(SUBSTITUTE(C1583,"'",""),4),MID(SUBSTITUTE(C1583,"'",""),6,2),1),0)+1)</f>
        <v>0</v>
      </c>
      <c r="E1583" s="17">
        <f t="shared" si="1"/>
        <v>1131</v>
      </c>
      <c r="F1583" s="17">
        <f t="shared" si="2"/>
        <v>0</v>
      </c>
    </row>
    <row r="1584">
      <c r="A1584" s="5" t="s">
        <v>55</v>
      </c>
      <c r="B1584" s="6">
        <v>861.0</v>
      </c>
      <c r="C1584" s="13" t="s">
        <v>305</v>
      </c>
      <c r="D1584" s="17">
        <f>SUMIFS(ShadowLedger!$D:$D,ShadowLedger!$G:$G,A1584,ShadowLedger!$C:$C,"&gt;="&amp;DATE(LEFT(SUBSTITUTE(C1584,"'",""),4),MID(SUBSTITUTE(C1584,"'",""),6,2),1),ShadowLedger!$C:$C,"&lt;"&amp;EOMONTH(DATE(LEFT(SUBSTITUTE(C1584,"'",""),4),MID(SUBSTITUTE(C1584,"'",""),6,2),1),0)+1)</f>
        <v>0</v>
      </c>
      <c r="E1584" s="17">
        <f t="shared" si="1"/>
        <v>861</v>
      </c>
      <c r="F1584" s="17">
        <f t="shared" si="2"/>
        <v>0</v>
      </c>
    </row>
    <row r="1585">
      <c r="A1585" s="5" t="s">
        <v>56</v>
      </c>
      <c r="B1585" s="6">
        <v>615.0</v>
      </c>
      <c r="C1585" s="13" t="s">
        <v>305</v>
      </c>
      <c r="D1585" s="17">
        <f>SUMIFS(ShadowLedger!$D:$D,ShadowLedger!$G:$G,A1585,ShadowLedger!$C:$C,"&gt;="&amp;DATE(LEFT(SUBSTITUTE(C1585,"'",""),4),MID(SUBSTITUTE(C1585,"'",""),6,2),1),ShadowLedger!$C:$C,"&lt;"&amp;EOMONTH(DATE(LEFT(SUBSTITUTE(C1585,"'",""),4),MID(SUBSTITUTE(C1585,"'",""),6,2),1),0)+1)</f>
        <v>0</v>
      </c>
      <c r="E1585" s="17">
        <f t="shared" si="1"/>
        <v>615</v>
      </c>
      <c r="F1585" s="17">
        <f t="shared" si="2"/>
        <v>0</v>
      </c>
    </row>
    <row r="1586">
      <c r="A1586" s="5" t="s">
        <v>57</v>
      </c>
      <c r="B1586" s="6">
        <v>615.0</v>
      </c>
      <c r="C1586" s="13" t="s">
        <v>305</v>
      </c>
      <c r="D1586" s="17">
        <f>SUMIFS(ShadowLedger!$D:$D,ShadowLedger!$G:$G,A1586,ShadowLedger!$C:$C,"&gt;="&amp;DATE(LEFT(SUBSTITUTE(C1586,"'",""),4),MID(SUBSTITUTE(C1586,"'",""),6,2),1),ShadowLedger!$C:$C,"&lt;"&amp;EOMONTH(DATE(LEFT(SUBSTITUTE(C1586,"'",""),4),MID(SUBSTITUTE(C1586,"'",""),6,2),1),0)+1)</f>
        <v>0</v>
      </c>
      <c r="E1586" s="17">
        <f t="shared" si="1"/>
        <v>615</v>
      </c>
      <c r="F1586" s="17">
        <f t="shared" si="2"/>
        <v>0</v>
      </c>
    </row>
    <row r="1587">
      <c r="A1587" s="5" t="s">
        <v>58</v>
      </c>
      <c r="B1587" s="6">
        <v>492.0</v>
      </c>
      <c r="C1587" s="13" t="s">
        <v>305</v>
      </c>
      <c r="D1587" s="17">
        <f>SUMIFS(ShadowLedger!$D:$D,ShadowLedger!$G:$G,A1587,ShadowLedger!$C:$C,"&gt;="&amp;DATE(LEFT(SUBSTITUTE(C1587,"'",""),4),MID(SUBSTITUTE(C1587,"'",""),6,2),1),ShadowLedger!$C:$C,"&lt;"&amp;EOMONTH(DATE(LEFT(SUBSTITUTE(C1587,"'",""),4),MID(SUBSTITUTE(C1587,"'",""),6,2),1),0)+1)</f>
        <v>0</v>
      </c>
      <c r="E1587" s="17">
        <f t="shared" si="1"/>
        <v>492</v>
      </c>
      <c r="F1587" s="17">
        <f t="shared" si="2"/>
        <v>0</v>
      </c>
    </row>
    <row r="1588">
      <c r="A1588" s="5" t="s">
        <v>59</v>
      </c>
      <c r="B1588" s="6">
        <v>246.0</v>
      </c>
      <c r="C1588" s="13" t="s">
        <v>305</v>
      </c>
      <c r="D1588" s="17">
        <f>SUMIFS(ShadowLedger!$D:$D,ShadowLedger!$G:$G,A1588,ShadowLedger!$C:$C,"&gt;="&amp;DATE(LEFT(SUBSTITUTE(C1588,"'",""),4),MID(SUBSTITUTE(C1588,"'",""),6,2),1),ShadowLedger!$C:$C,"&lt;"&amp;EOMONTH(DATE(LEFT(SUBSTITUTE(C1588,"'",""),4),MID(SUBSTITUTE(C1588,"'",""),6,2),1),0)+1)</f>
        <v>0</v>
      </c>
      <c r="E1588" s="17">
        <f t="shared" si="1"/>
        <v>246</v>
      </c>
      <c r="F1588" s="17">
        <f t="shared" si="2"/>
        <v>0</v>
      </c>
    </row>
    <row r="1589">
      <c r="A1589" s="5" t="s">
        <v>60</v>
      </c>
      <c r="B1589" s="6">
        <v>184.0</v>
      </c>
      <c r="C1589" s="13" t="s">
        <v>305</v>
      </c>
      <c r="D1589" s="17">
        <f>SUMIFS(ShadowLedger!$D:$D,ShadowLedger!$G:$G,A1589,ShadowLedger!$C:$C,"&gt;="&amp;DATE(LEFT(SUBSTITUTE(C1589,"'",""),4),MID(SUBSTITUTE(C1589,"'",""),6,2),1),ShadowLedger!$C:$C,"&lt;"&amp;EOMONTH(DATE(LEFT(SUBSTITUTE(C1589,"'",""),4),MID(SUBSTITUTE(C1589,"'",""),6,2),1),0)+1)</f>
        <v>0</v>
      </c>
      <c r="E1589" s="17">
        <f t="shared" si="1"/>
        <v>184</v>
      </c>
      <c r="F1589" s="17">
        <f t="shared" si="2"/>
        <v>0</v>
      </c>
    </row>
    <row r="1590">
      <c r="A1590" s="5" t="s">
        <v>61</v>
      </c>
      <c r="B1590" s="6">
        <v>148.0</v>
      </c>
      <c r="C1590" s="13" t="s">
        <v>305</v>
      </c>
      <c r="D1590" s="17">
        <f>SUMIFS(ShadowLedger!$D:$D,ShadowLedger!$G:$G,A1590,ShadowLedger!$C:$C,"&gt;="&amp;DATE(LEFT(SUBSTITUTE(C1590,"'",""),4),MID(SUBSTITUTE(C1590,"'",""),6,2),1),ShadowLedger!$C:$C,"&lt;"&amp;EOMONTH(DATE(LEFT(SUBSTITUTE(C1590,"'",""),4),MID(SUBSTITUTE(C1590,"'",""),6,2),1),0)+1)</f>
        <v>0</v>
      </c>
      <c r="E1590" s="17">
        <f t="shared" si="1"/>
        <v>148</v>
      </c>
      <c r="F1590" s="17">
        <f t="shared" si="2"/>
        <v>0</v>
      </c>
    </row>
    <row r="1591">
      <c r="A1591" s="5" t="s">
        <v>62</v>
      </c>
      <c r="B1591" s="6">
        <v>148.0</v>
      </c>
      <c r="C1591" s="13" t="s">
        <v>305</v>
      </c>
      <c r="D1591" s="17">
        <f>SUMIFS(ShadowLedger!$D:$D,ShadowLedger!$G:$G,A1591,ShadowLedger!$C:$C,"&gt;="&amp;DATE(LEFT(SUBSTITUTE(C1591,"'",""),4),MID(SUBSTITUTE(C1591,"'",""),6,2),1),ShadowLedger!$C:$C,"&lt;"&amp;EOMONTH(DATE(LEFT(SUBSTITUTE(C1591,"'",""),4),MID(SUBSTITUTE(C1591,"'",""),6,2),1),0)+1)</f>
        <v>0</v>
      </c>
      <c r="E1591" s="17">
        <f t="shared" si="1"/>
        <v>148</v>
      </c>
      <c r="F1591" s="17">
        <f t="shared" si="2"/>
        <v>0</v>
      </c>
    </row>
    <row r="1592">
      <c r="A1592" s="5" t="s">
        <v>63</v>
      </c>
      <c r="B1592" s="6">
        <v>123.0</v>
      </c>
      <c r="C1592" s="13" t="s">
        <v>305</v>
      </c>
      <c r="D1592" s="17">
        <f>SUMIFS(ShadowLedger!$D:$D,ShadowLedger!$G:$G,A1592,ShadowLedger!$C:$C,"&gt;="&amp;DATE(LEFT(SUBSTITUTE(C1592,"'",""),4),MID(SUBSTITUTE(C1592,"'",""),6,2),1),ShadowLedger!$C:$C,"&lt;"&amp;EOMONTH(DATE(LEFT(SUBSTITUTE(C1592,"'",""),4),MID(SUBSTITUTE(C1592,"'",""),6,2),1),0)+1)</f>
        <v>0</v>
      </c>
      <c r="E1592" s="17">
        <f t="shared" si="1"/>
        <v>123</v>
      </c>
      <c r="F1592" s="17">
        <f t="shared" si="2"/>
        <v>0</v>
      </c>
    </row>
    <row r="1593">
      <c r="A1593" s="5" t="s">
        <v>64</v>
      </c>
      <c r="B1593" s="6">
        <v>123.0</v>
      </c>
      <c r="C1593" s="13" t="s">
        <v>305</v>
      </c>
      <c r="D1593" s="17">
        <f>SUMIFS(ShadowLedger!$D:$D,ShadowLedger!$G:$G,A1593,ShadowLedger!$C:$C,"&gt;="&amp;DATE(LEFT(SUBSTITUTE(C1593,"'",""),4),MID(SUBSTITUTE(C1593,"'",""),6,2),1),ShadowLedger!$C:$C,"&lt;"&amp;EOMONTH(DATE(LEFT(SUBSTITUTE(C1593,"'",""),4),MID(SUBSTITUTE(C1593,"'",""),6,2),1),0)+1)</f>
        <v>0</v>
      </c>
      <c r="E1593" s="17">
        <f t="shared" si="1"/>
        <v>123</v>
      </c>
      <c r="F1593" s="17">
        <f t="shared" si="2"/>
        <v>0</v>
      </c>
    </row>
    <row r="1594">
      <c r="A1594" s="5" t="s">
        <v>70</v>
      </c>
      <c r="B1594" s="6">
        <v>123.0</v>
      </c>
      <c r="C1594" s="13" t="s">
        <v>305</v>
      </c>
      <c r="D1594" s="17">
        <f>SUMIFS(ShadowLedger!$D:$D,ShadowLedger!$G:$G,A1594,ShadowLedger!$C:$C,"&gt;="&amp;DATE(LEFT(SUBSTITUTE(C1594,"'",""),4),MID(SUBSTITUTE(C1594,"'",""),6,2),1),ShadowLedger!$C:$C,"&lt;"&amp;EOMONTH(DATE(LEFT(SUBSTITUTE(C1594,"'",""),4),MID(SUBSTITUTE(C1594,"'",""),6,2),1),0)+1)</f>
        <v>0</v>
      </c>
      <c r="E1594" s="17">
        <f t="shared" si="1"/>
        <v>123</v>
      </c>
      <c r="F1594" s="17">
        <f t="shared" si="2"/>
        <v>0</v>
      </c>
    </row>
    <row r="1595">
      <c r="A1595" s="5" t="s">
        <v>65</v>
      </c>
      <c r="B1595" s="6">
        <v>61.0</v>
      </c>
      <c r="C1595" s="13" t="s">
        <v>305</v>
      </c>
      <c r="D1595" s="17">
        <f>SUMIFS(ShadowLedger!$D:$D,ShadowLedger!$G:$G,A1595,ShadowLedger!$C:$C,"&gt;="&amp;DATE(LEFT(SUBSTITUTE(C1595,"'",""),4),MID(SUBSTITUTE(C1595,"'",""),6,2),1),ShadowLedger!$C:$C,"&lt;"&amp;EOMONTH(DATE(LEFT(SUBSTITUTE(C1595,"'",""),4),MID(SUBSTITUTE(C1595,"'",""),6,2),1),0)+1)</f>
        <v>0</v>
      </c>
      <c r="E1595" s="17">
        <f t="shared" si="1"/>
        <v>61</v>
      </c>
      <c r="F1595" s="17">
        <f t="shared" si="2"/>
        <v>0</v>
      </c>
    </row>
    <row r="1596">
      <c r="A1596" s="5" t="s">
        <v>66</v>
      </c>
      <c r="B1596" s="6">
        <v>61.0</v>
      </c>
      <c r="C1596" s="13" t="s">
        <v>305</v>
      </c>
      <c r="D1596" s="17">
        <f>SUMIFS(ShadowLedger!$D:$D,ShadowLedger!$G:$G,A1596,ShadowLedger!$C:$C,"&gt;="&amp;DATE(LEFT(SUBSTITUTE(C1596,"'",""),4),MID(SUBSTITUTE(C1596,"'",""),6,2),1),ShadowLedger!$C:$C,"&lt;"&amp;EOMONTH(DATE(LEFT(SUBSTITUTE(C1596,"'",""),4),MID(SUBSTITUTE(C1596,"'",""),6,2),1),0)+1)</f>
        <v>0</v>
      </c>
      <c r="E1596" s="17">
        <f t="shared" si="1"/>
        <v>61</v>
      </c>
      <c r="F1596" s="17">
        <f t="shared" si="2"/>
        <v>0</v>
      </c>
    </row>
    <row r="1597">
      <c r="A1597" s="5" t="s">
        <v>67</v>
      </c>
      <c r="B1597" s="6">
        <v>61.0</v>
      </c>
      <c r="C1597" s="13" t="s">
        <v>305</v>
      </c>
      <c r="D1597" s="17">
        <f>SUMIFS(ShadowLedger!$D:$D,ShadowLedger!$G:$G,A1597,ShadowLedger!$C:$C,"&gt;="&amp;DATE(LEFT(SUBSTITUTE(C1597,"'",""),4),MID(SUBSTITUTE(C1597,"'",""),6,2),1),ShadowLedger!$C:$C,"&lt;"&amp;EOMONTH(DATE(LEFT(SUBSTITUTE(C1597,"'",""),4),MID(SUBSTITUTE(C1597,"'",""),6,2),1),0)+1)</f>
        <v>0</v>
      </c>
      <c r="E1597" s="17">
        <f t="shared" si="1"/>
        <v>61</v>
      </c>
      <c r="F1597" s="17">
        <f t="shared" si="2"/>
        <v>0</v>
      </c>
    </row>
    <row r="1598">
      <c r="A1598" s="5" t="s">
        <v>68</v>
      </c>
      <c r="B1598" s="6">
        <v>61.0</v>
      </c>
      <c r="C1598" s="13" t="s">
        <v>305</v>
      </c>
      <c r="D1598" s="17">
        <f>SUMIFS(ShadowLedger!$D:$D,ShadowLedger!$G:$G,A1598,ShadowLedger!$C:$C,"&gt;="&amp;DATE(LEFT(SUBSTITUTE(C1598,"'",""),4),MID(SUBSTITUTE(C1598,"'",""),6,2),1),ShadowLedger!$C:$C,"&lt;"&amp;EOMONTH(DATE(LEFT(SUBSTITUTE(C1598,"'",""),4),MID(SUBSTITUTE(C1598,"'",""),6,2),1),0)+1)</f>
        <v>0</v>
      </c>
      <c r="E1598" s="17">
        <f t="shared" si="1"/>
        <v>61</v>
      </c>
      <c r="F1598" s="17">
        <f t="shared" si="2"/>
        <v>0</v>
      </c>
    </row>
    <row r="1599">
      <c r="A1599" s="5" t="s">
        <v>69</v>
      </c>
      <c r="B1599" s="6">
        <v>0.0</v>
      </c>
      <c r="C1599" s="13" t="s">
        <v>305</v>
      </c>
      <c r="D1599" s="17">
        <f>SUMIFS(ShadowLedger!$D:$D,ShadowLedger!$G:$G,A1599,ShadowLedger!$C:$C,"&gt;="&amp;DATE(LEFT(SUBSTITUTE(C1599,"'",""),4),MID(SUBSTITUTE(C1599,"'",""),6,2),1),ShadowLedger!$C:$C,"&lt;"&amp;EOMONTH(DATE(LEFT(SUBSTITUTE(C1599,"'",""),4),MID(SUBSTITUTE(C1599,"'",""),6,2),1),0)+1)</f>
        <v>0</v>
      </c>
      <c r="E1599" s="17">
        <f t="shared" si="1"/>
        <v>0</v>
      </c>
      <c r="F1599" s="17">
        <f t="shared" si="2"/>
        <v>0</v>
      </c>
    </row>
    <row r="1600">
      <c r="A1600" s="5" t="s">
        <v>54</v>
      </c>
      <c r="B1600" s="6">
        <v>1131.0</v>
      </c>
      <c r="C1600" s="13" t="s">
        <v>306</v>
      </c>
      <c r="D1600" s="17">
        <f>SUMIFS(ShadowLedger!$D:$D,ShadowLedger!$G:$G,A1600,ShadowLedger!$C:$C,"&gt;="&amp;DATE(LEFT(SUBSTITUTE(C1600,"'",""),4),MID(SUBSTITUTE(C1600,"'",""),6,2),1),ShadowLedger!$C:$C,"&lt;"&amp;EOMONTH(DATE(LEFT(SUBSTITUTE(C1600,"'",""),4),MID(SUBSTITUTE(C1600,"'",""),6,2),1),0)+1)</f>
        <v>0</v>
      </c>
      <c r="E1600" s="17">
        <f t="shared" si="1"/>
        <v>1131</v>
      </c>
      <c r="F1600" s="17">
        <f t="shared" si="2"/>
        <v>0</v>
      </c>
    </row>
    <row r="1601">
      <c r="A1601" s="5" t="s">
        <v>55</v>
      </c>
      <c r="B1601" s="6">
        <v>861.0</v>
      </c>
      <c r="C1601" s="13" t="s">
        <v>306</v>
      </c>
      <c r="D1601" s="17">
        <f>SUMIFS(ShadowLedger!$D:$D,ShadowLedger!$G:$G,A1601,ShadowLedger!$C:$C,"&gt;="&amp;DATE(LEFT(SUBSTITUTE(C1601,"'",""),4),MID(SUBSTITUTE(C1601,"'",""),6,2),1),ShadowLedger!$C:$C,"&lt;"&amp;EOMONTH(DATE(LEFT(SUBSTITUTE(C1601,"'",""),4),MID(SUBSTITUTE(C1601,"'",""),6,2),1),0)+1)</f>
        <v>0</v>
      </c>
      <c r="E1601" s="17">
        <f t="shared" si="1"/>
        <v>861</v>
      </c>
      <c r="F1601" s="17">
        <f t="shared" si="2"/>
        <v>0</v>
      </c>
    </row>
    <row r="1602">
      <c r="A1602" s="5" t="s">
        <v>56</v>
      </c>
      <c r="B1602" s="6">
        <v>615.0</v>
      </c>
      <c r="C1602" s="13" t="s">
        <v>306</v>
      </c>
      <c r="D1602" s="17">
        <f>SUMIFS(ShadowLedger!$D:$D,ShadowLedger!$G:$G,A1602,ShadowLedger!$C:$C,"&gt;="&amp;DATE(LEFT(SUBSTITUTE(C1602,"'",""),4),MID(SUBSTITUTE(C1602,"'",""),6,2),1),ShadowLedger!$C:$C,"&lt;"&amp;EOMONTH(DATE(LEFT(SUBSTITUTE(C1602,"'",""),4),MID(SUBSTITUTE(C1602,"'",""),6,2),1),0)+1)</f>
        <v>0</v>
      </c>
      <c r="E1602" s="17">
        <f t="shared" si="1"/>
        <v>615</v>
      </c>
      <c r="F1602" s="17">
        <f t="shared" si="2"/>
        <v>0</v>
      </c>
    </row>
    <row r="1603">
      <c r="A1603" s="5" t="s">
        <v>57</v>
      </c>
      <c r="B1603" s="6">
        <v>615.0</v>
      </c>
      <c r="C1603" s="13" t="s">
        <v>306</v>
      </c>
      <c r="D1603" s="17">
        <f>SUMIFS(ShadowLedger!$D:$D,ShadowLedger!$G:$G,A1603,ShadowLedger!$C:$C,"&gt;="&amp;DATE(LEFT(SUBSTITUTE(C1603,"'",""),4),MID(SUBSTITUTE(C1603,"'",""),6,2),1),ShadowLedger!$C:$C,"&lt;"&amp;EOMONTH(DATE(LEFT(SUBSTITUTE(C1603,"'",""),4),MID(SUBSTITUTE(C1603,"'",""),6,2),1),0)+1)</f>
        <v>0</v>
      </c>
      <c r="E1603" s="17">
        <f t="shared" si="1"/>
        <v>615</v>
      </c>
      <c r="F1603" s="17">
        <f t="shared" si="2"/>
        <v>0</v>
      </c>
    </row>
    <row r="1604">
      <c r="A1604" s="5" t="s">
        <v>58</v>
      </c>
      <c r="B1604" s="6">
        <v>492.0</v>
      </c>
      <c r="C1604" s="13" t="s">
        <v>306</v>
      </c>
      <c r="D1604" s="17">
        <f>SUMIFS(ShadowLedger!$D:$D,ShadowLedger!$G:$G,A1604,ShadowLedger!$C:$C,"&gt;="&amp;DATE(LEFT(SUBSTITUTE(C1604,"'",""),4),MID(SUBSTITUTE(C1604,"'",""),6,2),1),ShadowLedger!$C:$C,"&lt;"&amp;EOMONTH(DATE(LEFT(SUBSTITUTE(C1604,"'",""),4),MID(SUBSTITUTE(C1604,"'",""),6,2),1),0)+1)</f>
        <v>0</v>
      </c>
      <c r="E1604" s="17">
        <f t="shared" si="1"/>
        <v>492</v>
      </c>
      <c r="F1604" s="17">
        <f t="shared" si="2"/>
        <v>0</v>
      </c>
    </row>
    <row r="1605">
      <c r="A1605" s="5" t="s">
        <v>59</v>
      </c>
      <c r="B1605" s="6">
        <v>246.0</v>
      </c>
      <c r="C1605" s="13" t="s">
        <v>306</v>
      </c>
      <c r="D1605" s="17">
        <f>SUMIFS(ShadowLedger!$D:$D,ShadowLedger!$G:$G,A1605,ShadowLedger!$C:$C,"&gt;="&amp;DATE(LEFT(SUBSTITUTE(C1605,"'",""),4),MID(SUBSTITUTE(C1605,"'",""),6,2),1),ShadowLedger!$C:$C,"&lt;"&amp;EOMONTH(DATE(LEFT(SUBSTITUTE(C1605,"'",""),4),MID(SUBSTITUTE(C1605,"'",""),6,2),1),0)+1)</f>
        <v>0</v>
      </c>
      <c r="E1605" s="17">
        <f t="shared" si="1"/>
        <v>246</v>
      </c>
      <c r="F1605" s="17">
        <f t="shared" si="2"/>
        <v>0</v>
      </c>
    </row>
    <row r="1606">
      <c r="A1606" s="5" t="s">
        <v>60</v>
      </c>
      <c r="B1606" s="6">
        <v>184.0</v>
      </c>
      <c r="C1606" s="13" t="s">
        <v>306</v>
      </c>
      <c r="D1606" s="17">
        <f>SUMIFS(ShadowLedger!$D:$D,ShadowLedger!$G:$G,A1606,ShadowLedger!$C:$C,"&gt;="&amp;DATE(LEFT(SUBSTITUTE(C1606,"'",""),4),MID(SUBSTITUTE(C1606,"'",""),6,2),1),ShadowLedger!$C:$C,"&lt;"&amp;EOMONTH(DATE(LEFT(SUBSTITUTE(C1606,"'",""),4),MID(SUBSTITUTE(C1606,"'",""),6,2),1),0)+1)</f>
        <v>0</v>
      </c>
      <c r="E1606" s="17">
        <f t="shared" si="1"/>
        <v>184</v>
      </c>
      <c r="F1606" s="17">
        <f t="shared" si="2"/>
        <v>0</v>
      </c>
    </row>
    <row r="1607">
      <c r="A1607" s="5" t="s">
        <v>61</v>
      </c>
      <c r="B1607" s="6">
        <v>148.0</v>
      </c>
      <c r="C1607" s="13" t="s">
        <v>306</v>
      </c>
      <c r="D1607" s="17">
        <f>SUMIFS(ShadowLedger!$D:$D,ShadowLedger!$G:$G,A1607,ShadowLedger!$C:$C,"&gt;="&amp;DATE(LEFT(SUBSTITUTE(C1607,"'",""),4),MID(SUBSTITUTE(C1607,"'",""),6,2),1),ShadowLedger!$C:$C,"&lt;"&amp;EOMONTH(DATE(LEFT(SUBSTITUTE(C1607,"'",""),4),MID(SUBSTITUTE(C1607,"'",""),6,2),1),0)+1)</f>
        <v>0</v>
      </c>
      <c r="E1607" s="17">
        <f t="shared" si="1"/>
        <v>148</v>
      </c>
      <c r="F1607" s="17">
        <f t="shared" si="2"/>
        <v>0</v>
      </c>
    </row>
    <row r="1608">
      <c r="A1608" s="5" t="s">
        <v>62</v>
      </c>
      <c r="B1608" s="6">
        <v>148.0</v>
      </c>
      <c r="C1608" s="13" t="s">
        <v>306</v>
      </c>
      <c r="D1608" s="17">
        <f>SUMIFS(ShadowLedger!$D:$D,ShadowLedger!$G:$G,A1608,ShadowLedger!$C:$C,"&gt;="&amp;DATE(LEFT(SUBSTITUTE(C1608,"'",""),4),MID(SUBSTITUTE(C1608,"'",""),6,2),1),ShadowLedger!$C:$C,"&lt;"&amp;EOMONTH(DATE(LEFT(SUBSTITUTE(C1608,"'",""),4),MID(SUBSTITUTE(C1608,"'",""),6,2),1),0)+1)</f>
        <v>0</v>
      </c>
      <c r="E1608" s="17">
        <f t="shared" si="1"/>
        <v>148</v>
      </c>
      <c r="F1608" s="17">
        <f t="shared" si="2"/>
        <v>0</v>
      </c>
    </row>
    <row r="1609">
      <c r="A1609" s="5" t="s">
        <v>63</v>
      </c>
      <c r="B1609" s="6">
        <v>123.0</v>
      </c>
      <c r="C1609" s="13" t="s">
        <v>306</v>
      </c>
      <c r="D1609" s="17">
        <f>SUMIFS(ShadowLedger!$D:$D,ShadowLedger!$G:$G,A1609,ShadowLedger!$C:$C,"&gt;="&amp;DATE(LEFT(SUBSTITUTE(C1609,"'",""),4),MID(SUBSTITUTE(C1609,"'",""),6,2),1),ShadowLedger!$C:$C,"&lt;"&amp;EOMONTH(DATE(LEFT(SUBSTITUTE(C1609,"'",""),4),MID(SUBSTITUTE(C1609,"'",""),6,2),1),0)+1)</f>
        <v>0</v>
      </c>
      <c r="E1609" s="17">
        <f t="shared" si="1"/>
        <v>123</v>
      </c>
      <c r="F1609" s="17">
        <f t="shared" si="2"/>
        <v>0</v>
      </c>
    </row>
    <row r="1610">
      <c r="A1610" s="5" t="s">
        <v>64</v>
      </c>
      <c r="B1610" s="6">
        <v>123.0</v>
      </c>
      <c r="C1610" s="13" t="s">
        <v>306</v>
      </c>
      <c r="D1610" s="17">
        <f>SUMIFS(ShadowLedger!$D:$D,ShadowLedger!$G:$G,A1610,ShadowLedger!$C:$C,"&gt;="&amp;DATE(LEFT(SUBSTITUTE(C1610,"'",""),4),MID(SUBSTITUTE(C1610,"'",""),6,2),1),ShadowLedger!$C:$C,"&lt;"&amp;EOMONTH(DATE(LEFT(SUBSTITUTE(C1610,"'",""),4),MID(SUBSTITUTE(C1610,"'",""),6,2),1),0)+1)</f>
        <v>0</v>
      </c>
      <c r="E1610" s="17">
        <f t="shared" si="1"/>
        <v>123</v>
      </c>
      <c r="F1610" s="17">
        <f t="shared" si="2"/>
        <v>0</v>
      </c>
    </row>
    <row r="1611">
      <c r="A1611" s="5" t="s">
        <v>70</v>
      </c>
      <c r="B1611" s="6">
        <v>123.0</v>
      </c>
      <c r="C1611" s="13" t="s">
        <v>306</v>
      </c>
      <c r="D1611" s="17">
        <f>SUMIFS(ShadowLedger!$D:$D,ShadowLedger!$G:$G,A1611,ShadowLedger!$C:$C,"&gt;="&amp;DATE(LEFT(SUBSTITUTE(C1611,"'",""),4),MID(SUBSTITUTE(C1611,"'",""),6,2),1),ShadowLedger!$C:$C,"&lt;"&amp;EOMONTH(DATE(LEFT(SUBSTITUTE(C1611,"'",""),4),MID(SUBSTITUTE(C1611,"'",""),6,2),1),0)+1)</f>
        <v>0</v>
      </c>
      <c r="E1611" s="17">
        <f t="shared" si="1"/>
        <v>123</v>
      </c>
      <c r="F1611" s="17">
        <f t="shared" si="2"/>
        <v>0</v>
      </c>
    </row>
    <row r="1612">
      <c r="A1612" s="5" t="s">
        <v>65</v>
      </c>
      <c r="B1612" s="6">
        <v>61.0</v>
      </c>
      <c r="C1612" s="13" t="s">
        <v>306</v>
      </c>
      <c r="D1612" s="17">
        <f>SUMIFS(ShadowLedger!$D:$D,ShadowLedger!$G:$G,A1612,ShadowLedger!$C:$C,"&gt;="&amp;DATE(LEFT(SUBSTITUTE(C1612,"'",""),4),MID(SUBSTITUTE(C1612,"'",""),6,2),1),ShadowLedger!$C:$C,"&lt;"&amp;EOMONTH(DATE(LEFT(SUBSTITUTE(C1612,"'",""),4),MID(SUBSTITUTE(C1612,"'",""),6,2),1),0)+1)</f>
        <v>0</v>
      </c>
      <c r="E1612" s="17">
        <f t="shared" si="1"/>
        <v>61</v>
      </c>
      <c r="F1612" s="17">
        <f t="shared" si="2"/>
        <v>0</v>
      </c>
    </row>
    <row r="1613">
      <c r="A1613" s="5" t="s">
        <v>66</v>
      </c>
      <c r="B1613" s="6">
        <v>61.0</v>
      </c>
      <c r="C1613" s="13" t="s">
        <v>306</v>
      </c>
      <c r="D1613" s="17">
        <f>SUMIFS(ShadowLedger!$D:$D,ShadowLedger!$G:$G,A1613,ShadowLedger!$C:$C,"&gt;="&amp;DATE(LEFT(SUBSTITUTE(C1613,"'",""),4),MID(SUBSTITUTE(C1613,"'",""),6,2),1),ShadowLedger!$C:$C,"&lt;"&amp;EOMONTH(DATE(LEFT(SUBSTITUTE(C1613,"'",""),4),MID(SUBSTITUTE(C1613,"'",""),6,2),1),0)+1)</f>
        <v>0</v>
      </c>
      <c r="E1613" s="17">
        <f t="shared" si="1"/>
        <v>61</v>
      </c>
      <c r="F1613" s="17">
        <f t="shared" si="2"/>
        <v>0</v>
      </c>
    </row>
    <row r="1614">
      <c r="A1614" s="5" t="s">
        <v>67</v>
      </c>
      <c r="B1614" s="6">
        <v>61.0</v>
      </c>
      <c r="C1614" s="13" t="s">
        <v>306</v>
      </c>
      <c r="D1614" s="17">
        <f>SUMIFS(ShadowLedger!$D:$D,ShadowLedger!$G:$G,A1614,ShadowLedger!$C:$C,"&gt;="&amp;DATE(LEFT(SUBSTITUTE(C1614,"'",""),4),MID(SUBSTITUTE(C1614,"'",""),6,2),1),ShadowLedger!$C:$C,"&lt;"&amp;EOMONTH(DATE(LEFT(SUBSTITUTE(C1614,"'",""),4),MID(SUBSTITUTE(C1614,"'",""),6,2),1),0)+1)</f>
        <v>0</v>
      </c>
      <c r="E1614" s="17">
        <f t="shared" si="1"/>
        <v>61</v>
      </c>
      <c r="F1614" s="17">
        <f t="shared" si="2"/>
        <v>0</v>
      </c>
    </row>
    <row r="1615">
      <c r="A1615" s="5" t="s">
        <v>68</v>
      </c>
      <c r="B1615" s="6">
        <v>61.0</v>
      </c>
      <c r="C1615" s="13" t="s">
        <v>306</v>
      </c>
      <c r="D1615" s="17">
        <f>SUMIFS(ShadowLedger!$D:$D,ShadowLedger!$G:$G,A1615,ShadowLedger!$C:$C,"&gt;="&amp;DATE(LEFT(SUBSTITUTE(C1615,"'",""),4),MID(SUBSTITUTE(C1615,"'",""),6,2),1),ShadowLedger!$C:$C,"&lt;"&amp;EOMONTH(DATE(LEFT(SUBSTITUTE(C1615,"'",""),4),MID(SUBSTITUTE(C1615,"'",""),6,2),1),0)+1)</f>
        <v>0</v>
      </c>
      <c r="E1615" s="17">
        <f t="shared" si="1"/>
        <v>61</v>
      </c>
      <c r="F1615" s="17">
        <f t="shared" si="2"/>
        <v>0</v>
      </c>
    </row>
    <row r="1616">
      <c r="A1616" s="5" t="s">
        <v>69</v>
      </c>
      <c r="B1616" s="6">
        <v>0.0</v>
      </c>
      <c r="C1616" s="13" t="s">
        <v>306</v>
      </c>
      <c r="D1616" s="17">
        <f>SUMIFS(ShadowLedger!$D:$D,ShadowLedger!$G:$G,A1616,ShadowLedger!$C:$C,"&gt;="&amp;DATE(LEFT(SUBSTITUTE(C1616,"'",""),4),MID(SUBSTITUTE(C1616,"'",""),6,2),1),ShadowLedger!$C:$C,"&lt;"&amp;EOMONTH(DATE(LEFT(SUBSTITUTE(C1616,"'",""),4),MID(SUBSTITUTE(C1616,"'",""),6,2),1),0)+1)</f>
        <v>0</v>
      </c>
      <c r="E1616" s="17">
        <f t="shared" si="1"/>
        <v>0</v>
      </c>
      <c r="F1616" s="17">
        <f t="shared" si="2"/>
        <v>0</v>
      </c>
    </row>
    <row r="1617">
      <c r="A1617" s="5" t="s">
        <v>54</v>
      </c>
      <c r="B1617" s="6">
        <v>1131.0</v>
      </c>
      <c r="C1617" s="13" t="s">
        <v>307</v>
      </c>
      <c r="D1617" s="17">
        <f>SUMIFS(ShadowLedger!$D:$D,ShadowLedger!$G:$G,A1617,ShadowLedger!$C:$C,"&gt;="&amp;DATE(LEFT(SUBSTITUTE(C1617,"'",""),4),MID(SUBSTITUTE(C1617,"'",""),6,2),1),ShadowLedger!$C:$C,"&lt;"&amp;EOMONTH(DATE(LEFT(SUBSTITUTE(C1617,"'",""),4),MID(SUBSTITUTE(C1617,"'",""),6,2),1),0)+1)</f>
        <v>0</v>
      </c>
      <c r="E1617" s="17">
        <f t="shared" si="1"/>
        <v>1131</v>
      </c>
      <c r="F1617" s="17">
        <f t="shared" si="2"/>
        <v>0</v>
      </c>
    </row>
    <row r="1618">
      <c r="A1618" s="5" t="s">
        <v>55</v>
      </c>
      <c r="B1618" s="6">
        <v>861.0</v>
      </c>
      <c r="C1618" s="13" t="s">
        <v>307</v>
      </c>
      <c r="D1618" s="17">
        <f>SUMIFS(ShadowLedger!$D:$D,ShadowLedger!$G:$G,A1618,ShadowLedger!$C:$C,"&gt;="&amp;DATE(LEFT(SUBSTITUTE(C1618,"'",""),4),MID(SUBSTITUTE(C1618,"'",""),6,2),1),ShadowLedger!$C:$C,"&lt;"&amp;EOMONTH(DATE(LEFT(SUBSTITUTE(C1618,"'",""),4),MID(SUBSTITUTE(C1618,"'",""),6,2),1),0)+1)</f>
        <v>0</v>
      </c>
      <c r="E1618" s="17">
        <f t="shared" si="1"/>
        <v>861</v>
      </c>
      <c r="F1618" s="17">
        <f t="shared" si="2"/>
        <v>0</v>
      </c>
    </row>
    <row r="1619">
      <c r="A1619" s="5" t="s">
        <v>56</v>
      </c>
      <c r="B1619" s="6">
        <v>615.0</v>
      </c>
      <c r="C1619" s="13" t="s">
        <v>307</v>
      </c>
      <c r="D1619" s="17">
        <f>SUMIFS(ShadowLedger!$D:$D,ShadowLedger!$G:$G,A1619,ShadowLedger!$C:$C,"&gt;="&amp;DATE(LEFT(SUBSTITUTE(C1619,"'",""),4),MID(SUBSTITUTE(C1619,"'",""),6,2),1),ShadowLedger!$C:$C,"&lt;"&amp;EOMONTH(DATE(LEFT(SUBSTITUTE(C1619,"'",""),4),MID(SUBSTITUTE(C1619,"'",""),6,2),1),0)+1)</f>
        <v>0</v>
      </c>
      <c r="E1619" s="17">
        <f t="shared" si="1"/>
        <v>615</v>
      </c>
      <c r="F1619" s="17">
        <f t="shared" si="2"/>
        <v>0</v>
      </c>
    </row>
    <row r="1620">
      <c r="A1620" s="5" t="s">
        <v>57</v>
      </c>
      <c r="B1620" s="6">
        <v>615.0</v>
      </c>
      <c r="C1620" s="13" t="s">
        <v>307</v>
      </c>
      <c r="D1620" s="17">
        <f>SUMIFS(ShadowLedger!$D:$D,ShadowLedger!$G:$G,A1620,ShadowLedger!$C:$C,"&gt;="&amp;DATE(LEFT(SUBSTITUTE(C1620,"'",""),4),MID(SUBSTITUTE(C1620,"'",""),6,2),1),ShadowLedger!$C:$C,"&lt;"&amp;EOMONTH(DATE(LEFT(SUBSTITUTE(C1620,"'",""),4),MID(SUBSTITUTE(C1620,"'",""),6,2),1),0)+1)</f>
        <v>0</v>
      </c>
      <c r="E1620" s="17">
        <f t="shared" si="1"/>
        <v>615</v>
      </c>
      <c r="F1620" s="17">
        <f t="shared" si="2"/>
        <v>0</v>
      </c>
    </row>
    <row r="1621">
      <c r="A1621" s="5" t="s">
        <v>58</v>
      </c>
      <c r="B1621" s="6">
        <v>492.0</v>
      </c>
      <c r="C1621" s="13" t="s">
        <v>307</v>
      </c>
      <c r="D1621" s="17">
        <f>SUMIFS(ShadowLedger!$D:$D,ShadowLedger!$G:$G,A1621,ShadowLedger!$C:$C,"&gt;="&amp;DATE(LEFT(SUBSTITUTE(C1621,"'",""),4),MID(SUBSTITUTE(C1621,"'",""),6,2),1),ShadowLedger!$C:$C,"&lt;"&amp;EOMONTH(DATE(LEFT(SUBSTITUTE(C1621,"'",""),4),MID(SUBSTITUTE(C1621,"'",""),6,2),1),0)+1)</f>
        <v>0</v>
      </c>
      <c r="E1621" s="17">
        <f t="shared" si="1"/>
        <v>492</v>
      </c>
      <c r="F1621" s="17">
        <f t="shared" si="2"/>
        <v>0</v>
      </c>
    </row>
    <row r="1622">
      <c r="A1622" s="5" t="s">
        <v>59</v>
      </c>
      <c r="B1622" s="6">
        <v>246.0</v>
      </c>
      <c r="C1622" s="13" t="s">
        <v>307</v>
      </c>
      <c r="D1622" s="17">
        <f>SUMIFS(ShadowLedger!$D:$D,ShadowLedger!$G:$G,A1622,ShadowLedger!$C:$C,"&gt;="&amp;DATE(LEFT(SUBSTITUTE(C1622,"'",""),4),MID(SUBSTITUTE(C1622,"'",""),6,2),1),ShadowLedger!$C:$C,"&lt;"&amp;EOMONTH(DATE(LEFT(SUBSTITUTE(C1622,"'",""),4),MID(SUBSTITUTE(C1622,"'",""),6,2),1),0)+1)</f>
        <v>0</v>
      </c>
      <c r="E1622" s="17">
        <f t="shared" si="1"/>
        <v>246</v>
      </c>
      <c r="F1622" s="17">
        <f t="shared" si="2"/>
        <v>0</v>
      </c>
    </row>
    <row r="1623">
      <c r="A1623" s="5" t="s">
        <v>60</v>
      </c>
      <c r="B1623" s="6">
        <v>184.0</v>
      </c>
      <c r="C1623" s="13" t="s">
        <v>307</v>
      </c>
      <c r="D1623" s="17">
        <f>SUMIFS(ShadowLedger!$D:$D,ShadowLedger!$G:$G,A1623,ShadowLedger!$C:$C,"&gt;="&amp;DATE(LEFT(SUBSTITUTE(C1623,"'",""),4),MID(SUBSTITUTE(C1623,"'",""),6,2),1),ShadowLedger!$C:$C,"&lt;"&amp;EOMONTH(DATE(LEFT(SUBSTITUTE(C1623,"'",""),4),MID(SUBSTITUTE(C1623,"'",""),6,2),1),0)+1)</f>
        <v>0</v>
      </c>
      <c r="E1623" s="17">
        <f t="shared" si="1"/>
        <v>184</v>
      </c>
      <c r="F1623" s="17">
        <f t="shared" si="2"/>
        <v>0</v>
      </c>
    </row>
    <row r="1624">
      <c r="A1624" s="5" t="s">
        <v>61</v>
      </c>
      <c r="B1624" s="6">
        <v>148.0</v>
      </c>
      <c r="C1624" s="13" t="s">
        <v>307</v>
      </c>
      <c r="D1624" s="17">
        <f>SUMIFS(ShadowLedger!$D:$D,ShadowLedger!$G:$G,A1624,ShadowLedger!$C:$C,"&gt;="&amp;DATE(LEFT(SUBSTITUTE(C1624,"'",""),4),MID(SUBSTITUTE(C1624,"'",""),6,2),1),ShadowLedger!$C:$C,"&lt;"&amp;EOMONTH(DATE(LEFT(SUBSTITUTE(C1624,"'",""),4),MID(SUBSTITUTE(C1624,"'",""),6,2),1),0)+1)</f>
        <v>0</v>
      </c>
      <c r="E1624" s="17">
        <f t="shared" si="1"/>
        <v>148</v>
      </c>
      <c r="F1624" s="17">
        <f t="shared" si="2"/>
        <v>0</v>
      </c>
    </row>
    <row r="1625">
      <c r="A1625" s="5" t="s">
        <v>62</v>
      </c>
      <c r="B1625" s="6">
        <v>148.0</v>
      </c>
      <c r="C1625" s="13" t="s">
        <v>307</v>
      </c>
      <c r="D1625" s="17">
        <f>SUMIFS(ShadowLedger!$D:$D,ShadowLedger!$G:$G,A1625,ShadowLedger!$C:$C,"&gt;="&amp;DATE(LEFT(SUBSTITUTE(C1625,"'",""),4),MID(SUBSTITUTE(C1625,"'",""),6,2),1),ShadowLedger!$C:$C,"&lt;"&amp;EOMONTH(DATE(LEFT(SUBSTITUTE(C1625,"'",""),4),MID(SUBSTITUTE(C1625,"'",""),6,2),1),0)+1)</f>
        <v>0</v>
      </c>
      <c r="E1625" s="17">
        <f t="shared" si="1"/>
        <v>148</v>
      </c>
      <c r="F1625" s="17">
        <f t="shared" si="2"/>
        <v>0</v>
      </c>
    </row>
    <row r="1626">
      <c r="A1626" s="5" t="s">
        <v>63</v>
      </c>
      <c r="B1626" s="6">
        <v>123.0</v>
      </c>
      <c r="C1626" s="13" t="s">
        <v>307</v>
      </c>
      <c r="D1626" s="17">
        <f>SUMIFS(ShadowLedger!$D:$D,ShadowLedger!$G:$G,A1626,ShadowLedger!$C:$C,"&gt;="&amp;DATE(LEFT(SUBSTITUTE(C1626,"'",""),4),MID(SUBSTITUTE(C1626,"'",""),6,2),1),ShadowLedger!$C:$C,"&lt;"&amp;EOMONTH(DATE(LEFT(SUBSTITUTE(C1626,"'",""),4),MID(SUBSTITUTE(C1626,"'",""),6,2),1),0)+1)</f>
        <v>0</v>
      </c>
      <c r="E1626" s="17">
        <f t="shared" si="1"/>
        <v>123</v>
      </c>
      <c r="F1626" s="17">
        <f t="shared" si="2"/>
        <v>0</v>
      </c>
    </row>
    <row r="1627">
      <c r="A1627" s="5" t="s">
        <v>64</v>
      </c>
      <c r="B1627" s="6">
        <v>123.0</v>
      </c>
      <c r="C1627" s="13" t="s">
        <v>307</v>
      </c>
      <c r="D1627" s="17">
        <f>SUMIFS(ShadowLedger!$D:$D,ShadowLedger!$G:$G,A1627,ShadowLedger!$C:$C,"&gt;="&amp;DATE(LEFT(SUBSTITUTE(C1627,"'",""),4),MID(SUBSTITUTE(C1627,"'",""),6,2),1),ShadowLedger!$C:$C,"&lt;"&amp;EOMONTH(DATE(LEFT(SUBSTITUTE(C1627,"'",""),4),MID(SUBSTITUTE(C1627,"'",""),6,2),1),0)+1)</f>
        <v>0</v>
      </c>
      <c r="E1627" s="17">
        <f t="shared" si="1"/>
        <v>123</v>
      </c>
      <c r="F1627" s="17">
        <f t="shared" si="2"/>
        <v>0</v>
      </c>
    </row>
    <row r="1628">
      <c r="A1628" s="5" t="s">
        <v>70</v>
      </c>
      <c r="B1628" s="6">
        <v>123.0</v>
      </c>
      <c r="C1628" s="13" t="s">
        <v>307</v>
      </c>
      <c r="D1628" s="17">
        <f>SUMIFS(ShadowLedger!$D:$D,ShadowLedger!$G:$G,A1628,ShadowLedger!$C:$C,"&gt;="&amp;DATE(LEFT(SUBSTITUTE(C1628,"'",""),4),MID(SUBSTITUTE(C1628,"'",""),6,2),1),ShadowLedger!$C:$C,"&lt;"&amp;EOMONTH(DATE(LEFT(SUBSTITUTE(C1628,"'",""),4),MID(SUBSTITUTE(C1628,"'",""),6,2),1),0)+1)</f>
        <v>0</v>
      </c>
      <c r="E1628" s="17">
        <f t="shared" si="1"/>
        <v>123</v>
      </c>
      <c r="F1628" s="17">
        <f t="shared" si="2"/>
        <v>0</v>
      </c>
    </row>
    <row r="1629">
      <c r="A1629" s="5" t="s">
        <v>65</v>
      </c>
      <c r="B1629" s="6">
        <v>61.0</v>
      </c>
      <c r="C1629" s="13" t="s">
        <v>307</v>
      </c>
      <c r="D1629" s="17">
        <f>SUMIFS(ShadowLedger!$D:$D,ShadowLedger!$G:$G,A1629,ShadowLedger!$C:$C,"&gt;="&amp;DATE(LEFT(SUBSTITUTE(C1629,"'",""),4),MID(SUBSTITUTE(C1629,"'",""),6,2),1),ShadowLedger!$C:$C,"&lt;"&amp;EOMONTH(DATE(LEFT(SUBSTITUTE(C1629,"'",""),4),MID(SUBSTITUTE(C1629,"'",""),6,2),1),0)+1)</f>
        <v>0</v>
      </c>
      <c r="E1629" s="17">
        <f t="shared" si="1"/>
        <v>61</v>
      </c>
      <c r="F1629" s="17">
        <f t="shared" si="2"/>
        <v>0</v>
      </c>
    </row>
    <row r="1630">
      <c r="A1630" s="5" t="s">
        <v>66</v>
      </c>
      <c r="B1630" s="6">
        <v>61.0</v>
      </c>
      <c r="C1630" s="13" t="s">
        <v>307</v>
      </c>
      <c r="D1630" s="17">
        <f>SUMIFS(ShadowLedger!$D:$D,ShadowLedger!$G:$G,A1630,ShadowLedger!$C:$C,"&gt;="&amp;DATE(LEFT(SUBSTITUTE(C1630,"'",""),4),MID(SUBSTITUTE(C1630,"'",""),6,2),1),ShadowLedger!$C:$C,"&lt;"&amp;EOMONTH(DATE(LEFT(SUBSTITUTE(C1630,"'",""),4),MID(SUBSTITUTE(C1630,"'",""),6,2),1),0)+1)</f>
        <v>0</v>
      </c>
      <c r="E1630" s="17">
        <f t="shared" si="1"/>
        <v>61</v>
      </c>
      <c r="F1630" s="17">
        <f t="shared" si="2"/>
        <v>0</v>
      </c>
    </row>
    <row r="1631">
      <c r="A1631" s="5" t="s">
        <v>67</v>
      </c>
      <c r="B1631" s="6">
        <v>61.0</v>
      </c>
      <c r="C1631" s="13" t="s">
        <v>307</v>
      </c>
      <c r="D1631" s="17">
        <f>SUMIFS(ShadowLedger!$D:$D,ShadowLedger!$G:$G,A1631,ShadowLedger!$C:$C,"&gt;="&amp;DATE(LEFT(SUBSTITUTE(C1631,"'",""),4),MID(SUBSTITUTE(C1631,"'",""),6,2),1),ShadowLedger!$C:$C,"&lt;"&amp;EOMONTH(DATE(LEFT(SUBSTITUTE(C1631,"'",""),4),MID(SUBSTITUTE(C1631,"'",""),6,2),1),0)+1)</f>
        <v>0</v>
      </c>
      <c r="E1631" s="17">
        <f t="shared" si="1"/>
        <v>61</v>
      </c>
      <c r="F1631" s="17">
        <f t="shared" si="2"/>
        <v>0</v>
      </c>
    </row>
    <row r="1632">
      <c r="A1632" s="5" t="s">
        <v>68</v>
      </c>
      <c r="B1632" s="6">
        <v>61.0</v>
      </c>
      <c r="C1632" s="13" t="s">
        <v>307</v>
      </c>
      <c r="D1632" s="17">
        <f>SUMIFS(ShadowLedger!$D:$D,ShadowLedger!$G:$G,A1632,ShadowLedger!$C:$C,"&gt;="&amp;DATE(LEFT(SUBSTITUTE(C1632,"'",""),4),MID(SUBSTITUTE(C1632,"'",""),6,2),1),ShadowLedger!$C:$C,"&lt;"&amp;EOMONTH(DATE(LEFT(SUBSTITUTE(C1632,"'",""),4),MID(SUBSTITUTE(C1632,"'",""),6,2),1),0)+1)</f>
        <v>0</v>
      </c>
      <c r="E1632" s="17">
        <f t="shared" si="1"/>
        <v>61</v>
      </c>
      <c r="F1632" s="17">
        <f t="shared" si="2"/>
        <v>0</v>
      </c>
    </row>
    <row r="1633">
      <c r="A1633" s="5" t="s">
        <v>69</v>
      </c>
      <c r="B1633" s="6">
        <v>0.0</v>
      </c>
      <c r="C1633" s="13" t="s">
        <v>307</v>
      </c>
      <c r="D1633" s="17">
        <f>SUMIFS(ShadowLedger!$D:$D,ShadowLedger!$G:$G,A1633,ShadowLedger!$C:$C,"&gt;="&amp;DATE(LEFT(SUBSTITUTE(C1633,"'",""),4),MID(SUBSTITUTE(C1633,"'",""),6,2),1),ShadowLedger!$C:$C,"&lt;"&amp;EOMONTH(DATE(LEFT(SUBSTITUTE(C1633,"'",""),4),MID(SUBSTITUTE(C1633,"'",""),6,2),1),0)+1)</f>
        <v>0</v>
      </c>
      <c r="E1633" s="17">
        <f t="shared" si="1"/>
        <v>0</v>
      </c>
      <c r="F1633" s="17">
        <f t="shared" si="2"/>
        <v>0</v>
      </c>
    </row>
    <row r="1634">
      <c r="A1634" s="5" t="s">
        <v>54</v>
      </c>
      <c r="B1634" s="6">
        <v>1131.0</v>
      </c>
      <c r="C1634" s="13" t="s">
        <v>308</v>
      </c>
      <c r="D1634" s="17">
        <f>SUMIFS(ShadowLedger!$D:$D,ShadowLedger!$G:$G,A1634,ShadowLedger!$C:$C,"&gt;="&amp;DATE(LEFT(SUBSTITUTE(C1634,"'",""),4),MID(SUBSTITUTE(C1634,"'",""),6,2),1),ShadowLedger!$C:$C,"&lt;"&amp;EOMONTH(DATE(LEFT(SUBSTITUTE(C1634,"'",""),4),MID(SUBSTITUTE(C1634,"'",""),6,2),1),0)+1)</f>
        <v>0</v>
      </c>
      <c r="E1634" s="17">
        <f t="shared" si="1"/>
        <v>1131</v>
      </c>
      <c r="F1634" s="17">
        <f t="shared" si="2"/>
        <v>0</v>
      </c>
    </row>
    <row r="1635">
      <c r="A1635" s="5" t="s">
        <v>55</v>
      </c>
      <c r="B1635" s="6">
        <v>861.0</v>
      </c>
      <c r="C1635" s="13" t="s">
        <v>308</v>
      </c>
      <c r="D1635" s="17">
        <f>SUMIFS(ShadowLedger!$D:$D,ShadowLedger!$G:$G,A1635,ShadowLedger!$C:$C,"&gt;="&amp;DATE(LEFT(SUBSTITUTE(C1635,"'",""),4),MID(SUBSTITUTE(C1635,"'",""),6,2),1),ShadowLedger!$C:$C,"&lt;"&amp;EOMONTH(DATE(LEFT(SUBSTITUTE(C1635,"'",""),4),MID(SUBSTITUTE(C1635,"'",""),6,2),1),0)+1)</f>
        <v>0</v>
      </c>
      <c r="E1635" s="17">
        <f t="shared" si="1"/>
        <v>861</v>
      </c>
      <c r="F1635" s="17">
        <f t="shared" si="2"/>
        <v>0</v>
      </c>
    </row>
    <row r="1636">
      <c r="A1636" s="5" t="s">
        <v>56</v>
      </c>
      <c r="B1636" s="6">
        <v>615.0</v>
      </c>
      <c r="C1636" s="13" t="s">
        <v>308</v>
      </c>
      <c r="D1636" s="17">
        <f>SUMIFS(ShadowLedger!$D:$D,ShadowLedger!$G:$G,A1636,ShadowLedger!$C:$C,"&gt;="&amp;DATE(LEFT(SUBSTITUTE(C1636,"'",""),4),MID(SUBSTITUTE(C1636,"'",""),6,2),1),ShadowLedger!$C:$C,"&lt;"&amp;EOMONTH(DATE(LEFT(SUBSTITUTE(C1636,"'",""),4),MID(SUBSTITUTE(C1636,"'",""),6,2),1),0)+1)</f>
        <v>0</v>
      </c>
      <c r="E1636" s="17">
        <f t="shared" si="1"/>
        <v>615</v>
      </c>
      <c r="F1636" s="17">
        <f t="shared" si="2"/>
        <v>0</v>
      </c>
    </row>
    <row r="1637">
      <c r="A1637" s="5" t="s">
        <v>57</v>
      </c>
      <c r="B1637" s="6">
        <v>615.0</v>
      </c>
      <c r="C1637" s="13" t="s">
        <v>308</v>
      </c>
      <c r="D1637" s="17">
        <f>SUMIFS(ShadowLedger!$D:$D,ShadowLedger!$G:$G,A1637,ShadowLedger!$C:$C,"&gt;="&amp;DATE(LEFT(SUBSTITUTE(C1637,"'",""),4),MID(SUBSTITUTE(C1637,"'",""),6,2),1),ShadowLedger!$C:$C,"&lt;"&amp;EOMONTH(DATE(LEFT(SUBSTITUTE(C1637,"'",""),4),MID(SUBSTITUTE(C1637,"'",""),6,2),1),0)+1)</f>
        <v>0</v>
      </c>
      <c r="E1637" s="17">
        <f t="shared" si="1"/>
        <v>615</v>
      </c>
      <c r="F1637" s="17">
        <f t="shared" si="2"/>
        <v>0</v>
      </c>
    </row>
    <row r="1638">
      <c r="A1638" s="5" t="s">
        <v>58</v>
      </c>
      <c r="B1638" s="6">
        <v>492.0</v>
      </c>
      <c r="C1638" s="13" t="s">
        <v>308</v>
      </c>
      <c r="D1638" s="17">
        <f>SUMIFS(ShadowLedger!$D:$D,ShadowLedger!$G:$G,A1638,ShadowLedger!$C:$C,"&gt;="&amp;DATE(LEFT(SUBSTITUTE(C1638,"'",""),4),MID(SUBSTITUTE(C1638,"'",""),6,2),1),ShadowLedger!$C:$C,"&lt;"&amp;EOMONTH(DATE(LEFT(SUBSTITUTE(C1638,"'",""),4),MID(SUBSTITUTE(C1638,"'",""),6,2),1),0)+1)</f>
        <v>0</v>
      </c>
      <c r="E1638" s="17">
        <f t="shared" si="1"/>
        <v>492</v>
      </c>
      <c r="F1638" s="17">
        <f t="shared" si="2"/>
        <v>0</v>
      </c>
    </row>
    <row r="1639">
      <c r="A1639" s="5" t="s">
        <v>59</v>
      </c>
      <c r="B1639" s="6">
        <v>246.0</v>
      </c>
      <c r="C1639" s="13" t="s">
        <v>308</v>
      </c>
      <c r="D1639" s="17">
        <f>SUMIFS(ShadowLedger!$D:$D,ShadowLedger!$G:$G,A1639,ShadowLedger!$C:$C,"&gt;="&amp;DATE(LEFT(SUBSTITUTE(C1639,"'",""),4),MID(SUBSTITUTE(C1639,"'",""),6,2),1),ShadowLedger!$C:$C,"&lt;"&amp;EOMONTH(DATE(LEFT(SUBSTITUTE(C1639,"'",""),4),MID(SUBSTITUTE(C1639,"'",""),6,2),1),0)+1)</f>
        <v>0</v>
      </c>
      <c r="E1639" s="17">
        <f t="shared" si="1"/>
        <v>246</v>
      </c>
      <c r="F1639" s="17">
        <f t="shared" si="2"/>
        <v>0</v>
      </c>
    </row>
    <row r="1640">
      <c r="A1640" s="5" t="s">
        <v>60</v>
      </c>
      <c r="B1640" s="6">
        <v>184.0</v>
      </c>
      <c r="C1640" s="13" t="s">
        <v>308</v>
      </c>
      <c r="D1640" s="17">
        <f>SUMIFS(ShadowLedger!$D:$D,ShadowLedger!$G:$G,A1640,ShadowLedger!$C:$C,"&gt;="&amp;DATE(LEFT(SUBSTITUTE(C1640,"'",""),4),MID(SUBSTITUTE(C1640,"'",""),6,2),1),ShadowLedger!$C:$C,"&lt;"&amp;EOMONTH(DATE(LEFT(SUBSTITUTE(C1640,"'",""),4),MID(SUBSTITUTE(C1640,"'",""),6,2),1),0)+1)</f>
        <v>0</v>
      </c>
      <c r="E1640" s="17">
        <f t="shared" si="1"/>
        <v>184</v>
      </c>
      <c r="F1640" s="17">
        <f t="shared" si="2"/>
        <v>0</v>
      </c>
    </row>
    <row r="1641">
      <c r="A1641" s="5" t="s">
        <v>61</v>
      </c>
      <c r="B1641" s="6">
        <v>148.0</v>
      </c>
      <c r="C1641" s="13" t="s">
        <v>308</v>
      </c>
      <c r="D1641" s="17">
        <f>SUMIFS(ShadowLedger!$D:$D,ShadowLedger!$G:$G,A1641,ShadowLedger!$C:$C,"&gt;="&amp;DATE(LEFT(SUBSTITUTE(C1641,"'",""),4),MID(SUBSTITUTE(C1641,"'",""),6,2),1),ShadowLedger!$C:$C,"&lt;"&amp;EOMONTH(DATE(LEFT(SUBSTITUTE(C1641,"'",""),4),MID(SUBSTITUTE(C1641,"'",""),6,2),1),0)+1)</f>
        <v>0</v>
      </c>
      <c r="E1641" s="17">
        <f t="shared" si="1"/>
        <v>148</v>
      </c>
      <c r="F1641" s="17">
        <f t="shared" si="2"/>
        <v>0</v>
      </c>
    </row>
    <row r="1642">
      <c r="A1642" s="5" t="s">
        <v>62</v>
      </c>
      <c r="B1642" s="6">
        <v>148.0</v>
      </c>
      <c r="C1642" s="13" t="s">
        <v>308</v>
      </c>
      <c r="D1642" s="17">
        <f>SUMIFS(ShadowLedger!$D:$D,ShadowLedger!$G:$G,A1642,ShadowLedger!$C:$C,"&gt;="&amp;DATE(LEFT(SUBSTITUTE(C1642,"'",""),4),MID(SUBSTITUTE(C1642,"'",""),6,2),1),ShadowLedger!$C:$C,"&lt;"&amp;EOMONTH(DATE(LEFT(SUBSTITUTE(C1642,"'",""),4),MID(SUBSTITUTE(C1642,"'",""),6,2),1),0)+1)</f>
        <v>0</v>
      </c>
      <c r="E1642" s="17">
        <f t="shared" si="1"/>
        <v>148</v>
      </c>
      <c r="F1642" s="17">
        <f t="shared" si="2"/>
        <v>0</v>
      </c>
    </row>
    <row r="1643">
      <c r="A1643" s="5" t="s">
        <v>63</v>
      </c>
      <c r="B1643" s="6">
        <v>123.0</v>
      </c>
      <c r="C1643" s="13" t="s">
        <v>308</v>
      </c>
      <c r="D1643" s="17">
        <f>SUMIFS(ShadowLedger!$D:$D,ShadowLedger!$G:$G,A1643,ShadowLedger!$C:$C,"&gt;="&amp;DATE(LEFT(SUBSTITUTE(C1643,"'",""),4),MID(SUBSTITUTE(C1643,"'",""),6,2),1),ShadowLedger!$C:$C,"&lt;"&amp;EOMONTH(DATE(LEFT(SUBSTITUTE(C1643,"'",""),4),MID(SUBSTITUTE(C1643,"'",""),6,2),1),0)+1)</f>
        <v>0</v>
      </c>
      <c r="E1643" s="17">
        <f t="shared" si="1"/>
        <v>123</v>
      </c>
      <c r="F1643" s="17">
        <f t="shared" si="2"/>
        <v>0</v>
      </c>
    </row>
    <row r="1644">
      <c r="A1644" s="5" t="s">
        <v>64</v>
      </c>
      <c r="B1644" s="6">
        <v>123.0</v>
      </c>
      <c r="C1644" s="13" t="s">
        <v>308</v>
      </c>
      <c r="D1644" s="17">
        <f>SUMIFS(ShadowLedger!$D:$D,ShadowLedger!$G:$G,A1644,ShadowLedger!$C:$C,"&gt;="&amp;DATE(LEFT(SUBSTITUTE(C1644,"'",""),4),MID(SUBSTITUTE(C1644,"'",""),6,2),1),ShadowLedger!$C:$C,"&lt;"&amp;EOMONTH(DATE(LEFT(SUBSTITUTE(C1644,"'",""),4),MID(SUBSTITUTE(C1644,"'",""),6,2),1),0)+1)</f>
        <v>0</v>
      </c>
      <c r="E1644" s="17">
        <f t="shared" si="1"/>
        <v>123</v>
      </c>
      <c r="F1644" s="17">
        <f t="shared" si="2"/>
        <v>0</v>
      </c>
    </row>
    <row r="1645">
      <c r="A1645" s="5" t="s">
        <v>70</v>
      </c>
      <c r="B1645" s="6">
        <v>123.0</v>
      </c>
      <c r="C1645" s="13" t="s">
        <v>308</v>
      </c>
      <c r="D1645" s="17">
        <f>SUMIFS(ShadowLedger!$D:$D,ShadowLedger!$G:$G,A1645,ShadowLedger!$C:$C,"&gt;="&amp;DATE(LEFT(SUBSTITUTE(C1645,"'",""),4),MID(SUBSTITUTE(C1645,"'",""),6,2),1),ShadowLedger!$C:$C,"&lt;"&amp;EOMONTH(DATE(LEFT(SUBSTITUTE(C1645,"'",""),4),MID(SUBSTITUTE(C1645,"'",""),6,2),1),0)+1)</f>
        <v>0</v>
      </c>
      <c r="E1645" s="17">
        <f t="shared" si="1"/>
        <v>123</v>
      </c>
      <c r="F1645" s="17">
        <f t="shared" si="2"/>
        <v>0</v>
      </c>
    </row>
    <row r="1646">
      <c r="A1646" s="5" t="s">
        <v>65</v>
      </c>
      <c r="B1646" s="6">
        <v>61.0</v>
      </c>
      <c r="C1646" s="13" t="s">
        <v>308</v>
      </c>
      <c r="D1646" s="17">
        <f>SUMIFS(ShadowLedger!$D:$D,ShadowLedger!$G:$G,A1646,ShadowLedger!$C:$C,"&gt;="&amp;DATE(LEFT(SUBSTITUTE(C1646,"'",""),4),MID(SUBSTITUTE(C1646,"'",""),6,2),1),ShadowLedger!$C:$C,"&lt;"&amp;EOMONTH(DATE(LEFT(SUBSTITUTE(C1646,"'",""),4),MID(SUBSTITUTE(C1646,"'",""),6,2),1),0)+1)</f>
        <v>0</v>
      </c>
      <c r="E1646" s="17">
        <f t="shared" si="1"/>
        <v>61</v>
      </c>
      <c r="F1646" s="17">
        <f t="shared" si="2"/>
        <v>0</v>
      </c>
    </row>
    <row r="1647">
      <c r="A1647" s="5" t="s">
        <v>66</v>
      </c>
      <c r="B1647" s="6">
        <v>61.0</v>
      </c>
      <c r="C1647" s="13" t="s">
        <v>308</v>
      </c>
      <c r="D1647" s="17">
        <f>SUMIFS(ShadowLedger!$D:$D,ShadowLedger!$G:$G,A1647,ShadowLedger!$C:$C,"&gt;="&amp;DATE(LEFT(SUBSTITUTE(C1647,"'",""),4),MID(SUBSTITUTE(C1647,"'",""),6,2),1),ShadowLedger!$C:$C,"&lt;"&amp;EOMONTH(DATE(LEFT(SUBSTITUTE(C1647,"'",""),4),MID(SUBSTITUTE(C1647,"'",""),6,2),1),0)+1)</f>
        <v>0</v>
      </c>
      <c r="E1647" s="17">
        <f t="shared" si="1"/>
        <v>61</v>
      </c>
      <c r="F1647" s="17">
        <f t="shared" si="2"/>
        <v>0</v>
      </c>
    </row>
    <row r="1648">
      <c r="A1648" s="5" t="s">
        <v>67</v>
      </c>
      <c r="B1648" s="6">
        <v>61.0</v>
      </c>
      <c r="C1648" s="13" t="s">
        <v>308</v>
      </c>
      <c r="D1648" s="17">
        <f>SUMIFS(ShadowLedger!$D:$D,ShadowLedger!$G:$G,A1648,ShadowLedger!$C:$C,"&gt;="&amp;DATE(LEFT(SUBSTITUTE(C1648,"'",""),4),MID(SUBSTITUTE(C1648,"'",""),6,2),1),ShadowLedger!$C:$C,"&lt;"&amp;EOMONTH(DATE(LEFT(SUBSTITUTE(C1648,"'",""),4),MID(SUBSTITUTE(C1648,"'",""),6,2),1),0)+1)</f>
        <v>0</v>
      </c>
      <c r="E1648" s="17">
        <f t="shared" si="1"/>
        <v>61</v>
      </c>
      <c r="F1648" s="17">
        <f t="shared" si="2"/>
        <v>0</v>
      </c>
    </row>
    <row r="1649">
      <c r="A1649" s="5" t="s">
        <v>68</v>
      </c>
      <c r="B1649" s="6">
        <v>61.0</v>
      </c>
      <c r="C1649" s="13" t="s">
        <v>308</v>
      </c>
      <c r="D1649" s="17">
        <f>SUMIFS(ShadowLedger!$D:$D,ShadowLedger!$G:$G,A1649,ShadowLedger!$C:$C,"&gt;="&amp;DATE(LEFT(SUBSTITUTE(C1649,"'",""),4),MID(SUBSTITUTE(C1649,"'",""),6,2),1),ShadowLedger!$C:$C,"&lt;"&amp;EOMONTH(DATE(LEFT(SUBSTITUTE(C1649,"'",""),4),MID(SUBSTITUTE(C1649,"'",""),6,2),1),0)+1)</f>
        <v>0</v>
      </c>
      <c r="E1649" s="17">
        <f t="shared" si="1"/>
        <v>61</v>
      </c>
      <c r="F1649" s="17">
        <f t="shared" si="2"/>
        <v>0</v>
      </c>
    </row>
    <row r="1650">
      <c r="A1650" s="5" t="s">
        <v>69</v>
      </c>
      <c r="B1650" s="6">
        <v>0.0</v>
      </c>
      <c r="C1650" s="13" t="s">
        <v>308</v>
      </c>
      <c r="D1650" s="17">
        <f>SUMIFS(ShadowLedger!$D:$D,ShadowLedger!$G:$G,A1650,ShadowLedger!$C:$C,"&gt;="&amp;DATE(LEFT(SUBSTITUTE(C1650,"'",""),4),MID(SUBSTITUTE(C1650,"'",""),6,2),1),ShadowLedger!$C:$C,"&lt;"&amp;EOMONTH(DATE(LEFT(SUBSTITUTE(C1650,"'",""),4),MID(SUBSTITUTE(C1650,"'",""),6,2),1),0)+1)</f>
        <v>0</v>
      </c>
      <c r="E1650" s="17">
        <f t="shared" si="1"/>
        <v>0</v>
      </c>
      <c r="F1650" s="17">
        <f t="shared" si="2"/>
        <v>0</v>
      </c>
    </row>
    <row r="1651">
      <c r="A1651" s="5" t="s">
        <v>54</v>
      </c>
      <c r="B1651" s="6">
        <v>1165.0</v>
      </c>
      <c r="C1651" s="13" t="s">
        <v>309</v>
      </c>
      <c r="D1651" s="17">
        <f>SUMIFS(ShadowLedger!$D:$D,ShadowLedger!$G:$G,A1651,ShadowLedger!$C:$C,"&gt;="&amp;DATE(LEFT(SUBSTITUTE(C1651,"'",""),4),MID(SUBSTITUTE(C1651,"'",""),6,2),1),ShadowLedger!$C:$C,"&lt;"&amp;EOMONTH(DATE(LEFT(SUBSTITUTE(C1651,"'",""),4),MID(SUBSTITUTE(C1651,"'",""),6,2),1),0)+1)</f>
        <v>0</v>
      </c>
      <c r="E1651" s="17">
        <f t="shared" si="1"/>
        <v>1165</v>
      </c>
      <c r="F1651" s="17">
        <f t="shared" si="2"/>
        <v>0</v>
      </c>
    </row>
    <row r="1652">
      <c r="A1652" s="5" t="s">
        <v>55</v>
      </c>
      <c r="B1652" s="6">
        <v>887.0</v>
      </c>
      <c r="C1652" s="13" t="s">
        <v>309</v>
      </c>
      <c r="D1652" s="17">
        <f>SUMIFS(ShadowLedger!$D:$D,ShadowLedger!$G:$G,A1652,ShadowLedger!$C:$C,"&gt;="&amp;DATE(LEFT(SUBSTITUTE(C1652,"'",""),4),MID(SUBSTITUTE(C1652,"'",""),6,2),1),ShadowLedger!$C:$C,"&lt;"&amp;EOMONTH(DATE(LEFT(SUBSTITUTE(C1652,"'",""),4),MID(SUBSTITUTE(C1652,"'",""),6,2),1),0)+1)</f>
        <v>0</v>
      </c>
      <c r="E1652" s="17">
        <f t="shared" si="1"/>
        <v>887</v>
      </c>
      <c r="F1652" s="17">
        <f t="shared" si="2"/>
        <v>0</v>
      </c>
    </row>
    <row r="1653">
      <c r="A1653" s="5" t="s">
        <v>56</v>
      </c>
      <c r="B1653" s="6">
        <v>633.0</v>
      </c>
      <c r="C1653" s="13" t="s">
        <v>309</v>
      </c>
      <c r="D1653" s="17">
        <f>SUMIFS(ShadowLedger!$D:$D,ShadowLedger!$G:$G,A1653,ShadowLedger!$C:$C,"&gt;="&amp;DATE(LEFT(SUBSTITUTE(C1653,"'",""),4),MID(SUBSTITUTE(C1653,"'",""),6,2),1),ShadowLedger!$C:$C,"&lt;"&amp;EOMONTH(DATE(LEFT(SUBSTITUTE(C1653,"'",""),4),MID(SUBSTITUTE(C1653,"'",""),6,2),1),0)+1)</f>
        <v>0</v>
      </c>
      <c r="E1653" s="17">
        <f t="shared" si="1"/>
        <v>633</v>
      </c>
      <c r="F1653" s="17">
        <f t="shared" si="2"/>
        <v>0</v>
      </c>
    </row>
    <row r="1654">
      <c r="A1654" s="5" t="s">
        <v>57</v>
      </c>
      <c r="B1654" s="6">
        <v>633.0</v>
      </c>
      <c r="C1654" s="13" t="s">
        <v>309</v>
      </c>
      <c r="D1654" s="17">
        <f>SUMIFS(ShadowLedger!$D:$D,ShadowLedger!$G:$G,A1654,ShadowLedger!$C:$C,"&gt;="&amp;DATE(LEFT(SUBSTITUTE(C1654,"'",""),4),MID(SUBSTITUTE(C1654,"'",""),6,2),1),ShadowLedger!$C:$C,"&lt;"&amp;EOMONTH(DATE(LEFT(SUBSTITUTE(C1654,"'",""),4),MID(SUBSTITUTE(C1654,"'",""),6,2),1),0)+1)</f>
        <v>0</v>
      </c>
      <c r="E1654" s="17">
        <f t="shared" si="1"/>
        <v>633</v>
      </c>
      <c r="F1654" s="17">
        <f t="shared" si="2"/>
        <v>0</v>
      </c>
    </row>
    <row r="1655">
      <c r="A1655" s="5" t="s">
        <v>58</v>
      </c>
      <c r="B1655" s="6">
        <v>507.0</v>
      </c>
      <c r="C1655" s="13" t="s">
        <v>309</v>
      </c>
      <c r="D1655" s="17">
        <f>SUMIFS(ShadowLedger!$D:$D,ShadowLedger!$G:$G,A1655,ShadowLedger!$C:$C,"&gt;="&amp;DATE(LEFT(SUBSTITUTE(C1655,"'",""),4),MID(SUBSTITUTE(C1655,"'",""),6,2),1),ShadowLedger!$C:$C,"&lt;"&amp;EOMONTH(DATE(LEFT(SUBSTITUTE(C1655,"'",""),4),MID(SUBSTITUTE(C1655,"'",""),6,2),1),0)+1)</f>
        <v>0</v>
      </c>
      <c r="E1655" s="17">
        <f t="shared" si="1"/>
        <v>507</v>
      </c>
      <c r="F1655" s="17">
        <f t="shared" si="2"/>
        <v>0</v>
      </c>
    </row>
    <row r="1656">
      <c r="A1656" s="5" t="s">
        <v>59</v>
      </c>
      <c r="B1656" s="6">
        <v>253.0</v>
      </c>
      <c r="C1656" s="13" t="s">
        <v>309</v>
      </c>
      <c r="D1656" s="17">
        <f>SUMIFS(ShadowLedger!$D:$D,ShadowLedger!$G:$G,A1656,ShadowLedger!$C:$C,"&gt;="&amp;DATE(LEFT(SUBSTITUTE(C1656,"'",""),4),MID(SUBSTITUTE(C1656,"'",""),6,2),1),ShadowLedger!$C:$C,"&lt;"&amp;EOMONTH(DATE(LEFT(SUBSTITUTE(C1656,"'",""),4),MID(SUBSTITUTE(C1656,"'",""),6,2),1),0)+1)</f>
        <v>0</v>
      </c>
      <c r="E1656" s="17">
        <f t="shared" si="1"/>
        <v>253</v>
      </c>
      <c r="F1656" s="17">
        <f t="shared" si="2"/>
        <v>0</v>
      </c>
    </row>
    <row r="1657">
      <c r="A1657" s="5" t="s">
        <v>60</v>
      </c>
      <c r="B1657" s="6">
        <v>190.0</v>
      </c>
      <c r="C1657" s="13" t="s">
        <v>309</v>
      </c>
      <c r="D1657" s="17">
        <f>SUMIFS(ShadowLedger!$D:$D,ShadowLedger!$G:$G,A1657,ShadowLedger!$C:$C,"&gt;="&amp;DATE(LEFT(SUBSTITUTE(C1657,"'",""),4),MID(SUBSTITUTE(C1657,"'",""),6,2),1),ShadowLedger!$C:$C,"&lt;"&amp;EOMONTH(DATE(LEFT(SUBSTITUTE(C1657,"'",""),4),MID(SUBSTITUTE(C1657,"'",""),6,2),1),0)+1)</f>
        <v>0</v>
      </c>
      <c r="E1657" s="17">
        <f t="shared" si="1"/>
        <v>190</v>
      </c>
      <c r="F1657" s="17">
        <f t="shared" si="2"/>
        <v>0</v>
      </c>
    </row>
    <row r="1658">
      <c r="A1658" s="5" t="s">
        <v>61</v>
      </c>
      <c r="B1658" s="6">
        <v>152.0</v>
      </c>
      <c r="C1658" s="13" t="s">
        <v>309</v>
      </c>
      <c r="D1658" s="17">
        <f>SUMIFS(ShadowLedger!$D:$D,ShadowLedger!$G:$G,A1658,ShadowLedger!$C:$C,"&gt;="&amp;DATE(LEFT(SUBSTITUTE(C1658,"'",""),4),MID(SUBSTITUTE(C1658,"'",""),6,2),1),ShadowLedger!$C:$C,"&lt;"&amp;EOMONTH(DATE(LEFT(SUBSTITUTE(C1658,"'",""),4),MID(SUBSTITUTE(C1658,"'",""),6,2),1),0)+1)</f>
        <v>0</v>
      </c>
      <c r="E1658" s="17">
        <f t="shared" si="1"/>
        <v>152</v>
      </c>
      <c r="F1658" s="17">
        <f t="shared" si="2"/>
        <v>0</v>
      </c>
    </row>
    <row r="1659">
      <c r="A1659" s="5" t="s">
        <v>62</v>
      </c>
      <c r="B1659" s="6">
        <v>152.0</v>
      </c>
      <c r="C1659" s="13" t="s">
        <v>309</v>
      </c>
      <c r="D1659" s="17">
        <f>SUMIFS(ShadowLedger!$D:$D,ShadowLedger!$G:$G,A1659,ShadowLedger!$C:$C,"&gt;="&amp;DATE(LEFT(SUBSTITUTE(C1659,"'",""),4),MID(SUBSTITUTE(C1659,"'",""),6,2),1),ShadowLedger!$C:$C,"&lt;"&amp;EOMONTH(DATE(LEFT(SUBSTITUTE(C1659,"'",""),4),MID(SUBSTITUTE(C1659,"'",""),6,2),1),0)+1)</f>
        <v>0</v>
      </c>
      <c r="E1659" s="17">
        <f t="shared" si="1"/>
        <v>152</v>
      </c>
      <c r="F1659" s="17">
        <f t="shared" si="2"/>
        <v>0</v>
      </c>
    </row>
    <row r="1660">
      <c r="A1660" s="5" t="s">
        <v>63</v>
      </c>
      <c r="B1660" s="6">
        <v>127.0</v>
      </c>
      <c r="C1660" s="13" t="s">
        <v>309</v>
      </c>
      <c r="D1660" s="17">
        <f>SUMIFS(ShadowLedger!$D:$D,ShadowLedger!$G:$G,A1660,ShadowLedger!$C:$C,"&gt;="&amp;DATE(LEFT(SUBSTITUTE(C1660,"'",""),4),MID(SUBSTITUTE(C1660,"'",""),6,2),1),ShadowLedger!$C:$C,"&lt;"&amp;EOMONTH(DATE(LEFT(SUBSTITUTE(C1660,"'",""),4),MID(SUBSTITUTE(C1660,"'",""),6,2),1),0)+1)</f>
        <v>0</v>
      </c>
      <c r="E1660" s="17">
        <f t="shared" si="1"/>
        <v>127</v>
      </c>
      <c r="F1660" s="17">
        <f t="shared" si="2"/>
        <v>0</v>
      </c>
    </row>
    <row r="1661">
      <c r="A1661" s="5" t="s">
        <v>64</v>
      </c>
      <c r="B1661" s="6">
        <v>127.0</v>
      </c>
      <c r="C1661" s="13" t="s">
        <v>309</v>
      </c>
      <c r="D1661" s="17">
        <f>SUMIFS(ShadowLedger!$D:$D,ShadowLedger!$G:$G,A1661,ShadowLedger!$C:$C,"&gt;="&amp;DATE(LEFT(SUBSTITUTE(C1661,"'",""),4),MID(SUBSTITUTE(C1661,"'",""),6,2),1),ShadowLedger!$C:$C,"&lt;"&amp;EOMONTH(DATE(LEFT(SUBSTITUTE(C1661,"'",""),4),MID(SUBSTITUTE(C1661,"'",""),6,2),1),0)+1)</f>
        <v>0</v>
      </c>
      <c r="E1661" s="17">
        <f t="shared" si="1"/>
        <v>127</v>
      </c>
      <c r="F1661" s="17">
        <f t="shared" si="2"/>
        <v>0</v>
      </c>
    </row>
    <row r="1662">
      <c r="A1662" s="5" t="s">
        <v>70</v>
      </c>
      <c r="B1662" s="6">
        <v>127.0</v>
      </c>
      <c r="C1662" s="13" t="s">
        <v>309</v>
      </c>
      <c r="D1662" s="17">
        <f>SUMIFS(ShadowLedger!$D:$D,ShadowLedger!$G:$G,A1662,ShadowLedger!$C:$C,"&gt;="&amp;DATE(LEFT(SUBSTITUTE(C1662,"'",""),4),MID(SUBSTITUTE(C1662,"'",""),6,2),1),ShadowLedger!$C:$C,"&lt;"&amp;EOMONTH(DATE(LEFT(SUBSTITUTE(C1662,"'",""),4),MID(SUBSTITUTE(C1662,"'",""),6,2),1),0)+1)</f>
        <v>0</v>
      </c>
      <c r="E1662" s="17">
        <f t="shared" si="1"/>
        <v>127</v>
      </c>
      <c r="F1662" s="17">
        <f t="shared" si="2"/>
        <v>0</v>
      </c>
    </row>
    <row r="1663">
      <c r="A1663" s="5" t="s">
        <v>65</v>
      </c>
      <c r="B1663" s="6">
        <v>63.0</v>
      </c>
      <c r="C1663" s="13" t="s">
        <v>309</v>
      </c>
      <c r="D1663" s="17">
        <f>SUMIFS(ShadowLedger!$D:$D,ShadowLedger!$G:$G,A1663,ShadowLedger!$C:$C,"&gt;="&amp;DATE(LEFT(SUBSTITUTE(C1663,"'",""),4),MID(SUBSTITUTE(C1663,"'",""),6,2),1),ShadowLedger!$C:$C,"&lt;"&amp;EOMONTH(DATE(LEFT(SUBSTITUTE(C1663,"'",""),4),MID(SUBSTITUTE(C1663,"'",""),6,2),1),0)+1)</f>
        <v>0</v>
      </c>
      <c r="E1663" s="17">
        <f t="shared" si="1"/>
        <v>63</v>
      </c>
      <c r="F1663" s="17">
        <f t="shared" si="2"/>
        <v>0</v>
      </c>
    </row>
    <row r="1664">
      <c r="A1664" s="5" t="s">
        <v>66</v>
      </c>
      <c r="B1664" s="6">
        <v>63.0</v>
      </c>
      <c r="C1664" s="13" t="s">
        <v>309</v>
      </c>
      <c r="D1664" s="17">
        <f>SUMIFS(ShadowLedger!$D:$D,ShadowLedger!$G:$G,A1664,ShadowLedger!$C:$C,"&gt;="&amp;DATE(LEFT(SUBSTITUTE(C1664,"'",""),4),MID(SUBSTITUTE(C1664,"'",""),6,2),1),ShadowLedger!$C:$C,"&lt;"&amp;EOMONTH(DATE(LEFT(SUBSTITUTE(C1664,"'",""),4),MID(SUBSTITUTE(C1664,"'",""),6,2),1),0)+1)</f>
        <v>0</v>
      </c>
      <c r="E1664" s="17">
        <f t="shared" si="1"/>
        <v>63</v>
      </c>
      <c r="F1664" s="17">
        <f t="shared" si="2"/>
        <v>0</v>
      </c>
    </row>
    <row r="1665">
      <c r="A1665" s="5" t="s">
        <v>67</v>
      </c>
      <c r="B1665" s="6">
        <v>63.0</v>
      </c>
      <c r="C1665" s="13" t="s">
        <v>309</v>
      </c>
      <c r="D1665" s="17">
        <f>SUMIFS(ShadowLedger!$D:$D,ShadowLedger!$G:$G,A1665,ShadowLedger!$C:$C,"&gt;="&amp;DATE(LEFT(SUBSTITUTE(C1665,"'",""),4),MID(SUBSTITUTE(C1665,"'",""),6,2),1),ShadowLedger!$C:$C,"&lt;"&amp;EOMONTH(DATE(LEFT(SUBSTITUTE(C1665,"'",""),4),MID(SUBSTITUTE(C1665,"'",""),6,2),1),0)+1)</f>
        <v>0</v>
      </c>
      <c r="E1665" s="17">
        <f t="shared" si="1"/>
        <v>63</v>
      </c>
      <c r="F1665" s="17">
        <f t="shared" si="2"/>
        <v>0</v>
      </c>
    </row>
    <row r="1666">
      <c r="A1666" s="5" t="s">
        <v>68</v>
      </c>
      <c r="B1666" s="6">
        <v>63.0</v>
      </c>
      <c r="C1666" s="13" t="s">
        <v>309</v>
      </c>
      <c r="D1666" s="17">
        <f>SUMIFS(ShadowLedger!$D:$D,ShadowLedger!$G:$G,A1666,ShadowLedger!$C:$C,"&gt;="&amp;DATE(LEFT(SUBSTITUTE(C1666,"'",""),4),MID(SUBSTITUTE(C1666,"'",""),6,2),1),ShadowLedger!$C:$C,"&lt;"&amp;EOMONTH(DATE(LEFT(SUBSTITUTE(C1666,"'",""),4),MID(SUBSTITUTE(C1666,"'",""),6,2),1),0)+1)</f>
        <v>0</v>
      </c>
      <c r="E1666" s="17">
        <f t="shared" si="1"/>
        <v>63</v>
      </c>
      <c r="F1666" s="17">
        <f t="shared" si="2"/>
        <v>0</v>
      </c>
    </row>
    <row r="1667">
      <c r="A1667" s="5" t="s">
        <v>69</v>
      </c>
      <c r="B1667" s="6">
        <v>0.0</v>
      </c>
      <c r="C1667" s="13" t="s">
        <v>309</v>
      </c>
      <c r="D1667" s="17">
        <f>SUMIFS(ShadowLedger!$D:$D,ShadowLedger!$G:$G,A1667,ShadowLedger!$C:$C,"&gt;="&amp;DATE(LEFT(SUBSTITUTE(C1667,"'",""),4),MID(SUBSTITUTE(C1667,"'",""),6,2),1),ShadowLedger!$C:$C,"&lt;"&amp;EOMONTH(DATE(LEFT(SUBSTITUTE(C1667,"'",""),4),MID(SUBSTITUTE(C1667,"'",""),6,2),1),0)+1)</f>
        <v>0</v>
      </c>
      <c r="E1667" s="17">
        <f t="shared" si="1"/>
        <v>0</v>
      </c>
      <c r="F1667" s="17">
        <f t="shared" si="2"/>
        <v>0</v>
      </c>
    </row>
    <row r="1668">
      <c r="A1668" s="5" t="s">
        <v>54</v>
      </c>
      <c r="B1668" s="6">
        <v>1165.0</v>
      </c>
      <c r="C1668" s="13" t="s">
        <v>310</v>
      </c>
      <c r="D1668" s="17">
        <f>SUMIFS(ShadowLedger!$D:$D,ShadowLedger!$G:$G,A1668,ShadowLedger!$C:$C,"&gt;="&amp;DATE(LEFT(SUBSTITUTE(C1668,"'",""),4),MID(SUBSTITUTE(C1668,"'",""),6,2),1),ShadowLedger!$C:$C,"&lt;"&amp;EOMONTH(DATE(LEFT(SUBSTITUTE(C1668,"'",""),4),MID(SUBSTITUTE(C1668,"'",""),6,2),1),0)+1)</f>
        <v>0</v>
      </c>
      <c r="E1668" s="17">
        <f t="shared" si="1"/>
        <v>1165</v>
      </c>
      <c r="F1668" s="17">
        <f t="shared" si="2"/>
        <v>0</v>
      </c>
    </row>
    <row r="1669">
      <c r="A1669" s="5" t="s">
        <v>55</v>
      </c>
      <c r="B1669" s="6">
        <v>887.0</v>
      </c>
      <c r="C1669" s="13" t="s">
        <v>310</v>
      </c>
      <c r="D1669" s="17">
        <f>SUMIFS(ShadowLedger!$D:$D,ShadowLedger!$G:$G,A1669,ShadowLedger!$C:$C,"&gt;="&amp;DATE(LEFT(SUBSTITUTE(C1669,"'",""),4),MID(SUBSTITUTE(C1669,"'",""),6,2),1),ShadowLedger!$C:$C,"&lt;"&amp;EOMONTH(DATE(LEFT(SUBSTITUTE(C1669,"'",""),4),MID(SUBSTITUTE(C1669,"'",""),6,2),1),0)+1)</f>
        <v>0</v>
      </c>
      <c r="E1669" s="17">
        <f t="shared" si="1"/>
        <v>887</v>
      </c>
      <c r="F1669" s="17">
        <f t="shared" si="2"/>
        <v>0</v>
      </c>
    </row>
    <row r="1670">
      <c r="A1670" s="5" t="s">
        <v>56</v>
      </c>
      <c r="B1670" s="6">
        <v>633.0</v>
      </c>
      <c r="C1670" s="13" t="s">
        <v>310</v>
      </c>
      <c r="D1670" s="17">
        <f>SUMIFS(ShadowLedger!$D:$D,ShadowLedger!$G:$G,A1670,ShadowLedger!$C:$C,"&gt;="&amp;DATE(LEFT(SUBSTITUTE(C1670,"'",""),4),MID(SUBSTITUTE(C1670,"'",""),6,2),1),ShadowLedger!$C:$C,"&lt;"&amp;EOMONTH(DATE(LEFT(SUBSTITUTE(C1670,"'",""),4),MID(SUBSTITUTE(C1670,"'",""),6,2),1),0)+1)</f>
        <v>0</v>
      </c>
      <c r="E1670" s="17">
        <f t="shared" si="1"/>
        <v>633</v>
      </c>
      <c r="F1670" s="17">
        <f t="shared" si="2"/>
        <v>0</v>
      </c>
    </row>
    <row r="1671">
      <c r="A1671" s="5" t="s">
        <v>57</v>
      </c>
      <c r="B1671" s="6">
        <v>633.0</v>
      </c>
      <c r="C1671" s="13" t="s">
        <v>310</v>
      </c>
      <c r="D1671" s="17">
        <f>SUMIFS(ShadowLedger!$D:$D,ShadowLedger!$G:$G,A1671,ShadowLedger!$C:$C,"&gt;="&amp;DATE(LEFT(SUBSTITUTE(C1671,"'",""),4),MID(SUBSTITUTE(C1671,"'",""),6,2),1),ShadowLedger!$C:$C,"&lt;"&amp;EOMONTH(DATE(LEFT(SUBSTITUTE(C1671,"'",""),4),MID(SUBSTITUTE(C1671,"'",""),6,2),1),0)+1)</f>
        <v>0</v>
      </c>
      <c r="E1671" s="17">
        <f t="shared" si="1"/>
        <v>633</v>
      </c>
      <c r="F1671" s="17">
        <f t="shared" si="2"/>
        <v>0</v>
      </c>
    </row>
    <row r="1672">
      <c r="A1672" s="5" t="s">
        <v>58</v>
      </c>
      <c r="B1672" s="6">
        <v>507.0</v>
      </c>
      <c r="C1672" s="13" t="s">
        <v>310</v>
      </c>
      <c r="D1672" s="17">
        <f>SUMIFS(ShadowLedger!$D:$D,ShadowLedger!$G:$G,A1672,ShadowLedger!$C:$C,"&gt;="&amp;DATE(LEFT(SUBSTITUTE(C1672,"'",""),4),MID(SUBSTITUTE(C1672,"'",""),6,2),1),ShadowLedger!$C:$C,"&lt;"&amp;EOMONTH(DATE(LEFT(SUBSTITUTE(C1672,"'",""),4),MID(SUBSTITUTE(C1672,"'",""),6,2),1),0)+1)</f>
        <v>0</v>
      </c>
      <c r="E1672" s="17">
        <f t="shared" si="1"/>
        <v>507</v>
      </c>
      <c r="F1672" s="17">
        <f t="shared" si="2"/>
        <v>0</v>
      </c>
    </row>
    <row r="1673">
      <c r="A1673" s="5" t="s">
        <v>59</v>
      </c>
      <c r="B1673" s="6">
        <v>253.0</v>
      </c>
      <c r="C1673" s="13" t="s">
        <v>310</v>
      </c>
      <c r="D1673" s="17">
        <f>SUMIFS(ShadowLedger!$D:$D,ShadowLedger!$G:$G,A1673,ShadowLedger!$C:$C,"&gt;="&amp;DATE(LEFT(SUBSTITUTE(C1673,"'",""),4),MID(SUBSTITUTE(C1673,"'",""),6,2),1),ShadowLedger!$C:$C,"&lt;"&amp;EOMONTH(DATE(LEFT(SUBSTITUTE(C1673,"'",""),4),MID(SUBSTITUTE(C1673,"'",""),6,2),1),0)+1)</f>
        <v>0</v>
      </c>
      <c r="E1673" s="17">
        <f t="shared" si="1"/>
        <v>253</v>
      </c>
      <c r="F1673" s="17">
        <f t="shared" si="2"/>
        <v>0</v>
      </c>
    </row>
    <row r="1674">
      <c r="A1674" s="5" t="s">
        <v>60</v>
      </c>
      <c r="B1674" s="6">
        <v>190.0</v>
      </c>
      <c r="C1674" s="13" t="s">
        <v>310</v>
      </c>
      <c r="D1674" s="17">
        <f>SUMIFS(ShadowLedger!$D:$D,ShadowLedger!$G:$G,A1674,ShadowLedger!$C:$C,"&gt;="&amp;DATE(LEFT(SUBSTITUTE(C1674,"'",""),4),MID(SUBSTITUTE(C1674,"'",""),6,2),1),ShadowLedger!$C:$C,"&lt;"&amp;EOMONTH(DATE(LEFT(SUBSTITUTE(C1674,"'",""),4),MID(SUBSTITUTE(C1674,"'",""),6,2),1),0)+1)</f>
        <v>0</v>
      </c>
      <c r="E1674" s="17">
        <f t="shared" si="1"/>
        <v>190</v>
      </c>
      <c r="F1674" s="17">
        <f t="shared" si="2"/>
        <v>0</v>
      </c>
    </row>
    <row r="1675">
      <c r="A1675" s="5" t="s">
        <v>61</v>
      </c>
      <c r="B1675" s="6">
        <v>152.0</v>
      </c>
      <c r="C1675" s="13" t="s">
        <v>310</v>
      </c>
      <c r="D1675" s="17">
        <f>SUMIFS(ShadowLedger!$D:$D,ShadowLedger!$G:$G,A1675,ShadowLedger!$C:$C,"&gt;="&amp;DATE(LEFT(SUBSTITUTE(C1675,"'",""),4),MID(SUBSTITUTE(C1675,"'",""),6,2),1),ShadowLedger!$C:$C,"&lt;"&amp;EOMONTH(DATE(LEFT(SUBSTITUTE(C1675,"'",""),4),MID(SUBSTITUTE(C1675,"'",""),6,2),1),0)+1)</f>
        <v>0</v>
      </c>
      <c r="E1675" s="17">
        <f t="shared" si="1"/>
        <v>152</v>
      </c>
      <c r="F1675" s="17">
        <f t="shared" si="2"/>
        <v>0</v>
      </c>
    </row>
    <row r="1676">
      <c r="A1676" s="5" t="s">
        <v>62</v>
      </c>
      <c r="B1676" s="6">
        <v>152.0</v>
      </c>
      <c r="C1676" s="13" t="s">
        <v>310</v>
      </c>
      <c r="D1676" s="17">
        <f>SUMIFS(ShadowLedger!$D:$D,ShadowLedger!$G:$G,A1676,ShadowLedger!$C:$C,"&gt;="&amp;DATE(LEFT(SUBSTITUTE(C1676,"'",""),4),MID(SUBSTITUTE(C1676,"'",""),6,2),1),ShadowLedger!$C:$C,"&lt;"&amp;EOMONTH(DATE(LEFT(SUBSTITUTE(C1676,"'",""),4),MID(SUBSTITUTE(C1676,"'",""),6,2),1),0)+1)</f>
        <v>0</v>
      </c>
      <c r="E1676" s="17">
        <f t="shared" si="1"/>
        <v>152</v>
      </c>
      <c r="F1676" s="17">
        <f t="shared" si="2"/>
        <v>0</v>
      </c>
    </row>
    <row r="1677">
      <c r="A1677" s="5" t="s">
        <v>63</v>
      </c>
      <c r="B1677" s="6">
        <v>127.0</v>
      </c>
      <c r="C1677" s="13" t="s">
        <v>310</v>
      </c>
      <c r="D1677" s="17">
        <f>SUMIFS(ShadowLedger!$D:$D,ShadowLedger!$G:$G,A1677,ShadowLedger!$C:$C,"&gt;="&amp;DATE(LEFT(SUBSTITUTE(C1677,"'",""),4),MID(SUBSTITUTE(C1677,"'",""),6,2),1),ShadowLedger!$C:$C,"&lt;"&amp;EOMONTH(DATE(LEFT(SUBSTITUTE(C1677,"'",""),4),MID(SUBSTITUTE(C1677,"'",""),6,2),1),0)+1)</f>
        <v>0</v>
      </c>
      <c r="E1677" s="17">
        <f t="shared" si="1"/>
        <v>127</v>
      </c>
      <c r="F1677" s="17">
        <f t="shared" si="2"/>
        <v>0</v>
      </c>
    </row>
    <row r="1678">
      <c r="A1678" s="5" t="s">
        <v>64</v>
      </c>
      <c r="B1678" s="6">
        <v>127.0</v>
      </c>
      <c r="C1678" s="13" t="s">
        <v>310</v>
      </c>
      <c r="D1678" s="17">
        <f>SUMIFS(ShadowLedger!$D:$D,ShadowLedger!$G:$G,A1678,ShadowLedger!$C:$C,"&gt;="&amp;DATE(LEFT(SUBSTITUTE(C1678,"'",""),4),MID(SUBSTITUTE(C1678,"'",""),6,2),1),ShadowLedger!$C:$C,"&lt;"&amp;EOMONTH(DATE(LEFT(SUBSTITUTE(C1678,"'",""),4),MID(SUBSTITUTE(C1678,"'",""),6,2),1),0)+1)</f>
        <v>0</v>
      </c>
      <c r="E1678" s="17">
        <f t="shared" si="1"/>
        <v>127</v>
      </c>
      <c r="F1678" s="17">
        <f t="shared" si="2"/>
        <v>0</v>
      </c>
    </row>
    <row r="1679">
      <c r="A1679" s="5" t="s">
        <v>70</v>
      </c>
      <c r="B1679" s="6">
        <v>127.0</v>
      </c>
      <c r="C1679" s="13" t="s">
        <v>310</v>
      </c>
      <c r="D1679" s="17">
        <f>SUMIFS(ShadowLedger!$D:$D,ShadowLedger!$G:$G,A1679,ShadowLedger!$C:$C,"&gt;="&amp;DATE(LEFT(SUBSTITUTE(C1679,"'",""),4),MID(SUBSTITUTE(C1679,"'",""),6,2),1),ShadowLedger!$C:$C,"&lt;"&amp;EOMONTH(DATE(LEFT(SUBSTITUTE(C1679,"'",""),4),MID(SUBSTITUTE(C1679,"'",""),6,2),1),0)+1)</f>
        <v>0</v>
      </c>
      <c r="E1679" s="17">
        <f t="shared" si="1"/>
        <v>127</v>
      </c>
      <c r="F1679" s="17">
        <f t="shared" si="2"/>
        <v>0</v>
      </c>
    </row>
    <row r="1680">
      <c r="A1680" s="5" t="s">
        <v>65</v>
      </c>
      <c r="B1680" s="6">
        <v>63.0</v>
      </c>
      <c r="C1680" s="13" t="s">
        <v>310</v>
      </c>
      <c r="D1680" s="17">
        <f>SUMIFS(ShadowLedger!$D:$D,ShadowLedger!$G:$G,A1680,ShadowLedger!$C:$C,"&gt;="&amp;DATE(LEFT(SUBSTITUTE(C1680,"'",""),4),MID(SUBSTITUTE(C1680,"'",""),6,2),1),ShadowLedger!$C:$C,"&lt;"&amp;EOMONTH(DATE(LEFT(SUBSTITUTE(C1680,"'",""),4),MID(SUBSTITUTE(C1680,"'",""),6,2),1),0)+1)</f>
        <v>0</v>
      </c>
      <c r="E1680" s="17">
        <f t="shared" si="1"/>
        <v>63</v>
      </c>
      <c r="F1680" s="17">
        <f t="shared" si="2"/>
        <v>0</v>
      </c>
    </row>
    <row r="1681">
      <c r="A1681" s="5" t="s">
        <v>66</v>
      </c>
      <c r="B1681" s="6">
        <v>63.0</v>
      </c>
      <c r="C1681" s="13" t="s">
        <v>310</v>
      </c>
      <c r="D1681" s="17">
        <f>SUMIFS(ShadowLedger!$D:$D,ShadowLedger!$G:$G,A1681,ShadowLedger!$C:$C,"&gt;="&amp;DATE(LEFT(SUBSTITUTE(C1681,"'",""),4),MID(SUBSTITUTE(C1681,"'",""),6,2),1),ShadowLedger!$C:$C,"&lt;"&amp;EOMONTH(DATE(LEFT(SUBSTITUTE(C1681,"'",""),4),MID(SUBSTITUTE(C1681,"'",""),6,2),1),0)+1)</f>
        <v>0</v>
      </c>
      <c r="E1681" s="17">
        <f t="shared" si="1"/>
        <v>63</v>
      </c>
      <c r="F1681" s="17">
        <f t="shared" si="2"/>
        <v>0</v>
      </c>
    </row>
    <row r="1682">
      <c r="A1682" s="5" t="s">
        <v>67</v>
      </c>
      <c r="B1682" s="6">
        <v>63.0</v>
      </c>
      <c r="C1682" s="13" t="s">
        <v>310</v>
      </c>
      <c r="D1682" s="17">
        <f>SUMIFS(ShadowLedger!$D:$D,ShadowLedger!$G:$G,A1682,ShadowLedger!$C:$C,"&gt;="&amp;DATE(LEFT(SUBSTITUTE(C1682,"'",""),4),MID(SUBSTITUTE(C1682,"'",""),6,2),1),ShadowLedger!$C:$C,"&lt;"&amp;EOMONTH(DATE(LEFT(SUBSTITUTE(C1682,"'",""),4),MID(SUBSTITUTE(C1682,"'",""),6,2),1),0)+1)</f>
        <v>0</v>
      </c>
      <c r="E1682" s="17">
        <f t="shared" si="1"/>
        <v>63</v>
      </c>
      <c r="F1682" s="17">
        <f t="shared" si="2"/>
        <v>0</v>
      </c>
    </row>
    <row r="1683">
      <c r="A1683" s="5" t="s">
        <v>68</v>
      </c>
      <c r="B1683" s="6">
        <v>63.0</v>
      </c>
      <c r="C1683" s="13" t="s">
        <v>310</v>
      </c>
      <c r="D1683" s="17">
        <f>SUMIFS(ShadowLedger!$D:$D,ShadowLedger!$G:$G,A1683,ShadowLedger!$C:$C,"&gt;="&amp;DATE(LEFT(SUBSTITUTE(C1683,"'",""),4),MID(SUBSTITUTE(C1683,"'",""),6,2),1),ShadowLedger!$C:$C,"&lt;"&amp;EOMONTH(DATE(LEFT(SUBSTITUTE(C1683,"'",""),4),MID(SUBSTITUTE(C1683,"'",""),6,2),1),0)+1)</f>
        <v>0</v>
      </c>
      <c r="E1683" s="17">
        <f t="shared" si="1"/>
        <v>63</v>
      </c>
      <c r="F1683" s="17">
        <f t="shared" si="2"/>
        <v>0</v>
      </c>
    </row>
    <row r="1684">
      <c r="A1684" s="5" t="s">
        <v>69</v>
      </c>
      <c r="B1684" s="6">
        <v>0.0</v>
      </c>
      <c r="C1684" s="13" t="s">
        <v>310</v>
      </c>
      <c r="D1684" s="17">
        <f>SUMIFS(ShadowLedger!$D:$D,ShadowLedger!$G:$G,A1684,ShadowLedger!$C:$C,"&gt;="&amp;DATE(LEFT(SUBSTITUTE(C1684,"'",""),4),MID(SUBSTITUTE(C1684,"'",""),6,2),1),ShadowLedger!$C:$C,"&lt;"&amp;EOMONTH(DATE(LEFT(SUBSTITUTE(C1684,"'",""),4),MID(SUBSTITUTE(C1684,"'",""),6,2),1),0)+1)</f>
        <v>0</v>
      </c>
      <c r="E1684" s="17">
        <f t="shared" si="1"/>
        <v>0</v>
      </c>
      <c r="F1684" s="17">
        <f t="shared" si="2"/>
        <v>0</v>
      </c>
    </row>
    <row r="1685">
      <c r="A1685" s="5" t="s">
        <v>54</v>
      </c>
      <c r="B1685" s="6">
        <v>1165.0</v>
      </c>
      <c r="C1685" s="13" t="s">
        <v>311</v>
      </c>
      <c r="D1685" s="17">
        <f>SUMIFS(ShadowLedger!$D:$D,ShadowLedger!$G:$G,A1685,ShadowLedger!$C:$C,"&gt;="&amp;DATE(LEFT(SUBSTITUTE(C1685,"'",""),4),MID(SUBSTITUTE(C1685,"'",""),6,2),1),ShadowLedger!$C:$C,"&lt;"&amp;EOMONTH(DATE(LEFT(SUBSTITUTE(C1685,"'",""),4),MID(SUBSTITUTE(C1685,"'",""),6,2),1),0)+1)</f>
        <v>0</v>
      </c>
      <c r="E1685" s="17">
        <f t="shared" si="1"/>
        <v>1165</v>
      </c>
      <c r="F1685" s="17">
        <f t="shared" si="2"/>
        <v>0</v>
      </c>
    </row>
    <row r="1686">
      <c r="A1686" s="5" t="s">
        <v>55</v>
      </c>
      <c r="B1686" s="6">
        <v>887.0</v>
      </c>
      <c r="C1686" s="13" t="s">
        <v>311</v>
      </c>
      <c r="D1686" s="17">
        <f>SUMIFS(ShadowLedger!$D:$D,ShadowLedger!$G:$G,A1686,ShadowLedger!$C:$C,"&gt;="&amp;DATE(LEFT(SUBSTITUTE(C1686,"'",""),4),MID(SUBSTITUTE(C1686,"'",""),6,2),1),ShadowLedger!$C:$C,"&lt;"&amp;EOMONTH(DATE(LEFT(SUBSTITUTE(C1686,"'",""),4),MID(SUBSTITUTE(C1686,"'",""),6,2),1),0)+1)</f>
        <v>0</v>
      </c>
      <c r="E1686" s="17">
        <f t="shared" si="1"/>
        <v>887</v>
      </c>
      <c r="F1686" s="17">
        <f t="shared" si="2"/>
        <v>0</v>
      </c>
    </row>
    <row r="1687">
      <c r="A1687" s="5" t="s">
        <v>56</v>
      </c>
      <c r="B1687" s="6">
        <v>633.0</v>
      </c>
      <c r="C1687" s="13" t="s">
        <v>311</v>
      </c>
      <c r="D1687" s="17">
        <f>SUMIFS(ShadowLedger!$D:$D,ShadowLedger!$G:$G,A1687,ShadowLedger!$C:$C,"&gt;="&amp;DATE(LEFT(SUBSTITUTE(C1687,"'",""),4),MID(SUBSTITUTE(C1687,"'",""),6,2),1),ShadowLedger!$C:$C,"&lt;"&amp;EOMONTH(DATE(LEFT(SUBSTITUTE(C1687,"'",""),4),MID(SUBSTITUTE(C1687,"'",""),6,2),1),0)+1)</f>
        <v>0</v>
      </c>
      <c r="E1687" s="17">
        <f t="shared" si="1"/>
        <v>633</v>
      </c>
      <c r="F1687" s="17">
        <f t="shared" si="2"/>
        <v>0</v>
      </c>
    </row>
    <row r="1688">
      <c r="A1688" s="5" t="s">
        <v>57</v>
      </c>
      <c r="B1688" s="6">
        <v>633.0</v>
      </c>
      <c r="C1688" s="13" t="s">
        <v>311</v>
      </c>
      <c r="D1688" s="17">
        <f>SUMIFS(ShadowLedger!$D:$D,ShadowLedger!$G:$G,A1688,ShadowLedger!$C:$C,"&gt;="&amp;DATE(LEFT(SUBSTITUTE(C1688,"'",""),4),MID(SUBSTITUTE(C1688,"'",""),6,2),1),ShadowLedger!$C:$C,"&lt;"&amp;EOMONTH(DATE(LEFT(SUBSTITUTE(C1688,"'",""),4),MID(SUBSTITUTE(C1688,"'",""),6,2),1),0)+1)</f>
        <v>0</v>
      </c>
      <c r="E1688" s="17">
        <f t="shared" si="1"/>
        <v>633</v>
      </c>
      <c r="F1688" s="17">
        <f t="shared" si="2"/>
        <v>0</v>
      </c>
    </row>
    <row r="1689">
      <c r="A1689" s="5" t="s">
        <v>58</v>
      </c>
      <c r="B1689" s="6">
        <v>507.0</v>
      </c>
      <c r="C1689" s="13" t="s">
        <v>311</v>
      </c>
      <c r="D1689" s="17">
        <f>SUMIFS(ShadowLedger!$D:$D,ShadowLedger!$G:$G,A1689,ShadowLedger!$C:$C,"&gt;="&amp;DATE(LEFT(SUBSTITUTE(C1689,"'",""),4),MID(SUBSTITUTE(C1689,"'",""),6,2),1),ShadowLedger!$C:$C,"&lt;"&amp;EOMONTH(DATE(LEFT(SUBSTITUTE(C1689,"'",""),4),MID(SUBSTITUTE(C1689,"'",""),6,2),1),0)+1)</f>
        <v>0</v>
      </c>
      <c r="E1689" s="17">
        <f t="shared" si="1"/>
        <v>507</v>
      </c>
      <c r="F1689" s="17">
        <f t="shared" si="2"/>
        <v>0</v>
      </c>
    </row>
    <row r="1690">
      <c r="A1690" s="5" t="s">
        <v>59</v>
      </c>
      <c r="B1690" s="6">
        <v>253.0</v>
      </c>
      <c r="C1690" s="13" t="s">
        <v>311</v>
      </c>
      <c r="D1690" s="17">
        <f>SUMIFS(ShadowLedger!$D:$D,ShadowLedger!$G:$G,A1690,ShadowLedger!$C:$C,"&gt;="&amp;DATE(LEFT(SUBSTITUTE(C1690,"'",""),4),MID(SUBSTITUTE(C1690,"'",""),6,2),1),ShadowLedger!$C:$C,"&lt;"&amp;EOMONTH(DATE(LEFT(SUBSTITUTE(C1690,"'",""),4),MID(SUBSTITUTE(C1690,"'",""),6,2),1),0)+1)</f>
        <v>0</v>
      </c>
      <c r="E1690" s="17">
        <f t="shared" si="1"/>
        <v>253</v>
      </c>
      <c r="F1690" s="17">
        <f t="shared" si="2"/>
        <v>0</v>
      </c>
    </row>
    <row r="1691">
      <c r="A1691" s="5" t="s">
        <v>60</v>
      </c>
      <c r="B1691" s="6">
        <v>190.0</v>
      </c>
      <c r="C1691" s="13" t="s">
        <v>311</v>
      </c>
      <c r="D1691" s="17">
        <f>SUMIFS(ShadowLedger!$D:$D,ShadowLedger!$G:$G,A1691,ShadowLedger!$C:$C,"&gt;="&amp;DATE(LEFT(SUBSTITUTE(C1691,"'",""),4),MID(SUBSTITUTE(C1691,"'",""),6,2),1),ShadowLedger!$C:$C,"&lt;"&amp;EOMONTH(DATE(LEFT(SUBSTITUTE(C1691,"'",""),4),MID(SUBSTITUTE(C1691,"'",""),6,2),1),0)+1)</f>
        <v>0</v>
      </c>
      <c r="E1691" s="17">
        <f t="shared" si="1"/>
        <v>190</v>
      </c>
      <c r="F1691" s="17">
        <f t="shared" si="2"/>
        <v>0</v>
      </c>
    </row>
    <row r="1692">
      <c r="A1692" s="5" t="s">
        <v>61</v>
      </c>
      <c r="B1692" s="6">
        <v>152.0</v>
      </c>
      <c r="C1692" s="13" t="s">
        <v>311</v>
      </c>
      <c r="D1692" s="17">
        <f>SUMIFS(ShadowLedger!$D:$D,ShadowLedger!$G:$G,A1692,ShadowLedger!$C:$C,"&gt;="&amp;DATE(LEFT(SUBSTITUTE(C1692,"'",""),4),MID(SUBSTITUTE(C1692,"'",""),6,2),1),ShadowLedger!$C:$C,"&lt;"&amp;EOMONTH(DATE(LEFT(SUBSTITUTE(C1692,"'",""),4),MID(SUBSTITUTE(C1692,"'",""),6,2),1),0)+1)</f>
        <v>0</v>
      </c>
      <c r="E1692" s="17">
        <f t="shared" si="1"/>
        <v>152</v>
      </c>
      <c r="F1692" s="17">
        <f t="shared" si="2"/>
        <v>0</v>
      </c>
    </row>
    <row r="1693">
      <c r="A1693" s="5" t="s">
        <v>62</v>
      </c>
      <c r="B1693" s="6">
        <v>152.0</v>
      </c>
      <c r="C1693" s="13" t="s">
        <v>311</v>
      </c>
      <c r="D1693" s="17">
        <f>SUMIFS(ShadowLedger!$D:$D,ShadowLedger!$G:$G,A1693,ShadowLedger!$C:$C,"&gt;="&amp;DATE(LEFT(SUBSTITUTE(C1693,"'",""),4),MID(SUBSTITUTE(C1693,"'",""),6,2),1),ShadowLedger!$C:$C,"&lt;"&amp;EOMONTH(DATE(LEFT(SUBSTITUTE(C1693,"'",""),4),MID(SUBSTITUTE(C1693,"'",""),6,2),1),0)+1)</f>
        <v>0</v>
      </c>
      <c r="E1693" s="17">
        <f t="shared" si="1"/>
        <v>152</v>
      </c>
      <c r="F1693" s="17">
        <f t="shared" si="2"/>
        <v>0</v>
      </c>
    </row>
    <row r="1694">
      <c r="A1694" s="5" t="s">
        <v>63</v>
      </c>
      <c r="B1694" s="6">
        <v>127.0</v>
      </c>
      <c r="C1694" s="13" t="s">
        <v>311</v>
      </c>
      <c r="D1694" s="17">
        <f>SUMIFS(ShadowLedger!$D:$D,ShadowLedger!$G:$G,A1694,ShadowLedger!$C:$C,"&gt;="&amp;DATE(LEFT(SUBSTITUTE(C1694,"'",""),4),MID(SUBSTITUTE(C1694,"'",""),6,2),1),ShadowLedger!$C:$C,"&lt;"&amp;EOMONTH(DATE(LEFT(SUBSTITUTE(C1694,"'",""),4),MID(SUBSTITUTE(C1694,"'",""),6,2),1),0)+1)</f>
        <v>0</v>
      </c>
      <c r="E1694" s="17">
        <f t="shared" si="1"/>
        <v>127</v>
      </c>
      <c r="F1694" s="17">
        <f t="shared" si="2"/>
        <v>0</v>
      </c>
    </row>
    <row r="1695">
      <c r="A1695" s="5" t="s">
        <v>64</v>
      </c>
      <c r="B1695" s="6">
        <v>127.0</v>
      </c>
      <c r="C1695" s="13" t="s">
        <v>311</v>
      </c>
      <c r="D1695" s="17">
        <f>SUMIFS(ShadowLedger!$D:$D,ShadowLedger!$G:$G,A1695,ShadowLedger!$C:$C,"&gt;="&amp;DATE(LEFT(SUBSTITUTE(C1695,"'",""),4),MID(SUBSTITUTE(C1695,"'",""),6,2),1),ShadowLedger!$C:$C,"&lt;"&amp;EOMONTH(DATE(LEFT(SUBSTITUTE(C1695,"'",""),4),MID(SUBSTITUTE(C1695,"'",""),6,2),1),0)+1)</f>
        <v>0</v>
      </c>
      <c r="E1695" s="17">
        <f t="shared" si="1"/>
        <v>127</v>
      </c>
      <c r="F1695" s="17">
        <f t="shared" si="2"/>
        <v>0</v>
      </c>
    </row>
    <row r="1696">
      <c r="A1696" s="5" t="s">
        <v>70</v>
      </c>
      <c r="B1696" s="6">
        <v>127.0</v>
      </c>
      <c r="C1696" s="13" t="s">
        <v>311</v>
      </c>
      <c r="D1696" s="17">
        <f>SUMIFS(ShadowLedger!$D:$D,ShadowLedger!$G:$G,A1696,ShadowLedger!$C:$C,"&gt;="&amp;DATE(LEFT(SUBSTITUTE(C1696,"'",""),4),MID(SUBSTITUTE(C1696,"'",""),6,2),1),ShadowLedger!$C:$C,"&lt;"&amp;EOMONTH(DATE(LEFT(SUBSTITUTE(C1696,"'",""),4),MID(SUBSTITUTE(C1696,"'",""),6,2),1),0)+1)</f>
        <v>0</v>
      </c>
      <c r="E1696" s="17">
        <f t="shared" si="1"/>
        <v>127</v>
      </c>
      <c r="F1696" s="17">
        <f t="shared" si="2"/>
        <v>0</v>
      </c>
    </row>
    <row r="1697">
      <c r="A1697" s="5" t="s">
        <v>65</v>
      </c>
      <c r="B1697" s="6">
        <v>63.0</v>
      </c>
      <c r="C1697" s="13" t="s">
        <v>311</v>
      </c>
      <c r="D1697" s="17">
        <f>SUMIFS(ShadowLedger!$D:$D,ShadowLedger!$G:$G,A1697,ShadowLedger!$C:$C,"&gt;="&amp;DATE(LEFT(SUBSTITUTE(C1697,"'",""),4),MID(SUBSTITUTE(C1697,"'",""),6,2),1),ShadowLedger!$C:$C,"&lt;"&amp;EOMONTH(DATE(LEFT(SUBSTITUTE(C1697,"'",""),4),MID(SUBSTITUTE(C1697,"'",""),6,2),1),0)+1)</f>
        <v>0</v>
      </c>
      <c r="E1697" s="17">
        <f t="shared" si="1"/>
        <v>63</v>
      </c>
      <c r="F1697" s="17">
        <f t="shared" si="2"/>
        <v>0</v>
      </c>
    </row>
    <row r="1698">
      <c r="A1698" s="5" t="s">
        <v>66</v>
      </c>
      <c r="B1698" s="6">
        <v>63.0</v>
      </c>
      <c r="C1698" s="13" t="s">
        <v>311</v>
      </c>
      <c r="D1698" s="17">
        <f>SUMIFS(ShadowLedger!$D:$D,ShadowLedger!$G:$G,A1698,ShadowLedger!$C:$C,"&gt;="&amp;DATE(LEFT(SUBSTITUTE(C1698,"'",""),4),MID(SUBSTITUTE(C1698,"'",""),6,2),1),ShadowLedger!$C:$C,"&lt;"&amp;EOMONTH(DATE(LEFT(SUBSTITUTE(C1698,"'",""),4),MID(SUBSTITUTE(C1698,"'",""),6,2),1),0)+1)</f>
        <v>0</v>
      </c>
      <c r="E1698" s="17">
        <f t="shared" si="1"/>
        <v>63</v>
      </c>
      <c r="F1698" s="17">
        <f t="shared" si="2"/>
        <v>0</v>
      </c>
    </row>
    <row r="1699">
      <c r="A1699" s="5" t="s">
        <v>67</v>
      </c>
      <c r="B1699" s="6">
        <v>63.0</v>
      </c>
      <c r="C1699" s="13" t="s">
        <v>311</v>
      </c>
      <c r="D1699" s="17">
        <f>SUMIFS(ShadowLedger!$D:$D,ShadowLedger!$G:$G,A1699,ShadowLedger!$C:$C,"&gt;="&amp;DATE(LEFT(SUBSTITUTE(C1699,"'",""),4),MID(SUBSTITUTE(C1699,"'",""),6,2),1),ShadowLedger!$C:$C,"&lt;"&amp;EOMONTH(DATE(LEFT(SUBSTITUTE(C1699,"'",""),4),MID(SUBSTITUTE(C1699,"'",""),6,2),1),0)+1)</f>
        <v>0</v>
      </c>
      <c r="E1699" s="17">
        <f t="shared" si="1"/>
        <v>63</v>
      </c>
      <c r="F1699" s="17">
        <f t="shared" si="2"/>
        <v>0</v>
      </c>
    </row>
    <row r="1700">
      <c r="A1700" s="5" t="s">
        <v>68</v>
      </c>
      <c r="B1700" s="6">
        <v>63.0</v>
      </c>
      <c r="C1700" s="13" t="s">
        <v>311</v>
      </c>
      <c r="D1700" s="17">
        <f>SUMIFS(ShadowLedger!$D:$D,ShadowLedger!$G:$G,A1700,ShadowLedger!$C:$C,"&gt;="&amp;DATE(LEFT(SUBSTITUTE(C1700,"'",""),4),MID(SUBSTITUTE(C1700,"'",""),6,2),1),ShadowLedger!$C:$C,"&lt;"&amp;EOMONTH(DATE(LEFT(SUBSTITUTE(C1700,"'",""),4),MID(SUBSTITUTE(C1700,"'",""),6,2),1),0)+1)</f>
        <v>0</v>
      </c>
      <c r="E1700" s="17">
        <f t="shared" si="1"/>
        <v>63</v>
      </c>
      <c r="F1700" s="17">
        <f t="shared" si="2"/>
        <v>0</v>
      </c>
    </row>
    <row r="1701">
      <c r="A1701" s="5" t="s">
        <v>69</v>
      </c>
      <c r="B1701" s="6">
        <v>0.0</v>
      </c>
      <c r="C1701" s="13" t="s">
        <v>311</v>
      </c>
      <c r="D1701" s="17">
        <f>SUMIFS(ShadowLedger!$D:$D,ShadowLedger!$G:$G,A1701,ShadowLedger!$C:$C,"&gt;="&amp;DATE(LEFT(SUBSTITUTE(C1701,"'",""),4),MID(SUBSTITUTE(C1701,"'",""),6,2),1),ShadowLedger!$C:$C,"&lt;"&amp;EOMONTH(DATE(LEFT(SUBSTITUTE(C1701,"'",""),4),MID(SUBSTITUTE(C1701,"'",""),6,2),1),0)+1)</f>
        <v>0</v>
      </c>
      <c r="E1701" s="17">
        <f t="shared" si="1"/>
        <v>0</v>
      </c>
      <c r="F1701" s="17">
        <f t="shared" si="2"/>
        <v>0</v>
      </c>
    </row>
    <row r="1702">
      <c r="A1702" s="5" t="s">
        <v>54</v>
      </c>
      <c r="B1702" s="6">
        <v>1165.0</v>
      </c>
      <c r="C1702" s="13" t="s">
        <v>312</v>
      </c>
      <c r="D1702" s="17">
        <f>SUMIFS(ShadowLedger!$D:$D,ShadowLedger!$G:$G,A1702,ShadowLedger!$C:$C,"&gt;="&amp;DATE(LEFT(SUBSTITUTE(C1702,"'",""),4),MID(SUBSTITUTE(C1702,"'",""),6,2),1),ShadowLedger!$C:$C,"&lt;"&amp;EOMONTH(DATE(LEFT(SUBSTITUTE(C1702,"'",""),4),MID(SUBSTITUTE(C1702,"'",""),6,2),1),0)+1)</f>
        <v>0</v>
      </c>
      <c r="E1702" s="17">
        <f t="shared" si="1"/>
        <v>1165</v>
      </c>
      <c r="F1702" s="17">
        <f t="shared" si="2"/>
        <v>0</v>
      </c>
    </row>
    <row r="1703">
      <c r="A1703" s="5" t="s">
        <v>55</v>
      </c>
      <c r="B1703" s="6">
        <v>887.0</v>
      </c>
      <c r="C1703" s="13" t="s">
        <v>312</v>
      </c>
      <c r="D1703" s="17">
        <f>SUMIFS(ShadowLedger!$D:$D,ShadowLedger!$G:$G,A1703,ShadowLedger!$C:$C,"&gt;="&amp;DATE(LEFT(SUBSTITUTE(C1703,"'",""),4),MID(SUBSTITUTE(C1703,"'",""),6,2),1),ShadowLedger!$C:$C,"&lt;"&amp;EOMONTH(DATE(LEFT(SUBSTITUTE(C1703,"'",""),4),MID(SUBSTITUTE(C1703,"'",""),6,2),1),0)+1)</f>
        <v>0</v>
      </c>
      <c r="E1703" s="17">
        <f t="shared" si="1"/>
        <v>887</v>
      </c>
      <c r="F1703" s="17">
        <f t="shared" si="2"/>
        <v>0</v>
      </c>
    </row>
    <row r="1704">
      <c r="A1704" s="5" t="s">
        <v>56</v>
      </c>
      <c r="B1704" s="6">
        <v>633.0</v>
      </c>
      <c r="C1704" s="13" t="s">
        <v>312</v>
      </c>
      <c r="D1704" s="17">
        <f>SUMIFS(ShadowLedger!$D:$D,ShadowLedger!$G:$G,A1704,ShadowLedger!$C:$C,"&gt;="&amp;DATE(LEFT(SUBSTITUTE(C1704,"'",""),4),MID(SUBSTITUTE(C1704,"'",""),6,2),1),ShadowLedger!$C:$C,"&lt;"&amp;EOMONTH(DATE(LEFT(SUBSTITUTE(C1704,"'",""),4),MID(SUBSTITUTE(C1704,"'",""),6,2),1),0)+1)</f>
        <v>0</v>
      </c>
      <c r="E1704" s="17">
        <f t="shared" si="1"/>
        <v>633</v>
      </c>
      <c r="F1704" s="17">
        <f t="shared" si="2"/>
        <v>0</v>
      </c>
    </row>
    <row r="1705">
      <c r="A1705" s="5" t="s">
        <v>57</v>
      </c>
      <c r="B1705" s="6">
        <v>633.0</v>
      </c>
      <c r="C1705" s="13" t="s">
        <v>312</v>
      </c>
      <c r="D1705" s="17">
        <f>SUMIFS(ShadowLedger!$D:$D,ShadowLedger!$G:$G,A1705,ShadowLedger!$C:$C,"&gt;="&amp;DATE(LEFT(SUBSTITUTE(C1705,"'",""),4),MID(SUBSTITUTE(C1705,"'",""),6,2),1),ShadowLedger!$C:$C,"&lt;"&amp;EOMONTH(DATE(LEFT(SUBSTITUTE(C1705,"'",""),4),MID(SUBSTITUTE(C1705,"'",""),6,2),1),0)+1)</f>
        <v>0</v>
      </c>
      <c r="E1705" s="17">
        <f t="shared" si="1"/>
        <v>633</v>
      </c>
      <c r="F1705" s="17">
        <f t="shared" si="2"/>
        <v>0</v>
      </c>
    </row>
    <row r="1706">
      <c r="A1706" s="5" t="s">
        <v>58</v>
      </c>
      <c r="B1706" s="6">
        <v>507.0</v>
      </c>
      <c r="C1706" s="13" t="s">
        <v>312</v>
      </c>
      <c r="D1706" s="17">
        <f>SUMIFS(ShadowLedger!$D:$D,ShadowLedger!$G:$G,A1706,ShadowLedger!$C:$C,"&gt;="&amp;DATE(LEFT(SUBSTITUTE(C1706,"'",""),4),MID(SUBSTITUTE(C1706,"'",""),6,2),1),ShadowLedger!$C:$C,"&lt;"&amp;EOMONTH(DATE(LEFT(SUBSTITUTE(C1706,"'",""),4),MID(SUBSTITUTE(C1706,"'",""),6,2),1),0)+1)</f>
        <v>0</v>
      </c>
      <c r="E1706" s="17">
        <f t="shared" si="1"/>
        <v>507</v>
      </c>
      <c r="F1706" s="17">
        <f t="shared" si="2"/>
        <v>0</v>
      </c>
    </row>
    <row r="1707">
      <c r="A1707" s="5" t="s">
        <v>59</v>
      </c>
      <c r="B1707" s="6">
        <v>253.0</v>
      </c>
      <c r="C1707" s="13" t="s">
        <v>312</v>
      </c>
      <c r="D1707" s="17">
        <f>SUMIFS(ShadowLedger!$D:$D,ShadowLedger!$G:$G,A1707,ShadowLedger!$C:$C,"&gt;="&amp;DATE(LEFT(SUBSTITUTE(C1707,"'",""),4),MID(SUBSTITUTE(C1707,"'",""),6,2),1),ShadowLedger!$C:$C,"&lt;"&amp;EOMONTH(DATE(LEFT(SUBSTITUTE(C1707,"'",""),4),MID(SUBSTITUTE(C1707,"'",""),6,2),1),0)+1)</f>
        <v>0</v>
      </c>
      <c r="E1707" s="17">
        <f t="shared" si="1"/>
        <v>253</v>
      </c>
      <c r="F1707" s="17">
        <f t="shared" si="2"/>
        <v>0</v>
      </c>
    </row>
    <row r="1708">
      <c r="A1708" s="5" t="s">
        <v>60</v>
      </c>
      <c r="B1708" s="6">
        <v>190.0</v>
      </c>
      <c r="C1708" s="13" t="s">
        <v>312</v>
      </c>
      <c r="D1708" s="17">
        <f>SUMIFS(ShadowLedger!$D:$D,ShadowLedger!$G:$G,A1708,ShadowLedger!$C:$C,"&gt;="&amp;DATE(LEFT(SUBSTITUTE(C1708,"'",""),4),MID(SUBSTITUTE(C1708,"'",""),6,2),1),ShadowLedger!$C:$C,"&lt;"&amp;EOMONTH(DATE(LEFT(SUBSTITUTE(C1708,"'",""),4),MID(SUBSTITUTE(C1708,"'",""),6,2),1),0)+1)</f>
        <v>0</v>
      </c>
      <c r="E1708" s="17">
        <f t="shared" si="1"/>
        <v>190</v>
      </c>
      <c r="F1708" s="17">
        <f t="shared" si="2"/>
        <v>0</v>
      </c>
    </row>
    <row r="1709">
      <c r="A1709" s="5" t="s">
        <v>61</v>
      </c>
      <c r="B1709" s="6">
        <v>152.0</v>
      </c>
      <c r="C1709" s="13" t="s">
        <v>312</v>
      </c>
      <c r="D1709" s="17">
        <f>SUMIFS(ShadowLedger!$D:$D,ShadowLedger!$G:$G,A1709,ShadowLedger!$C:$C,"&gt;="&amp;DATE(LEFT(SUBSTITUTE(C1709,"'",""),4),MID(SUBSTITUTE(C1709,"'",""),6,2),1),ShadowLedger!$C:$C,"&lt;"&amp;EOMONTH(DATE(LEFT(SUBSTITUTE(C1709,"'",""),4),MID(SUBSTITUTE(C1709,"'",""),6,2),1),0)+1)</f>
        <v>0</v>
      </c>
      <c r="E1709" s="17">
        <f t="shared" si="1"/>
        <v>152</v>
      </c>
      <c r="F1709" s="17">
        <f t="shared" si="2"/>
        <v>0</v>
      </c>
    </row>
    <row r="1710">
      <c r="A1710" s="5" t="s">
        <v>62</v>
      </c>
      <c r="B1710" s="6">
        <v>152.0</v>
      </c>
      <c r="C1710" s="13" t="s">
        <v>312</v>
      </c>
      <c r="D1710" s="17">
        <f>SUMIFS(ShadowLedger!$D:$D,ShadowLedger!$G:$G,A1710,ShadowLedger!$C:$C,"&gt;="&amp;DATE(LEFT(SUBSTITUTE(C1710,"'",""),4),MID(SUBSTITUTE(C1710,"'",""),6,2),1),ShadowLedger!$C:$C,"&lt;"&amp;EOMONTH(DATE(LEFT(SUBSTITUTE(C1710,"'",""),4),MID(SUBSTITUTE(C1710,"'",""),6,2),1),0)+1)</f>
        <v>0</v>
      </c>
      <c r="E1710" s="17">
        <f t="shared" si="1"/>
        <v>152</v>
      </c>
      <c r="F1710" s="17">
        <f t="shared" si="2"/>
        <v>0</v>
      </c>
    </row>
    <row r="1711">
      <c r="A1711" s="5" t="s">
        <v>63</v>
      </c>
      <c r="B1711" s="6">
        <v>127.0</v>
      </c>
      <c r="C1711" s="13" t="s">
        <v>312</v>
      </c>
      <c r="D1711" s="17">
        <f>SUMIFS(ShadowLedger!$D:$D,ShadowLedger!$G:$G,A1711,ShadowLedger!$C:$C,"&gt;="&amp;DATE(LEFT(SUBSTITUTE(C1711,"'",""),4),MID(SUBSTITUTE(C1711,"'",""),6,2),1),ShadowLedger!$C:$C,"&lt;"&amp;EOMONTH(DATE(LEFT(SUBSTITUTE(C1711,"'",""),4),MID(SUBSTITUTE(C1711,"'",""),6,2),1),0)+1)</f>
        <v>0</v>
      </c>
      <c r="E1711" s="17">
        <f t="shared" si="1"/>
        <v>127</v>
      </c>
      <c r="F1711" s="17">
        <f t="shared" si="2"/>
        <v>0</v>
      </c>
    </row>
    <row r="1712">
      <c r="A1712" s="5" t="s">
        <v>64</v>
      </c>
      <c r="B1712" s="6">
        <v>127.0</v>
      </c>
      <c r="C1712" s="13" t="s">
        <v>312</v>
      </c>
      <c r="D1712" s="17">
        <f>SUMIFS(ShadowLedger!$D:$D,ShadowLedger!$G:$G,A1712,ShadowLedger!$C:$C,"&gt;="&amp;DATE(LEFT(SUBSTITUTE(C1712,"'",""),4),MID(SUBSTITUTE(C1712,"'",""),6,2),1),ShadowLedger!$C:$C,"&lt;"&amp;EOMONTH(DATE(LEFT(SUBSTITUTE(C1712,"'",""),4),MID(SUBSTITUTE(C1712,"'",""),6,2),1),0)+1)</f>
        <v>0</v>
      </c>
      <c r="E1712" s="17">
        <f t="shared" si="1"/>
        <v>127</v>
      </c>
      <c r="F1712" s="17">
        <f t="shared" si="2"/>
        <v>0</v>
      </c>
    </row>
    <row r="1713">
      <c r="A1713" s="5" t="s">
        <v>70</v>
      </c>
      <c r="B1713" s="6">
        <v>127.0</v>
      </c>
      <c r="C1713" s="13" t="s">
        <v>312</v>
      </c>
      <c r="D1713" s="17">
        <f>SUMIFS(ShadowLedger!$D:$D,ShadowLedger!$G:$G,A1713,ShadowLedger!$C:$C,"&gt;="&amp;DATE(LEFT(SUBSTITUTE(C1713,"'",""),4),MID(SUBSTITUTE(C1713,"'",""),6,2),1),ShadowLedger!$C:$C,"&lt;"&amp;EOMONTH(DATE(LEFT(SUBSTITUTE(C1713,"'",""),4),MID(SUBSTITUTE(C1713,"'",""),6,2),1),0)+1)</f>
        <v>0</v>
      </c>
      <c r="E1713" s="17">
        <f t="shared" si="1"/>
        <v>127</v>
      </c>
      <c r="F1713" s="17">
        <f t="shared" si="2"/>
        <v>0</v>
      </c>
    </row>
    <row r="1714">
      <c r="A1714" s="5" t="s">
        <v>65</v>
      </c>
      <c r="B1714" s="6">
        <v>63.0</v>
      </c>
      <c r="C1714" s="13" t="s">
        <v>312</v>
      </c>
      <c r="D1714" s="17">
        <f>SUMIFS(ShadowLedger!$D:$D,ShadowLedger!$G:$G,A1714,ShadowLedger!$C:$C,"&gt;="&amp;DATE(LEFT(SUBSTITUTE(C1714,"'",""),4),MID(SUBSTITUTE(C1714,"'",""),6,2),1),ShadowLedger!$C:$C,"&lt;"&amp;EOMONTH(DATE(LEFT(SUBSTITUTE(C1714,"'",""),4),MID(SUBSTITUTE(C1714,"'",""),6,2),1),0)+1)</f>
        <v>0</v>
      </c>
      <c r="E1714" s="17">
        <f t="shared" si="1"/>
        <v>63</v>
      </c>
      <c r="F1714" s="17">
        <f t="shared" si="2"/>
        <v>0</v>
      </c>
    </row>
    <row r="1715">
      <c r="A1715" s="5" t="s">
        <v>66</v>
      </c>
      <c r="B1715" s="6">
        <v>63.0</v>
      </c>
      <c r="C1715" s="13" t="s">
        <v>312</v>
      </c>
      <c r="D1715" s="17">
        <f>SUMIFS(ShadowLedger!$D:$D,ShadowLedger!$G:$G,A1715,ShadowLedger!$C:$C,"&gt;="&amp;DATE(LEFT(SUBSTITUTE(C1715,"'",""),4),MID(SUBSTITUTE(C1715,"'",""),6,2),1),ShadowLedger!$C:$C,"&lt;"&amp;EOMONTH(DATE(LEFT(SUBSTITUTE(C1715,"'",""),4),MID(SUBSTITUTE(C1715,"'",""),6,2),1),0)+1)</f>
        <v>0</v>
      </c>
      <c r="E1715" s="17">
        <f t="shared" si="1"/>
        <v>63</v>
      </c>
      <c r="F1715" s="17">
        <f t="shared" si="2"/>
        <v>0</v>
      </c>
    </row>
    <row r="1716">
      <c r="A1716" s="5" t="s">
        <v>67</v>
      </c>
      <c r="B1716" s="6">
        <v>63.0</v>
      </c>
      <c r="C1716" s="13" t="s">
        <v>312</v>
      </c>
      <c r="D1716" s="17">
        <f>SUMIFS(ShadowLedger!$D:$D,ShadowLedger!$G:$G,A1716,ShadowLedger!$C:$C,"&gt;="&amp;DATE(LEFT(SUBSTITUTE(C1716,"'",""),4),MID(SUBSTITUTE(C1716,"'",""),6,2),1),ShadowLedger!$C:$C,"&lt;"&amp;EOMONTH(DATE(LEFT(SUBSTITUTE(C1716,"'",""),4),MID(SUBSTITUTE(C1716,"'",""),6,2),1),0)+1)</f>
        <v>0</v>
      </c>
      <c r="E1716" s="17">
        <f t="shared" si="1"/>
        <v>63</v>
      </c>
      <c r="F1716" s="17">
        <f t="shared" si="2"/>
        <v>0</v>
      </c>
    </row>
    <row r="1717">
      <c r="A1717" s="5" t="s">
        <v>68</v>
      </c>
      <c r="B1717" s="6">
        <v>63.0</v>
      </c>
      <c r="C1717" s="13" t="s">
        <v>312</v>
      </c>
      <c r="D1717" s="17">
        <f>SUMIFS(ShadowLedger!$D:$D,ShadowLedger!$G:$G,A1717,ShadowLedger!$C:$C,"&gt;="&amp;DATE(LEFT(SUBSTITUTE(C1717,"'",""),4),MID(SUBSTITUTE(C1717,"'",""),6,2),1),ShadowLedger!$C:$C,"&lt;"&amp;EOMONTH(DATE(LEFT(SUBSTITUTE(C1717,"'",""),4),MID(SUBSTITUTE(C1717,"'",""),6,2),1),0)+1)</f>
        <v>0</v>
      </c>
      <c r="E1717" s="17">
        <f t="shared" si="1"/>
        <v>63</v>
      </c>
      <c r="F1717" s="17">
        <f t="shared" si="2"/>
        <v>0</v>
      </c>
    </row>
    <row r="1718">
      <c r="A1718" s="5" t="s">
        <v>69</v>
      </c>
      <c r="B1718" s="6">
        <v>0.0</v>
      </c>
      <c r="C1718" s="13" t="s">
        <v>312</v>
      </c>
      <c r="D1718" s="17">
        <f>SUMIFS(ShadowLedger!$D:$D,ShadowLedger!$G:$G,A1718,ShadowLedger!$C:$C,"&gt;="&amp;DATE(LEFT(SUBSTITUTE(C1718,"'",""),4),MID(SUBSTITUTE(C1718,"'",""),6,2),1),ShadowLedger!$C:$C,"&lt;"&amp;EOMONTH(DATE(LEFT(SUBSTITUTE(C1718,"'",""),4),MID(SUBSTITUTE(C1718,"'",""),6,2),1),0)+1)</f>
        <v>0</v>
      </c>
      <c r="E1718" s="17">
        <f t="shared" si="1"/>
        <v>0</v>
      </c>
      <c r="F1718" s="17">
        <f t="shared" si="2"/>
        <v>0</v>
      </c>
    </row>
    <row r="1719">
      <c r="A1719" s="5" t="s">
        <v>54</v>
      </c>
      <c r="B1719" s="6">
        <v>1165.0</v>
      </c>
      <c r="C1719" s="13" t="s">
        <v>313</v>
      </c>
      <c r="D1719" s="17">
        <f>SUMIFS(ShadowLedger!$D:$D,ShadowLedger!$G:$G,A1719,ShadowLedger!$C:$C,"&gt;="&amp;DATE(LEFT(SUBSTITUTE(C1719,"'",""),4),MID(SUBSTITUTE(C1719,"'",""),6,2),1),ShadowLedger!$C:$C,"&lt;"&amp;EOMONTH(DATE(LEFT(SUBSTITUTE(C1719,"'",""),4),MID(SUBSTITUTE(C1719,"'",""),6,2),1),0)+1)</f>
        <v>0</v>
      </c>
      <c r="E1719" s="17">
        <f t="shared" si="1"/>
        <v>1165</v>
      </c>
      <c r="F1719" s="17">
        <f t="shared" si="2"/>
        <v>0</v>
      </c>
    </row>
    <row r="1720">
      <c r="A1720" s="5" t="s">
        <v>55</v>
      </c>
      <c r="B1720" s="6">
        <v>887.0</v>
      </c>
      <c r="C1720" s="13" t="s">
        <v>313</v>
      </c>
      <c r="D1720" s="17">
        <f>SUMIFS(ShadowLedger!$D:$D,ShadowLedger!$G:$G,A1720,ShadowLedger!$C:$C,"&gt;="&amp;DATE(LEFT(SUBSTITUTE(C1720,"'",""),4),MID(SUBSTITUTE(C1720,"'",""),6,2),1),ShadowLedger!$C:$C,"&lt;"&amp;EOMONTH(DATE(LEFT(SUBSTITUTE(C1720,"'",""),4),MID(SUBSTITUTE(C1720,"'",""),6,2),1),0)+1)</f>
        <v>0</v>
      </c>
      <c r="E1720" s="17">
        <f t="shared" si="1"/>
        <v>887</v>
      </c>
      <c r="F1720" s="17">
        <f t="shared" si="2"/>
        <v>0</v>
      </c>
    </row>
    <row r="1721">
      <c r="A1721" s="5" t="s">
        <v>56</v>
      </c>
      <c r="B1721" s="6">
        <v>633.0</v>
      </c>
      <c r="C1721" s="13" t="s">
        <v>313</v>
      </c>
      <c r="D1721" s="17">
        <f>SUMIFS(ShadowLedger!$D:$D,ShadowLedger!$G:$G,A1721,ShadowLedger!$C:$C,"&gt;="&amp;DATE(LEFT(SUBSTITUTE(C1721,"'",""),4),MID(SUBSTITUTE(C1721,"'",""),6,2),1),ShadowLedger!$C:$C,"&lt;"&amp;EOMONTH(DATE(LEFT(SUBSTITUTE(C1721,"'",""),4),MID(SUBSTITUTE(C1721,"'",""),6,2),1),0)+1)</f>
        <v>0</v>
      </c>
      <c r="E1721" s="17">
        <f t="shared" si="1"/>
        <v>633</v>
      </c>
      <c r="F1721" s="17">
        <f t="shared" si="2"/>
        <v>0</v>
      </c>
    </row>
    <row r="1722">
      <c r="A1722" s="5" t="s">
        <v>57</v>
      </c>
      <c r="B1722" s="6">
        <v>633.0</v>
      </c>
      <c r="C1722" s="13" t="s">
        <v>313</v>
      </c>
      <c r="D1722" s="17">
        <f>SUMIFS(ShadowLedger!$D:$D,ShadowLedger!$G:$G,A1722,ShadowLedger!$C:$C,"&gt;="&amp;DATE(LEFT(SUBSTITUTE(C1722,"'",""),4),MID(SUBSTITUTE(C1722,"'",""),6,2),1),ShadowLedger!$C:$C,"&lt;"&amp;EOMONTH(DATE(LEFT(SUBSTITUTE(C1722,"'",""),4),MID(SUBSTITUTE(C1722,"'",""),6,2),1),0)+1)</f>
        <v>0</v>
      </c>
      <c r="E1722" s="17">
        <f t="shared" si="1"/>
        <v>633</v>
      </c>
      <c r="F1722" s="17">
        <f t="shared" si="2"/>
        <v>0</v>
      </c>
    </row>
    <row r="1723">
      <c r="A1723" s="5" t="s">
        <v>58</v>
      </c>
      <c r="B1723" s="6">
        <v>507.0</v>
      </c>
      <c r="C1723" s="13" t="s">
        <v>313</v>
      </c>
      <c r="D1723" s="17">
        <f>SUMIFS(ShadowLedger!$D:$D,ShadowLedger!$G:$G,A1723,ShadowLedger!$C:$C,"&gt;="&amp;DATE(LEFT(SUBSTITUTE(C1723,"'",""),4),MID(SUBSTITUTE(C1723,"'",""),6,2),1),ShadowLedger!$C:$C,"&lt;"&amp;EOMONTH(DATE(LEFT(SUBSTITUTE(C1723,"'",""),4),MID(SUBSTITUTE(C1723,"'",""),6,2),1),0)+1)</f>
        <v>0</v>
      </c>
      <c r="E1723" s="17">
        <f t="shared" si="1"/>
        <v>507</v>
      </c>
      <c r="F1723" s="17">
        <f t="shared" si="2"/>
        <v>0</v>
      </c>
    </row>
    <row r="1724">
      <c r="A1724" s="5" t="s">
        <v>59</v>
      </c>
      <c r="B1724" s="6">
        <v>253.0</v>
      </c>
      <c r="C1724" s="13" t="s">
        <v>313</v>
      </c>
      <c r="D1724" s="17">
        <f>SUMIFS(ShadowLedger!$D:$D,ShadowLedger!$G:$G,A1724,ShadowLedger!$C:$C,"&gt;="&amp;DATE(LEFT(SUBSTITUTE(C1724,"'",""),4),MID(SUBSTITUTE(C1724,"'",""),6,2),1),ShadowLedger!$C:$C,"&lt;"&amp;EOMONTH(DATE(LEFT(SUBSTITUTE(C1724,"'",""),4),MID(SUBSTITUTE(C1724,"'",""),6,2),1),0)+1)</f>
        <v>0</v>
      </c>
      <c r="E1724" s="17">
        <f t="shared" si="1"/>
        <v>253</v>
      </c>
      <c r="F1724" s="17">
        <f t="shared" si="2"/>
        <v>0</v>
      </c>
    </row>
    <row r="1725">
      <c r="A1725" s="5" t="s">
        <v>60</v>
      </c>
      <c r="B1725" s="6">
        <v>190.0</v>
      </c>
      <c r="C1725" s="13" t="s">
        <v>313</v>
      </c>
      <c r="D1725" s="17">
        <f>SUMIFS(ShadowLedger!$D:$D,ShadowLedger!$G:$G,A1725,ShadowLedger!$C:$C,"&gt;="&amp;DATE(LEFT(SUBSTITUTE(C1725,"'",""),4),MID(SUBSTITUTE(C1725,"'",""),6,2),1),ShadowLedger!$C:$C,"&lt;"&amp;EOMONTH(DATE(LEFT(SUBSTITUTE(C1725,"'",""),4),MID(SUBSTITUTE(C1725,"'",""),6,2),1),0)+1)</f>
        <v>0</v>
      </c>
      <c r="E1725" s="17">
        <f t="shared" si="1"/>
        <v>190</v>
      </c>
      <c r="F1725" s="17">
        <f t="shared" si="2"/>
        <v>0</v>
      </c>
    </row>
    <row r="1726">
      <c r="A1726" s="5" t="s">
        <v>61</v>
      </c>
      <c r="B1726" s="6">
        <v>152.0</v>
      </c>
      <c r="C1726" s="13" t="s">
        <v>313</v>
      </c>
      <c r="D1726" s="17">
        <f>SUMIFS(ShadowLedger!$D:$D,ShadowLedger!$G:$G,A1726,ShadowLedger!$C:$C,"&gt;="&amp;DATE(LEFT(SUBSTITUTE(C1726,"'",""),4),MID(SUBSTITUTE(C1726,"'",""),6,2),1),ShadowLedger!$C:$C,"&lt;"&amp;EOMONTH(DATE(LEFT(SUBSTITUTE(C1726,"'",""),4),MID(SUBSTITUTE(C1726,"'",""),6,2),1),0)+1)</f>
        <v>0</v>
      </c>
      <c r="E1726" s="17">
        <f t="shared" si="1"/>
        <v>152</v>
      </c>
      <c r="F1726" s="17">
        <f t="shared" si="2"/>
        <v>0</v>
      </c>
    </row>
    <row r="1727">
      <c r="A1727" s="5" t="s">
        <v>62</v>
      </c>
      <c r="B1727" s="6">
        <v>152.0</v>
      </c>
      <c r="C1727" s="13" t="s">
        <v>313</v>
      </c>
      <c r="D1727" s="17">
        <f>SUMIFS(ShadowLedger!$D:$D,ShadowLedger!$G:$G,A1727,ShadowLedger!$C:$C,"&gt;="&amp;DATE(LEFT(SUBSTITUTE(C1727,"'",""),4),MID(SUBSTITUTE(C1727,"'",""),6,2),1),ShadowLedger!$C:$C,"&lt;"&amp;EOMONTH(DATE(LEFT(SUBSTITUTE(C1727,"'",""),4),MID(SUBSTITUTE(C1727,"'",""),6,2),1),0)+1)</f>
        <v>0</v>
      </c>
      <c r="E1727" s="17">
        <f t="shared" si="1"/>
        <v>152</v>
      </c>
      <c r="F1727" s="17">
        <f t="shared" si="2"/>
        <v>0</v>
      </c>
    </row>
    <row r="1728">
      <c r="A1728" s="5" t="s">
        <v>63</v>
      </c>
      <c r="B1728" s="6">
        <v>127.0</v>
      </c>
      <c r="C1728" s="13" t="s">
        <v>313</v>
      </c>
      <c r="D1728" s="17">
        <f>SUMIFS(ShadowLedger!$D:$D,ShadowLedger!$G:$G,A1728,ShadowLedger!$C:$C,"&gt;="&amp;DATE(LEFT(SUBSTITUTE(C1728,"'",""),4),MID(SUBSTITUTE(C1728,"'",""),6,2),1),ShadowLedger!$C:$C,"&lt;"&amp;EOMONTH(DATE(LEFT(SUBSTITUTE(C1728,"'",""),4),MID(SUBSTITUTE(C1728,"'",""),6,2),1),0)+1)</f>
        <v>0</v>
      </c>
      <c r="E1728" s="17">
        <f t="shared" si="1"/>
        <v>127</v>
      </c>
      <c r="F1728" s="17">
        <f t="shared" si="2"/>
        <v>0</v>
      </c>
    </row>
    <row r="1729">
      <c r="A1729" s="5" t="s">
        <v>64</v>
      </c>
      <c r="B1729" s="6">
        <v>127.0</v>
      </c>
      <c r="C1729" s="13" t="s">
        <v>313</v>
      </c>
      <c r="D1729" s="17">
        <f>SUMIFS(ShadowLedger!$D:$D,ShadowLedger!$G:$G,A1729,ShadowLedger!$C:$C,"&gt;="&amp;DATE(LEFT(SUBSTITUTE(C1729,"'",""),4),MID(SUBSTITUTE(C1729,"'",""),6,2),1),ShadowLedger!$C:$C,"&lt;"&amp;EOMONTH(DATE(LEFT(SUBSTITUTE(C1729,"'",""),4),MID(SUBSTITUTE(C1729,"'",""),6,2),1),0)+1)</f>
        <v>0</v>
      </c>
      <c r="E1729" s="17">
        <f t="shared" si="1"/>
        <v>127</v>
      </c>
      <c r="F1729" s="17">
        <f t="shared" si="2"/>
        <v>0</v>
      </c>
    </row>
    <row r="1730">
      <c r="A1730" s="5" t="s">
        <v>70</v>
      </c>
      <c r="B1730" s="6">
        <v>127.0</v>
      </c>
      <c r="C1730" s="13" t="s">
        <v>313</v>
      </c>
      <c r="D1730" s="17">
        <f>SUMIFS(ShadowLedger!$D:$D,ShadowLedger!$G:$G,A1730,ShadowLedger!$C:$C,"&gt;="&amp;DATE(LEFT(SUBSTITUTE(C1730,"'",""),4),MID(SUBSTITUTE(C1730,"'",""),6,2),1),ShadowLedger!$C:$C,"&lt;"&amp;EOMONTH(DATE(LEFT(SUBSTITUTE(C1730,"'",""),4),MID(SUBSTITUTE(C1730,"'",""),6,2),1),0)+1)</f>
        <v>0</v>
      </c>
      <c r="E1730" s="17">
        <f t="shared" si="1"/>
        <v>127</v>
      </c>
      <c r="F1730" s="17">
        <f t="shared" si="2"/>
        <v>0</v>
      </c>
    </row>
    <row r="1731">
      <c r="A1731" s="5" t="s">
        <v>65</v>
      </c>
      <c r="B1731" s="6">
        <v>63.0</v>
      </c>
      <c r="C1731" s="13" t="s">
        <v>313</v>
      </c>
      <c r="D1731" s="17">
        <f>SUMIFS(ShadowLedger!$D:$D,ShadowLedger!$G:$G,A1731,ShadowLedger!$C:$C,"&gt;="&amp;DATE(LEFT(SUBSTITUTE(C1731,"'",""),4),MID(SUBSTITUTE(C1731,"'",""),6,2),1),ShadowLedger!$C:$C,"&lt;"&amp;EOMONTH(DATE(LEFT(SUBSTITUTE(C1731,"'",""),4),MID(SUBSTITUTE(C1731,"'",""),6,2),1),0)+1)</f>
        <v>0</v>
      </c>
      <c r="E1731" s="17">
        <f t="shared" si="1"/>
        <v>63</v>
      </c>
      <c r="F1731" s="17">
        <f t="shared" si="2"/>
        <v>0</v>
      </c>
    </row>
    <row r="1732">
      <c r="A1732" s="5" t="s">
        <v>66</v>
      </c>
      <c r="B1732" s="6">
        <v>63.0</v>
      </c>
      <c r="C1732" s="13" t="s">
        <v>313</v>
      </c>
      <c r="D1732" s="17">
        <f>SUMIFS(ShadowLedger!$D:$D,ShadowLedger!$G:$G,A1732,ShadowLedger!$C:$C,"&gt;="&amp;DATE(LEFT(SUBSTITUTE(C1732,"'",""),4),MID(SUBSTITUTE(C1732,"'",""),6,2),1),ShadowLedger!$C:$C,"&lt;"&amp;EOMONTH(DATE(LEFT(SUBSTITUTE(C1732,"'",""),4),MID(SUBSTITUTE(C1732,"'",""),6,2),1),0)+1)</f>
        <v>0</v>
      </c>
      <c r="E1732" s="17">
        <f t="shared" si="1"/>
        <v>63</v>
      </c>
      <c r="F1732" s="17">
        <f t="shared" si="2"/>
        <v>0</v>
      </c>
    </row>
    <row r="1733">
      <c r="A1733" s="5" t="s">
        <v>67</v>
      </c>
      <c r="B1733" s="6">
        <v>63.0</v>
      </c>
      <c r="C1733" s="13" t="s">
        <v>313</v>
      </c>
      <c r="D1733" s="17">
        <f>SUMIFS(ShadowLedger!$D:$D,ShadowLedger!$G:$G,A1733,ShadowLedger!$C:$C,"&gt;="&amp;DATE(LEFT(SUBSTITUTE(C1733,"'",""),4),MID(SUBSTITUTE(C1733,"'",""),6,2),1),ShadowLedger!$C:$C,"&lt;"&amp;EOMONTH(DATE(LEFT(SUBSTITUTE(C1733,"'",""),4),MID(SUBSTITUTE(C1733,"'",""),6,2),1),0)+1)</f>
        <v>0</v>
      </c>
      <c r="E1733" s="17">
        <f t="shared" si="1"/>
        <v>63</v>
      </c>
      <c r="F1733" s="17">
        <f t="shared" si="2"/>
        <v>0</v>
      </c>
    </row>
    <row r="1734">
      <c r="A1734" s="5" t="s">
        <v>68</v>
      </c>
      <c r="B1734" s="6">
        <v>63.0</v>
      </c>
      <c r="C1734" s="13" t="s">
        <v>313</v>
      </c>
      <c r="D1734" s="17">
        <f>SUMIFS(ShadowLedger!$D:$D,ShadowLedger!$G:$G,A1734,ShadowLedger!$C:$C,"&gt;="&amp;DATE(LEFT(SUBSTITUTE(C1734,"'",""),4),MID(SUBSTITUTE(C1734,"'",""),6,2),1),ShadowLedger!$C:$C,"&lt;"&amp;EOMONTH(DATE(LEFT(SUBSTITUTE(C1734,"'",""),4),MID(SUBSTITUTE(C1734,"'",""),6,2),1),0)+1)</f>
        <v>0</v>
      </c>
      <c r="E1734" s="17">
        <f t="shared" si="1"/>
        <v>63</v>
      </c>
      <c r="F1734" s="17">
        <f t="shared" si="2"/>
        <v>0</v>
      </c>
    </row>
    <row r="1735">
      <c r="A1735" s="5" t="s">
        <v>69</v>
      </c>
      <c r="B1735" s="6">
        <v>0.0</v>
      </c>
      <c r="C1735" s="13" t="s">
        <v>313</v>
      </c>
      <c r="D1735" s="17">
        <f>SUMIFS(ShadowLedger!$D:$D,ShadowLedger!$G:$G,A1735,ShadowLedger!$C:$C,"&gt;="&amp;DATE(LEFT(SUBSTITUTE(C1735,"'",""),4),MID(SUBSTITUTE(C1735,"'",""),6,2),1),ShadowLedger!$C:$C,"&lt;"&amp;EOMONTH(DATE(LEFT(SUBSTITUTE(C1735,"'",""),4),MID(SUBSTITUTE(C1735,"'",""),6,2),1),0)+1)</f>
        <v>0</v>
      </c>
      <c r="E1735" s="17">
        <f t="shared" si="1"/>
        <v>0</v>
      </c>
      <c r="F1735" s="17">
        <f t="shared" si="2"/>
        <v>0</v>
      </c>
    </row>
    <row r="1736">
      <c r="A1736" s="5" t="s">
        <v>54</v>
      </c>
      <c r="B1736" s="6">
        <v>1165.0</v>
      </c>
      <c r="C1736" s="13" t="s">
        <v>314</v>
      </c>
      <c r="D1736" s="17">
        <f>SUMIFS(ShadowLedger!$D:$D,ShadowLedger!$G:$G,A1736,ShadowLedger!$C:$C,"&gt;="&amp;DATE(LEFT(SUBSTITUTE(C1736,"'",""),4),MID(SUBSTITUTE(C1736,"'",""),6,2),1),ShadowLedger!$C:$C,"&lt;"&amp;EOMONTH(DATE(LEFT(SUBSTITUTE(C1736,"'",""),4),MID(SUBSTITUTE(C1736,"'",""),6,2),1),0)+1)</f>
        <v>0</v>
      </c>
      <c r="E1736" s="17">
        <f t="shared" si="1"/>
        <v>1165</v>
      </c>
      <c r="F1736" s="17">
        <f t="shared" si="2"/>
        <v>0</v>
      </c>
    </row>
    <row r="1737">
      <c r="A1737" s="5" t="s">
        <v>55</v>
      </c>
      <c r="B1737" s="6">
        <v>887.0</v>
      </c>
      <c r="C1737" s="13" t="s">
        <v>314</v>
      </c>
      <c r="D1737" s="17">
        <f>SUMIFS(ShadowLedger!$D:$D,ShadowLedger!$G:$G,A1737,ShadowLedger!$C:$C,"&gt;="&amp;DATE(LEFT(SUBSTITUTE(C1737,"'",""),4),MID(SUBSTITUTE(C1737,"'",""),6,2),1),ShadowLedger!$C:$C,"&lt;"&amp;EOMONTH(DATE(LEFT(SUBSTITUTE(C1737,"'",""),4),MID(SUBSTITUTE(C1737,"'",""),6,2),1),0)+1)</f>
        <v>0</v>
      </c>
      <c r="E1737" s="17">
        <f t="shared" si="1"/>
        <v>887</v>
      </c>
      <c r="F1737" s="17">
        <f t="shared" si="2"/>
        <v>0</v>
      </c>
    </row>
    <row r="1738">
      <c r="A1738" s="5" t="s">
        <v>56</v>
      </c>
      <c r="B1738" s="6">
        <v>633.0</v>
      </c>
      <c r="C1738" s="13" t="s">
        <v>314</v>
      </c>
      <c r="D1738" s="17">
        <f>SUMIFS(ShadowLedger!$D:$D,ShadowLedger!$G:$G,A1738,ShadowLedger!$C:$C,"&gt;="&amp;DATE(LEFT(SUBSTITUTE(C1738,"'",""),4),MID(SUBSTITUTE(C1738,"'",""),6,2),1),ShadowLedger!$C:$C,"&lt;"&amp;EOMONTH(DATE(LEFT(SUBSTITUTE(C1738,"'",""),4),MID(SUBSTITUTE(C1738,"'",""),6,2),1),0)+1)</f>
        <v>0</v>
      </c>
      <c r="E1738" s="17">
        <f t="shared" si="1"/>
        <v>633</v>
      </c>
      <c r="F1738" s="17">
        <f t="shared" si="2"/>
        <v>0</v>
      </c>
    </row>
    <row r="1739">
      <c r="A1739" s="5" t="s">
        <v>57</v>
      </c>
      <c r="B1739" s="6">
        <v>633.0</v>
      </c>
      <c r="C1739" s="13" t="s">
        <v>314</v>
      </c>
      <c r="D1739" s="17">
        <f>SUMIFS(ShadowLedger!$D:$D,ShadowLedger!$G:$G,A1739,ShadowLedger!$C:$C,"&gt;="&amp;DATE(LEFT(SUBSTITUTE(C1739,"'",""),4),MID(SUBSTITUTE(C1739,"'",""),6,2),1),ShadowLedger!$C:$C,"&lt;"&amp;EOMONTH(DATE(LEFT(SUBSTITUTE(C1739,"'",""),4),MID(SUBSTITUTE(C1739,"'",""),6,2),1),0)+1)</f>
        <v>0</v>
      </c>
      <c r="E1739" s="17">
        <f t="shared" si="1"/>
        <v>633</v>
      </c>
      <c r="F1739" s="17">
        <f t="shared" si="2"/>
        <v>0</v>
      </c>
    </row>
    <row r="1740">
      <c r="A1740" s="5" t="s">
        <v>58</v>
      </c>
      <c r="B1740" s="6">
        <v>507.0</v>
      </c>
      <c r="C1740" s="13" t="s">
        <v>314</v>
      </c>
      <c r="D1740" s="17">
        <f>SUMIFS(ShadowLedger!$D:$D,ShadowLedger!$G:$G,A1740,ShadowLedger!$C:$C,"&gt;="&amp;DATE(LEFT(SUBSTITUTE(C1740,"'",""),4),MID(SUBSTITUTE(C1740,"'",""),6,2),1),ShadowLedger!$C:$C,"&lt;"&amp;EOMONTH(DATE(LEFT(SUBSTITUTE(C1740,"'",""),4),MID(SUBSTITUTE(C1740,"'",""),6,2),1),0)+1)</f>
        <v>0</v>
      </c>
      <c r="E1740" s="17">
        <f t="shared" si="1"/>
        <v>507</v>
      </c>
      <c r="F1740" s="17">
        <f t="shared" si="2"/>
        <v>0</v>
      </c>
    </row>
    <row r="1741">
      <c r="A1741" s="5" t="s">
        <v>59</v>
      </c>
      <c r="B1741" s="6">
        <v>253.0</v>
      </c>
      <c r="C1741" s="13" t="s">
        <v>314</v>
      </c>
      <c r="D1741" s="17">
        <f>SUMIFS(ShadowLedger!$D:$D,ShadowLedger!$G:$G,A1741,ShadowLedger!$C:$C,"&gt;="&amp;DATE(LEFT(SUBSTITUTE(C1741,"'",""),4),MID(SUBSTITUTE(C1741,"'",""),6,2),1),ShadowLedger!$C:$C,"&lt;"&amp;EOMONTH(DATE(LEFT(SUBSTITUTE(C1741,"'",""),4),MID(SUBSTITUTE(C1741,"'",""),6,2),1),0)+1)</f>
        <v>0</v>
      </c>
      <c r="E1741" s="17">
        <f t="shared" si="1"/>
        <v>253</v>
      </c>
      <c r="F1741" s="17">
        <f t="shared" si="2"/>
        <v>0</v>
      </c>
    </row>
    <row r="1742">
      <c r="A1742" s="5" t="s">
        <v>60</v>
      </c>
      <c r="B1742" s="6">
        <v>190.0</v>
      </c>
      <c r="C1742" s="13" t="s">
        <v>314</v>
      </c>
      <c r="D1742" s="17">
        <f>SUMIFS(ShadowLedger!$D:$D,ShadowLedger!$G:$G,A1742,ShadowLedger!$C:$C,"&gt;="&amp;DATE(LEFT(SUBSTITUTE(C1742,"'",""),4),MID(SUBSTITUTE(C1742,"'",""),6,2),1),ShadowLedger!$C:$C,"&lt;"&amp;EOMONTH(DATE(LEFT(SUBSTITUTE(C1742,"'",""),4),MID(SUBSTITUTE(C1742,"'",""),6,2),1),0)+1)</f>
        <v>0</v>
      </c>
      <c r="E1742" s="17">
        <f t="shared" si="1"/>
        <v>190</v>
      </c>
      <c r="F1742" s="17">
        <f t="shared" si="2"/>
        <v>0</v>
      </c>
    </row>
    <row r="1743">
      <c r="A1743" s="5" t="s">
        <v>61</v>
      </c>
      <c r="B1743" s="6">
        <v>152.0</v>
      </c>
      <c r="C1743" s="13" t="s">
        <v>314</v>
      </c>
      <c r="D1743" s="17">
        <f>SUMIFS(ShadowLedger!$D:$D,ShadowLedger!$G:$G,A1743,ShadowLedger!$C:$C,"&gt;="&amp;DATE(LEFT(SUBSTITUTE(C1743,"'",""),4),MID(SUBSTITUTE(C1743,"'",""),6,2),1),ShadowLedger!$C:$C,"&lt;"&amp;EOMONTH(DATE(LEFT(SUBSTITUTE(C1743,"'",""),4),MID(SUBSTITUTE(C1743,"'",""),6,2),1),0)+1)</f>
        <v>0</v>
      </c>
      <c r="E1743" s="17">
        <f t="shared" si="1"/>
        <v>152</v>
      </c>
      <c r="F1743" s="17">
        <f t="shared" si="2"/>
        <v>0</v>
      </c>
    </row>
    <row r="1744">
      <c r="A1744" s="5" t="s">
        <v>62</v>
      </c>
      <c r="B1744" s="6">
        <v>152.0</v>
      </c>
      <c r="C1744" s="13" t="s">
        <v>314</v>
      </c>
      <c r="D1744" s="17">
        <f>SUMIFS(ShadowLedger!$D:$D,ShadowLedger!$G:$G,A1744,ShadowLedger!$C:$C,"&gt;="&amp;DATE(LEFT(SUBSTITUTE(C1744,"'",""),4),MID(SUBSTITUTE(C1744,"'",""),6,2),1),ShadowLedger!$C:$C,"&lt;"&amp;EOMONTH(DATE(LEFT(SUBSTITUTE(C1744,"'",""),4),MID(SUBSTITUTE(C1744,"'",""),6,2),1),0)+1)</f>
        <v>0</v>
      </c>
      <c r="E1744" s="17">
        <f t="shared" si="1"/>
        <v>152</v>
      </c>
      <c r="F1744" s="17">
        <f t="shared" si="2"/>
        <v>0</v>
      </c>
    </row>
    <row r="1745">
      <c r="A1745" s="5" t="s">
        <v>63</v>
      </c>
      <c r="B1745" s="6">
        <v>127.0</v>
      </c>
      <c r="C1745" s="13" t="s">
        <v>314</v>
      </c>
      <c r="D1745" s="17">
        <f>SUMIFS(ShadowLedger!$D:$D,ShadowLedger!$G:$G,A1745,ShadowLedger!$C:$C,"&gt;="&amp;DATE(LEFT(SUBSTITUTE(C1745,"'",""),4),MID(SUBSTITUTE(C1745,"'",""),6,2),1),ShadowLedger!$C:$C,"&lt;"&amp;EOMONTH(DATE(LEFT(SUBSTITUTE(C1745,"'",""),4),MID(SUBSTITUTE(C1745,"'",""),6,2),1),0)+1)</f>
        <v>0</v>
      </c>
      <c r="E1745" s="17">
        <f t="shared" si="1"/>
        <v>127</v>
      </c>
      <c r="F1745" s="17">
        <f t="shared" si="2"/>
        <v>0</v>
      </c>
    </row>
    <row r="1746">
      <c r="A1746" s="5" t="s">
        <v>64</v>
      </c>
      <c r="B1746" s="6">
        <v>127.0</v>
      </c>
      <c r="C1746" s="13" t="s">
        <v>314</v>
      </c>
      <c r="D1746" s="17">
        <f>SUMIFS(ShadowLedger!$D:$D,ShadowLedger!$G:$G,A1746,ShadowLedger!$C:$C,"&gt;="&amp;DATE(LEFT(SUBSTITUTE(C1746,"'",""),4),MID(SUBSTITUTE(C1746,"'",""),6,2),1),ShadowLedger!$C:$C,"&lt;"&amp;EOMONTH(DATE(LEFT(SUBSTITUTE(C1746,"'",""),4),MID(SUBSTITUTE(C1746,"'",""),6,2),1),0)+1)</f>
        <v>0</v>
      </c>
      <c r="E1746" s="17">
        <f t="shared" si="1"/>
        <v>127</v>
      </c>
      <c r="F1746" s="17">
        <f t="shared" si="2"/>
        <v>0</v>
      </c>
    </row>
    <row r="1747">
      <c r="A1747" s="5" t="s">
        <v>70</v>
      </c>
      <c r="B1747" s="6">
        <v>127.0</v>
      </c>
      <c r="C1747" s="13" t="s">
        <v>314</v>
      </c>
      <c r="D1747" s="17">
        <f>SUMIFS(ShadowLedger!$D:$D,ShadowLedger!$G:$G,A1747,ShadowLedger!$C:$C,"&gt;="&amp;DATE(LEFT(SUBSTITUTE(C1747,"'",""),4),MID(SUBSTITUTE(C1747,"'",""),6,2),1),ShadowLedger!$C:$C,"&lt;"&amp;EOMONTH(DATE(LEFT(SUBSTITUTE(C1747,"'",""),4),MID(SUBSTITUTE(C1747,"'",""),6,2),1),0)+1)</f>
        <v>0</v>
      </c>
      <c r="E1747" s="17">
        <f t="shared" si="1"/>
        <v>127</v>
      </c>
      <c r="F1747" s="17">
        <f t="shared" si="2"/>
        <v>0</v>
      </c>
    </row>
    <row r="1748">
      <c r="A1748" s="5" t="s">
        <v>65</v>
      </c>
      <c r="B1748" s="6">
        <v>63.0</v>
      </c>
      <c r="C1748" s="13" t="s">
        <v>314</v>
      </c>
      <c r="D1748" s="17">
        <f>SUMIFS(ShadowLedger!$D:$D,ShadowLedger!$G:$G,A1748,ShadowLedger!$C:$C,"&gt;="&amp;DATE(LEFT(SUBSTITUTE(C1748,"'",""),4),MID(SUBSTITUTE(C1748,"'",""),6,2),1),ShadowLedger!$C:$C,"&lt;"&amp;EOMONTH(DATE(LEFT(SUBSTITUTE(C1748,"'",""),4),MID(SUBSTITUTE(C1748,"'",""),6,2),1),0)+1)</f>
        <v>0</v>
      </c>
      <c r="E1748" s="17">
        <f t="shared" si="1"/>
        <v>63</v>
      </c>
      <c r="F1748" s="17">
        <f t="shared" si="2"/>
        <v>0</v>
      </c>
    </row>
    <row r="1749">
      <c r="A1749" s="5" t="s">
        <v>66</v>
      </c>
      <c r="B1749" s="6">
        <v>63.0</v>
      </c>
      <c r="C1749" s="13" t="s">
        <v>314</v>
      </c>
      <c r="D1749" s="17">
        <f>SUMIFS(ShadowLedger!$D:$D,ShadowLedger!$G:$G,A1749,ShadowLedger!$C:$C,"&gt;="&amp;DATE(LEFT(SUBSTITUTE(C1749,"'",""),4),MID(SUBSTITUTE(C1749,"'",""),6,2),1),ShadowLedger!$C:$C,"&lt;"&amp;EOMONTH(DATE(LEFT(SUBSTITUTE(C1749,"'",""),4),MID(SUBSTITUTE(C1749,"'",""),6,2),1),0)+1)</f>
        <v>0</v>
      </c>
      <c r="E1749" s="17">
        <f t="shared" si="1"/>
        <v>63</v>
      </c>
      <c r="F1749" s="17">
        <f t="shared" si="2"/>
        <v>0</v>
      </c>
    </row>
    <row r="1750">
      <c r="A1750" s="5" t="s">
        <v>67</v>
      </c>
      <c r="B1750" s="6">
        <v>63.0</v>
      </c>
      <c r="C1750" s="13" t="s">
        <v>314</v>
      </c>
      <c r="D1750" s="17">
        <f>SUMIFS(ShadowLedger!$D:$D,ShadowLedger!$G:$G,A1750,ShadowLedger!$C:$C,"&gt;="&amp;DATE(LEFT(SUBSTITUTE(C1750,"'",""),4),MID(SUBSTITUTE(C1750,"'",""),6,2),1),ShadowLedger!$C:$C,"&lt;"&amp;EOMONTH(DATE(LEFT(SUBSTITUTE(C1750,"'",""),4),MID(SUBSTITUTE(C1750,"'",""),6,2),1),0)+1)</f>
        <v>0</v>
      </c>
      <c r="E1750" s="17">
        <f t="shared" si="1"/>
        <v>63</v>
      </c>
      <c r="F1750" s="17">
        <f t="shared" si="2"/>
        <v>0</v>
      </c>
    </row>
    <row r="1751">
      <c r="A1751" s="5" t="s">
        <v>68</v>
      </c>
      <c r="B1751" s="6">
        <v>63.0</v>
      </c>
      <c r="C1751" s="13" t="s">
        <v>314</v>
      </c>
      <c r="D1751" s="17">
        <f>SUMIFS(ShadowLedger!$D:$D,ShadowLedger!$G:$G,A1751,ShadowLedger!$C:$C,"&gt;="&amp;DATE(LEFT(SUBSTITUTE(C1751,"'",""),4),MID(SUBSTITUTE(C1751,"'",""),6,2),1),ShadowLedger!$C:$C,"&lt;"&amp;EOMONTH(DATE(LEFT(SUBSTITUTE(C1751,"'",""),4),MID(SUBSTITUTE(C1751,"'",""),6,2),1),0)+1)</f>
        <v>0</v>
      </c>
      <c r="E1751" s="17">
        <f t="shared" si="1"/>
        <v>63</v>
      </c>
      <c r="F1751" s="17">
        <f t="shared" si="2"/>
        <v>0</v>
      </c>
    </row>
    <row r="1752">
      <c r="A1752" s="5" t="s">
        <v>69</v>
      </c>
      <c r="B1752" s="6">
        <v>0.0</v>
      </c>
      <c r="C1752" s="13" t="s">
        <v>314</v>
      </c>
      <c r="D1752" s="17">
        <f>SUMIFS(ShadowLedger!$D:$D,ShadowLedger!$G:$G,A1752,ShadowLedger!$C:$C,"&gt;="&amp;DATE(LEFT(SUBSTITUTE(C1752,"'",""),4),MID(SUBSTITUTE(C1752,"'",""),6,2),1),ShadowLedger!$C:$C,"&lt;"&amp;EOMONTH(DATE(LEFT(SUBSTITUTE(C1752,"'",""),4),MID(SUBSTITUTE(C1752,"'",""),6,2),1),0)+1)</f>
        <v>0</v>
      </c>
      <c r="E1752" s="17">
        <f t="shared" si="1"/>
        <v>0</v>
      </c>
      <c r="F1752" s="17">
        <f t="shared" si="2"/>
        <v>0</v>
      </c>
    </row>
    <row r="1753">
      <c r="A1753" s="5" t="s">
        <v>54</v>
      </c>
      <c r="B1753" s="6">
        <v>1165.0</v>
      </c>
      <c r="C1753" s="13" t="s">
        <v>315</v>
      </c>
      <c r="D1753" s="17">
        <f>SUMIFS(ShadowLedger!$D:$D,ShadowLedger!$G:$G,A1753,ShadowLedger!$C:$C,"&gt;="&amp;DATE(LEFT(SUBSTITUTE(C1753,"'",""),4),MID(SUBSTITUTE(C1753,"'",""),6,2),1),ShadowLedger!$C:$C,"&lt;"&amp;EOMONTH(DATE(LEFT(SUBSTITUTE(C1753,"'",""),4),MID(SUBSTITUTE(C1753,"'",""),6,2),1),0)+1)</f>
        <v>0</v>
      </c>
      <c r="E1753" s="17">
        <f t="shared" si="1"/>
        <v>1165</v>
      </c>
      <c r="F1753" s="17">
        <f t="shared" si="2"/>
        <v>0</v>
      </c>
    </row>
    <row r="1754">
      <c r="A1754" s="5" t="s">
        <v>55</v>
      </c>
      <c r="B1754" s="6">
        <v>887.0</v>
      </c>
      <c r="C1754" s="13" t="s">
        <v>315</v>
      </c>
      <c r="D1754" s="17">
        <f>SUMIFS(ShadowLedger!$D:$D,ShadowLedger!$G:$G,A1754,ShadowLedger!$C:$C,"&gt;="&amp;DATE(LEFT(SUBSTITUTE(C1754,"'",""),4),MID(SUBSTITUTE(C1754,"'",""),6,2),1),ShadowLedger!$C:$C,"&lt;"&amp;EOMONTH(DATE(LEFT(SUBSTITUTE(C1754,"'",""),4),MID(SUBSTITUTE(C1754,"'",""),6,2),1),0)+1)</f>
        <v>0</v>
      </c>
      <c r="E1754" s="17">
        <f t="shared" si="1"/>
        <v>887</v>
      </c>
      <c r="F1754" s="17">
        <f t="shared" si="2"/>
        <v>0</v>
      </c>
    </row>
    <row r="1755">
      <c r="A1755" s="5" t="s">
        <v>56</v>
      </c>
      <c r="B1755" s="6">
        <v>633.0</v>
      </c>
      <c r="C1755" s="13" t="s">
        <v>315</v>
      </c>
      <c r="D1755" s="17">
        <f>SUMIFS(ShadowLedger!$D:$D,ShadowLedger!$G:$G,A1755,ShadowLedger!$C:$C,"&gt;="&amp;DATE(LEFT(SUBSTITUTE(C1755,"'",""),4),MID(SUBSTITUTE(C1755,"'",""),6,2),1),ShadowLedger!$C:$C,"&lt;"&amp;EOMONTH(DATE(LEFT(SUBSTITUTE(C1755,"'",""),4),MID(SUBSTITUTE(C1755,"'",""),6,2),1),0)+1)</f>
        <v>0</v>
      </c>
      <c r="E1755" s="17">
        <f t="shared" si="1"/>
        <v>633</v>
      </c>
      <c r="F1755" s="17">
        <f t="shared" si="2"/>
        <v>0</v>
      </c>
    </row>
    <row r="1756">
      <c r="A1756" s="5" t="s">
        <v>57</v>
      </c>
      <c r="B1756" s="6">
        <v>633.0</v>
      </c>
      <c r="C1756" s="13" t="s">
        <v>315</v>
      </c>
      <c r="D1756" s="17">
        <f>SUMIFS(ShadowLedger!$D:$D,ShadowLedger!$G:$G,A1756,ShadowLedger!$C:$C,"&gt;="&amp;DATE(LEFT(SUBSTITUTE(C1756,"'",""),4),MID(SUBSTITUTE(C1756,"'",""),6,2),1),ShadowLedger!$C:$C,"&lt;"&amp;EOMONTH(DATE(LEFT(SUBSTITUTE(C1756,"'",""),4),MID(SUBSTITUTE(C1756,"'",""),6,2),1),0)+1)</f>
        <v>0</v>
      </c>
      <c r="E1756" s="17">
        <f t="shared" si="1"/>
        <v>633</v>
      </c>
      <c r="F1756" s="17">
        <f t="shared" si="2"/>
        <v>0</v>
      </c>
    </row>
    <row r="1757">
      <c r="A1757" s="5" t="s">
        <v>58</v>
      </c>
      <c r="B1757" s="6">
        <v>507.0</v>
      </c>
      <c r="C1757" s="13" t="s">
        <v>315</v>
      </c>
      <c r="D1757" s="17">
        <f>SUMIFS(ShadowLedger!$D:$D,ShadowLedger!$G:$G,A1757,ShadowLedger!$C:$C,"&gt;="&amp;DATE(LEFT(SUBSTITUTE(C1757,"'",""),4),MID(SUBSTITUTE(C1757,"'",""),6,2),1),ShadowLedger!$C:$C,"&lt;"&amp;EOMONTH(DATE(LEFT(SUBSTITUTE(C1757,"'",""),4),MID(SUBSTITUTE(C1757,"'",""),6,2),1),0)+1)</f>
        <v>0</v>
      </c>
      <c r="E1757" s="17">
        <f t="shared" si="1"/>
        <v>507</v>
      </c>
      <c r="F1757" s="17">
        <f t="shared" si="2"/>
        <v>0</v>
      </c>
    </row>
    <row r="1758">
      <c r="A1758" s="5" t="s">
        <v>59</v>
      </c>
      <c r="B1758" s="6">
        <v>253.0</v>
      </c>
      <c r="C1758" s="13" t="s">
        <v>315</v>
      </c>
      <c r="D1758" s="17">
        <f>SUMIFS(ShadowLedger!$D:$D,ShadowLedger!$G:$G,A1758,ShadowLedger!$C:$C,"&gt;="&amp;DATE(LEFT(SUBSTITUTE(C1758,"'",""),4),MID(SUBSTITUTE(C1758,"'",""),6,2),1),ShadowLedger!$C:$C,"&lt;"&amp;EOMONTH(DATE(LEFT(SUBSTITUTE(C1758,"'",""),4),MID(SUBSTITUTE(C1758,"'",""),6,2),1),0)+1)</f>
        <v>0</v>
      </c>
      <c r="E1758" s="17">
        <f t="shared" si="1"/>
        <v>253</v>
      </c>
      <c r="F1758" s="17">
        <f t="shared" si="2"/>
        <v>0</v>
      </c>
    </row>
    <row r="1759">
      <c r="A1759" s="5" t="s">
        <v>60</v>
      </c>
      <c r="B1759" s="6">
        <v>190.0</v>
      </c>
      <c r="C1759" s="13" t="s">
        <v>315</v>
      </c>
      <c r="D1759" s="17">
        <f>SUMIFS(ShadowLedger!$D:$D,ShadowLedger!$G:$G,A1759,ShadowLedger!$C:$C,"&gt;="&amp;DATE(LEFT(SUBSTITUTE(C1759,"'",""),4),MID(SUBSTITUTE(C1759,"'",""),6,2),1),ShadowLedger!$C:$C,"&lt;"&amp;EOMONTH(DATE(LEFT(SUBSTITUTE(C1759,"'",""),4),MID(SUBSTITUTE(C1759,"'",""),6,2),1),0)+1)</f>
        <v>0</v>
      </c>
      <c r="E1759" s="17">
        <f t="shared" si="1"/>
        <v>190</v>
      </c>
      <c r="F1759" s="17">
        <f t="shared" si="2"/>
        <v>0</v>
      </c>
    </row>
    <row r="1760">
      <c r="A1760" s="5" t="s">
        <v>61</v>
      </c>
      <c r="B1760" s="6">
        <v>152.0</v>
      </c>
      <c r="C1760" s="13" t="s">
        <v>315</v>
      </c>
      <c r="D1760" s="17">
        <f>SUMIFS(ShadowLedger!$D:$D,ShadowLedger!$G:$G,A1760,ShadowLedger!$C:$C,"&gt;="&amp;DATE(LEFT(SUBSTITUTE(C1760,"'",""),4),MID(SUBSTITUTE(C1760,"'",""),6,2),1),ShadowLedger!$C:$C,"&lt;"&amp;EOMONTH(DATE(LEFT(SUBSTITUTE(C1760,"'",""),4),MID(SUBSTITUTE(C1760,"'",""),6,2),1),0)+1)</f>
        <v>0</v>
      </c>
      <c r="E1760" s="17">
        <f t="shared" si="1"/>
        <v>152</v>
      </c>
      <c r="F1760" s="17">
        <f t="shared" si="2"/>
        <v>0</v>
      </c>
    </row>
    <row r="1761">
      <c r="A1761" s="5" t="s">
        <v>62</v>
      </c>
      <c r="B1761" s="6">
        <v>152.0</v>
      </c>
      <c r="C1761" s="13" t="s">
        <v>315</v>
      </c>
      <c r="D1761" s="17">
        <f>SUMIFS(ShadowLedger!$D:$D,ShadowLedger!$G:$G,A1761,ShadowLedger!$C:$C,"&gt;="&amp;DATE(LEFT(SUBSTITUTE(C1761,"'",""),4),MID(SUBSTITUTE(C1761,"'",""),6,2),1),ShadowLedger!$C:$C,"&lt;"&amp;EOMONTH(DATE(LEFT(SUBSTITUTE(C1761,"'",""),4),MID(SUBSTITUTE(C1761,"'",""),6,2),1),0)+1)</f>
        <v>0</v>
      </c>
      <c r="E1761" s="17">
        <f t="shared" si="1"/>
        <v>152</v>
      </c>
      <c r="F1761" s="17">
        <f t="shared" si="2"/>
        <v>0</v>
      </c>
    </row>
    <row r="1762">
      <c r="A1762" s="5" t="s">
        <v>63</v>
      </c>
      <c r="B1762" s="6">
        <v>127.0</v>
      </c>
      <c r="C1762" s="13" t="s">
        <v>315</v>
      </c>
      <c r="D1762" s="17">
        <f>SUMIFS(ShadowLedger!$D:$D,ShadowLedger!$G:$G,A1762,ShadowLedger!$C:$C,"&gt;="&amp;DATE(LEFT(SUBSTITUTE(C1762,"'",""),4),MID(SUBSTITUTE(C1762,"'",""),6,2),1),ShadowLedger!$C:$C,"&lt;"&amp;EOMONTH(DATE(LEFT(SUBSTITUTE(C1762,"'",""),4),MID(SUBSTITUTE(C1762,"'",""),6,2),1),0)+1)</f>
        <v>0</v>
      </c>
      <c r="E1762" s="17">
        <f t="shared" si="1"/>
        <v>127</v>
      </c>
      <c r="F1762" s="17">
        <f t="shared" si="2"/>
        <v>0</v>
      </c>
    </row>
    <row r="1763">
      <c r="A1763" s="5" t="s">
        <v>64</v>
      </c>
      <c r="B1763" s="6">
        <v>127.0</v>
      </c>
      <c r="C1763" s="13" t="s">
        <v>315</v>
      </c>
      <c r="D1763" s="17">
        <f>SUMIFS(ShadowLedger!$D:$D,ShadowLedger!$G:$G,A1763,ShadowLedger!$C:$C,"&gt;="&amp;DATE(LEFT(SUBSTITUTE(C1763,"'",""),4),MID(SUBSTITUTE(C1763,"'",""),6,2),1),ShadowLedger!$C:$C,"&lt;"&amp;EOMONTH(DATE(LEFT(SUBSTITUTE(C1763,"'",""),4),MID(SUBSTITUTE(C1763,"'",""),6,2),1),0)+1)</f>
        <v>0</v>
      </c>
      <c r="E1763" s="17">
        <f t="shared" si="1"/>
        <v>127</v>
      </c>
      <c r="F1763" s="17">
        <f t="shared" si="2"/>
        <v>0</v>
      </c>
    </row>
    <row r="1764">
      <c r="A1764" s="5" t="s">
        <v>70</v>
      </c>
      <c r="B1764" s="6">
        <v>127.0</v>
      </c>
      <c r="C1764" s="13" t="s">
        <v>315</v>
      </c>
      <c r="D1764" s="17">
        <f>SUMIFS(ShadowLedger!$D:$D,ShadowLedger!$G:$G,A1764,ShadowLedger!$C:$C,"&gt;="&amp;DATE(LEFT(SUBSTITUTE(C1764,"'",""),4),MID(SUBSTITUTE(C1764,"'",""),6,2),1),ShadowLedger!$C:$C,"&lt;"&amp;EOMONTH(DATE(LEFT(SUBSTITUTE(C1764,"'",""),4),MID(SUBSTITUTE(C1764,"'",""),6,2),1),0)+1)</f>
        <v>0</v>
      </c>
      <c r="E1764" s="17">
        <f t="shared" si="1"/>
        <v>127</v>
      </c>
      <c r="F1764" s="17">
        <f t="shared" si="2"/>
        <v>0</v>
      </c>
    </row>
    <row r="1765">
      <c r="A1765" s="5" t="s">
        <v>65</v>
      </c>
      <c r="B1765" s="6">
        <v>63.0</v>
      </c>
      <c r="C1765" s="13" t="s">
        <v>315</v>
      </c>
      <c r="D1765" s="17">
        <f>SUMIFS(ShadowLedger!$D:$D,ShadowLedger!$G:$G,A1765,ShadowLedger!$C:$C,"&gt;="&amp;DATE(LEFT(SUBSTITUTE(C1765,"'",""),4),MID(SUBSTITUTE(C1765,"'",""),6,2),1),ShadowLedger!$C:$C,"&lt;"&amp;EOMONTH(DATE(LEFT(SUBSTITUTE(C1765,"'",""),4),MID(SUBSTITUTE(C1765,"'",""),6,2),1),0)+1)</f>
        <v>0</v>
      </c>
      <c r="E1765" s="17">
        <f t="shared" si="1"/>
        <v>63</v>
      </c>
      <c r="F1765" s="17">
        <f t="shared" si="2"/>
        <v>0</v>
      </c>
    </row>
    <row r="1766">
      <c r="A1766" s="5" t="s">
        <v>66</v>
      </c>
      <c r="B1766" s="6">
        <v>63.0</v>
      </c>
      <c r="C1766" s="13" t="s">
        <v>315</v>
      </c>
      <c r="D1766" s="17">
        <f>SUMIFS(ShadowLedger!$D:$D,ShadowLedger!$G:$G,A1766,ShadowLedger!$C:$C,"&gt;="&amp;DATE(LEFT(SUBSTITUTE(C1766,"'",""),4),MID(SUBSTITUTE(C1766,"'",""),6,2),1),ShadowLedger!$C:$C,"&lt;"&amp;EOMONTH(DATE(LEFT(SUBSTITUTE(C1766,"'",""),4),MID(SUBSTITUTE(C1766,"'",""),6,2),1),0)+1)</f>
        <v>0</v>
      </c>
      <c r="E1766" s="17">
        <f t="shared" si="1"/>
        <v>63</v>
      </c>
      <c r="F1766" s="17">
        <f t="shared" si="2"/>
        <v>0</v>
      </c>
    </row>
    <row r="1767">
      <c r="A1767" s="5" t="s">
        <v>67</v>
      </c>
      <c r="B1767" s="6">
        <v>63.0</v>
      </c>
      <c r="C1767" s="13" t="s">
        <v>315</v>
      </c>
      <c r="D1767" s="17">
        <f>SUMIFS(ShadowLedger!$D:$D,ShadowLedger!$G:$G,A1767,ShadowLedger!$C:$C,"&gt;="&amp;DATE(LEFT(SUBSTITUTE(C1767,"'",""),4),MID(SUBSTITUTE(C1767,"'",""),6,2),1),ShadowLedger!$C:$C,"&lt;"&amp;EOMONTH(DATE(LEFT(SUBSTITUTE(C1767,"'",""),4),MID(SUBSTITUTE(C1767,"'",""),6,2),1),0)+1)</f>
        <v>0</v>
      </c>
      <c r="E1767" s="17">
        <f t="shared" si="1"/>
        <v>63</v>
      </c>
      <c r="F1767" s="17">
        <f t="shared" si="2"/>
        <v>0</v>
      </c>
    </row>
    <row r="1768">
      <c r="A1768" s="5" t="s">
        <v>68</v>
      </c>
      <c r="B1768" s="6">
        <v>63.0</v>
      </c>
      <c r="C1768" s="13" t="s">
        <v>315</v>
      </c>
      <c r="D1768" s="17">
        <f>SUMIFS(ShadowLedger!$D:$D,ShadowLedger!$G:$G,A1768,ShadowLedger!$C:$C,"&gt;="&amp;DATE(LEFT(SUBSTITUTE(C1768,"'",""),4),MID(SUBSTITUTE(C1768,"'",""),6,2),1),ShadowLedger!$C:$C,"&lt;"&amp;EOMONTH(DATE(LEFT(SUBSTITUTE(C1768,"'",""),4),MID(SUBSTITUTE(C1768,"'",""),6,2),1),0)+1)</f>
        <v>0</v>
      </c>
      <c r="E1768" s="17">
        <f t="shared" si="1"/>
        <v>63</v>
      </c>
      <c r="F1768" s="17">
        <f t="shared" si="2"/>
        <v>0</v>
      </c>
    </row>
    <row r="1769">
      <c r="A1769" s="5" t="s">
        <v>69</v>
      </c>
      <c r="B1769" s="6">
        <v>0.0</v>
      </c>
      <c r="C1769" s="13" t="s">
        <v>315</v>
      </c>
      <c r="D1769" s="17">
        <f>SUMIFS(ShadowLedger!$D:$D,ShadowLedger!$G:$G,A1769,ShadowLedger!$C:$C,"&gt;="&amp;DATE(LEFT(SUBSTITUTE(C1769,"'",""),4),MID(SUBSTITUTE(C1769,"'",""),6,2),1),ShadowLedger!$C:$C,"&lt;"&amp;EOMONTH(DATE(LEFT(SUBSTITUTE(C1769,"'",""),4),MID(SUBSTITUTE(C1769,"'",""),6,2),1),0)+1)</f>
        <v>0</v>
      </c>
      <c r="E1769" s="17">
        <f t="shared" si="1"/>
        <v>0</v>
      </c>
      <c r="F1769" s="17">
        <f t="shared" si="2"/>
        <v>0</v>
      </c>
    </row>
    <row r="1770">
      <c r="A1770" s="5" t="s">
        <v>54</v>
      </c>
      <c r="B1770" s="6">
        <v>1165.0</v>
      </c>
      <c r="C1770" s="13" t="s">
        <v>316</v>
      </c>
      <c r="D1770" s="17">
        <f>SUMIFS(ShadowLedger!$D:$D,ShadowLedger!$G:$G,A1770,ShadowLedger!$C:$C,"&gt;="&amp;DATE(LEFT(SUBSTITUTE(C1770,"'",""),4),MID(SUBSTITUTE(C1770,"'",""),6,2),1),ShadowLedger!$C:$C,"&lt;"&amp;EOMONTH(DATE(LEFT(SUBSTITUTE(C1770,"'",""),4),MID(SUBSTITUTE(C1770,"'",""),6,2),1),0)+1)</f>
        <v>0</v>
      </c>
      <c r="E1770" s="17">
        <f t="shared" si="1"/>
        <v>1165</v>
      </c>
      <c r="F1770" s="17">
        <f t="shared" si="2"/>
        <v>0</v>
      </c>
    </row>
    <row r="1771">
      <c r="A1771" s="5" t="s">
        <v>55</v>
      </c>
      <c r="B1771" s="6">
        <v>887.0</v>
      </c>
      <c r="C1771" s="13" t="s">
        <v>316</v>
      </c>
      <c r="D1771" s="17">
        <f>SUMIFS(ShadowLedger!$D:$D,ShadowLedger!$G:$G,A1771,ShadowLedger!$C:$C,"&gt;="&amp;DATE(LEFT(SUBSTITUTE(C1771,"'",""),4),MID(SUBSTITUTE(C1771,"'",""),6,2),1),ShadowLedger!$C:$C,"&lt;"&amp;EOMONTH(DATE(LEFT(SUBSTITUTE(C1771,"'",""),4),MID(SUBSTITUTE(C1771,"'",""),6,2),1),0)+1)</f>
        <v>0</v>
      </c>
      <c r="E1771" s="17">
        <f t="shared" si="1"/>
        <v>887</v>
      </c>
      <c r="F1771" s="17">
        <f t="shared" si="2"/>
        <v>0</v>
      </c>
    </row>
    <row r="1772">
      <c r="A1772" s="5" t="s">
        <v>56</v>
      </c>
      <c r="B1772" s="6">
        <v>633.0</v>
      </c>
      <c r="C1772" s="13" t="s">
        <v>316</v>
      </c>
      <c r="D1772" s="17">
        <f>SUMIFS(ShadowLedger!$D:$D,ShadowLedger!$G:$G,A1772,ShadowLedger!$C:$C,"&gt;="&amp;DATE(LEFT(SUBSTITUTE(C1772,"'",""),4),MID(SUBSTITUTE(C1772,"'",""),6,2),1),ShadowLedger!$C:$C,"&lt;"&amp;EOMONTH(DATE(LEFT(SUBSTITUTE(C1772,"'",""),4),MID(SUBSTITUTE(C1772,"'",""),6,2),1),0)+1)</f>
        <v>0</v>
      </c>
      <c r="E1772" s="17">
        <f t="shared" si="1"/>
        <v>633</v>
      </c>
      <c r="F1772" s="17">
        <f t="shared" si="2"/>
        <v>0</v>
      </c>
    </row>
    <row r="1773">
      <c r="A1773" s="5" t="s">
        <v>57</v>
      </c>
      <c r="B1773" s="6">
        <v>633.0</v>
      </c>
      <c r="C1773" s="13" t="s">
        <v>316</v>
      </c>
      <c r="D1773" s="17">
        <f>SUMIFS(ShadowLedger!$D:$D,ShadowLedger!$G:$G,A1773,ShadowLedger!$C:$C,"&gt;="&amp;DATE(LEFT(SUBSTITUTE(C1773,"'",""),4),MID(SUBSTITUTE(C1773,"'",""),6,2),1),ShadowLedger!$C:$C,"&lt;"&amp;EOMONTH(DATE(LEFT(SUBSTITUTE(C1773,"'",""),4),MID(SUBSTITUTE(C1773,"'",""),6,2),1),0)+1)</f>
        <v>0</v>
      </c>
      <c r="E1773" s="17">
        <f t="shared" si="1"/>
        <v>633</v>
      </c>
      <c r="F1773" s="17">
        <f t="shared" si="2"/>
        <v>0</v>
      </c>
    </row>
    <row r="1774">
      <c r="A1774" s="5" t="s">
        <v>58</v>
      </c>
      <c r="B1774" s="6">
        <v>507.0</v>
      </c>
      <c r="C1774" s="13" t="s">
        <v>316</v>
      </c>
      <c r="D1774" s="17">
        <f>SUMIFS(ShadowLedger!$D:$D,ShadowLedger!$G:$G,A1774,ShadowLedger!$C:$C,"&gt;="&amp;DATE(LEFT(SUBSTITUTE(C1774,"'",""),4),MID(SUBSTITUTE(C1774,"'",""),6,2),1),ShadowLedger!$C:$C,"&lt;"&amp;EOMONTH(DATE(LEFT(SUBSTITUTE(C1774,"'",""),4),MID(SUBSTITUTE(C1774,"'",""),6,2),1),0)+1)</f>
        <v>0</v>
      </c>
      <c r="E1774" s="17">
        <f t="shared" si="1"/>
        <v>507</v>
      </c>
      <c r="F1774" s="17">
        <f t="shared" si="2"/>
        <v>0</v>
      </c>
    </row>
    <row r="1775">
      <c r="A1775" s="5" t="s">
        <v>59</v>
      </c>
      <c r="B1775" s="6">
        <v>253.0</v>
      </c>
      <c r="C1775" s="13" t="s">
        <v>316</v>
      </c>
      <c r="D1775" s="17">
        <f>SUMIFS(ShadowLedger!$D:$D,ShadowLedger!$G:$G,A1775,ShadowLedger!$C:$C,"&gt;="&amp;DATE(LEFT(SUBSTITUTE(C1775,"'",""),4),MID(SUBSTITUTE(C1775,"'",""),6,2),1),ShadowLedger!$C:$C,"&lt;"&amp;EOMONTH(DATE(LEFT(SUBSTITUTE(C1775,"'",""),4),MID(SUBSTITUTE(C1775,"'",""),6,2),1),0)+1)</f>
        <v>0</v>
      </c>
      <c r="E1775" s="17">
        <f t="shared" si="1"/>
        <v>253</v>
      </c>
      <c r="F1775" s="17">
        <f t="shared" si="2"/>
        <v>0</v>
      </c>
    </row>
    <row r="1776">
      <c r="A1776" s="5" t="s">
        <v>60</v>
      </c>
      <c r="B1776" s="6">
        <v>190.0</v>
      </c>
      <c r="C1776" s="13" t="s">
        <v>316</v>
      </c>
      <c r="D1776" s="17">
        <f>SUMIFS(ShadowLedger!$D:$D,ShadowLedger!$G:$G,A1776,ShadowLedger!$C:$C,"&gt;="&amp;DATE(LEFT(SUBSTITUTE(C1776,"'",""),4),MID(SUBSTITUTE(C1776,"'",""),6,2),1),ShadowLedger!$C:$C,"&lt;"&amp;EOMONTH(DATE(LEFT(SUBSTITUTE(C1776,"'",""),4),MID(SUBSTITUTE(C1776,"'",""),6,2),1),0)+1)</f>
        <v>0</v>
      </c>
      <c r="E1776" s="17">
        <f t="shared" si="1"/>
        <v>190</v>
      </c>
      <c r="F1776" s="17">
        <f t="shared" si="2"/>
        <v>0</v>
      </c>
    </row>
    <row r="1777">
      <c r="A1777" s="5" t="s">
        <v>61</v>
      </c>
      <c r="B1777" s="6">
        <v>152.0</v>
      </c>
      <c r="C1777" s="13" t="s">
        <v>316</v>
      </c>
      <c r="D1777" s="17">
        <f>SUMIFS(ShadowLedger!$D:$D,ShadowLedger!$G:$G,A1777,ShadowLedger!$C:$C,"&gt;="&amp;DATE(LEFT(SUBSTITUTE(C1777,"'",""),4),MID(SUBSTITUTE(C1777,"'",""),6,2),1),ShadowLedger!$C:$C,"&lt;"&amp;EOMONTH(DATE(LEFT(SUBSTITUTE(C1777,"'",""),4),MID(SUBSTITUTE(C1777,"'",""),6,2),1),0)+1)</f>
        <v>0</v>
      </c>
      <c r="E1777" s="17">
        <f t="shared" si="1"/>
        <v>152</v>
      </c>
      <c r="F1777" s="17">
        <f t="shared" si="2"/>
        <v>0</v>
      </c>
    </row>
    <row r="1778">
      <c r="A1778" s="5" t="s">
        <v>62</v>
      </c>
      <c r="B1778" s="6">
        <v>152.0</v>
      </c>
      <c r="C1778" s="13" t="s">
        <v>316</v>
      </c>
      <c r="D1778" s="17">
        <f>SUMIFS(ShadowLedger!$D:$D,ShadowLedger!$G:$G,A1778,ShadowLedger!$C:$C,"&gt;="&amp;DATE(LEFT(SUBSTITUTE(C1778,"'",""),4),MID(SUBSTITUTE(C1778,"'",""),6,2),1),ShadowLedger!$C:$C,"&lt;"&amp;EOMONTH(DATE(LEFT(SUBSTITUTE(C1778,"'",""),4),MID(SUBSTITUTE(C1778,"'",""),6,2),1),0)+1)</f>
        <v>0</v>
      </c>
      <c r="E1778" s="17">
        <f t="shared" si="1"/>
        <v>152</v>
      </c>
      <c r="F1778" s="17">
        <f t="shared" si="2"/>
        <v>0</v>
      </c>
    </row>
    <row r="1779">
      <c r="A1779" s="5" t="s">
        <v>63</v>
      </c>
      <c r="B1779" s="6">
        <v>127.0</v>
      </c>
      <c r="C1779" s="13" t="s">
        <v>316</v>
      </c>
      <c r="D1779" s="17">
        <f>SUMIFS(ShadowLedger!$D:$D,ShadowLedger!$G:$G,A1779,ShadowLedger!$C:$C,"&gt;="&amp;DATE(LEFT(SUBSTITUTE(C1779,"'",""),4),MID(SUBSTITUTE(C1779,"'",""),6,2),1),ShadowLedger!$C:$C,"&lt;"&amp;EOMONTH(DATE(LEFT(SUBSTITUTE(C1779,"'",""),4),MID(SUBSTITUTE(C1779,"'",""),6,2),1),0)+1)</f>
        <v>0</v>
      </c>
      <c r="E1779" s="17">
        <f t="shared" si="1"/>
        <v>127</v>
      </c>
      <c r="F1779" s="17">
        <f t="shared" si="2"/>
        <v>0</v>
      </c>
    </row>
    <row r="1780">
      <c r="A1780" s="5" t="s">
        <v>64</v>
      </c>
      <c r="B1780" s="6">
        <v>127.0</v>
      </c>
      <c r="C1780" s="13" t="s">
        <v>316</v>
      </c>
      <c r="D1780" s="17">
        <f>SUMIFS(ShadowLedger!$D:$D,ShadowLedger!$G:$G,A1780,ShadowLedger!$C:$C,"&gt;="&amp;DATE(LEFT(SUBSTITUTE(C1780,"'",""),4),MID(SUBSTITUTE(C1780,"'",""),6,2),1),ShadowLedger!$C:$C,"&lt;"&amp;EOMONTH(DATE(LEFT(SUBSTITUTE(C1780,"'",""),4),MID(SUBSTITUTE(C1780,"'",""),6,2),1),0)+1)</f>
        <v>0</v>
      </c>
      <c r="E1780" s="17">
        <f t="shared" si="1"/>
        <v>127</v>
      </c>
      <c r="F1780" s="17">
        <f t="shared" si="2"/>
        <v>0</v>
      </c>
    </row>
    <row r="1781">
      <c r="A1781" s="5" t="s">
        <v>70</v>
      </c>
      <c r="B1781" s="6">
        <v>127.0</v>
      </c>
      <c r="C1781" s="13" t="s">
        <v>316</v>
      </c>
      <c r="D1781" s="17">
        <f>SUMIFS(ShadowLedger!$D:$D,ShadowLedger!$G:$G,A1781,ShadowLedger!$C:$C,"&gt;="&amp;DATE(LEFT(SUBSTITUTE(C1781,"'",""),4),MID(SUBSTITUTE(C1781,"'",""),6,2),1),ShadowLedger!$C:$C,"&lt;"&amp;EOMONTH(DATE(LEFT(SUBSTITUTE(C1781,"'",""),4),MID(SUBSTITUTE(C1781,"'",""),6,2),1),0)+1)</f>
        <v>0</v>
      </c>
      <c r="E1781" s="17">
        <f t="shared" si="1"/>
        <v>127</v>
      </c>
      <c r="F1781" s="17">
        <f t="shared" si="2"/>
        <v>0</v>
      </c>
    </row>
    <row r="1782">
      <c r="A1782" s="5" t="s">
        <v>65</v>
      </c>
      <c r="B1782" s="6">
        <v>63.0</v>
      </c>
      <c r="C1782" s="13" t="s">
        <v>316</v>
      </c>
      <c r="D1782" s="17">
        <f>SUMIFS(ShadowLedger!$D:$D,ShadowLedger!$G:$G,A1782,ShadowLedger!$C:$C,"&gt;="&amp;DATE(LEFT(SUBSTITUTE(C1782,"'",""),4),MID(SUBSTITUTE(C1782,"'",""),6,2),1),ShadowLedger!$C:$C,"&lt;"&amp;EOMONTH(DATE(LEFT(SUBSTITUTE(C1782,"'",""),4),MID(SUBSTITUTE(C1782,"'",""),6,2),1),0)+1)</f>
        <v>0</v>
      </c>
      <c r="E1782" s="17">
        <f t="shared" si="1"/>
        <v>63</v>
      </c>
      <c r="F1782" s="17">
        <f t="shared" si="2"/>
        <v>0</v>
      </c>
    </row>
    <row r="1783">
      <c r="A1783" s="5" t="s">
        <v>66</v>
      </c>
      <c r="B1783" s="6">
        <v>63.0</v>
      </c>
      <c r="C1783" s="13" t="s">
        <v>316</v>
      </c>
      <c r="D1783" s="17">
        <f>SUMIFS(ShadowLedger!$D:$D,ShadowLedger!$G:$G,A1783,ShadowLedger!$C:$C,"&gt;="&amp;DATE(LEFT(SUBSTITUTE(C1783,"'",""),4),MID(SUBSTITUTE(C1783,"'",""),6,2),1),ShadowLedger!$C:$C,"&lt;"&amp;EOMONTH(DATE(LEFT(SUBSTITUTE(C1783,"'",""),4),MID(SUBSTITUTE(C1783,"'",""),6,2),1),0)+1)</f>
        <v>0</v>
      </c>
      <c r="E1783" s="17">
        <f t="shared" si="1"/>
        <v>63</v>
      </c>
      <c r="F1783" s="17">
        <f t="shared" si="2"/>
        <v>0</v>
      </c>
    </row>
    <row r="1784">
      <c r="A1784" s="5" t="s">
        <v>67</v>
      </c>
      <c r="B1784" s="6">
        <v>63.0</v>
      </c>
      <c r="C1784" s="13" t="s">
        <v>316</v>
      </c>
      <c r="D1784" s="17">
        <f>SUMIFS(ShadowLedger!$D:$D,ShadowLedger!$G:$G,A1784,ShadowLedger!$C:$C,"&gt;="&amp;DATE(LEFT(SUBSTITUTE(C1784,"'",""),4),MID(SUBSTITUTE(C1784,"'",""),6,2),1),ShadowLedger!$C:$C,"&lt;"&amp;EOMONTH(DATE(LEFT(SUBSTITUTE(C1784,"'",""),4),MID(SUBSTITUTE(C1784,"'",""),6,2),1),0)+1)</f>
        <v>0</v>
      </c>
      <c r="E1784" s="17">
        <f t="shared" si="1"/>
        <v>63</v>
      </c>
      <c r="F1784" s="17">
        <f t="shared" si="2"/>
        <v>0</v>
      </c>
    </row>
    <row r="1785">
      <c r="A1785" s="5" t="s">
        <v>68</v>
      </c>
      <c r="B1785" s="6">
        <v>63.0</v>
      </c>
      <c r="C1785" s="13" t="s">
        <v>316</v>
      </c>
      <c r="D1785" s="17">
        <f>SUMIFS(ShadowLedger!$D:$D,ShadowLedger!$G:$G,A1785,ShadowLedger!$C:$C,"&gt;="&amp;DATE(LEFT(SUBSTITUTE(C1785,"'",""),4),MID(SUBSTITUTE(C1785,"'",""),6,2),1),ShadowLedger!$C:$C,"&lt;"&amp;EOMONTH(DATE(LEFT(SUBSTITUTE(C1785,"'",""),4),MID(SUBSTITUTE(C1785,"'",""),6,2),1),0)+1)</f>
        <v>0</v>
      </c>
      <c r="E1785" s="17">
        <f t="shared" si="1"/>
        <v>63</v>
      </c>
      <c r="F1785" s="17">
        <f t="shared" si="2"/>
        <v>0</v>
      </c>
    </row>
    <row r="1786">
      <c r="A1786" s="5" t="s">
        <v>69</v>
      </c>
      <c r="B1786" s="6">
        <v>0.0</v>
      </c>
      <c r="C1786" s="13" t="s">
        <v>316</v>
      </c>
      <c r="D1786" s="17">
        <f>SUMIFS(ShadowLedger!$D:$D,ShadowLedger!$G:$G,A1786,ShadowLedger!$C:$C,"&gt;="&amp;DATE(LEFT(SUBSTITUTE(C1786,"'",""),4),MID(SUBSTITUTE(C1786,"'",""),6,2),1),ShadowLedger!$C:$C,"&lt;"&amp;EOMONTH(DATE(LEFT(SUBSTITUTE(C1786,"'",""),4),MID(SUBSTITUTE(C1786,"'",""),6,2),1),0)+1)</f>
        <v>0</v>
      </c>
      <c r="E1786" s="17">
        <f t="shared" si="1"/>
        <v>0</v>
      </c>
      <c r="F1786" s="17">
        <f t="shared" si="2"/>
        <v>0</v>
      </c>
    </row>
    <row r="1787">
      <c r="A1787" s="5" t="s">
        <v>54</v>
      </c>
      <c r="B1787" s="6">
        <v>1165.0</v>
      </c>
      <c r="C1787" s="13" t="s">
        <v>317</v>
      </c>
      <c r="D1787" s="17">
        <f>SUMIFS(ShadowLedger!$D:$D,ShadowLedger!$G:$G,A1787,ShadowLedger!$C:$C,"&gt;="&amp;DATE(LEFT(SUBSTITUTE(C1787,"'",""),4),MID(SUBSTITUTE(C1787,"'",""),6,2),1),ShadowLedger!$C:$C,"&lt;"&amp;EOMONTH(DATE(LEFT(SUBSTITUTE(C1787,"'",""),4),MID(SUBSTITUTE(C1787,"'",""),6,2),1),0)+1)</f>
        <v>0</v>
      </c>
      <c r="E1787" s="17">
        <f t="shared" si="1"/>
        <v>1165</v>
      </c>
      <c r="F1787" s="17">
        <f t="shared" si="2"/>
        <v>0</v>
      </c>
    </row>
    <row r="1788">
      <c r="A1788" s="5" t="s">
        <v>55</v>
      </c>
      <c r="B1788" s="6">
        <v>887.0</v>
      </c>
      <c r="C1788" s="13" t="s">
        <v>317</v>
      </c>
      <c r="D1788" s="17">
        <f>SUMIFS(ShadowLedger!$D:$D,ShadowLedger!$G:$G,A1788,ShadowLedger!$C:$C,"&gt;="&amp;DATE(LEFT(SUBSTITUTE(C1788,"'",""),4),MID(SUBSTITUTE(C1788,"'",""),6,2),1),ShadowLedger!$C:$C,"&lt;"&amp;EOMONTH(DATE(LEFT(SUBSTITUTE(C1788,"'",""),4),MID(SUBSTITUTE(C1788,"'",""),6,2),1),0)+1)</f>
        <v>0</v>
      </c>
      <c r="E1788" s="17">
        <f t="shared" si="1"/>
        <v>887</v>
      </c>
      <c r="F1788" s="17">
        <f t="shared" si="2"/>
        <v>0</v>
      </c>
    </row>
    <row r="1789">
      <c r="A1789" s="5" t="s">
        <v>56</v>
      </c>
      <c r="B1789" s="6">
        <v>633.0</v>
      </c>
      <c r="C1789" s="13" t="s">
        <v>317</v>
      </c>
      <c r="D1789" s="17">
        <f>SUMIFS(ShadowLedger!$D:$D,ShadowLedger!$G:$G,A1789,ShadowLedger!$C:$C,"&gt;="&amp;DATE(LEFT(SUBSTITUTE(C1789,"'",""),4),MID(SUBSTITUTE(C1789,"'",""),6,2),1),ShadowLedger!$C:$C,"&lt;"&amp;EOMONTH(DATE(LEFT(SUBSTITUTE(C1789,"'",""),4),MID(SUBSTITUTE(C1789,"'",""),6,2),1),0)+1)</f>
        <v>0</v>
      </c>
      <c r="E1789" s="17">
        <f t="shared" si="1"/>
        <v>633</v>
      </c>
      <c r="F1789" s="17">
        <f t="shared" si="2"/>
        <v>0</v>
      </c>
    </row>
    <row r="1790">
      <c r="A1790" s="5" t="s">
        <v>57</v>
      </c>
      <c r="B1790" s="6">
        <v>633.0</v>
      </c>
      <c r="C1790" s="13" t="s">
        <v>317</v>
      </c>
      <c r="D1790" s="17">
        <f>SUMIFS(ShadowLedger!$D:$D,ShadowLedger!$G:$G,A1790,ShadowLedger!$C:$C,"&gt;="&amp;DATE(LEFT(SUBSTITUTE(C1790,"'",""),4),MID(SUBSTITUTE(C1790,"'",""),6,2),1),ShadowLedger!$C:$C,"&lt;"&amp;EOMONTH(DATE(LEFT(SUBSTITUTE(C1790,"'",""),4),MID(SUBSTITUTE(C1790,"'",""),6,2),1),0)+1)</f>
        <v>0</v>
      </c>
      <c r="E1790" s="17">
        <f t="shared" si="1"/>
        <v>633</v>
      </c>
      <c r="F1790" s="17">
        <f t="shared" si="2"/>
        <v>0</v>
      </c>
    </row>
    <row r="1791">
      <c r="A1791" s="5" t="s">
        <v>58</v>
      </c>
      <c r="B1791" s="6">
        <v>507.0</v>
      </c>
      <c r="C1791" s="13" t="s">
        <v>317</v>
      </c>
      <c r="D1791" s="17">
        <f>SUMIFS(ShadowLedger!$D:$D,ShadowLedger!$G:$G,A1791,ShadowLedger!$C:$C,"&gt;="&amp;DATE(LEFT(SUBSTITUTE(C1791,"'",""),4),MID(SUBSTITUTE(C1791,"'",""),6,2),1),ShadowLedger!$C:$C,"&lt;"&amp;EOMONTH(DATE(LEFT(SUBSTITUTE(C1791,"'",""),4),MID(SUBSTITUTE(C1791,"'",""),6,2),1),0)+1)</f>
        <v>0</v>
      </c>
      <c r="E1791" s="17">
        <f t="shared" si="1"/>
        <v>507</v>
      </c>
      <c r="F1791" s="17">
        <f t="shared" si="2"/>
        <v>0</v>
      </c>
    </row>
    <row r="1792">
      <c r="A1792" s="5" t="s">
        <v>59</v>
      </c>
      <c r="B1792" s="6">
        <v>253.0</v>
      </c>
      <c r="C1792" s="13" t="s">
        <v>317</v>
      </c>
      <c r="D1792" s="17">
        <f>SUMIFS(ShadowLedger!$D:$D,ShadowLedger!$G:$G,A1792,ShadowLedger!$C:$C,"&gt;="&amp;DATE(LEFT(SUBSTITUTE(C1792,"'",""),4),MID(SUBSTITUTE(C1792,"'",""),6,2),1),ShadowLedger!$C:$C,"&lt;"&amp;EOMONTH(DATE(LEFT(SUBSTITUTE(C1792,"'",""),4),MID(SUBSTITUTE(C1792,"'",""),6,2),1),0)+1)</f>
        <v>0</v>
      </c>
      <c r="E1792" s="17">
        <f t="shared" si="1"/>
        <v>253</v>
      </c>
      <c r="F1792" s="17">
        <f t="shared" si="2"/>
        <v>0</v>
      </c>
    </row>
    <row r="1793">
      <c r="A1793" s="5" t="s">
        <v>60</v>
      </c>
      <c r="B1793" s="6">
        <v>190.0</v>
      </c>
      <c r="C1793" s="13" t="s">
        <v>317</v>
      </c>
      <c r="D1793" s="17">
        <f>SUMIFS(ShadowLedger!$D:$D,ShadowLedger!$G:$G,A1793,ShadowLedger!$C:$C,"&gt;="&amp;DATE(LEFT(SUBSTITUTE(C1793,"'",""),4),MID(SUBSTITUTE(C1793,"'",""),6,2),1),ShadowLedger!$C:$C,"&lt;"&amp;EOMONTH(DATE(LEFT(SUBSTITUTE(C1793,"'",""),4),MID(SUBSTITUTE(C1793,"'",""),6,2),1),0)+1)</f>
        <v>0</v>
      </c>
      <c r="E1793" s="17">
        <f t="shared" si="1"/>
        <v>190</v>
      </c>
      <c r="F1793" s="17">
        <f t="shared" si="2"/>
        <v>0</v>
      </c>
    </row>
    <row r="1794">
      <c r="A1794" s="5" t="s">
        <v>61</v>
      </c>
      <c r="B1794" s="6">
        <v>152.0</v>
      </c>
      <c r="C1794" s="13" t="s">
        <v>317</v>
      </c>
      <c r="D1794" s="17">
        <f>SUMIFS(ShadowLedger!$D:$D,ShadowLedger!$G:$G,A1794,ShadowLedger!$C:$C,"&gt;="&amp;DATE(LEFT(SUBSTITUTE(C1794,"'",""),4),MID(SUBSTITUTE(C1794,"'",""),6,2),1),ShadowLedger!$C:$C,"&lt;"&amp;EOMONTH(DATE(LEFT(SUBSTITUTE(C1794,"'",""),4),MID(SUBSTITUTE(C1794,"'",""),6,2),1),0)+1)</f>
        <v>0</v>
      </c>
      <c r="E1794" s="17">
        <f t="shared" si="1"/>
        <v>152</v>
      </c>
      <c r="F1794" s="17">
        <f t="shared" si="2"/>
        <v>0</v>
      </c>
    </row>
    <row r="1795">
      <c r="A1795" s="5" t="s">
        <v>62</v>
      </c>
      <c r="B1795" s="6">
        <v>152.0</v>
      </c>
      <c r="C1795" s="13" t="s">
        <v>317</v>
      </c>
      <c r="D1795" s="17">
        <f>SUMIFS(ShadowLedger!$D:$D,ShadowLedger!$G:$G,A1795,ShadowLedger!$C:$C,"&gt;="&amp;DATE(LEFT(SUBSTITUTE(C1795,"'",""),4),MID(SUBSTITUTE(C1795,"'",""),6,2),1),ShadowLedger!$C:$C,"&lt;"&amp;EOMONTH(DATE(LEFT(SUBSTITUTE(C1795,"'",""),4),MID(SUBSTITUTE(C1795,"'",""),6,2),1),0)+1)</f>
        <v>0</v>
      </c>
      <c r="E1795" s="17">
        <f t="shared" si="1"/>
        <v>152</v>
      </c>
      <c r="F1795" s="17">
        <f t="shared" si="2"/>
        <v>0</v>
      </c>
    </row>
    <row r="1796">
      <c r="A1796" s="5" t="s">
        <v>63</v>
      </c>
      <c r="B1796" s="6">
        <v>127.0</v>
      </c>
      <c r="C1796" s="13" t="s">
        <v>317</v>
      </c>
      <c r="D1796" s="17">
        <f>SUMIFS(ShadowLedger!$D:$D,ShadowLedger!$G:$G,A1796,ShadowLedger!$C:$C,"&gt;="&amp;DATE(LEFT(SUBSTITUTE(C1796,"'",""),4),MID(SUBSTITUTE(C1796,"'",""),6,2),1),ShadowLedger!$C:$C,"&lt;"&amp;EOMONTH(DATE(LEFT(SUBSTITUTE(C1796,"'",""),4),MID(SUBSTITUTE(C1796,"'",""),6,2),1),0)+1)</f>
        <v>0</v>
      </c>
      <c r="E1796" s="17">
        <f t="shared" si="1"/>
        <v>127</v>
      </c>
      <c r="F1796" s="17">
        <f t="shared" si="2"/>
        <v>0</v>
      </c>
    </row>
    <row r="1797">
      <c r="A1797" s="5" t="s">
        <v>64</v>
      </c>
      <c r="B1797" s="6">
        <v>127.0</v>
      </c>
      <c r="C1797" s="13" t="s">
        <v>317</v>
      </c>
      <c r="D1797" s="17">
        <f>SUMIFS(ShadowLedger!$D:$D,ShadowLedger!$G:$G,A1797,ShadowLedger!$C:$C,"&gt;="&amp;DATE(LEFT(SUBSTITUTE(C1797,"'",""),4),MID(SUBSTITUTE(C1797,"'",""),6,2),1),ShadowLedger!$C:$C,"&lt;"&amp;EOMONTH(DATE(LEFT(SUBSTITUTE(C1797,"'",""),4),MID(SUBSTITUTE(C1797,"'",""),6,2),1),0)+1)</f>
        <v>0</v>
      </c>
      <c r="E1797" s="17">
        <f t="shared" si="1"/>
        <v>127</v>
      </c>
      <c r="F1797" s="17">
        <f t="shared" si="2"/>
        <v>0</v>
      </c>
    </row>
    <row r="1798">
      <c r="A1798" s="5" t="s">
        <v>70</v>
      </c>
      <c r="B1798" s="6">
        <v>127.0</v>
      </c>
      <c r="C1798" s="13" t="s">
        <v>317</v>
      </c>
      <c r="D1798" s="17">
        <f>SUMIFS(ShadowLedger!$D:$D,ShadowLedger!$G:$G,A1798,ShadowLedger!$C:$C,"&gt;="&amp;DATE(LEFT(SUBSTITUTE(C1798,"'",""),4),MID(SUBSTITUTE(C1798,"'",""),6,2),1),ShadowLedger!$C:$C,"&lt;"&amp;EOMONTH(DATE(LEFT(SUBSTITUTE(C1798,"'",""),4),MID(SUBSTITUTE(C1798,"'",""),6,2),1),0)+1)</f>
        <v>0</v>
      </c>
      <c r="E1798" s="17">
        <f t="shared" si="1"/>
        <v>127</v>
      </c>
      <c r="F1798" s="17">
        <f t="shared" si="2"/>
        <v>0</v>
      </c>
    </row>
    <row r="1799">
      <c r="A1799" s="5" t="s">
        <v>65</v>
      </c>
      <c r="B1799" s="6">
        <v>63.0</v>
      </c>
      <c r="C1799" s="13" t="s">
        <v>317</v>
      </c>
      <c r="D1799" s="17">
        <f>SUMIFS(ShadowLedger!$D:$D,ShadowLedger!$G:$G,A1799,ShadowLedger!$C:$C,"&gt;="&amp;DATE(LEFT(SUBSTITUTE(C1799,"'",""),4),MID(SUBSTITUTE(C1799,"'",""),6,2),1),ShadowLedger!$C:$C,"&lt;"&amp;EOMONTH(DATE(LEFT(SUBSTITUTE(C1799,"'",""),4),MID(SUBSTITUTE(C1799,"'",""),6,2),1),0)+1)</f>
        <v>0</v>
      </c>
      <c r="E1799" s="17">
        <f t="shared" si="1"/>
        <v>63</v>
      </c>
      <c r="F1799" s="17">
        <f t="shared" si="2"/>
        <v>0</v>
      </c>
    </row>
    <row r="1800">
      <c r="A1800" s="5" t="s">
        <v>66</v>
      </c>
      <c r="B1800" s="6">
        <v>63.0</v>
      </c>
      <c r="C1800" s="13" t="s">
        <v>317</v>
      </c>
      <c r="D1800" s="17">
        <f>SUMIFS(ShadowLedger!$D:$D,ShadowLedger!$G:$G,A1800,ShadowLedger!$C:$C,"&gt;="&amp;DATE(LEFT(SUBSTITUTE(C1800,"'",""),4),MID(SUBSTITUTE(C1800,"'",""),6,2),1),ShadowLedger!$C:$C,"&lt;"&amp;EOMONTH(DATE(LEFT(SUBSTITUTE(C1800,"'",""),4),MID(SUBSTITUTE(C1800,"'",""),6,2),1),0)+1)</f>
        <v>0</v>
      </c>
      <c r="E1800" s="17">
        <f t="shared" si="1"/>
        <v>63</v>
      </c>
      <c r="F1800" s="17">
        <f t="shared" si="2"/>
        <v>0</v>
      </c>
    </row>
    <row r="1801">
      <c r="A1801" s="5" t="s">
        <v>67</v>
      </c>
      <c r="B1801" s="6">
        <v>63.0</v>
      </c>
      <c r="C1801" s="13" t="s">
        <v>317</v>
      </c>
      <c r="D1801" s="17">
        <f>SUMIFS(ShadowLedger!$D:$D,ShadowLedger!$G:$G,A1801,ShadowLedger!$C:$C,"&gt;="&amp;DATE(LEFT(SUBSTITUTE(C1801,"'",""),4),MID(SUBSTITUTE(C1801,"'",""),6,2),1),ShadowLedger!$C:$C,"&lt;"&amp;EOMONTH(DATE(LEFT(SUBSTITUTE(C1801,"'",""),4),MID(SUBSTITUTE(C1801,"'",""),6,2),1),0)+1)</f>
        <v>0</v>
      </c>
      <c r="E1801" s="17">
        <f t="shared" si="1"/>
        <v>63</v>
      </c>
      <c r="F1801" s="17">
        <f t="shared" si="2"/>
        <v>0</v>
      </c>
    </row>
    <row r="1802">
      <c r="A1802" s="5" t="s">
        <v>68</v>
      </c>
      <c r="B1802" s="6">
        <v>63.0</v>
      </c>
      <c r="C1802" s="13" t="s">
        <v>317</v>
      </c>
      <c r="D1802" s="17">
        <f>SUMIFS(ShadowLedger!$D:$D,ShadowLedger!$G:$G,A1802,ShadowLedger!$C:$C,"&gt;="&amp;DATE(LEFT(SUBSTITUTE(C1802,"'",""),4),MID(SUBSTITUTE(C1802,"'",""),6,2),1),ShadowLedger!$C:$C,"&lt;"&amp;EOMONTH(DATE(LEFT(SUBSTITUTE(C1802,"'",""),4),MID(SUBSTITUTE(C1802,"'",""),6,2),1),0)+1)</f>
        <v>0</v>
      </c>
      <c r="E1802" s="17">
        <f t="shared" si="1"/>
        <v>63</v>
      </c>
      <c r="F1802" s="17">
        <f t="shared" si="2"/>
        <v>0</v>
      </c>
    </row>
    <row r="1803">
      <c r="A1803" s="5" t="s">
        <v>69</v>
      </c>
      <c r="B1803" s="6">
        <v>0.0</v>
      </c>
      <c r="C1803" s="13" t="s">
        <v>317</v>
      </c>
      <c r="D1803" s="17">
        <f>SUMIFS(ShadowLedger!$D:$D,ShadowLedger!$G:$G,A1803,ShadowLedger!$C:$C,"&gt;="&amp;DATE(LEFT(SUBSTITUTE(C1803,"'",""),4),MID(SUBSTITUTE(C1803,"'",""),6,2),1),ShadowLedger!$C:$C,"&lt;"&amp;EOMONTH(DATE(LEFT(SUBSTITUTE(C1803,"'",""),4),MID(SUBSTITUTE(C1803,"'",""),6,2),1),0)+1)</f>
        <v>0</v>
      </c>
      <c r="E1803" s="17">
        <f t="shared" si="1"/>
        <v>0</v>
      </c>
      <c r="F1803" s="17">
        <f t="shared" si="2"/>
        <v>0</v>
      </c>
    </row>
    <row r="1804">
      <c r="A1804" s="5" t="s">
        <v>54</v>
      </c>
      <c r="B1804" s="6">
        <v>1165.0</v>
      </c>
      <c r="C1804" s="13" t="s">
        <v>318</v>
      </c>
      <c r="D1804" s="17">
        <f>SUMIFS(ShadowLedger!$D:$D,ShadowLedger!$G:$G,A1804,ShadowLedger!$C:$C,"&gt;="&amp;DATE(LEFT(SUBSTITUTE(C1804,"'",""),4),MID(SUBSTITUTE(C1804,"'",""),6,2),1),ShadowLedger!$C:$C,"&lt;"&amp;EOMONTH(DATE(LEFT(SUBSTITUTE(C1804,"'",""),4),MID(SUBSTITUTE(C1804,"'",""),6,2),1),0)+1)</f>
        <v>0</v>
      </c>
      <c r="E1804" s="17">
        <f t="shared" si="1"/>
        <v>1165</v>
      </c>
      <c r="F1804" s="17">
        <f t="shared" si="2"/>
        <v>0</v>
      </c>
    </row>
    <row r="1805">
      <c r="A1805" s="5" t="s">
        <v>55</v>
      </c>
      <c r="B1805" s="6">
        <v>887.0</v>
      </c>
      <c r="C1805" s="13" t="s">
        <v>318</v>
      </c>
      <c r="D1805" s="17">
        <f>SUMIFS(ShadowLedger!$D:$D,ShadowLedger!$G:$G,A1805,ShadowLedger!$C:$C,"&gt;="&amp;DATE(LEFT(SUBSTITUTE(C1805,"'",""),4),MID(SUBSTITUTE(C1805,"'",""),6,2),1),ShadowLedger!$C:$C,"&lt;"&amp;EOMONTH(DATE(LEFT(SUBSTITUTE(C1805,"'",""),4),MID(SUBSTITUTE(C1805,"'",""),6,2),1),0)+1)</f>
        <v>0</v>
      </c>
      <c r="E1805" s="17">
        <f t="shared" si="1"/>
        <v>887</v>
      </c>
      <c r="F1805" s="17">
        <f t="shared" si="2"/>
        <v>0</v>
      </c>
    </row>
    <row r="1806">
      <c r="A1806" s="5" t="s">
        <v>56</v>
      </c>
      <c r="B1806" s="6">
        <v>633.0</v>
      </c>
      <c r="C1806" s="13" t="s">
        <v>318</v>
      </c>
      <c r="D1806" s="17">
        <f>SUMIFS(ShadowLedger!$D:$D,ShadowLedger!$G:$G,A1806,ShadowLedger!$C:$C,"&gt;="&amp;DATE(LEFT(SUBSTITUTE(C1806,"'",""),4),MID(SUBSTITUTE(C1806,"'",""),6,2),1),ShadowLedger!$C:$C,"&lt;"&amp;EOMONTH(DATE(LEFT(SUBSTITUTE(C1806,"'",""),4),MID(SUBSTITUTE(C1806,"'",""),6,2),1),0)+1)</f>
        <v>0</v>
      </c>
      <c r="E1806" s="17">
        <f t="shared" si="1"/>
        <v>633</v>
      </c>
      <c r="F1806" s="17">
        <f t="shared" si="2"/>
        <v>0</v>
      </c>
    </row>
    <row r="1807">
      <c r="A1807" s="5" t="s">
        <v>57</v>
      </c>
      <c r="B1807" s="6">
        <v>633.0</v>
      </c>
      <c r="C1807" s="13" t="s">
        <v>318</v>
      </c>
      <c r="D1807" s="17">
        <f>SUMIFS(ShadowLedger!$D:$D,ShadowLedger!$G:$G,A1807,ShadowLedger!$C:$C,"&gt;="&amp;DATE(LEFT(SUBSTITUTE(C1807,"'",""),4),MID(SUBSTITUTE(C1807,"'",""),6,2),1),ShadowLedger!$C:$C,"&lt;"&amp;EOMONTH(DATE(LEFT(SUBSTITUTE(C1807,"'",""),4),MID(SUBSTITUTE(C1807,"'",""),6,2),1),0)+1)</f>
        <v>0</v>
      </c>
      <c r="E1807" s="17">
        <f t="shared" si="1"/>
        <v>633</v>
      </c>
      <c r="F1807" s="17">
        <f t="shared" si="2"/>
        <v>0</v>
      </c>
    </row>
    <row r="1808">
      <c r="A1808" s="5" t="s">
        <v>58</v>
      </c>
      <c r="B1808" s="6">
        <v>507.0</v>
      </c>
      <c r="C1808" s="13" t="s">
        <v>318</v>
      </c>
      <c r="D1808" s="17">
        <f>SUMIFS(ShadowLedger!$D:$D,ShadowLedger!$G:$G,A1808,ShadowLedger!$C:$C,"&gt;="&amp;DATE(LEFT(SUBSTITUTE(C1808,"'",""),4),MID(SUBSTITUTE(C1808,"'",""),6,2),1),ShadowLedger!$C:$C,"&lt;"&amp;EOMONTH(DATE(LEFT(SUBSTITUTE(C1808,"'",""),4),MID(SUBSTITUTE(C1808,"'",""),6,2),1),0)+1)</f>
        <v>0</v>
      </c>
      <c r="E1808" s="17">
        <f t="shared" si="1"/>
        <v>507</v>
      </c>
      <c r="F1808" s="17">
        <f t="shared" si="2"/>
        <v>0</v>
      </c>
    </row>
    <row r="1809">
      <c r="A1809" s="5" t="s">
        <v>59</v>
      </c>
      <c r="B1809" s="6">
        <v>253.0</v>
      </c>
      <c r="C1809" s="13" t="s">
        <v>318</v>
      </c>
      <c r="D1809" s="17">
        <f>SUMIFS(ShadowLedger!$D:$D,ShadowLedger!$G:$G,A1809,ShadowLedger!$C:$C,"&gt;="&amp;DATE(LEFT(SUBSTITUTE(C1809,"'",""),4),MID(SUBSTITUTE(C1809,"'",""),6,2),1),ShadowLedger!$C:$C,"&lt;"&amp;EOMONTH(DATE(LEFT(SUBSTITUTE(C1809,"'",""),4),MID(SUBSTITUTE(C1809,"'",""),6,2),1),0)+1)</f>
        <v>0</v>
      </c>
      <c r="E1809" s="17">
        <f t="shared" si="1"/>
        <v>253</v>
      </c>
      <c r="F1809" s="17">
        <f t="shared" si="2"/>
        <v>0</v>
      </c>
    </row>
    <row r="1810">
      <c r="A1810" s="5" t="s">
        <v>60</v>
      </c>
      <c r="B1810" s="6">
        <v>190.0</v>
      </c>
      <c r="C1810" s="13" t="s">
        <v>318</v>
      </c>
      <c r="D1810" s="17">
        <f>SUMIFS(ShadowLedger!$D:$D,ShadowLedger!$G:$G,A1810,ShadowLedger!$C:$C,"&gt;="&amp;DATE(LEFT(SUBSTITUTE(C1810,"'",""),4),MID(SUBSTITUTE(C1810,"'",""),6,2),1),ShadowLedger!$C:$C,"&lt;"&amp;EOMONTH(DATE(LEFT(SUBSTITUTE(C1810,"'",""),4),MID(SUBSTITUTE(C1810,"'",""),6,2),1),0)+1)</f>
        <v>0</v>
      </c>
      <c r="E1810" s="17">
        <f t="shared" si="1"/>
        <v>190</v>
      </c>
      <c r="F1810" s="17">
        <f t="shared" si="2"/>
        <v>0</v>
      </c>
    </row>
    <row r="1811">
      <c r="A1811" s="5" t="s">
        <v>61</v>
      </c>
      <c r="B1811" s="6">
        <v>152.0</v>
      </c>
      <c r="C1811" s="13" t="s">
        <v>318</v>
      </c>
      <c r="D1811" s="17">
        <f>SUMIFS(ShadowLedger!$D:$D,ShadowLedger!$G:$G,A1811,ShadowLedger!$C:$C,"&gt;="&amp;DATE(LEFT(SUBSTITUTE(C1811,"'",""),4),MID(SUBSTITUTE(C1811,"'",""),6,2),1),ShadowLedger!$C:$C,"&lt;"&amp;EOMONTH(DATE(LEFT(SUBSTITUTE(C1811,"'",""),4),MID(SUBSTITUTE(C1811,"'",""),6,2),1),0)+1)</f>
        <v>0</v>
      </c>
      <c r="E1811" s="17">
        <f t="shared" si="1"/>
        <v>152</v>
      </c>
      <c r="F1811" s="17">
        <f t="shared" si="2"/>
        <v>0</v>
      </c>
    </row>
    <row r="1812">
      <c r="A1812" s="5" t="s">
        <v>62</v>
      </c>
      <c r="B1812" s="6">
        <v>152.0</v>
      </c>
      <c r="C1812" s="13" t="s">
        <v>318</v>
      </c>
      <c r="D1812" s="17">
        <f>SUMIFS(ShadowLedger!$D:$D,ShadowLedger!$G:$G,A1812,ShadowLedger!$C:$C,"&gt;="&amp;DATE(LEFT(SUBSTITUTE(C1812,"'",""),4),MID(SUBSTITUTE(C1812,"'",""),6,2),1),ShadowLedger!$C:$C,"&lt;"&amp;EOMONTH(DATE(LEFT(SUBSTITUTE(C1812,"'",""),4),MID(SUBSTITUTE(C1812,"'",""),6,2),1),0)+1)</f>
        <v>0</v>
      </c>
      <c r="E1812" s="17">
        <f t="shared" si="1"/>
        <v>152</v>
      </c>
      <c r="F1812" s="17">
        <f t="shared" si="2"/>
        <v>0</v>
      </c>
    </row>
    <row r="1813">
      <c r="A1813" s="5" t="s">
        <v>63</v>
      </c>
      <c r="B1813" s="6">
        <v>127.0</v>
      </c>
      <c r="C1813" s="13" t="s">
        <v>318</v>
      </c>
      <c r="D1813" s="17">
        <f>SUMIFS(ShadowLedger!$D:$D,ShadowLedger!$G:$G,A1813,ShadowLedger!$C:$C,"&gt;="&amp;DATE(LEFT(SUBSTITUTE(C1813,"'",""),4),MID(SUBSTITUTE(C1813,"'",""),6,2),1),ShadowLedger!$C:$C,"&lt;"&amp;EOMONTH(DATE(LEFT(SUBSTITUTE(C1813,"'",""),4),MID(SUBSTITUTE(C1813,"'",""),6,2),1),0)+1)</f>
        <v>0</v>
      </c>
      <c r="E1813" s="17">
        <f t="shared" si="1"/>
        <v>127</v>
      </c>
      <c r="F1813" s="17">
        <f t="shared" si="2"/>
        <v>0</v>
      </c>
    </row>
    <row r="1814">
      <c r="A1814" s="5" t="s">
        <v>64</v>
      </c>
      <c r="B1814" s="6">
        <v>127.0</v>
      </c>
      <c r="C1814" s="13" t="s">
        <v>318</v>
      </c>
      <c r="D1814" s="17">
        <f>SUMIFS(ShadowLedger!$D:$D,ShadowLedger!$G:$G,A1814,ShadowLedger!$C:$C,"&gt;="&amp;DATE(LEFT(SUBSTITUTE(C1814,"'",""),4),MID(SUBSTITUTE(C1814,"'",""),6,2),1),ShadowLedger!$C:$C,"&lt;"&amp;EOMONTH(DATE(LEFT(SUBSTITUTE(C1814,"'",""),4),MID(SUBSTITUTE(C1814,"'",""),6,2),1),0)+1)</f>
        <v>0</v>
      </c>
      <c r="E1814" s="17">
        <f t="shared" si="1"/>
        <v>127</v>
      </c>
      <c r="F1814" s="17">
        <f t="shared" si="2"/>
        <v>0</v>
      </c>
    </row>
    <row r="1815">
      <c r="A1815" s="5" t="s">
        <v>70</v>
      </c>
      <c r="B1815" s="6">
        <v>127.0</v>
      </c>
      <c r="C1815" s="13" t="s">
        <v>318</v>
      </c>
      <c r="D1815" s="17">
        <f>SUMIFS(ShadowLedger!$D:$D,ShadowLedger!$G:$G,A1815,ShadowLedger!$C:$C,"&gt;="&amp;DATE(LEFT(SUBSTITUTE(C1815,"'",""),4),MID(SUBSTITUTE(C1815,"'",""),6,2),1),ShadowLedger!$C:$C,"&lt;"&amp;EOMONTH(DATE(LEFT(SUBSTITUTE(C1815,"'",""),4),MID(SUBSTITUTE(C1815,"'",""),6,2),1),0)+1)</f>
        <v>0</v>
      </c>
      <c r="E1815" s="17">
        <f t="shared" si="1"/>
        <v>127</v>
      </c>
      <c r="F1815" s="17">
        <f t="shared" si="2"/>
        <v>0</v>
      </c>
    </row>
    <row r="1816">
      <c r="A1816" s="5" t="s">
        <v>65</v>
      </c>
      <c r="B1816" s="6">
        <v>63.0</v>
      </c>
      <c r="C1816" s="13" t="s">
        <v>318</v>
      </c>
      <c r="D1816" s="17">
        <f>SUMIFS(ShadowLedger!$D:$D,ShadowLedger!$G:$G,A1816,ShadowLedger!$C:$C,"&gt;="&amp;DATE(LEFT(SUBSTITUTE(C1816,"'",""),4),MID(SUBSTITUTE(C1816,"'",""),6,2),1),ShadowLedger!$C:$C,"&lt;"&amp;EOMONTH(DATE(LEFT(SUBSTITUTE(C1816,"'",""),4),MID(SUBSTITUTE(C1816,"'",""),6,2),1),0)+1)</f>
        <v>0</v>
      </c>
      <c r="E1816" s="17">
        <f t="shared" si="1"/>
        <v>63</v>
      </c>
      <c r="F1816" s="17">
        <f t="shared" si="2"/>
        <v>0</v>
      </c>
    </row>
    <row r="1817">
      <c r="A1817" s="5" t="s">
        <v>66</v>
      </c>
      <c r="B1817" s="6">
        <v>63.0</v>
      </c>
      <c r="C1817" s="13" t="s">
        <v>318</v>
      </c>
      <c r="D1817" s="17">
        <f>SUMIFS(ShadowLedger!$D:$D,ShadowLedger!$G:$G,A1817,ShadowLedger!$C:$C,"&gt;="&amp;DATE(LEFT(SUBSTITUTE(C1817,"'",""),4),MID(SUBSTITUTE(C1817,"'",""),6,2),1),ShadowLedger!$C:$C,"&lt;"&amp;EOMONTH(DATE(LEFT(SUBSTITUTE(C1817,"'",""),4),MID(SUBSTITUTE(C1817,"'",""),6,2),1),0)+1)</f>
        <v>0</v>
      </c>
      <c r="E1817" s="17">
        <f t="shared" si="1"/>
        <v>63</v>
      </c>
      <c r="F1817" s="17">
        <f t="shared" si="2"/>
        <v>0</v>
      </c>
    </row>
    <row r="1818">
      <c r="A1818" s="5" t="s">
        <v>67</v>
      </c>
      <c r="B1818" s="6">
        <v>63.0</v>
      </c>
      <c r="C1818" s="13" t="s">
        <v>318</v>
      </c>
      <c r="D1818" s="17">
        <f>SUMIFS(ShadowLedger!$D:$D,ShadowLedger!$G:$G,A1818,ShadowLedger!$C:$C,"&gt;="&amp;DATE(LEFT(SUBSTITUTE(C1818,"'",""),4),MID(SUBSTITUTE(C1818,"'",""),6,2),1),ShadowLedger!$C:$C,"&lt;"&amp;EOMONTH(DATE(LEFT(SUBSTITUTE(C1818,"'",""),4),MID(SUBSTITUTE(C1818,"'",""),6,2),1),0)+1)</f>
        <v>0</v>
      </c>
      <c r="E1818" s="17">
        <f t="shared" si="1"/>
        <v>63</v>
      </c>
      <c r="F1818" s="17">
        <f t="shared" si="2"/>
        <v>0</v>
      </c>
    </row>
    <row r="1819">
      <c r="A1819" s="5" t="s">
        <v>68</v>
      </c>
      <c r="B1819" s="6">
        <v>63.0</v>
      </c>
      <c r="C1819" s="13" t="s">
        <v>318</v>
      </c>
      <c r="D1819" s="17">
        <f>SUMIFS(ShadowLedger!$D:$D,ShadowLedger!$G:$G,A1819,ShadowLedger!$C:$C,"&gt;="&amp;DATE(LEFT(SUBSTITUTE(C1819,"'",""),4),MID(SUBSTITUTE(C1819,"'",""),6,2),1),ShadowLedger!$C:$C,"&lt;"&amp;EOMONTH(DATE(LEFT(SUBSTITUTE(C1819,"'",""),4),MID(SUBSTITUTE(C1819,"'",""),6,2),1),0)+1)</f>
        <v>0</v>
      </c>
      <c r="E1819" s="17">
        <f t="shared" si="1"/>
        <v>63</v>
      </c>
      <c r="F1819" s="17">
        <f t="shared" si="2"/>
        <v>0</v>
      </c>
    </row>
    <row r="1820">
      <c r="A1820" s="5" t="s">
        <v>69</v>
      </c>
      <c r="B1820" s="6">
        <v>0.0</v>
      </c>
      <c r="C1820" s="13" t="s">
        <v>318</v>
      </c>
      <c r="D1820" s="17">
        <f>SUMIFS(ShadowLedger!$D:$D,ShadowLedger!$G:$G,A1820,ShadowLedger!$C:$C,"&gt;="&amp;DATE(LEFT(SUBSTITUTE(C1820,"'",""),4),MID(SUBSTITUTE(C1820,"'",""),6,2),1),ShadowLedger!$C:$C,"&lt;"&amp;EOMONTH(DATE(LEFT(SUBSTITUTE(C1820,"'",""),4),MID(SUBSTITUTE(C1820,"'",""),6,2),1),0)+1)</f>
        <v>0</v>
      </c>
      <c r="E1820" s="17">
        <f t="shared" si="1"/>
        <v>0</v>
      </c>
      <c r="F1820" s="17">
        <f t="shared" si="2"/>
        <v>0</v>
      </c>
    </row>
    <row r="1821">
      <c r="A1821" s="5" t="s">
        <v>54</v>
      </c>
      <c r="B1821" s="6">
        <v>1165.0</v>
      </c>
      <c r="C1821" s="13" t="s">
        <v>319</v>
      </c>
      <c r="D1821" s="17">
        <f>SUMIFS(ShadowLedger!$D:$D,ShadowLedger!$G:$G,A1821,ShadowLedger!$C:$C,"&gt;="&amp;DATE(LEFT(SUBSTITUTE(C1821,"'",""),4),MID(SUBSTITUTE(C1821,"'",""),6,2),1),ShadowLedger!$C:$C,"&lt;"&amp;EOMONTH(DATE(LEFT(SUBSTITUTE(C1821,"'",""),4),MID(SUBSTITUTE(C1821,"'",""),6,2),1),0)+1)</f>
        <v>0</v>
      </c>
      <c r="E1821" s="17">
        <f t="shared" si="1"/>
        <v>1165</v>
      </c>
      <c r="F1821" s="17">
        <f t="shared" si="2"/>
        <v>0</v>
      </c>
    </row>
    <row r="1822">
      <c r="A1822" s="5" t="s">
        <v>55</v>
      </c>
      <c r="B1822" s="6">
        <v>887.0</v>
      </c>
      <c r="C1822" s="13" t="s">
        <v>319</v>
      </c>
      <c r="D1822" s="17">
        <f>SUMIFS(ShadowLedger!$D:$D,ShadowLedger!$G:$G,A1822,ShadowLedger!$C:$C,"&gt;="&amp;DATE(LEFT(SUBSTITUTE(C1822,"'",""),4),MID(SUBSTITUTE(C1822,"'",""),6,2),1),ShadowLedger!$C:$C,"&lt;"&amp;EOMONTH(DATE(LEFT(SUBSTITUTE(C1822,"'",""),4),MID(SUBSTITUTE(C1822,"'",""),6,2),1),0)+1)</f>
        <v>0</v>
      </c>
      <c r="E1822" s="17">
        <f t="shared" si="1"/>
        <v>887</v>
      </c>
      <c r="F1822" s="17">
        <f t="shared" si="2"/>
        <v>0</v>
      </c>
    </row>
    <row r="1823">
      <c r="A1823" s="5" t="s">
        <v>56</v>
      </c>
      <c r="B1823" s="6">
        <v>633.0</v>
      </c>
      <c r="C1823" s="13" t="s">
        <v>319</v>
      </c>
      <c r="D1823" s="17">
        <f>SUMIFS(ShadowLedger!$D:$D,ShadowLedger!$G:$G,A1823,ShadowLedger!$C:$C,"&gt;="&amp;DATE(LEFT(SUBSTITUTE(C1823,"'",""),4),MID(SUBSTITUTE(C1823,"'",""),6,2),1),ShadowLedger!$C:$C,"&lt;"&amp;EOMONTH(DATE(LEFT(SUBSTITUTE(C1823,"'",""),4),MID(SUBSTITUTE(C1823,"'",""),6,2),1),0)+1)</f>
        <v>0</v>
      </c>
      <c r="E1823" s="17">
        <f t="shared" si="1"/>
        <v>633</v>
      </c>
      <c r="F1823" s="17">
        <f t="shared" si="2"/>
        <v>0</v>
      </c>
    </row>
    <row r="1824">
      <c r="A1824" s="5" t="s">
        <v>57</v>
      </c>
      <c r="B1824" s="6">
        <v>633.0</v>
      </c>
      <c r="C1824" s="13" t="s">
        <v>319</v>
      </c>
      <c r="D1824" s="17">
        <f>SUMIFS(ShadowLedger!$D:$D,ShadowLedger!$G:$G,A1824,ShadowLedger!$C:$C,"&gt;="&amp;DATE(LEFT(SUBSTITUTE(C1824,"'",""),4),MID(SUBSTITUTE(C1824,"'",""),6,2),1),ShadowLedger!$C:$C,"&lt;"&amp;EOMONTH(DATE(LEFT(SUBSTITUTE(C1824,"'",""),4),MID(SUBSTITUTE(C1824,"'",""),6,2),1),0)+1)</f>
        <v>0</v>
      </c>
      <c r="E1824" s="17">
        <f t="shared" si="1"/>
        <v>633</v>
      </c>
      <c r="F1824" s="17">
        <f t="shared" si="2"/>
        <v>0</v>
      </c>
    </row>
    <row r="1825">
      <c r="A1825" s="5" t="s">
        <v>58</v>
      </c>
      <c r="B1825" s="6">
        <v>507.0</v>
      </c>
      <c r="C1825" s="13" t="s">
        <v>319</v>
      </c>
      <c r="D1825" s="17">
        <f>SUMIFS(ShadowLedger!$D:$D,ShadowLedger!$G:$G,A1825,ShadowLedger!$C:$C,"&gt;="&amp;DATE(LEFT(SUBSTITUTE(C1825,"'",""),4),MID(SUBSTITUTE(C1825,"'",""),6,2),1),ShadowLedger!$C:$C,"&lt;"&amp;EOMONTH(DATE(LEFT(SUBSTITUTE(C1825,"'",""),4),MID(SUBSTITUTE(C1825,"'",""),6,2),1),0)+1)</f>
        <v>0</v>
      </c>
      <c r="E1825" s="17">
        <f t="shared" si="1"/>
        <v>507</v>
      </c>
      <c r="F1825" s="17">
        <f t="shared" si="2"/>
        <v>0</v>
      </c>
    </row>
    <row r="1826">
      <c r="A1826" s="5" t="s">
        <v>59</v>
      </c>
      <c r="B1826" s="6">
        <v>253.0</v>
      </c>
      <c r="C1826" s="13" t="s">
        <v>319</v>
      </c>
      <c r="D1826" s="17">
        <f>SUMIFS(ShadowLedger!$D:$D,ShadowLedger!$G:$G,A1826,ShadowLedger!$C:$C,"&gt;="&amp;DATE(LEFT(SUBSTITUTE(C1826,"'",""),4),MID(SUBSTITUTE(C1826,"'",""),6,2),1),ShadowLedger!$C:$C,"&lt;"&amp;EOMONTH(DATE(LEFT(SUBSTITUTE(C1826,"'",""),4),MID(SUBSTITUTE(C1826,"'",""),6,2),1),0)+1)</f>
        <v>0</v>
      </c>
      <c r="E1826" s="17">
        <f t="shared" si="1"/>
        <v>253</v>
      </c>
      <c r="F1826" s="17">
        <f t="shared" si="2"/>
        <v>0</v>
      </c>
    </row>
    <row r="1827">
      <c r="A1827" s="5" t="s">
        <v>60</v>
      </c>
      <c r="B1827" s="6">
        <v>190.0</v>
      </c>
      <c r="C1827" s="13" t="s">
        <v>319</v>
      </c>
      <c r="D1827" s="17">
        <f>SUMIFS(ShadowLedger!$D:$D,ShadowLedger!$G:$G,A1827,ShadowLedger!$C:$C,"&gt;="&amp;DATE(LEFT(SUBSTITUTE(C1827,"'",""),4),MID(SUBSTITUTE(C1827,"'",""),6,2),1),ShadowLedger!$C:$C,"&lt;"&amp;EOMONTH(DATE(LEFT(SUBSTITUTE(C1827,"'",""),4),MID(SUBSTITUTE(C1827,"'",""),6,2),1),0)+1)</f>
        <v>0</v>
      </c>
      <c r="E1827" s="17">
        <f t="shared" si="1"/>
        <v>190</v>
      </c>
      <c r="F1827" s="17">
        <f t="shared" si="2"/>
        <v>0</v>
      </c>
    </row>
    <row r="1828">
      <c r="A1828" s="5" t="s">
        <v>61</v>
      </c>
      <c r="B1828" s="6">
        <v>152.0</v>
      </c>
      <c r="C1828" s="13" t="s">
        <v>319</v>
      </c>
      <c r="D1828" s="17">
        <f>SUMIFS(ShadowLedger!$D:$D,ShadowLedger!$G:$G,A1828,ShadowLedger!$C:$C,"&gt;="&amp;DATE(LEFT(SUBSTITUTE(C1828,"'",""),4),MID(SUBSTITUTE(C1828,"'",""),6,2),1),ShadowLedger!$C:$C,"&lt;"&amp;EOMONTH(DATE(LEFT(SUBSTITUTE(C1828,"'",""),4),MID(SUBSTITUTE(C1828,"'",""),6,2),1),0)+1)</f>
        <v>0</v>
      </c>
      <c r="E1828" s="17">
        <f t="shared" si="1"/>
        <v>152</v>
      </c>
      <c r="F1828" s="17">
        <f t="shared" si="2"/>
        <v>0</v>
      </c>
    </row>
    <row r="1829">
      <c r="A1829" s="5" t="s">
        <v>62</v>
      </c>
      <c r="B1829" s="6">
        <v>152.0</v>
      </c>
      <c r="C1829" s="13" t="s">
        <v>319</v>
      </c>
      <c r="D1829" s="17">
        <f>SUMIFS(ShadowLedger!$D:$D,ShadowLedger!$G:$G,A1829,ShadowLedger!$C:$C,"&gt;="&amp;DATE(LEFT(SUBSTITUTE(C1829,"'",""),4),MID(SUBSTITUTE(C1829,"'",""),6,2),1),ShadowLedger!$C:$C,"&lt;"&amp;EOMONTH(DATE(LEFT(SUBSTITUTE(C1829,"'",""),4),MID(SUBSTITUTE(C1829,"'",""),6,2),1),0)+1)</f>
        <v>0</v>
      </c>
      <c r="E1829" s="17">
        <f t="shared" si="1"/>
        <v>152</v>
      </c>
      <c r="F1829" s="17">
        <f t="shared" si="2"/>
        <v>0</v>
      </c>
    </row>
    <row r="1830">
      <c r="A1830" s="5" t="s">
        <v>63</v>
      </c>
      <c r="B1830" s="6">
        <v>127.0</v>
      </c>
      <c r="C1830" s="13" t="s">
        <v>319</v>
      </c>
      <c r="D1830" s="17">
        <f>SUMIFS(ShadowLedger!$D:$D,ShadowLedger!$G:$G,A1830,ShadowLedger!$C:$C,"&gt;="&amp;DATE(LEFT(SUBSTITUTE(C1830,"'",""),4),MID(SUBSTITUTE(C1830,"'",""),6,2),1),ShadowLedger!$C:$C,"&lt;"&amp;EOMONTH(DATE(LEFT(SUBSTITUTE(C1830,"'",""),4),MID(SUBSTITUTE(C1830,"'",""),6,2),1),0)+1)</f>
        <v>0</v>
      </c>
      <c r="E1830" s="17">
        <f t="shared" si="1"/>
        <v>127</v>
      </c>
      <c r="F1830" s="17">
        <f t="shared" si="2"/>
        <v>0</v>
      </c>
    </row>
    <row r="1831">
      <c r="A1831" s="5" t="s">
        <v>64</v>
      </c>
      <c r="B1831" s="6">
        <v>127.0</v>
      </c>
      <c r="C1831" s="13" t="s">
        <v>319</v>
      </c>
      <c r="D1831" s="17">
        <f>SUMIFS(ShadowLedger!$D:$D,ShadowLedger!$G:$G,A1831,ShadowLedger!$C:$C,"&gt;="&amp;DATE(LEFT(SUBSTITUTE(C1831,"'",""),4),MID(SUBSTITUTE(C1831,"'",""),6,2),1),ShadowLedger!$C:$C,"&lt;"&amp;EOMONTH(DATE(LEFT(SUBSTITUTE(C1831,"'",""),4),MID(SUBSTITUTE(C1831,"'",""),6,2),1),0)+1)</f>
        <v>0</v>
      </c>
      <c r="E1831" s="17">
        <f t="shared" si="1"/>
        <v>127</v>
      </c>
      <c r="F1831" s="17">
        <f t="shared" si="2"/>
        <v>0</v>
      </c>
    </row>
    <row r="1832">
      <c r="A1832" s="5" t="s">
        <v>70</v>
      </c>
      <c r="B1832" s="6">
        <v>127.0</v>
      </c>
      <c r="C1832" s="13" t="s">
        <v>319</v>
      </c>
      <c r="D1832" s="17">
        <f>SUMIFS(ShadowLedger!$D:$D,ShadowLedger!$G:$G,A1832,ShadowLedger!$C:$C,"&gt;="&amp;DATE(LEFT(SUBSTITUTE(C1832,"'",""),4),MID(SUBSTITUTE(C1832,"'",""),6,2),1),ShadowLedger!$C:$C,"&lt;"&amp;EOMONTH(DATE(LEFT(SUBSTITUTE(C1832,"'",""),4),MID(SUBSTITUTE(C1832,"'",""),6,2),1),0)+1)</f>
        <v>0</v>
      </c>
      <c r="E1832" s="17">
        <f t="shared" si="1"/>
        <v>127</v>
      </c>
      <c r="F1832" s="17">
        <f t="shared" si="2"/>
        <v>0</v>
      </c>
    </row>
    <row r="1833">
      <c r="A1833" s="5" t="s">
        <v>65</v>
      </c>
      <c r="B1833" s="6">
        <v>63.0</v>
      </c>
      <c r="C1833" s="13" t="s">
        <v>319</v>
      </c>
      <c r="D1833" s="17">
        <f>SUMIFS(ShadowLedger!$D:$D,ShadowLedger!$G:$G,A1833,ShadowLedger!$C:$C,"&gt;="&amp;DATE(LEFT(SUBSTITUTE(C1833,"'",""),4),MID(SUBSTITUTE(C1833,"'",""),6,2),1),ShadowLedger!$C:$C,"&lt;"&amp;EOMONTH(DATE(LEFT(SUBSTITUTE(C1833,"'",""),4),MID(SUBSTITUTE(C1833,"'",""),6,2),1),0)+1)</f>
        <v>0</v>
      </c>
      <c r="E1833" s="17">
        <f t="shared" si="1"/>
        <v>63</v>
      </c>
      <c r="F1833" s="17">
        <f t="shared" si="2"/>
        <v>0</v>
      </c>
    </row>
    <row r="1834">
      <c r="A1834" s="5" t="s">
        <v>66</v>
      </c>
      <c r="B1834" s="6">
        <v>63.0</v>
      </c>
      <c r="C1834" s="13" t="s">
        <v>319</v>
      </c>
      <c r="D1834" s="17">
        <f>SUMIFS(ShadowLedger!$D:$D,ShadowLedger!$G:$G,A1834,ShadowLedger!$C:$C,"&gt;="&amp;DATE(LEFT(SUBSTITUTE(C1834,"'",""),4),MID(SUBSTITUTE(C1834,"'",""),6,2),1),ShadowLedger!$C:$C,"&lt;"&amp;EOMONTH(DATE(LEFT(SUBSTITUTE(C1834,"'",""),4),MID(SUBSTITUTE(C1834,"'",""),6,2),1),0)+1)</f>
        <v>0</v>
      </c>
      <c r="E1834" s="17">
        <f t="shared" si="1"/>
        <v>63</v>
      </c>
      <c r="F1834" s="17">
        <f t="shared" si="2"/>
        <v>0</v>
      </c>
    </row>
    <row r="1835">
      <c r="A1835" s="5" t="s">
        <v>67</v>
      </c>
      <c r="B1835" s="6">
        <v>63.0</v>
      </c>
      <c r="C1835" s="13" t="s">
        <v>319</v>
      </c>
      <c r="D1835" s="17">
        <f>SUMIFS(ShadowLedger!$D:$D,ShadowLedger!$G:$G,A1835,ShadowLedger!$C:$C,"&gt;="&amp;DATE(LEFT(SUBSTITUTE(C1835,"'",""),4),MID(SUBSTITUTE(C1835,"'",""),6,2),1),ShadowLedger!$C:$C,"&lt;"&amp;EOMONTH(DATE(LEFT(SUBSTITUTE(C1835,"'",""),4),MID(SUBSTITUTE(C1835,"'",""),6,2),1),0)+1)</f>
        <v>0</v>
      </c>
      <c r="E1835" s="17">
        <f t="shared" si="1"/>
        <v>63</v>
      </c>
      <c r="F1835" s="17">
        <f t="shared" si="2"/>
        <v>0</v>
      </c>
    </row>
    <row r="1836">
      <c r="A1836" s="5" t="s">
        <v>68</v>
      </c>
      <c r="B1836" s="6">
        <v>63.0</v>
      </c>
      <c r="C1836" s="13" t="s">
        <v>319</v>
      </c>
      <c r="D1836" s="17">
        <f>SUMIFS(ShadowLedger!$D:$D,ShadowLedger!$G:$G,A1836,ShadowLedger!$C:$C,"&gt;="&amp;DATE(LEFT(SUBSTITUTE(C1836,"'",""),4),MID(SUBSTITUTE(C1836,"'",""),6,2),1),ShadowLedger!$C:$C,"&lt;"&amp;EOMONTH(DATE(LEFT(SUBSTITUTE(C1836,"'",""),4),MID(SUBSTITUTE(C1836,"'",""),6,2),1),0)+1)</f>
        <v>0</v>
      </c>
      <c r="E1836" s="17">
        <f t="shared" si="1"/>
        <v>63</v>
      </c>
      <c r="F1836" s="17">
        <f t="shared" si="2"/>
        <v>0</v>
      </c>
    </row>
    <row r="1837">
      <c r="A1837" s="5" t="s">
        <v>69</v>
      </c>
      <c r="B1837" s="6">
        <v>0.0</v>
      </c>
      <c r="C1837" s="13" t="s">
        <v>319</v>
      </c>
      <c r="D1837" s="17">
        <f>SUMIFS(ShadowLedger!$D:$D,ShadowLedger!$G:$G,A1837,ShadowLedger!$C:$C,"&gt;="&amp;DATE(LEFT(SUBSTITUTE(C1837,"'",""),4),MID(SUBSTITUTE(C1837,"'",""),6,2),1),ShadowLedger!$C:$C,"&lt;"&amp;EOMONTH(DATE(LEFT(SUBSTITUTE(C1837,"'",""),4),MID(SUBSTITUTE(C1837,"'",""),6,2),1),0)+1)</f>
        <v>0</v>
      </c>
      <c r="E1837" s="17">
        <f t="shared" si="1"/>
        <v>0</v>
      </c>
      <c r="F1837" s="17">
        <f t="shared" si="2"/>
        <v>0</v>
      </c>
    </row>
    <row r="1838">
      <c r="A1838" s="5" t="s">
        <v>54</v>
      </c>
      <c r="B1838" s="6">
        <v>1165.0</v>
      </c>
      <c r="C1838" s="13" t="s">
        <v>320</v>
      </c>
      <c r="D1838" s="17">
        <f>SUMIFS(ShadowLedger!$D:$D,ShadowLedger!$G:$G,A1838,ShadowLedger!$C:$C,"&gt;="&amp;DATE(LEFT(SUBSTITUTE(C1838,"'",""),4),MID(SUBSTITUTE(C1838,"'",""),6,2),1),ShadowLedger!$C:$C,"&lt;"&amp;EOMONTH(DATE(LEFT(SUBSTITUTE(C1838,"'",""),4),MID(SUBSTITUTE(C1838,"'",""),6,2),1),0)+1)</f>
        <v>0</v>
      </c>
      <c r="E1838" s="17">
        <f t="shared" si="1"/>
        <v>1165</v>
      </c>
      <c r="F1838" s="17">
        <f t="shared" si="2"/>
        <v>0</v>
      </c>
    </row>
    <row r="1839">
      <c r="A1839" s="5" t="s">
        <v>55</v>
      </c>
      <c r="B1839" s="6">
        <v>887.0</v>
      </c>
      <c r="C1839" s="13" t="s">
        <v>320</v>
      </c>
      <c r="D1839" s="17">
        <f>SUMIFS(ShadowLedger!$D:$D,ShadowLedger!$G:$G,A1839,ShadowLedger!$C:$C,"&gt;="&amp;DATE(LEFT(SUBSTITUTE(C1839,"'",""),4),MID(SUBSTITUTE(C1839,"'",""),6,2),1),ShadowLedger!$C:$C,"&lt;"&amp;EOMONTH(DATE(LEFT(SUBSTITUTE(C1839,"'",""),4),MID(SUBSTITUTE(C1839,"'",""),6,2),1),0)+1)</f>
        <v>0</v>
      </c>
      <c r="E1839" s="17">
        <f t="shared" si="1"/>
        <v>887</v>
      </c>
      <c r="F1839" s="17">
        <f t="shared" si="2"/>
        <v>0</v>
      </c>
    </row>
    <row r="1840">
      <c r="A1840" s="5" t="s">
        <v>56</v>
      </c>
      <c r="B1840" s="6">
        <v>633.0</v>
      </c>
      <c r="C1840" s="13" t="s">
        <v>320</v>
      </c>
      <c r="D1840" s="17">
        <f>SUMIFS(ShadowLedger!$D:$D,ShadowLedger!$G:$G,A1840,ShadowLedger!$C:$C,"&gt;="&amp;DATE(LEFT(SUBSTITUTE(C1840,"'",""),4),MID(SUBSTITUTE(C1840,"'",""),6,2),1),ShadowLedger!$C:$C,"&lt;"&amp;EOMONTH(DATE(LEFT(SUBSTITUTE(C1840,"'",""),4),MID(SUBSTITUTE(C1840,"'",""),6,2),1),0)+1)</f>
        <v>0</v>
      </c>
      <c r="E1840" s="17">
        <f t="shared" si="1"/>
        <v>633</v>
      </c>
      <c r="F1840" s="17">
        <f t="shared" si="2"/>
        <v>0</v>
      </c>
    </row>
    <row r="1841">
      <c r="A1841" s="5" t="s">
        <v>57</v>
      </c>
      <c r="B1841" s="6">
        <v>633.0</v>
      </c>
      <c r="C1841" s="13" t="s">
        <v>320</v>
      </c>
      <c r="D1841" s="17">
        <f>SUMIFS(ShadowLedger!$D:$D,ShadowLedger!$G:$G,A1841,ShadowLedger!$C:$C,"&gt;="&amp;DATE(LEFT(SUBSTITUTE(C1841,"'",""),4),MID(SUBSTITUTE(C1841,"'",""),6,2),1),ShadowLedger!$C:$C,"&lt;"&amp;EOMONTH(DATE(LEFT(SUBSTITUTE(C1841,"'",""),4),MID(SUBSTITUTE(C1841,"'",""),6,2),1),0)+1)</f>
        <v>0</v>
      </c>
      <c r="E1841" s="17">
        <f t="shared" si="1"/>
        <v>633</v>
      </c>
      <c r="F1841" s="17">
        <f t="shared" si="2"/>
        <v>0</v>
      </c>
    </row>
    <row r="1842">
      <c r="A1842" s="5" t="s">
        <v>58</v>
      </c>
      <c r="B1842" s="6">
        <v>507.0</v>
      </c>
      <c r="C1842" s="13" t="s">
        <v>320</v>
      </c>
      <c r="D1842" s="17">
        <f>SUMIFS(ShadowLedger!$D:$D,ShadowLedger!$G:$G,A1842,ShadowLedger!$C:$C,"&gt;="&amp;DATE(LEFT(SUBSTITUTE(C1842,"'",""),4),MID(SUBSTITUTE(C1842,"'",""),6,2),1),ShadowLedger!$C:$C,"&lt;"&amp;EOMONTH(DATE(LEFT(SUBSTITUTE(C1842,"'",""),4),MID(SUBSTITUTE(C1842,"'",""),6,2),1),0)+1)</f>
        <v>0</v>
      </c>
      <c r="E1842" s="17">
        <f t="shared" si="1"/>
        <v>507</v>
      </c>
      <c r="F1842" s="17">
        <f t="shared" si="2"/>
        <v>0</v>
      </c>
    </row>
    <row r="1843">
      <c r="A1843" s="5" t="s">
        <v>59</v>
      </c>
      <c r="B1843" s="6">
        <v>253.0</v>
      </c>
      <c r="C1843" s="13" t="s">
        <v>320</v>
      </c>
      <c r="D1843" s="17">
        <f>SUMIFS(ShadowLedger!$D:$D,ShadowLedger!$G:$G,A1843,ShadowLedger!$C:$C,"&gt;="&amp;DATE(LEFT(SUBSTITUTE(C1843,"'",""),4),MID(SUBSTITUTE(C1843,"'",""),6,2),1),ShadowLedger!$C:$C,"&lt;"&amp;EOMONTH(DATE(LEFT(SUBSTITUTE(C1843,"'",""),4),MID(SUBSTITUTE(C1843,"'",""),6,2),1),0)+1)</f>
        <v>0</v>
      </c>
      <c r="E1843" s="17">
        <f t="shared" si="1"/>
        <v>253</v>
      </c>
      <c r="F1843" s="17">
        <f t="shared" si="2"/>
        <v>0</v>
      </c>
    </row>
    <row r="1844">
      <c r="A1844" s="5" t="s">
        <v>60</v>
      </c>
      <c r="B1844" s="6">
        <v>190.0</v>
      </c>
      <c r="C1844" s="13" t="s">
        <v>320</v>
      </c>
      <c r="D1844" s="17">
        <f>SUMIFS(ShadowLedger!$D:$D,ShadowLedger!$G:$G,A1844,ShadowLedger!$C:$C,"&gt;="&amp;DATE(LEFT(SUBSTITUTE(C1844,"'",""),4),MID(SUBSTITUTE(C1844,"'",""),6,2),1),ShadowLedger!$C:$C,"&lt;"&amp;EOMONTH(DATE(LEFT(SUBSTITUTE(C1844,"'",""),4),MID(SUBSTITUTE(C1844,"'",""),6,2),1),0)+1)</f>
        <v>0</v>
      </c>
      <c r="E1844" s="17">
        <f t="shared" si="1"/>
        <v>190</v>
      </c>
      <c r="F1844" s="17">
        <f t="shared" si="2"/>
        <v>0</v>
      </c>
    </row>
    <row r="1845">
      <c r="A1845" s="5" t="s">
        <v>61</v>
      </c>
      <c r="B1845" s="6">
        <v>152.0</v>
      </c>
      <c r="C1845" s="13" t="s">
        <v>320</v>
      </c>
      <c r="D1845" s="17">
        <f>SUMIFS(ShadowLedger!$D:$D,ShadowLedger!$G:$G,A1845,ShadowLedger!$C:$C,"&gt;="&amp;DATE(LEFT(SUBSTITUTE(C1845,"'",""),4),MID(SUBSTITUTE(C1845,"'",""),6,2),1),ShadowLedger!$C:$C,"&lt;"&amp;EOMONTH(DATE(LEFT(SUBSTITUTE(C1845,"'",""),4),MID(SUBSTITUTE(C1845,"'",""),6,2),1),0)+1)</f>
        <v>0</v>
      </c>
      <c r="E1845" s="17">
        <f t="shared" si="1"/>
        <v>152</v>
      </c>
      <c r="F1845" s="17">
        <f t="shared" si="2"/>
        <v>0</v>
      </c>
    </row>
    <row r="1846">
      <c r="A1846" s="5" t="s">
        <v>62</v>
      </c>
      <c r="B1846" s="6">
        <v>152.0</v>
      </c>
      <c r="C1846" s="13" t="s">
        <v>320</v>
      </c>
      <c r="D1846" s="17">
        <f>SUMIFS(ShadowLedger!$D:$D,ShadowLedger!$G:$G,A1846,ShadowLedger!$C:$C,"&gt;="&amp;DATE(LEFT(SUBSTITUTE(C1846,"'",""),4),MID(SUBSTITUTE(C1846,"'",""),6,2),1),ShadowLedger!$C:$C,"&lt;"&amp;EOMONTH(DATE(LEFT(SUBSTITUTE(C1846,"'",""),4),MID(SUBSTITUTE(C1846,"'",""),6,2),1),0)+1)</f>
        <v>0</v>
      </c>
      <c r="E1846" s="17">
        <f t="shared" si="1"/>
        <v>152</v>
      </c>
      <c r="F1846" s="17">
        <f t="shared" si="2"/>
        <v>0</v>
      </c>
    </row>
    <row r="1847">
      <c r="A1847" s="5" t="s">
        <v>63</v>
      </c>
      <c r="B1847" s="6">
        <v>127.0</v>
      </c>
      <c r="C1847" s="13" t="s">
        <v>320</v>
      </c>
      <c r="D1847" s="17">
        <f>SUMIFS(ShadowLedger!$D:$D,ShadowLedger!$G:$G,A1847,ShadowLedger!$C:$C,"&gt;="&amp;DATE(LEFT(SUBSTITUTE(C1847,"'",""),4),MID(SUBSTITUTE(C1847,"'",""),6,2),1),ShadowLedger!$C:$C,"&lt;"&amp;EOMONTH(DATE(LEFT(SUBSTITUTE(C1847,"'",""),4),MID(SUBSTITUTE(C1847,"'",""),6,2),1),0)+1)</f>
        <v>0</v>
      </c>
      <c r="E1847" s="17">
        <f t="shared" si="1"/>
        <v>127</v>
      </c>
      <c r="F1847" s="17">
        <f t="shared" si="2"/>
        <v>0</v>
      </c>
    </row>
    <row r="1848">
      <c r="A1848" s="5" t="s">
        <v>64</v>
      </c>
      <c r="B1848" s="6">
        <v>127.0</v>
      </c>
      <c r="C1848" s="13" t="s">
        <v>320</v>
      </c>
      <c r="D1848" s="17">
        <f>SUMIFS(ShadowLedger!$D:$D,ShadowLedger!$G:$G,A1848,ShadowLedger!$C:$C,"&gt;="&amp;DATE(LEFT(SUBSTITUTE(C1848,"'",""),4),MID(SUBSTITUTE(C1848,"'",""),6,2),1),ShadowLedger!$C:$C,"&lt;"&amp;EOMONTH(DATE(LEFT(SUBSTITUTE(C1848,"'",""),4),MID(SUBSTITUTE(C1848,"'",""),6,2),1),0)+1)</f>
        <v>0</v>
      </c>
      <c r="E1848" s="17">
        <f t="shared" si="1"/>
        <v>127</v>
      </c>
      <c r="F1848" s="17">
        <f t="shared" si="2"/>
        <v>0</v>
      </c>
    </row>
    <row r="1849">
      <c r="A1849" s="5" t="s">
        <v>70</v>
      </c>
      <c r="B1849" s="6">
        <v>127.0</v>
      </c>
      <c r="C1849" s="13" t="s">
        <v>320</v>
      </c>
      <c r="D1849" s="17">
        <f>SUMIFS(ShadowLedger!$D:$D,ShadowLedger!$G:$G,A1849,ShadowLedger!$C:$C,"&gt;="&amp;DATE(LEFT(SUBSTITUTE(C1849,"'",""),4),MID(SUBSTITUTE(C1849,"'",""),6,2),1),ShadowLedger!$C:$C,"&lt;"&amp;EOMONTH(DATE(LEFT(SUBSTITUTE(C1849,"'",""),4),MID(SUBSTITUTE(C1849,"'",""),6,2),1),0)+1)</f>
        <v>0</v>
      </c>
      <c r="E1849" s="17">
        <f t="shared" si="1"/>
        <v>127</v>
      </c>
      <c r="F1849" s="17">
        <f t="shared" si="2"/>
        <v>0</v>
      </c>
    </row>
    <row r="1850">
      <c r="A1850" s="5" t="s">
        <v>65</v>
      </c>
      <c r="B1850" s="6">
        <v>63.0</v>
      </c>
      <c r="C1850" s="13" t="s">
        <v>320</v>
      </c>
      <c r="D1850" s="17">
        <f>SUMIFS(ShadowLedger!$D:$D,ShadowLedger!$G:$G,A1850,ShadowLedger!$C:$C,"&gt;="&amp;DATE(LEFT(SUBSTITUTE(C1850,"'",""),4),MID(SUBSTITUTE(C1850,"'",""),6,2),1),ShadowLedger!$C:$C,"&lt;"&amp;EOMONTH(DATE(LEFT(SUBSTITUTE(C1850,"'",""),4),MID(SUBSTITUTE(C1850,"'",""),6,2),1),0)+1)</f>
        <v>0</v>
      </c>
      <c r="E1850" s="17">
        <f t="shared" si="1"/>
        <v>63</v>
      </c>
      <c r="F1850" s="17">
        <f t="shared" si="2"/>
        <v>0</v>
      </c>
    </row>
    <row r="1851">
      <c r="A1851" s="5" t="s">
        <v>66</v>
      </c>
      <c r="B1851" s="6">
        <v>63.0</v>
      </c>
      <c r="C1851" s="13" t="s">
        <v>320</v>
      </c>
      <c r="D1851" s="17">
        <f>SUMIFS(ShadowLedger!$D:$D,ShadowLedger!$G:$G,A1851,ShadowLedger!$C:$C,"&gt;="&amp;DATE(LEFT(SUBSTITUTE(C1851,"'",""),4),MID(SUBSTITUTE(C1851,"'",""),6,2),1),ShadowLedger!$C:$C,"&lt;"&amp;EOMONTH(DATE(LEFT(SUBSTITUTE(C1851,"'",""),4),MID(SUBSTITUTE(C1851,"'",""),6,2),1),0)+1)</f>
        <v>0</v>
      </c>
      <c r="E1851" s="17">
        <f t="shared" si="1"/>
        <v>63</v>
      </c>
      <c r="F1851" s="17">
        <f t="shared" si="2"/>
        <v>0</v>
      </c>
    </row>
    <row r="1852">
      <c r="A1852" s="5" t="s">
        <v>67</v>
      </c>
      <c r="B1852" s="6">
        <v>63.0</v>
      </c>
      <c r="C1852" s="13" t="s">
        <v>320</v>
      </c>
      <c r="D1852" s="17">
        <f>SUMIFS(ShadowLedger!$D:$D,ShadowLedger!$G:$G,A1852,ShadowLedger!$C:$C,"&gt;="&amp;DATE(LEFT(SUBSTITUTE(C1852,"'",""),4),MID(SUBSTITUTE(C1852,"'",""),6,2),1),ShadowLedger!$C:$C,"&lt;"&amp;EOMONTH(DATE(LEFT(SUBSTITUTE(C1852,"'",""),4),MID(SUBSTITUTE(C1852,"'",""),6,2),1),0)+1)</f>
        <v>0</v>
      </c>
      <c r="E1852" s="17">
        <f t="shared" si="1"/>
        <v>63</v>
      </c>
      <c r="F1852" s="17">
        <f t="shared" si="2"/>
        <v>0</v>
      </c>
    </row>
    <row r="1853">
      <c r="A1853" s="5" t="s">
        <v>68</v>
      </c>
      <c r="B1853" s="6">
        <v>63.0</v>
      </c>
      <c r="C1853" s="13" t="s">
        <v>320</v>
      </c>
      <c r="D1853" s="17">
        <f>SUMIFS(ShadowLedger!$D:$D,ShadowLedger!$G:$G,A1853,ShadowLedger!$C:$C,"&gt;="&amp;DATE(LEFT(SUBSTITUTE(C1853,"'",""),4),MID(SUBSTITUTE(C1853,"'",""),6,2),1),ShadowLedger!$C:$C,"&lt;"&amp;EOMONTH(DATE(LEFT(SUBSTITUTE(C1853,"'",""),4),MID(SUBSTITUTE(C1853,"'",""),6,2),1),0)+1)</f>
        <v>0</v>
      </c>
      <c r="E1853" s="17">
        <f t="shared" si="1"/>
        <v>63</v>
      </c>
      <c r="F1853" s="17">
        <f t="shared" si="2"/>
        <v>0</v>
      </c>
    </row>
    <row r="1854">
      <c r="A1854" s="5" t="s">
        <v>69</v>
      </c>
      <c r="B1854" s="6">
        <v>0.0</v>
      </c>
      <c r="C1854" s="13" t="s">
        <v>320</v>
      </c>
      <c r="D1854" s="17">
        <f>SUMIFS(ShadowLedger!$D:$D,ShadowLedger!$G:$G,A1854,ShadowLedger!$C:$C,"&gt;="&amp;DATE(LEFT(SUBSTITUTE(C1854,"'",""),4),MID(SUBSTITUTE(C1854,"'",""),6,2),1),ShadowLedger!$C:$C,"&lt;"&amp;EOMONTH(DATE(LEFT(SUBSTITUTE(C1854,"'",""),4),MID(SUBSTITUTE(C1854,"'",""),6,2),1),0)+1)</f>
        <v>0</v>
      </c>
      <c r="E1854" s="17">
        <f t="shared" si="1"/>
        <v>0</v>
      </c>
      <c r="F1854" s="17">
        <f t="shared" si="2"/>
        <v>0</v>
      </c>
    </row>
    <row r="1855">
      <c r="A1855" s="5" t="s">
        <v>54</v>
      </c>
      <c r="B1855" s="6">
        <v>1200.0</v>
      </c>
      <c r="C1855" s="13" t="s">
        <v>321</v>
      </c>
      <c r="D1855" s="17">
        <f>SUMIFS(ShadowLedger!$D:$D,ShadowLedger!$G:$G,A1855,ShadowLedger!$C:$C,"&gt;="&amp;DATE(LEFT(SUBSTITUTE(C1855,"'",""),4),MID(SUBSTITUTE(C1855,"'",""),6,2),1),ShadowLedger!$C:$C,"&lt;"&amp;EOMONTH(DATE(LEFT(SUBSTITUTE(C1855,"'",""),4),MID(SUBSTITUTE(C1855,"'",""),6,2),1),0)+1)</f>
        <v>0</v>
      </c>
      <c r="E1855" s="17">
        <f t="shared" si="1"/>
        <v>1200</v>
      </c>
      <c r="F1855" s="17">
        <f t="shared" si="2"/>
        <v>0</v>
      </c>
    </row>
    <row r="1856">
      <c r="A1856" s="5" t="s">
        <v>55</v>
      </c>
      <c r="B1856" s="6">
        <v>913.0</v>
      </c>
      <c r="C1856" s="13" t="s">
        <v>321</v>
      </c>
      <c r="D1856" s="17">
        <f>SUMIFS(ShadowLedger!$D:$D,ShadowLedger!$G:$G,A1856,ShadowLedger!$C:$C,"&gt;="&amp;DATE(LEFT(SUBSTITUTE(C1856,"'",""),4),MID(SUBSTITUTE(C1856,"'",""),6,2),1),ShadowLedger!$C:$C,"&lt;"&amp;EOMONTH(DATE(LEFT(SUBSTITUTE(C1856,"'",""),4),MID(SUBSTITUTE(C1856,"'",""),6,2),1),0)+1)</f>
        <v>0</v>
      </c>
      <c r="E1856" s="17">
        <f t="shared" si="1"/>
        <v>913</v>
      </c>
      <c r="F1856" s="17">
        <f t="shared" si="2"/>
        <v>0</v>
      </c>
    </row>
    <row r="1857">
      <c r="A1857" s="5" t="s">
        <v>56</v>
      </c>
      <c r="B1857" s="6">
        <v>652.0</v>
      </c>
      <c r="C1857" s="13" t="s">
        <v>321</v>
      </c>
      <c r="D1857" s="17">
        <f>SUMIFS(ShadowLedger!$D:$D,ShadowLedger!$G:$G,A1857,ShadowLedger!$C:$C,"&gt;="&amp;DATE(LEFT(SUBSTITUTE(C1857,"'",""),4),MID(SUBSTITUTE(C1857,"'",""),6,2),1),ShadowLedger!$C:$C,"&lt;"&amp;EOMONTH(DATE(LEFT(SUBSTITUTE(C1857,"'",""),4),MID(SUBSTITUTE(C1857,"'",""),6,2),1),0)+1)</f>
        <v>0</v>
      </c>
      <c r="E1857" s="17">
        <f t="shared" si="1"/>
        <v>652</v>
      </c>
      <c r="F1857" s="17">
        <f t="shared" si="2"/>
        <v>0</v>
      </c>
    </row>
    <row r="1858">
      <c r="A1858" s="5" t="s">
        <v>57</v>
      </c>
      <c r="B1858" s="6">
        <v>652.0</v>
      </c>
      <c r="C1858" s="13" t="s">
        <v>321</v>
      </c>
      <c r="D1858" s="17">
        <f>SUMIFS(ShadowLedger!$D:$D,ShadowLedger!$G:$G,A1858,ShadowLedger!$C:$C,"&gt;="&amp;DATE(LEFT(SUBSTITUTE(C1858,"'",""),4),MID(SUBSTITUTE(C1858,"'",""),6,2),1),ShadowLedger!$C:$C,"&lt;"&amp;EOMONTH(DATE(LEFT(SUBSTITUTE(C1858,"'",""),4),MID(SUBSTITUTE(C1858,"'",""),6,2),1),0)+1)</f>
        <v>0</v>
      </c>
      <c r="E1858" s="17">
        <f t="shared" si="1"/>
        <v>652</v>
      </c>
      <c r="F1858" s="17">
        <f t="shared" si="2"/>
        <v>0</v>
      </c>
    </row>
    <row r="1859">
      <c r="A1859" s="5" t="s">
        <v>58</v>
      </c>
      <c r="B1859" s="6">
        <v>522.0</v>
      </c>
      <c r="C1859" s="13" t="s">
        <v>321</v>
      </c>
      <c r="D1859" s="17">
        <f>SUMIFS(ShadowLedger!$D:$D,ShadowLedger!$G:$G,A1859,ShadowLedger!$C:$C,"&gt;="&amp;DATE(LEFT(SUBSTITUTE(C1859,"'",""),4),MID(SUBSTITUTE(C1859,"'",""),6,2),1),ShadowLedger!$C:$C,"&lt;"&amp;EOMONTH(DATE(LEFT(SUBSTITUTE(C1859,"'",""),4),MID(SUBSTITUTE(C1859,"'",""),6,2),1),0)+1)</f>
        <v>0</v>
      </c>
      <c r="E1859" s="17">
        <f t="shared" si="1"/>
        <v>522</v>
      </c>
      <c r="F1859" s="17">
        <f t="shared" si="2"/>
        <v>0</v>
      </c>
    </row>
    <row r="1860">
      <c r="A1860" s="5" t="s">
        <v>59</v>
      </c>
      <c r="B1860" s="6">
        <v>261.0</v>
      </c>
      <c r="C1860" s="13" t="s">
        <v>321</v>
      </c>
      <c r="D1860" s="17">
        <f>SUMIFS(ShadowLedger!$D:$D,ShadowLedger!$G:$G,A1860,ShadowLedger!$C:$C,"&gt;="&amp;DATE(LEFT(SUBSTITUTE(C1860,"'",""),4),MID(SUBSTITUTE(C1860,"'",""),6,2),1),ShadowLedger!$C:$C,"&lt;"&amp;EOMONTH(DATE(LEFT(SUBSTITUTE(C1860,"'",""),4),MID(SUBSTITUTE(C1860,"'",""),6,2),1),0)+1)</f>
        <v>0</v>
      </c>
      <c r="E1860" s="17">
        <f t="shared" si="1"/>
        <v>261</v>
      </c>
      <c r="F1860" s="17">
        <f t="shared" si="2"/>
        <v>0</v>
      </c>
    </row>
    <row r="1861">
      <c r="A1861" s="5" t="s">
        <v>60</v>
      </c>
      <c r="B1861" s="6">
        <v>196.0</v>
      </c>
      <c r="C1861" s="13" t="s">
        <v>321</v>
      </c>
      <c r="D1861" s="17">
        <f>SUMIFS(ShadowLedger!$D:$D,ShadowLedger!$G:$G,A1861,ShadowLedger!$C:$C,"&gt;="&amp;DATE(LEFT(SUBSTITUTE(C1861,"'",""),4),MID(SUBSTITUTE(C1861,"'",""),6,2),1),ShadowLedger!$C:$C,"&lt;"&amp;EOMONTH(DATE(LEFT(SUBSTITUTE(C1861,"'",""),4),MID(SUBSTITUTE(C1861,"'",""),6,2),1),0)+1)</f>
        <v>0</v>
      </c>
      <c r="E1861" s="17">
        <f t="shared" si="1"/>
        <v>196</v>
      </c>
      <c r="F1861" s="17">
        <f t="shared" si="2"/>
        <v>0</v>
      </c>
    </row>
    <row r="1862">
      <c r="A1862" s="5" t="s">
        <v>61</v>
      </c>
      <c r="B1862" s="6">
        <v>157.0</v>
      </c>
      <c r="C1862" s="13" t="s">
        <v>321</v>
      </c>
      <c r="D1862" s="17">
        <f>SUMIFS(ShadowLedger!$D:$D,ShadowLedger!$G:$G,A1862,ShadowLedger!$C:$C,"&gt;="&amp;DATE(LEFT(SUBSTITUTE(C1862,"'",""),4),MID(SUBSTITUTE(C1862,"'",""),6,2),1),ShadowLedger!$C:$C,"&lt;"&amp;EOMONTH(DATE(LEFT(SUBSTITUTE(C1862,"'",""),4),MID(SUBSTITUTE(C1862,"'",""),6,2),1),0)+1)</f>
        <v>0</v>
      </c>
      <c r="E1862" s="17">
        <f t="shared" si="1"/>
        <v>157</v>
      </c>
      <c r="F1862" s="17">
        <f t="shared" si="2"/>
        <v>0</v>
      </c>
    </row>
    <row r="1863">
      <c r="A1863" s="5" t="s">
        <v>62</v>
      </c>
      <c r="B1863" s="6">
        <v>157.0</v>
      </c>
      <c r="C1863" s="13" t="s">
        <v>321</v>
      </c>
      <c r="D1863" s="17">
        <f>SUMIFS(ShadowLedger!$D:$D,ShadowLedger!$G:$G,A1863,ShadowLedger!$C:$C,"&gt;="&amp;DATE(LEFT(SUBSTITUTE(C1863,"'",""),4),MID(SUBSTITUTE(C1863,"'",""),6,2),1),ShadowLedger!$C:$C,"&lt;"&amp;EOMONTH(DATE(LEFT(SUBSTITUTE(C1863,"'",""),4),MID(SUBSTITUTE(C1863,"'",""),6,2),1),0)+1)</f>
        <v>0</v>
      </c>
      <c r="E1863" s="17">
        <f t="shared" si="1"/>
        <v>157</v>
      </c>
      <c r="F1863" s="17">
        <f t="shared" si="2"/>
        <v>0</v>
      </c>
    </row>
    <row r="1864">
      <c r="A1864" s="5" t="s">
        <v>63</v>
      </c>
      <c r="B1864" s="6">
        <v>130.0</v>
      </c>
      <c r="C1864" s="13" t="s">
        <v>321</v>
      </c>
      <c r="D1864" s="17">
        <f>SUMIFS(ShadowLedger!$D:$D,ShadowLedger!$G:$G,A1864,ShadowLedger!$C:$C,"&gt;="&amp;DATE(LEFT(SUBSTITUTE(C1864,"'",""),4),MID(SUBSTITUTE(C1864,"'",""),6,2),1),ShadowLedger!$C:$C,"&lt;"&amp;EOMONTH(DATE(LEFT(SUBSTITUTE(C1864,"'",""),4),MID(SUBSTITUTE(C1864,"'",""),6,2),1),0)+1)</f>
        <v>0</v>
      </c>
      <c r="E1864" s="17">
        <f t="shared" si="1"/>
        <v>130</v>
      </c>
      <c r="F1864" s="17">
        <f t="shared" si="2"/>
        <v>0</v>
      </c>
    </row>
    <row r="1865">
      <c r="A1865" s="5" t="s">
        <v>64</v>
      </c>
      <c r="B1865" s="6">
        <v>130.0</v>
      </c>
      <c r="C1865" s="13" t="s">
        <v>321</v>
      </c>
      <c r="D1865" s="17">
        <f>SUMIFS(ShadowLedger!$D:$D,ShadowLedger!$G:$G,A1865,ShadowLedger!$C:$C,"&gt;="&amp;DATE(LEFT(SUBSTITUTE(C1865,"'",""),4),MID(SUBSTITUTE(C1865,"'",""),6,2),1),ShadowLedger!$C:$C,"&lt;"&amp;EOMONTH(DATE(LEFT(SUBSTITUTE(C1865,"'",""),4),MID(SUBSTITUTE(C1865,"'",""),6,2),1),0)+1)</f>
        <v>0</v>
      </c>
      <c r="E1865" s="17">
        <f t="shared" si="1"/>
        <v>130</v>
      </c>
      <c r="F1865" s="17">
        <f t="shared" si="2"/>
        <v>0</v>
      </c>
    </row>
    <row r="1866">
      <c r="A1866" s="5" t="s">
        <v>70</v>
      </c>
      <c r="B1866" s="6">
        <v>130.0</v>
      </c>
      <c r="C1866" s="13" t="s">
        <v>321</v>
      </c>
      <c r="D1866" s="17">
        <f>SUMIFS(ShadowLedger!$D:$D,ShadowLedger!$G:$G,A1866,ShadowLedger!$C:$C,"&gt;="&amp;DATE(LEFT(SUBSTITUTE(C1866,"'",""),4),MID(SUBSTITUTE(C1866,"'",""),6,2),1),ShadowLedger!$C:$C,"&lt;"&amp;EOMONTH(DATE(LEFT(SUBSTITUTE(C1866,"'",""),4),MID(SUBSTITUTE(C1866,"'",""),6,2),1),0)+1)</f>
        <v>0</v>
      </c>
      <c r="E1866" s="17">
        <f t="shared" si="1"/>
        <v>130</v>
      </c>
      <c r="F1866" s="17">
        <f t="shared" si="2"/>
        <v>0</v>
      </c>
    </row>
    <row r="1867">
      <c r="A1867" s="5" t="s">
        <v>65</v>
      </c>
      <c r="B1867" s="6">
        <v>65.0</v>
      </c>
      <c r="C1867" s="13" t="s">
        <v>321</v>
      </c>
      <c r="D1867" s="17">
        <f>SUMIFS(ShadowLedger!$D:$D,ShadowLedger!$G:$G,A1867,ShadowLedger!$C:$C,"&gt;="&amp;DATE(LEFT(SUBSTITUTE(C1867,"'",""),4),MID(SUBSTITUTE(C1867,"'",""),6,2),1),ShadowLedger!$C:$C,"&lt;"&amp;EOMONTH(DATE(LEFT(SUBSTITUTE(C1867,"'",""),4),MID(SUBSTITUTE(C1867,"'",""),6,2),1),0)+1)</f>
        <v>0</v>
      </c>
      <c r="E1867" s="17">
        <f t="shared" si="1"/>
        <v>65</v>
      </c>
      <c r="F1867" s="17">
        <f t="shared" si="2"/>
        <v>0</v>
      </c>
    </row>
    <row r="1868">
      <c r="A1868" s="5" t="s">
        <v>66</v>
      </c>
      <c r="B1868" s="6">
        <v>65.0</v>
      </c>
      <c r="C1868" s="13" t="s">
        <v>321</v>
      </c>
      <c r="D1868" s="17">
        <f>SUMIFS(ShadowLedger!$D:$D,ShadowLedger!$G:$G,A1868,ShadowLedger!$C:$C,"&gt;="&amp;DATE(LEFT(SUBSTITUTE(C1868,"'",""),4),MID(SUBSTITUTE(C1868,"'",""),6,2),1),ShadowLedger!$C:$C,"&lt;"&amp;EOMONTH(DATE(LEFT(SUBSTITUTE(C1868,"'",""),4),MID(SUBSTITUTE(C1868,"'",""),6,2),1),0)+1)</f>
        <v>0</v>
      </c>
      <c r="E1868" s="17">
        <f t="shared" si="1"/>
        <v>65</v>
      </c>
      <c r="F1868" s="17">
        <f t="shared" si="2"/>
        <v>0</v>
      </c>
    </row>
    <row r="1869">
      <c r="A1869" s="5" t="s">
        <v>67</v>
      </c>
      <c r="B1869" s="6">
        <v>65.0</v>
      </c>
      <c r="C1869" s="13" t="s">
        <v>321</v>
      </c>
      <c r="D1869" s="17">
        <f>SUMIFS(ShadowLedger!$D:$D,ShadowLedger!$G:$G,A1869,ShadowLedger!$C:$C,"&gt;="&amp;DATE(LEFT(SUBSTITUTE(C1869,"'",""),4),MID(SUBSTITUTE(C1869,"'",""),6,2),1),ShadowLedger!$C:$C,"&lt;"&amp;EOMONTH(DATE(LEFT(SUBSTITUTE(C1869,"'",""),4),MID(SUBSTITUTE(C1869,"'",""),6,2),1),0)+1)</f>
        <v>0</v>
      </c>
      <c r="E1869" s="17">
        <f t="shared" si="1"/>
        <v>65</v>
      </c>
      <c r="F1869" s="17">
        <f t="shared" si="2"/>
        <v>0</v>
      </c>
    </row>
    <row r="1870">
      <c r="A1870" s="5" t="s">
        <v>68</v>
      </c>
      <c r="B1870" s="6">
        <v>65.0</v>
      </c>
      <c r="C1870" s="13" t="s">
        <v>321</v>
      </c>
      <c r="D1870" s="17">
        <f>SUMIFS(ShadowLedger!$D:$D,ShadowLedger!$G:$G,A1870,ShadowLedger!$C:$C,"&gt;="&amp;DATE(LEFT(SUBSTITUTE(C1870,"'",""),4),MID(SUBSTITUTE(C1870,"'",""),6,2),1),ShadowLedger!$C:$C,"&lt;"&amp;EOMONTH(DATE(LEFT(SUBSTITUTE(C1870,"'",""),4),MID(SUBSTITUTE(C1870,"'",""),6,2),1),0)+1)</f>
        <v>0</v>
      </c>
      <c r="E1870" s="17">
        <f t="shared" si="1"/>
        <v>65</v>
      </c>
      <c r="F1870" s="17">
        <f t="shared" si="2"/>
        <v>0</v>
      </c>
    </row>
    <row r="1871">
      <c r="A1871" s="5" t="s">
        <v>69</v>
      </c>
      <c r="B1871" s="6">
        <v>0.0</v>
      </c>
      <c r="C1871" s="13" t="s">
        <v>321</v>
      </c>
      <c r="D1871" s="17">
        <f>SUMIFS(ShadowLedger!$D:$D,ShadowLedger!$G:$G,A1871,ShadowLedger!$C:$C,"&gt;="&amp;DATE(LEFT(SUBSTITUTE(C1871,"'",""),4),MID(SUBSTITUTE(C1871,"'",""),6,2),1),ShadowLedger!$C:$C,"&lt;"&amp;EOMONTH(DATE(LEFT(SUBSTITUTE(C1871,"'",""),4),MID(SUBSTITUTE(C1871,"'",""),6,2),1),0)+1)</f>
        <v>0</v>
      </c>
      <c r="E1871" s="17">
        <f t="shared" si="1"/>
        <v>0</v>
      </c>
      <c r="F1871" s="17">
        <f t="shared" si="2"/>
        <v>0</v>
      </c>
    </row>
    <row r="1872">
      <c r="A1872" s="5" t="s">
        <v>54</v>
      </c>
      <c r="B1872" s="6">
        <v>1200.0</v>
      </c>
      <c r="C1872" s="13" t="s">
        <v>322</v>
      </c>
      <c r="D1872" s="17">
        <f>SUMIFS(ShadowLedger!$D:$D,ShadowLedger!$G:$G,A1872,ShadowLedger!$C:$C,"&gt;="&amp;DATE(LEFT(SUBSTITUTE(C1872,"'",""),4),MID(SUBSTITUTE(C1872,"'",""),6,2),1),ShadowLedger!$C:$C,"&lt;"&amp;EOMONTH(DATE(LEFT(SUBSTITUTE(C1872,"'",""),4),MID(SUBSTITUTE(C1872,"'",""),6,2),1),0)+1)</f>
        <v>0</v>
      </c>
      <c r="E1872" s="17">
        <f t="shared" si="1"/>
        <v>1200</v>
      </c>
      <c r="F1872" s="17">
        <f t="shared" si="2"/>
        <v>0</v>
      </c>
    </row>
    <row r="1873">
      <c r="A1873" s="5" t="s">
        <v>55</v>
      </c>
      <c r="B1873" s="6">
        <v>913.0</v>
      </c>
      <c r="C1873" s="13" t="s">
        <v>322</v>
      </c>
      <c r="D1873" s="17">
        <f>SUMIFS(ShadowLedger!$D:$D,ShadowLedger!$G:$G,A1873,ShadowLedger!$C:$C,"&gt;="&amp;DATE(LEFT(SUBSTITUTE(C1873,"'",""),4),MID(SUBSTITUTE(C1873,"'",""),6,2),1),ShadowLedger!$C:$C,"&lt;"&amp;EOMONTH(DATE(LEFT(SUBSTITUTE(C1873,"'",""),4),MID(SUBSTITUTE(C1873,"'",""),6,2),1),0)+1)</f>
        <v>0</v>
      </c>
      <c r="E1873" s="17">
        <f t="shared" si="1"/>
        <v>913</v>
      </c>
      <c r="F1873" s="17">
        <f t="shared" si="2"/>
        <v>0</v>
      </c>
    </row>
    <row r="1874">
      <c r="A1874" s="5" t="s">
        <v>56</v>
      </c>
      <c r="B1874" s="6">
        <v>652.0</v>
      </c>
      <c r="C1874" s="13" t="s">
        <v>322</v>
      </c>
      <c r="D1874" s="17">
        <f>SUMIFS(ShadowLedger!$D:$D,ShadowLedger!$G:$G,A1874,ShadowLedger!$C:$C,"&gt;="&amp;DATE(LEFT(SUBSTITUTE(C1874,"'",""),4),MID(SUBSTITUTE(C1874,"'",""),6,2),1),ShadowLedger!$C:$C,"&lt;"&amp;EOMONTH(DATE(LEFT(SUBSTITUTE(C1874,"'",""),4),MID(SUBSTITUTE(C1874,"'",""),6,2),1),0)+1)</f>
        <v>0</v>
      </c>
      <c r="E1874" s="17">
        <f t="shared" si="1"/>
        <v>652</v>
      </c>
      <c r="F1874" s="17">
        <f t="shared" si="2"/>
        <v>0</v>
      </c>
    </row>
    <row r="1875">
      <c r="A1875" s="5" t="s">
        <v>57</v>
      </c>
      <c r="B1875" s="6">
        <v>652.0</v>
      </c>
      <c r="C1875" s="13" t="s">
        <v>322</v>
      </c>
      <c r="D1875" s="17">
        <f>SUMIFS(ShadowLedger!$D:$D,ShadowLedger!$G:$G,A1875,ShadowLedger!$C:$C,"&gt;="&amp;DATE(LEFT(SUBSTITUTE(C1875,"'",""),4),MID(SUBSTITUTE(C1875,"'",""),6,2),1),ShadowLedger!$C:$C,"&lt;"&amp;EOMONTH(DATE(LEFT(SUBSTITUTE(C1875,"'",""),4),MID(SUBSTITUTE(C1875,"'",""),6,2),1),0)+1)</f>
        <v>0</v>
      </c>
      <c r="E1875" s="17">
        <f t="shared" si="1"/>
        <v>652</v>
      </c>
      <c r="F1875" s="17">
        <f t="shared" si="2"/>
        <v>0</v>
      </c>
    </row>
    <row r="1876">
      <c r="A1876" s="5" t="s">
        <v>58</v>
      </c>
      <c r="B1876" s="6">
        <v>522.0</v>
      </c>
      <c r="C1876" s="13" t="s">
        <v>322</v>
      </c>
      <c r="D1876" s="17">
        <f>SUMIFS(ShadowLedger!$D:$D,ShadowLedger!$G:$G,A1876,ShadowLedger!$C:$C,"&gt;="&amp;DATE(LEFT(SUBSTITUTE(C1876,"'",""),4),MID(SUBSTITUTE(C1876,"'",""),6,2),1),ShadowLedger!$C:$C,"&lt;"&amp;EOMONTH(DATE(LEFT(SUBSTITUTE(C1876,"'",""),4),MID(SUBSTITUTE(C1876,"'",""),6,2),1),0)+1)</f>
        <v>0</v>
      </c>
      <c r="E1876" s="17">
        <f t="shared" si="1"/>
        <v>522</v>
      </c>
      <c r="F1876" s="17">
        <f t="shared" si="2"/>
        <v>0</v>
      </c>
    </row>
    <row r="1877">
      <c r="A1877" s="5" t="s">
        <v>59</v>
      </c>
      <c r="B1877" s="6">
        <v>261.0</v>
      </c>
      <c r="C1877" s="13" t="s">
        <v>322</v>
      </c>
      <c r="D1877" s="17">
        <f>SUMIFS(ShadowLedger!$D:$D,ShadowLedger!$G:$G,A1877,ShadowLedger!$C:$C,"&gt;="&amp;DATE(LEFT(SUBSTITUTE(C1877,"'",""),4),MID(SUBSTITUTE(C1877,"'",""),6,2),1),ShadowLedger!$C:$C,"&lt;"&amp;EOMONTH(DATE(LEFT(SUBSTITUTE(C1877,"'",""),4),MID(SUBSTITUTE(C1877,"'",""),6,2),1),0)+1)</f>
        <v>0</v>
      </c>
      <c r="E1877" s="17">
        <f t="shared" si="1"/>
        <v>261</v>
      </c>
      <c r="F1877" s="17">
        <f t="shared" si="2"/>
        <v>0</v>
      </c>
    </row>
    <row r="1878">
      <c r="A1878" s="5" t="s">
        <v>60</v>
      </c>
      <c r="B1878" s="6">
        <v>196.0</v>
      </c>
      <c r="C1878" s="13" t="s">
        <v>322</v>
      </c>
      <c r="D1878" s="17">
        <f>SUMIFS(ShadowLedger!$D:$D,ShadowLedger!$G:$G,A1878,ShadowLedger!$C:$C,"&gt;="&amp;DATE(LEFT(SUBSTITUTE(C1878,"'",""),4),MID(SUBSTITUTE(C1878,"'",""),6,2),1),ShadowLedger!$C:$C,"&lt;"&amp;EOMONTH(DATE(LEFT(SUBSTITUTE(C1878,"'",""),4),MID(SUBSTITUTE(C1878,"'",""),6,2),1),0)+1)</f>
        <v>0</v>
      </c>
      <c r="E1878" s="17">
        <f t="shared" si="1"/>
        <v>196</v>
      </c>
      <c r="F1878" s="17">
        <f t="shared" si="2"/>
        <v>0</v>
      </c>
    </row>
    <row r="1879">
      <c r="A1879" s="5" t="s">
        <v>61</v>
      </c>
      <c r="B1879" s="6">
        <v>157.0</v>
      </c>
      <c r="C1879" s="13" t="s">
        <v>322</v>
      </c>
      <c r="D1879" s="17">
        <f>SUMIFS(ShadowLedger!$D:$D,ShadowLedger!$G:$G,A1879,ShadowLedger!$C:$C,"&gt;="&amp;DATE(LEFT(SUBSTITUTE(C1879,"'",""),4),MID(SUBSTITUTE(C1879,"'",""),6,2),1),ShadowLedger!$C:$C,"&lt;"&amp;EOMONTH(DATE(LEFT(SUBSTITUTE(C1879,"'",""),4),MID(SUBSTITUTE(C1879,"'",""),6,2),1),0)+1)</f>
        <v>0</v>
      </c>
      <c r="E1879" s="17">
        <f t="shared" si="1"/>
        <v>157</v>
      </c>
      <c r="F1879" s="17">
        <f t="shared" si="2"/>
        <v>0</v>
      </c>
    </row>
    <row r="1880">
      <c r="A1880" s="5" t="s">
        <v>62</v>
      </c>
      <c r="B1880" s="6">
        <v>157.0</v>
      </c>
      <c r="C1880" s="13" t="s">
        <v>322</v>
      </c>
      <c r="D1880" s="17">
        <f>SUMIFS(ShadowLedger!$D:$D,ShadowLedger!$G:$G,A1880,ShadowLedger!$C:$C,"&gt;="&amp;DATE(LEFT(SUBSTITUTE(C1880,"'",""),4),MID(SUBSTITUTE(C1880,"'",""),6,2),1),ShadowLedger!$C:$C,"&lt;"&amp;EOMONTH(DATE(LEFT(SUBSTITUTE(C1880,"'",""),4),MID(SUBSTITUTE(C1880,"'",""),6,2),1),0)+1)</f>
        <v>0</v>
      </c>
      <c r="E1880" s="17">
        <f t="shared" si="1"/>
        <v>157</v>
      </c>
      <c r="F1880" s="17">
        <f t="shared" si="2"/>
        <v>0</v>
      </c>
    </row>
    <row r="1881">
      <c r="A1881" s="5" t="s">
        <v>63</v>
      </c>
      <c r="B1881" s="6">
        <v>130.0</v>
      </c>
      <c r="C1881" s="13" t="s">
        <v>322</v>
      </c>
      <c r="D1881" s="17">
        <f>SUMIFS(ShadowLedger!$D:$D,ShadowLedger!$G:$G,A1881,ShadowLedger!$C:$C,"&gt;="&amp;DATE(LEFT(SUBSTITUTE(C1881,"'",""),4),MID(SUBSTITUTE(C1881,"'",""),6,2),1),ShadowLedger!$C:$C,"&lt;"&amp;EOMONTH(DATE(LEFT(SUBSTITUTE(C1881,"'",""),4),MID(SUBSTITUTE(C1881,"'",""),6,2),1),0)+1)</f>
        <v>0</v>
      </c>
      <c r="E1881" s="17">
        <f t="shared" si="1"/>
        <v>130</v>
      </c>
      <c r="F1881" s="17">
        <f t="shared" si="2"/>
        <v>0</v>
      </c>
    </row>
    <row r="1882">
      <c r="A1882" s="5" t="s">
        <v>64</v>
      </c>
      <c r="B1882" s="6">
        <v>130.0</v>
      </c>
      <c r="C1882" s="13" t="s">
        <v>322</v>
      </c>
      <c r="D1882" s="17">
        <f>SUMIFS(ShadowLedger!$D:$D,ShadowLedger!$G:$G,A1882,ShadowLedger!$C:$C,"&gt;="&amp;DATE(LEFT(SUBSTITUTE(C1882,"'",""),4),MID(SUBSTITUTE(C1882,"'",""),6,2),1),ShadowLedger!$C:$C,"&lt;"&amp;EOMONTH(DATE(LEFT(SUBSTITUTE(C1882,"'",""),4),MID(SUBSTITUTE(C1882,"'",""),6,2),1),0)+1)</f>
        <v>0</v>
      </c>
      <c r="E1882" s="17">
        <f t="shared" si="1"/>
        <v>130</v>
      </c>
      <c r="F1882" s="17">
        <f t="shared" si="2"/>
        <v>0</v>
      </c>
    </row>
    <row r="1883">
      <c r="A1883" s="5" t="s">
        <v>70</v>
      </c>
      <c r="B1883" s="6">
        <v>130.0</v>
      </c>
      <c r="C1883" s="13" t="s">
        <v>322</v>
      </c>
      <c r="D1883" s="17">
        <f>SUMIFS(ShadowLedger!$D:$D,ShadowLedger!$G:$G,A1883,ShadowLedger!$C:$C,"&gt;="&amp;DATE(LEFT(SUBSTITUTE(C1883,"'",""),4),MID(SUBSTITUTE(C1883,"'",""),6,2),1),ShadowLedger!$C:$C,"&lt;"&amp;EOMONTH(DATE(LEFT(SUBSTITUTE(C1883,"'",""),4),MID(SUBSTITUTE(C1883,"'",""),6,2),1),0)+1)</f>
        <v>0</v>
      </c>
      <c r="E1883" s="17">
        <f t="shared" si="1"/>
        <v>130</v>
      </c>
      <c r="F1883" s="17">
        <f t="shared" si="2"/>
        <v>0</v>
      </c>
    </row>
    <row r="1884">
      <c r="A1884" s="5" t="s">
        <v>65</v>
      </c>
      <c r="B1884" s="6">
        <v>65.0</v>
      </c>
      <c r="C1884" s="13" t="s">
        <v>322</v>
      </c>
      <c r="D1884" s="17">
        <f>SUMIFS(ShadowLedger!$D:$D,ShadowLedger!$G:$G,A1884,ShadowLedger!$C:$C,"&gt;="&amp;DATE(LEFT(SUBSTITUTE(C1884,"'",""),4),MID(SUBSTITUTE(C1884,"'",""),6,2),1),ShadowLedger!$C:$C,"&lt;"&amp;EOMONTH(DATE(LEFT(SUBSTITUTE(C1884,"'",""),4),MID(SUBSTITUTE(C1884,"'",""),6,2),1),0)+1)</f>
        <v>0</v>
      </c>
      <c r="E1884" s="17">
        <f t="shared" si="1"/>
        <v>65</v>
      </c>
      <c r="F1884" s="17">
        <f t="shared" si="2"/>
        <v>0</v>
      </c>
    </row>
    <row r="1885">
      <c r="A1885" s="5" t="s">
        <v>66</v>
      </c>
      <c r="B1885" s="6">
        <v>65.0</v>
      </c>
      <c r="C1885" s="13" t="s">
        <v>322</v>
      </c>
      <c r="D1885" s="17">
        <f>SUMIFS(ShadowLedger!$D:$D,ShadowLedger!$G:$G,A1885,ShadowLedger!$C:$C,"&gt;="&amp;DATE(LEFT(SUBSTITUTE(C1885,"'",""),4),MID(SUBSTITUTE(C1885,"'",""),6,2),1),ShadowLedger!$C:$C,"&lt;"&amp;EOMONTH(DATE(LEFT(SUBSTITUTE(C1885,"'",""),4),MID(SUBSTITUTE(C1885,"'",""),6,2),1),0)+1)</f>
        <v>0</v>
      </c>
      <c r="E1885" s="17">
        <f t="shared" si="1"/>
        <v>65</v>
      </c>
      <c r="F1885" s="17">
        <f t="shared" si="2"/>
        <v>0</v>
      </c>
    </row>
    <row r="1886">
      <c r="A1886" s="5" t="s">
        <v>67</v>
      </c>
      <c r="B1886" s="6">
        <v>65.0</v>
      </c>
      <c r="C1886" s="13" t="s">
        <v>322</v>
      </c>
      <c r="D1886" s="17">
        <f>SUMIFS(ShadowLedger!$D:$D,ShadowLedger!$G:$G,A1886,ShadowLedger!$C:$C,"&gt;="&amp;DATE(LEFT(SUBSTITUTE(C1886,"'",""),4),MID(SUBSTITUTE(C1886,"'",""),6,2),1),ShadowLedger!$C:$C,"&lt;"&amp;EOMONTH(DATE(LEFT(SUBSTITUTE(C1886,"'",""),4),MID(SUBSTITUTE(C1886,"'",""),6,2),1),0)+1)</f>
        <v>0</v>
      </c>
      <c r="E1886" s="17">
        <f t="shared" si="1"/>
        <v>65</v>
      </c>
      <c r="F1886" s="17">
        <f t="shared" si="2"/>
        <v>0</v>
      </c>
    </row>
    <row r="1887">
      <c r="A1887" s="5" t="s">
        <v>68</v>
      </c>
      <c r="B1887" s="6">
        <v>65.0</v>
      </c>
      <c r="C1887" s="13" t="s">
        <v>322</v>
      </c>
      <c r="D1887" s="17">
        <f>SUMIFS(ShadowLedger!$D:$D,ShadowLedger!$G:$G,A1887,ShadowLedger!$C:$C,"&gt;="&amp;DATE(LEFT(SUBSTITUTE(C1887,"'",""),4),MID(SUBSTITUTE(C1887,"'",""),6,2),1),ShadowLedger!$C:$C,"&lt;"&amp;EOMONTH(DATE(LEFT(SUBSTITUTE(C1887,"'",""),4),MID(SUBSTITUTE(C1887,"'",""),6,2),1),0)+1)</f>
        <v>0</v>
      </c>
      <c r="E1887" s="17">
        <f t="shared" si="1"/>
        <v>65</v>
      </c>
      <c r="F1887" s="17">
        <f t="shared" si="2"/>
        <v>0</v>
      </c>
    </row>
    <row r="1888">
      <c r="A1888" s="5" t="s">
        <v>69</v>
      </c>
      <c r="B1888" s="6">
        <v>0.0</v>
      </c>
      <c r="C1888" s="13" t="s">
        <v>322</v>
      </c>
      <c r="D1888" s="17">
        <f>SUMIFS(ShadowLedger!$D:$D,ShadowLedger!$G:$G,A1888,ShadowLedger!$C:$C,"&gt;="&amp;DATE(LEFT(SUBSTITUTE(C1888,"'",""),4),MID(SUBSTITUTE(C1888,"'",""),6,2),1),ShadowLedger!$C:$C,"&lt;"&amp;EOMONTH(DATE(LEFT(SUBSTITUTE(C1888,"'",""),4),MID(SUBSTITUTE(C1888,"'",""),6,2),1),0)+1)</f>
        <v>0</v>
      </c>
      <c r="E1888" s="17">
        <f t="shared" si="1"/>
        <v>0</v>
      </c>
      <c r="F1888" s="17">
        <f t="shared" si="2"/>
        <v>0</v>
      </c>
    </row>
    <row r="1889">
      <c r="A1889" s="5" t="s">
        <v>54</v>
      </c>
      <c r="B1889" s="6">
        <v>1200.0</v>
      </c>
      <c r="C1889" s="13" t="s">
        <v>323</v>
      </c>
      <c r="D1889" s="17">
        <f>SUMIFS(ShadowLedger!$D:$D,ShadowLedger!$G:$G,A1889,ShadowLedger!$C:$C,"&gt;="&amp;DATE(LEFT(SUBSTITUTE(C1889,"'",""),4),MID(SUBSTITUTE(C1889,"'",""),6,2),1),ShadowLedger!$C:$C,"&lt;"&amp;EOMONTH(DATE(LEFT(SUBSTITUTE(C1889,"'",""),4),MID(SUBSTITUTE(C1889,"'",""),6,2),1),0)+1)</f>
        <v>0</v>
      </c>
      <c r="E1889" s="17">
        <f t="shared" si="1"/>
        <v>1200</v>
      </c>
      <c r="F1889" s="17">
        <f t="shared" si="2"/>
        <v>0</v>
      </c>
    </row>
    <row r="1890">
      <c r="A1890" s="5" t="s">
        <v>55</v>
      </c>
      <c r="B1890" s="6">
        <v>913.0</v>
      </c>
      <c r="C1890" s="13" t="s">
        <v>323</v>
      </c>
      <c r="D1890" s="17">
        <f>SUMIFS(ShadowLedger!$D:$D,ShadowLedger!$G:$G,A1890,ShadowLedger!$C:$C,"&gt;="&amp;DATE(LEFT(SUBSTITUTE(C1890,"'",""),4),MID(SUBSTITUTE(C1890,"'",""),6,2),1),ShadowLedger!$C:$C,"&lt;"&amp;EOMONTH(DATE(LEFT(SUBSTITUTE(C1890,"'",""),4),MID(SUBSTITUTE(C1890,"'",""),6,2),1),0)+1)</f>
        <v>0</v>
      </c>
      <c r="E1890" s="17">
        <f t="shared" si="1"/>
        <v>913</v>
      </c>
      <c r="F1890" s="17">
        <f t="shared" si="2"/>
        <v>0</v>
      </c>
    </row>
    <row r="1891">
      <c r="A1891" s="5" t="s">
        <v>56</v>
      </c>
      <c r="B1891" s="6">
        <v>652.0</v>
      </c>
      <c r="C1891" s="13" t="s">
        <v>323</v>
      </c>
      <c r="D1891" s="17">
        <f>SUMIFS(ShadowLedger!$D:$D,ShadowLedger!$G:$G,A1891,ShadowLedger!$C:$C,"&gt;="&amp;DATE(LEFT(SUBSTITUTE(C1891,"'",""),4),MID(SUBSTITUTE(C1891,"'",""),6,2),1),ShadowLedger!$C:$C,"&lt;"&amp;EOMONTH(DATE(LEFT(SUBSTITUTE(C1891,"'",""),4),MID(SUBSTITUTE(C1891,"'",""),6,2),1),0)+1)</f>
        <v>0</v>
      </c>
      <c r="E1891" s="17">
        <f t="shared" si="1"/>
        <v>652</v>
      </c>
      <c r="F1891" s="17">
        <f t="shared" si="2"/>
        <v>0</v>
      </c>
    </row>
    <row r="1892">
      <c r="A1892" s="5" t="s">
        <v>57</v>
      </c>
      <c r="B1892" s="6">
        <v>652.0</v>
      </c>
      <c r="C1892" s="13" t="s">
        <v>323</v>
      </c>
      <c r="D1892" s="17">
        <f>SUMIFS(ShadowLedger!$D:$D,ShadowLedger!$G:$G,A1892,ShadowLedger!$C:$C,"&gt;="&amp;DATE(LEFT(SUBSTITUTE(C1892,"'",""),4),MID(SUBSTITUTE(C1892,"'",""),6,2),1),ShadowLedger!$C:$C,"&lt;"&amp;EOMONTH(DATE(LEFT(SUBSTITUTE(C1892,"'",""),4),MID(SUBSTITUTE(C1892,"'",""),6,2),1),0)+1)</f>
        <v>0</v>
      </c>
      <c r="E1892" s="17">
        <f t="shared" si="1"/>
        <v>652</v>
      </c>
      <c r="F1892" s="17">
        <f t="shared" si="2"/>
        <v>0</v>
      </c>
    </row>
    <row r="1893">
      <c r="A1893" s="5" t="s">
        <v>58</v>
      </c>
      <c r="B1893" s="6">
        <v>522.0</v>
      </c>
      <c r="C1893" s="13" t="s">
        <v>323</v>
      </c>
      <c r="D1893" s="17">
        <f>SUMIFS(ShadowLedger!$D:$D,ShadowLedger!$G:$G,A1893,ShadowLedger!$C:$C,"&gt;="&amp;DATE(LEFT(SUBSTITUTE(C1893,"'",""),4),MID(SUBSTITUTE(C1893,"'",""),6,2),1),ShadowLedger!$C:$C,"&lt;"&amp;EOMONTH(DATE(LEFT(SUBSTITUTE(C1893,"'",""),4),MID(SUBSTITUTE(C1893,"'",""),6,2),1),0)+1)</f>
        <v>0</v>
      </c>
      <c r="E1893" s="17">
        <f t="shared" si="1"/>
        <v>522</v>
      </c>
      <c r="F1893" s="17">
        <f t="shared" si="2"/>
        <v>0</v>
      </c>
    </row>
    <row r="1894">
      <c r="A1894" s="5" t="s">
        <v>59</v>
      </c>
      <c r="B1894" s="6">
        <v>261.0</v>
      </c>
      <c r="C1894" s="13" t="s">
        <v>323</v>
      </c>
      <c r="D1894" s="17">
        <f>SUMIFS(ShadowLedger!$D:$D,ShadowLedger!$G:$G,A1894,ShadowLedger!$C:$C,"&gt;="&amp;DATE(LEFT(SUBSTITUTE(C1894,"'",""),4),MID(SUBSTITUTE(C1894,"'",""),6,2),1),ShadowLedger!$C:$C,"&lt;"&amp;EOMONTH(DATE(LEFT(SUBSTITUTE(C1894,"'",""),4),MID(SUBSTITUTE(C1894,"'",""),6,2),1),0)+1)</f>
        <v>0</v>
      </c>
      <c r="E1894" s="17">
        <f t="shared" si="1"/>
        <v>261</v>
      </c>
      <c r="F1894" s="17">
        <f t="shared" si="2"/>
        <v>0</v>
      </c>
    </row>
    <row r="1895">
      <c r="A1895" s="5" t="s">
        <v>60</v>
      </c>
      <c r="B1895" s="6">
        <v>196.0</v>
      </c>
      <c r="C1895" s="13" t="s">
        <v>323</v>
      </c>
      <c r="D1895" s="17">
        <f>SUMIFS(ShadowLedger!$D:$D,ShadowLedger!$G:$G,A1895,ShadowLedger!$C:$C,"&gt;="&amp;DATE(LEFT(SUBSTITUTE(C1895,"'",""),4),MID(SUBSTITUTE(C1895,"'",""),6,2),1),ShadowLedger!$C:$C,"&lt;"&amp;EOMONTH(DATE(LEFT(SUBSTITUTE(C1895,"'",""),4),MID(SUBSTITUTE(C1895,"'",""),6,2),1),0)+1)</f>
        <v>0</v>
      </c>
      <c r="E1895" s="17">
        <f t="shared" si="1"/>
        <v>196</v>
      </c>
      <c r="F1895" s="17">
        <f t="shared" si="2"/>
        <v>0</v>
      </c>
    </row>
    <row r="1896">
      <c r="A1896" s="5" t="s">
        <v>61</v>
      </c>
      <c r="B1896" s="6">
        <v>157.0</v>
      </c>
      <c r="C1896" s="13" t="s">
        <v>323</v>
      </c>
      <c r="D1896" s="17">
        <f>SUMIFS(ShadowLedger!$D:$D,ShadowLedger!$G:$G,A1896,ShadowLedger!$C:$C,"&gt;="&amp;DATE(LEFT(SUBSTITUTE(C1896,"'",""),4),MID(SUBSTITUTE(C1896,"'",""),6,2),1),ShadowLedger!$C:$C,"&lt;"&amp;EOMONTH(DATE(LEFT(SUBSTITUTE(C1896,"'",""),4),MID(SUBSTITUTE(C1896,"'",""),6,2),1),0)+1)</f>
        <v>0</v>
      </c>
      <c r="E1896" s="17">
        <f t="shared" si="1"/>
        <v>157</v>
      </c>
      <c r="F1896" s="17">
        <f t="shared" si="2"/>
        <v>0</v>
      </c>
    </row>
    <row r="1897">
      <c r="A1897" s="5" t="s">
        <v>62</v>
      </c>
      <c r="B1897" s="6">
        <v>157.0</v>
      </c>
      <c r="C1897" s="13" t="s">
        <v>323</v>
      </c>
      <c r="D1897" s="17">
        <f>SUMIFS(ShadowLedger!$D:$D,ShadowLedger!$G:$G,A1897,ShadowLedger!$C:$C,"&gt;="&amp;DATE(LEFT(SUBSTITUTE(C1897,"'",""),4),MID(SUBSTITUTE(C1897,"'",""),6,2),1),ShadowLedger!$C:$C,"&lt;"&amp;EOMONTH(DATE(LEFT(SUBSTITUTE(C1897,"'",""),4),MID(SUBSTITUTE(C1897,"'",""),6,2),1),0)+1)</f>
        <v>0</v>
      </c>
      <c r="E1897" s="17">
        <f t="shared" si="1"/>
        <v>157</v>
      </c>
      <c r="F1897" s="17">
        <f t="shared" si="2"/>
        <v>0</v>
      </c>
    </row>
    <row r="1898">
      <c r="A1898" s="5" t="s">
        <v>63</v>
      </c>
      <c r="B1898" s="6">
        <v>130.0</v>
      </c>
      <c r="C1898" s="13" t="s">
        <v>323</v>
      </c>
      <c r="D1898" s="17">
        <f>SUMIFS(ShadowLedger!$D:$D,ShadowLedger!$G:$G,A1898,ShadowLedger!$C:$C,"&gt;="&amp;DATE(LEFT(SUBSTITUTE(C1898,"'",""),4),MID(SUBSTITUTE(C1898,"'",""),6,2),1),ShadowLedger!$C:$C,"&lt;"&amp;EOMONTH(DATE(LEFT(SUBSTITUTE(C1898,"'",""),4),MID(SUBSTITUTE(C1898,"'",""),6,2),1),0)+1)</f>
        <v>0</v>
      </c>
      <c r="E1898" s="17">
        <f t="shared" si="1"/>
        <v>130</v>
      </c>
      <c r="F1898" s="17">
        <f t="shared" si="2"/>
        <v>0</v>
      </c>
    </row>
    <row r="1899">
      <c r="A1899" s="5" t="s">
        <v>64</v>
      </c>
      <c r="B1899" s="6">
        <v>130.0</v>
      </c>
      <c r="C1899" s="13" t="s">
        <v>323</v>
      </c>
      <c r="D1899" s="17">
        <f>SUMIFS(ShadowLedger!$D:$D,ShadowLedger!$G:$G,A1899,ShadowLedger!$C:$C,"&gt;="&amp;DATE(LEFT(SUBSTITUTE(C1899,"'",""),4),MID(SUBSTITUTE(C1899,"'",""),6,2),1),ShadowLedger!$C:$C,"&lt;"&amp;EOMONTH(DATE(LEFT(SUBSTITUTE(C1899,"'",""),4),MID(SUBSTITUTE(C1899,"'",""),6,2),1),0)+1)</f>
        <v>0</v>
      </c>
      <c r="E1899" s="17">
        <f t="shared" si="1"/>
        <v>130</v>
      </c>
      <c r="F1899" s="17">
        <f t="shared" si="2"/>
        <v>0</v>
      </c>
    </row>
    <row r="1900">
      <c r="A1900" s="5" t="s">
        <v>70</v>
      </c>
      <c r="B1900" s="6">
        <v>130.0</v>
      </c>
      <c r="C1900" s="13" t="s">
        <v>323</v>
      </c>
      <c r="D1900" s="17">
        <f>SUMIFS(ShadowLedger!$D:$D,ShadowLedger!$G:$G,A1900,ShadowLedger!$C:$C,"&gt;="&amp;DATE(LEFT(SUBSTITUTE(C1900,"'",""),4),MID(SUBSTITUTE(C1900,"'",""),6,2),1),ShadowLedger!$C:$C,"&lt;"&amp;EOMONTH(DATE(LEFT(SUBSTITUTE(C1900,"'",""),4),MID(SUBSTITUTE(C1900,"'",""),6,2),1),0)+1)</f>
        <v>0</v>
      </c>
      <c r="E1900" s="17">
        <f t="shared" si="1"/>
        <v>130</v>
      </c>
      <c r="F1900" s="17">
        <f t="shared" si="2"/>
        <v>0</v>
      </c>
    </row>
    <row r="1901">
      <c r="A1901" s="5" t="s">
        <v>65</v>
      </c>
      <c r="B1901" s="6">
        <v>65.0</v>
      </c>
      <c r="C1901" s="13" t="s">
        <v>323</v>
      </c>
      <c r="D1901" s="17">
        <f>SUMIFS(ShadowLedger!$D:$D,ShadowLedger!$G:$G,A1901,ShadowLedger!$C:$C,"&gt;="&amp;DATE(LEFT(SUBSTITUTE(C1901,"'",""),4),MID(SUBSTITUTE(C1901,"'",""),6,2),1),ShadowLedger!$C:$C,"&lt;"&amp;EOMONTH(DATE(LEFT(SUBSTITUTE(C1901,"'",""),4),MID(SUBSTITUTE(C1901,"'",""),6,2),1),0)+1)</f>
        <v>0</v>
      </c>
      <c r="E1901" s="17">
        <f t="shared" si="1"/>
        <v>65</v>
      </c>
      <c r="F1901" s="17">
        <f t="shared" si="2"/>
        <v>0</v>
      </c>
    </row>
    <row r="1902">
      <c r="A1902" s="5" t="s">
        <v>66</v>
      </c>
      <c r="B1902" s="6">
        <v>65.0</v>
      </c>
      <c r="C1902" s="13" t="s">
        <v>323</v>
      </c>
      <c r="D1902" s="17">
        <f>SUMIFS(ShadowLedger!$D:$D,ShadowLedger!$G:$G,A1902,ShadowLedger!$C:$C,"&gt;="&amp;DATE(LEFT(SUBSTITUTE(C1902,"'",""),4),MID(SUBSTITUTE(C1902,"'",""),6,2),1),ShadowLedger!$C:$C,"&lt;"&amp;EOMONTH(DATE(LEFT(SUBSTITUTE(C1902,"'",""),4),MID(SUBSTITUTE(C1902,"'",""),6,2),1),0)+1)</f>
        <v>0</v>
      </c>
      <c r="E1902" s="17">
        <f t="shared" si="1"/>
        <v>65</v>
      </c>
      <c r="F1902" s="17">
        <f t="shared" si="2"/>
        <v>0</v>
      </c>
    </row>
    <row r="1903">
      <c r="A1903" s="5" t="s">
        <v>67</v>
      </c>
      <c r="B1903" s="6">
        <v>65.0</v>
      </c>
      <c r="C1903" s="13" t="s">
        <v>323</v>
      </c>
      <c r="D1903" s="17">
        <f>SUMIFS(ShadowLedger!$D:$D,ShadowLedger!$G:$G,A1903,ShadowLedger!$C:$C,"&gt;="&amp;DATE(LEFT(SUBSTITUTE(C1903,"'",""),4),MID(SUBSTITUTE(C1903,"'",""),6,2),1),ShadowLedger!$C:$C,"&lt;"&amp;EOMONTH(DATE(LEFT(SUBSTITUTE(C1903,"'",""),4),MID(SUBSTITUTE(C1903,"'",""),6,2),1),0)+1)</f>
        <v>0</v>
      </c>
      <c r="E1903" s="17">
        <f t="shared" si="1"/>
        <v>65</v>
      </c>
      <c r="F1903" s="17">
        <f t="shared" si="2"/>
        <v>0</v>
      </c>
    </row>
    <row r="1904">
      <c r="A1904" s="5" t="s">
        <v>68</v>
      </c>
      <c r="B1904" s="6">
        <v>65.0</v>
      </c>
      <c r="C1904" s="13" t="s">
        <v>323</v>
      </c>
      <c r="D1904" s="17">
        <f>SUMIFS(ShadowLedger!$D:$D,ShadowLedger!$G:$G,A1904,ShadowLedger!$C:$C,"&gt;="&amp;DATE(LEFT(SUBSTITUTE(C1904,"'",""),4),MID(SUBSTITUTE(C1904,"'",""),6,2),1),ShadowLedger!$C:$C,"&lt;"&amp;EOMONTH(DATE(LEFT(SUBSTITUTE(C1904,"'",""),4),MID(SUBSTITUTE(C1904,"'",""),6,2),1),0)+1)</f>
        <v>0</v>
      </c>
      <c r="E1904" s="17">
        <f t="shared" si="1"/>
        <v>65</v>
      </c>
      <c r="F1904" s="17">
        <f t="shared" si="2"/>
        <v>0</v>
      </c>
    </row>
    <row r="1905">
      <c r="A1905" s="5" t="s">
        <v>69</v>
      </c>
      <c r="B1905" s="6">
        <v>0.0</v>
      </c>
      <c r="C1905" s="13" t="s">
        <v>323</v>
      </c>
      <c r="D1905" s="17">
        <f>SUMIFS(ShadowLedger!$D:$D,ShadowLedger!$G:$G,A1905,ShadowLedger!$C:$C,"&gt;="&amp;DATE(LEFT(SUBSTITUTE(C1905,"'",""),4),MID(SUBSTITUTE(C1905,"'",""),6,2),1),ShadowLedger!$C:$C,"&lt;"&amp;EOMONTH(DATE(LEFT(SUBSTITUTE(C1905,"'",""),4),MID(SUBSTITUTE(C1905,"'",""),6,2),1),0)+1)</f>
        <v>0</v>
      </c>
      <c r="E1905" s="17">
        <f t="shared" si="1"/>
        <v>0</v>
      </c>
      <c r="F1905" s="17">
        <f t="shared" si="2"/>
        <v>0</v>
      </c>
    </row>
    <row r="1906">
      <c r="A1906" s="5" t="s">
        <v>54</v>
      </c>
      <c r="B1906" s="6">
        <v>1200.0</v>
      </c>
      <c r="C1906" s="13" t="s">
        <v>324</v>
      </c>
      <c r="D1906" s="17">
        <f>SUMIFS(ShadowLedger!$D:$D,ShadowLedger!$G:$G,A1906,ShadowLedger!$C:$C,"&gt;="&amp;DATE(LEFT(SUBSTITUTE(C1906,"'",""),4),MID(SUBSTITUTE(C1906,"'",""),6,2),1),ShadowLedger!$C:$C,"&lt;"&amp;EOMONTH(DATE(LEFT(SUBSTITUTE(C1906,"'",""),4),MID(SUBSTITUTE(C1906,"'",""),6,2),1),0)+1)</f>
        <v>0</v>
      </c>
      <c r="E1906" s="17">
        <f t="shared" si="1"/>
        <v>1200</v>
      </c>
      <c r="F1906" s="17">
        <f t="shared" si="2"/>
        <v>0</v>
      </c>
    </row>
    <row r="1907">
      <c r="A1907" s="5" t="s">
        <v>55</v>
      </c>
      <c r="B1907" s="6">
        <v>913.0</v>
      </c>
      <c r="C1907" s="13" t="s">
        <v>324</v>
      </c>
      <c r="D1907" s="17">
        <f>SUMIFS(ShadowLedger!$D:$D,ShadowLedger!$G:$G,A1907,ShadowLedger!$C:$C,"&gt;="&amp;DATE(LEFT(SUBSTITUTE(C1907,"'",""),4),MID(SUBSTITUTE(C1907,"'",""),6,2),1),ShadowLedger!$C:$C,"&lt;"&amp;EOMONTH(DATE(LEFT(SUBSTITUTE(C1907,"'",""),4),MID(SUBSTITUTE(C1907,"'",""),6,2),1),0)+1)</f>
        <v>0</v>
      </c>
      <c r="E1907" s="17">
        <f t="shared" si="1"/>
        <v>913</v>
      </c>
      <c r="F1907" s="17">
        <f t="shared" si="2"/>
        <v>0</v>
      </c>
    </row>
    <row r="1908">
      <c r="A1908" s="5" t="s">
        <v>56</v>
      </c>
      <c r="B1908" s="6">
        <v>652.0</v>
      </c>
      <c r="C1908" s="13" t="s">
        <v>324</v>
      </c>
      <c r="D1908" s="17">
        <f>SUMIFS(ShadowLedger!$D:$D,ShadowLedger!$G:$G,A1908,ShadowLedger!$C:$C,"&gt;="&amp;DATE(LEFT(SUBSTITUTE(C1908,"'",""),4),MID(SUBSTITUTE(C1908,"'",""),6,2),1),ShadowLedger!$C:$C,"&lt;"&amp;EOMONTH(DATE(LEFT(SUBSTITUTE(C1908,"'",""),4),MID(SUBSTITUTE(C1908,"'",""),6,2),1),0)+1)</f>
        <v>0</v>
      </c>
      <c r="E1908" s="17">
        <f t="shared" si="1"/>
        <v>652</v>
      </c>
      <c r="F1908" s="17">
        <f t="shared" si="2"/>
        <v>0</v>
      </c>
    </row>
    <row r="1909">
      <c r="A1909" s="5" t="s">
        <v>57</v>
      </c>
      <c r="B1909" s="6">
        <v>652.0</v>
      </c>
      <c r="C1909" s="13" t="s">
        <v>324</v>
      </c>
      <c r="D1909" s="17">
        <f>SUMIFS(ShadowLedger!$D:$D,ShadowLedger!$G:$G,A1909,ShadowLedger!$C:$C,"&gt;="&amp;DATE(LEFT(SUBSTITUTE(C1909,"'",""),4),MID(SUBSTITUTE(C1909,"'",""),6,2),1),ShadowLedger!$C:$C,"&lt;"&amp;EOMONTH(DATE(LEFT(SUBSTITUTE(C1909,"'",""),4),MID(SUBSTITUTE(C1909,"'",""),6,2),1),0)+1)</f>
        <v>0</v>
      </c>
      <c r="E1909" s="17">
        <f t="shared" si="1"/>
        <v>652</v>
      </c>
      <c r="F1909" s="17">
        <f t="shared" si="2"/>
        <v>0</v>
      </c>
    </row>
    <row r="1910">
      <c r="A1910" s="5" t="s">
        <v>58</v>
      </c>
      <c r="B1910" s="6">
        <v>522.0</v>
      </c>
      <c r="C1910" s="13" t="s">
        <v>324</v>
      </c>
      <c r="D1910" s="17">
        <f>SUMIFS(ShadowLedger!$D:$D,ShadowLedger!$G:$G,A1910,ShadowLedger!$C:$C,"&gt;="&amp;DATE(LEFT(SUBSTITUTE(C1910,"'",""),4),MID(SUBSTITUTE(C1910,"'",""),6,2),1),ShadowLedger!$C:$C,"&lt;"&amp;EOMONTH(DATE(LEFT(SUBSTITUTE(C1910,"'",""),4),MID(SUBSTITUTE(C1910,"'",""),6,2),1),0)+1)</f>
        <v>0</v>
      </c>
      <c r="E1910" s="17">
        <f t="shared" si="1"/>
        <v>522</v>
      </c>
      <c r="F1910" s="17">
        <f t="shared" si="2"/>
        <v>0</v>
      </c>
    </row>
    <row r="1911">
      <c r="A1911" s="5" t="s">
        <v>59</v>
      </c>
      <c r="B1911" s="6">
        <v>261.0</v>
      </c>
      <c r="C1911" s="13" t="s">
        <v>324</v>
      </c>
      <c r="D1911" s="17">
        <f>SUMIFS(ShadowLedger!$D:$D,ShadowLedger!$G:$G,A1911,ShadowLedger!$C:$C,"&gt;="&amp;DATE(LEFT(SUBSTITUTE(C1911,"'",""),4),MID(SUBSTITUTE(C1911,"'",""),6,2),1),ShadowLedger!$C:$C,"&lt;"&amp;EOMONTH(DATE(LEFT(SUBSTITUTE(C1911,"'",""),4),MID(SUBSTITUTE(C1911,"'",""),6,2),1),0)+1)</f>
        <v>0</v>
      </c>
      <c r="E1911" s="17">
        <f t="shared" si="1"/>
        <v>261</v>
      </c>
      <c r="F1911" s="17">
        <f t="shared" si="2"/>
        <v>0</v>
      </c>
    </row>
    <row r="1912">
      <c r="A1912" s="5" t="s">
        <v>60</v>
      </c>
      <c r="B1912" s="6">
        <v>196.0</v>
      </c>
      <c r="C1912" s="13" t="s">
        <v>324</v>
      </c>
      <c r="D1912" s="17">
        <f>SUMIFS(ShadowLedger!$D:$D,ShadowLedger!$G:$G,A1912,ShadowLedger!$C:$C,"&gt;="&amp;DATE(LEFT(SUBSTITUTE(C1912,"'",""),4),MID(SUBSTITUTE(C1912,"'",""),6,2),1),ShadowLedger!$C:$C,"&lt;"&amp;EOMONTH(DATE(LEFT(SUBSTITUTE(C1912,"'",""),4),MID(SUBSTITUTE(C1912,"'",""),6,2),1),0)+1)</f>
        <v>0</v>
      </c>
      <c r="E1912" s="17">
        <f t="shared" si="1"/>
        <v>196</v>
      </c>
      <c r="F1912" s="17">
        <f t="shared" si="2"/>
        <v>0</v>
      </c>
    </row>
    <row r="1913">
      <c r="A1913" s="5" t="s">
        <v>61</v>
      </c>
      <c r="B1913" s="6">
        <v>157.0</v>
      </c>
      <c r="C1913" s="13" t="s">
        <v>324</v>
      </c>
      <c r="D1913" s="17">
        <f>SUMIFS(ShadowLedger!$D:$D,ShadowLedger!$G:$G,A1913,ShadowLedger!$C:$C,"&gt;="&amp;DATE(LEFT(SUBSTITUTE(C1913,"'",""),4),MID(SUBSTITUTE(C1913,"'",""),6,2),1),ShadowLedger!$C:$C,"&lt;"&amp;EOMONTH(DATE(LEFT(SUBSTITUTE(C1913,"'",""),4),MID(SUBSTITUTE(C1913,"'",""),6,2),1),0)+1)</f>
        <v>0</v>
      </c>
      <c r="E1913" s="17">
        <f t="shared" si="1"/>
        <v>157</v>
      </c>
      <c r="F1913" s="17">
        <f t="shared" si="2"/>
        <v>0</v>
      </c>
    </row>
    <row r="1914">
      <c r="A1914" s="5" t="s">
        <v>62</v>
      </c>
      <c r="B1914" s="6">
        <v>157.0</v>
      </c>
      <c r="C1914" s="13" t="s">
        <v>324</v>
      </c>
      <c r="D1914" s="17">
        <f>SUMIFS(ShadowLedger!$D:$D,ShadowLedger!$G:$G,A1914,ShadowLedger!$C:$C,"&gt;="&amp;DATE(LEFT(SUBSTITUTE(C1914,"'",""),4),MID(SUBSTITUTE(C1914,"'",""),6,2),1),ShadowLedger!$C:$C,"&lt;"&amp;EOMONTH(DATE(LEFT(SUBSTITUTE(C1914,"'",""),4),MID(SUBSTITUTE(C1914,"'",""),6,2),1),0)+1)</f>
        <v>0</v>
      </c>
      <c r="E1914" s="17">
        <f t="shared" si="1"/>
        <v>157</v>
      </c>
      <c r="F1914" s="17">
        <f t="shared" si="2"/>
        <v>0</v>
      </c>
    </row>
    <row r="1915">
      <c r="A1915" s="5" t="s">
        <v>63</v>
      </c>
      <c r="B1915" s="6">
        <v>130.0</v>
      </c>
      <c r="C1915" s="13" t="s">
        <v>324</v>
      </c>
      <c r="D1915" s="17">
        <f>SUMIFS(ShadowLedger!$D:$D,ShadowLedger!$G:$G,A1915,ShadowLedger!$C:$C,"&gt;="&amp;DATE(LEFT(SUBSTITUTE(C1915,"'",""),4),MID(SUBSTITUTE(C1915,"'",""),6,2),1),ShadowLedger!$C:$C,"&lt;"&amp;EOMONTH(DATE(LEFT(SUBSTITUTE(C1915,"'",""),4),MID(SUBSTITUTE(C1915,"'",""),6,2),1),0)+1)</f>
        <v>0</v>
      </c>
      <c r="E1915" s="17">
        <f t="shared" si="1"/>
        <v>130</v>
      </c>
      <c r="F1915" s="17">
        <f t="shared" si="2"/>
        <v>0</v>
      </c>
    </row>
    <row r="1916">
      <c r="A1916" s="5" t="s">
        <v>64</v>
      </c>
      <c r="B1916" s="6">
        <v>130.0</v>
      </c>
      <c r="C1916" s="13" t="s">
        <v>324</v>
      </c>
      <c r="D1916" s="17">
        <f>SUMIFS(ShadowLedger!$D:$D,ShadowLedger!$G:$G,A1916,ShadowLedger!$C:$C,"&gt;="&amp;DATE(LEFT(SUBSTITUTE(C1916,"'",""),4),MID(SUBSTITUTE(C1916,"'",""),6,2),1),ShadowLedger!$C:$C,"&lt;"&amp;EOMONTH(DATE(LEFT(SUBSTITUTE(C1916,"'",""),4),MID(SUBSTITUTE(C1916,"'",""),6,2),1),0)+1)</f>
        <v>0</v>
      </c>
      <c r="E1916" s="17">
        <f t="shared" si="1"/>
        <v>130</v>
      </c>
      <c r="F1916" s="17">
        <f t="shared" si="2"/>
        <v>0</v>
      </c>
    </row>
    <row r="1917">
      <c r="A1917" s="5" t="s">
        <v>70</v>
      </c>
      <c r="B1917" s="6">
        <v>130.0</v>
      </c>
      <c r="C1917" s="13" t="s">
        <v>324</v>
      </c>
      <c r="D1917" s="17">
        <f>SUMIFS(ShadowLedger!$D:$D,ShadowLedger!$G:$G,A1917,ShadowLedger!$C:$C,"&gt;="&amp;DATE(LEFT(SUBSTITUTE(C1917,"'",""),4),MID(SUBSTITUTE(C1917,"'",""),6,2),1),ShadowLedger!$C:$C,"&lt;"&amp;EOMONTH(DATE(LEFT(SUBSTITUTE(C1917,"'",""),4),MID(SUBSTITUTE(C1917,"'",""),6,2),1),0)+1)</f>
        <v>0</v>
      </c>
      <c r="E1917" s="17">
        <f t="shared" si="1"/>
        <v>130</v>
      </c>
      <c r="F1917" s="17">
        <f t="shared" si="2"/>
        <v>0</v>
      </c>
    </row>
    <row r="1918">
      <c r="A1918" s="5" t="s">
        <v>65</v>
      </c>
      <c r="B1918" s="6">
        <v>65.0</v>
      </c>
      <c r="C1918" s="13" t="s">
        <v>324</v>
      </c>
      <c r="D1918" s="17">
        <f>SUMIFS(ShadowLedger!$D:$D,ShadowLedger!$G:$G,A1918,ShadowLedger!$C:$C,"&gt;="&amp;DATE(LEFT(SUBSTITUTE(C1918,"'",""),4),MID(SUBSTITUTE(C1918,"'",""),6,2),1),ShadowLedger!$C:$C,"&lt;"&amp;EOMONTH(DATE(LEFT(SUBSTITUTE(C1918,"'",""),4),MID(SUBSTITUTE(C1918,"'",""),6,2),1),0)+1)</f>
        <v>0</v>
      </c>
      <c r="E1918" s="17">
        <f t="shared" si="1"/>
        <v>65</v>
      </c>
      <c r="F1918" s="17">
        <f t="shared" si="2"/>
        <v>0</v>
      </c>
    </row>
    <row r="1919">
      <c r="A1919" s="5" t="s">
        <v>66</v>
      </c>
      <c r="B1919" s="6">
        <v>65.0</v>
      </c>
      <c r="C1919" s="13" t="s">
        <v>324</v>
      </c>
      <c r="D1919" s="17">
        <f>SUMIFS(ShadowLedger!$D:$D,ShadowLedger!$G:$G,A1919,ShadowLedger!$C:$C,"&gt;="&amp;DATE(LEFT(SUBSTITUTE(C1919,"'",""),4),MID(SUBSTITUTE(C1919,"'",""),6,2),1),ShadowLedger!$C:$C,"&lt;"&amp;EOMONTH(DATE(LEFT(SUBSTITUTE(C1919,"'",""),4),MID(SUBSTITUTE(C1919,"'",""),6,2),1),0)+1)</f>
        <v>0</v>
      </c>
      <c r="E1919" s="17">
        <f t="shared" si="1"/>
        <v>65</v>
      </c>
      <c r="F1919" s="17">
        <f t="shared" si="2"/>
        <v>0</v>
      </c>
    </row>
    <row r="1920">
      <c r="A1920" s="5" t="s">
        <v>67</v>
      </c>
      <c r="B1920" s="6">
        <v>65.0</v>
      </c>
      <c r="C1920" s="13" t="s">
        <v>324</v>
      </c>
      <c r="D1920" s="17">
        <f>SUMIFS(ShadowLedger!$D:$D,ShadowLedger!$G:$G,A1920,ShadowLedger!$C:$C,"&gt;="&amp;DATE(LEFT(SUBSTITUTE(C1920,"'",""),4),MID(SUBSTITUTE(C1920,"'",""),6,2),1),ShadowLedger!$C:$C,"&lt;"&amp;EOMONTH(DATE(LEFT(SUBSTITUTE(C1920,"'",""),4),MID(SUBSTITUTE(C1920,"'",""),6,2),1),0)+1)</f>
        <v>0</v>
      </c>
      <c r="E1920" s="17">
        <f t="shared" si="1"/>
        <v>65</v>
      </c>
      <c r="F1920" s="17">
        <f t="shared" si="2"/>
        <v>0</v>
      </c>
    </row>
    <row r="1921">
      <c r="A1921" s="5" t="s">
        <v>68</v>
      </c>
      <c r="B1921" s="6">
        <v>65.0</v>
      </c>
      <c r="C1921" s="13" t="s">
        <v>324</v>
      </c>
      <c r="D1921" s="17">
        <f>SUMIFS(ShadowLedger!$D:$D,ShadowLedger!$G:$G,A1921,ShadowLedger!$C:$C,"&gt;="&amp;DATE(LEFT(SUBSTITUTE(C1921,"'",""),4),MID(SUBSTITUTE(C1921,"'",""),6,2),1),ShadowLedger!$C:$C,"&lt;"&amp;EOMONTH(DATE(LEFT(SUBSTITUTE(C1921,"'",""),4),MID(SUBSTITUTE(C1921,"'",""),6,2),1),0)+1)</f>
        <v>0</v>
      </c>
      <c r="E1921" s="17">
        <f t="shared" si="1"/>
        <v>65</v>
      </c>
      <c r="F1921" s="17">
        <f t="shared" si="2"/>
        <v>0</v>
      </c>
    </row>
    <row r="1922">
      <c r="A1922" s="5" t="s">
        <v>69</v>
      </c>
      <c r="B1922" s="6">
        <v>0.0</v>
      </c>
      <c r="C1922" s="13" t="s">
        <v>324</v>
      </c>
      <c r="D1922" s="17">
        <f>SUMIFS(ShadowLedger!$D:$D,ShadowLedger!$G:$G,A1922,ShadowLedger!$C:$C,"&gt;="&amp;DATE(LEFT(SUBSTITUTE(C1922,"'",""),4),MID(SUBSTITUTE(C1922,"'",""),6,2),1),ShadowLedger!$C:$C,"&lt;"&amp;EOMONTH(DATE(LEFT(SUBSTITUTE(C1922,"'",""),4),MID(SUBSTITUTE(C1922,"'",""),6,2),1),0)+1)</f>
        <v>0</v>
      </c>
      <c r="E1922" s="17">
        <f t="shared" si="1"/>
        <v>0</v>
      </c>
      <c r="F1922" s="17">
        <f t="shared" si="2"/>
        <v>0</v>
      </c>
    </row>
    <row r="1923">
      <c r="A1923" s="5" t="s">
        <v>54</v>
      </c>
      <c r="B1923" s="6">
        <v>1200.0</v>
      </c>
      <c r="C1923" s="13" t="s">
        <v>325</v>
      </c>
      <c r="D1923" s="17">
        <f>SUMIFS(ShadowLedger!$D:$D,ShadowLedger!$G:$G,A1923,ShadowLedger!$C:$C,"&gt;="&amp;DATE(LEFT(SUBSTITUTE(C1923,"'",""),4),MID(SUBSTITUTE(C1923,"'",""),6,2),1),ShadowLedger!$C:$C,"&lt;"&amp;EOMONTH(DATE(LEFT(SUBSTITUTE(C1923,"'",""),4),MID(SUBSTITUTE(C1923,"'",""),6,2),1),0)+1)</f>
        <v>0</v>
      </c>
      <c r="E1923" s="17">
        <f t="shared" si="1"/>
        <v>1200</v>
      </c>
      <c r="F1923" s="17">
        <f t="shared" si="2"/>
        <v>0</v>
      </c>
    </row>
    <row r="1924">
      <c r="A1924" s="5" t="s">
        <v>55</v>
      </c>
      <c r="B1924" s="6">
        <v>913.0</v>
      </c>
      <c r="C1924" s="13" t="s">
        <v>325</v>
      </c>
      <c r="D1924" s="17">
        <f>SUMIFS(ShadowLedger!$D:$D,ShadowLedger!$G:$G,A1924,ShadowLedger!$C:$C,"&gt;="&amp;DATE(LEFT(SUBSTITUTE(C1924,"'",""),4),MID(SUBSTITUTE(C1924,"'",""),6,2),1),ShadowLedger!$C:$C,"&lt;"&amp;EOMONTH(DATE(LEFT(SUBSTITUTE(C1924,"'",""),4),MID(SUBSTITUTE(C1924,"'",""),6,2),1),0)+1)</f>
        <v>0</v>
      </c>
      <c r="E1924" s="17">
        <f t="shared" si="1"/>
        <v>913</v>
      </c>
      <c r="F1924" s="17">
        <f t="shared" si="2"/>
        <v>0</v>
      </c>
    </row>
    <row r="1925">
      <c r="A1925" s="5" t="s">
        <v>56</v>
      </c>
      <c r="B1925" s="6">
        <v>652.0</v>
      </c>
      <c r="C1925" s="13" t="s">
        <v>325</v>
      </c>
      <c r="D1925" s="17">
        <f>SUMIFS(ShadowLedger!$D:$D,ShadowLedger!$G:$G,A1925,ShadowLedger!$C:$C,"&gt;="&amp;DATE(LEFT(SUBSTITUTE(C1925,"'",""),4),MID(SUBSTITUTE(C1925,"'",""),6,2),1),ShadowLedger!$C:$C,"&lt;"&amp;EOMONTH(DATE(LEFT(SUBSTITUTE(C1925,"'",""),4),MID(SUBSTITUTE(C1925,"'",""),6,2),1),0)+1)</f>
        <v>0</v>
      </c>
      <c r="E1925" s="17">
        <f t="shared" si="1"/>
        <v>652</v>
      </c>
      <c r="F1925" s="17">
        <f t="shared" si="2"/>
        <v>0</v>
      </c>
    </row>
    <row r="1926">
      <c r="A1926" s="5" t="s">
        <v>57</v>
      </c>
      <c r="B1926" s="6">
        <v>652.0</v>
      </c>
      <c r="C1926" s="13" t="s">
        <v>325</v>
      </c>
      <c r="D1926" s="17">
        <f>SUMIFS(ShadowLedger!$D:$D,ShadowLedger!$G:$G,A1926,ShadowLedger!$C:$C,"&gt;="&amp;DATE(LEFT(SUBSTITUTE(C1926,"'",""),4),MID(SUBSTITUTE(C1926,"'",""),6,2),1),ShadowLedger!$C:$C,"&lt;"&amp;EOMONTH(DATE(LEFT(SUBSTITUTE(C1926,"'",""),4),MID(SUBSTITUTE(C1926,"'",""),6,2),1),0)+1)</f>
        <v>0</v>
      </c>
      <c r="E1926" s="17">
        <f t="shared" si="1"/>
        <v>652</v>
      </c>
      <c r="F1926" s="17">
        <f t="shared" si="2"/>
        <v>0</v>
      </c>
    </row>
    <row r="1927">
      <c r="A1927" s="5" t="s">
        <v>58</v>
      </c>
      <c r="B1927" s="6">
        <v>522.0</v>
      </c>
      <c r="C1927" s="13" t="s">
        <v>325</v>
      </c>
      <c r="D1927" s="17">
        <f>SUMIFS(ShadowLedger!$D:$D,ShadowLedger!$G:$G,A1927,ShadowLedger!$C:$C,"&gt;="&amp;DATE(LEFT(SUBSTITUTE(C1927,"'",""),4),MID(SUBSTITUTE(C1927,"'",""),6,2),1),ShadowLedger!$C:$C,"&lt;"&amp;EOMONTH(DATE(LEFT(SUBSTITUTE(C1927,"'",""),4),MID(SUBSTITUTE(C1927,"'",""),6,2),1),0)+1)</f>
        <v>0</v>
      </c>
      <c r="E1927" s="17">
        <f t="shared" si="1"/>
        <v>522</v>
      </c>
      <c r="F1927" s="17">
        <f t="shared" si="2"/>
        <v>0</v>
      </c>
    </row>
    <row r="1928">
      <c r="A1928" s="5" t="s">
        <v>59</v>
      </c>
      <c r="B1928" s="6">
        <v>261.0</v>
      </c>
      <c r="C1928" s="13" t="s">
        <v>325</v>
      </c>
      <c r="D1928" s="17">
        <f>SUMIFS(ShadowLedger!$D:$D,ShadowLedger!$G:$G,A1928,ShadowLedger!$C:$C,"&gt;="&amp;DATE(LEFT(SUBSTITUTE(C1928,"'",""),4),MID(SUBSTITUTE(C1928,"'",""),6,2),1),ShadowLedger!$C:$C,"&lt;"&amp;EOMONTH(DATE(LEFT(SUBSTITUTE(C1928,"'",""),4),MID(SUBSTITUTE(C1928,"'",""),6,2),1),0)+1)</f>
        <v>0</v>
      </c>
      <c r="E1928" s="17">
        <f t="shared" si="1"/>
        <v>261</v>
      </c>
      <c r="F1928" s="17">
        <f t="shared" si="2"/>
        <v>0</v>
      </c>
    </row>
    <row r="1929">
      <c r="A1929" s="5" t="s">
        <v>60</v>
      </c>
      <c r="B1929" s="6">
        <v>196.0</v>
      </c>
      <c r="C1929" s="13" t="s">
        <v>325</v>
      </c>
      <c r="D1929" s="17">
        <f>SUMIFS(ShadowLedger!$D:$D,ShadowLedger!$G:$G,A1929,ShadowLedger!$C:$C,"&gt;="&amp;DATE(LEFT(SUBSTITUTE(C1929,"'",""),4),MID(SUBSTITUTE(C1929,"'",""),6,2),1),ShadowLedger!$C:$C,"&lt;"&amp;EOMONTH(DATE(LEFT(SUBSTITUTE(C1929,"'",""),4),MID(SUBSTITUTE(C1929,"'",""),6,2),1),0)+1)</f>
        <v>0</v>
      </c>
      <c r="E1929" s="17">
        <f t="shared" si="1"/>
        <v>196</v>
      </c>
      <c r="F1929" s="17">
        <f t="shared" si="2"/>
        <v>0</v>
      </c>
    </row>
    <row r="1930">
      <c r="A1930" s="5" t="s">
        <v>61</v>
      </c>
      <c r="B1930" s="6">
        <v>157.0</v>
      </c>
      <c r="C1930" s="13" t="s">
        <v>325</v>
      </c>
      <c r="D1930" s="17">
        <f>SUMIFS(ShadowLedger!$D:$D,ShadowLedger!$G:$G,A1930,ShadowLedger!$C:$C,"&gt;="&amp;DATE(LEFT(SUBSTITUTE(C1930,"'",""),4),MID(SUBSTITUTE(C1930,"'",""),6,2),1),ShadowLedger!$C:$C,"&lt;"&amp;EOMONTH(DATE(LEFT(SUBSTITUTE(C1930,"'",""),4),MID(SUBSTITUTE(C1930,"'",""),6,2),1),0)+1)</f>
        <v>0</v>
      </c>
      <c r="E1930" s="17">
        <f t="shared" si="1"/>
        <v>157</v>
      </c>
      <c r="F1930" s="17">
        <f t="shared" si="2"/>
        <v>0</v>
      </c>
    </row>
    <row r="1931">
      <c r="A1931" s="5" t="s">
        <v>62</v>
      </c>
      <c r="B1931" s="6">
        <v>157.0</v>
      </c>
      <c r="C1931" s="13" t="s">
        <v>325</v>
      </c>
      <c r="D1931" s="17">
        <f>SUMIFS(ShadowLedger!$D:$D,ShadowLedger!$G:$G,A1931,ShadowLedger!$C:$C,"&gt;="&amp;DATE(LEFT(SUBSTITUTE(C1931,"'",""),4),MID(SUBSTITUTE(C1931,"'",""),6,2),1),ShadowLedger!$C:$C,"&lt;"&amp;EOMONTH(DATE(LEFT(SUBSTITUTE(C1931,"'",""),4),MID(SUBSTITUTE(C1931,"'",""),6,2),1),0)+1)</f>
        <v>0</v>
      </c>
      <c r="E1931" s="17">
        <f t="shared" si="1"/>
        <v>157</v>
      </c>
      <c r="F1931" s="17">
        <f t="shared" si="2"/>
        <v>0</v>
      </c>
    </row>
    <row r="1932">
      <c r="A1932" s="5" t="s">
        <v>63</v>
      </c>
      <c r="B1932" s="6">
        <v>130.0</v>
      </c>
      <c r="C1932" s="13" t="s">
        <v>325</v>
      </c>
      <c r="D1932" s="17">
        <f>SUMIFS(ShadowLedger!$D:$D,ShadowLedger!$G:$G,A1932,ShadowLedger!$C:$C,"&gt;="&amp;DATE(LEFT(SUBSTITUTE(C1932,"'",""),4),MID(SUBSTITUTE(C1932,"'",""),6,2),1),ShadowLedger!$C:$C,"&lt;"&amp;EOMONTH(DATE(LEFT(SUBSTITUTE(C1932,"'",""),4),MID(SUBSTITUTE(C1932,"'",""),6,2),1),0)+1)</f>
        <v>0</v>
      </c>
      <c r="E1932" s="17">
        <f t="shared" si="1"/>
        <v>130</v>
      </c>
      <c r="F1932" s="17">
        <f t="shared" si="2"/>
        <v>0</v>
      </c>
    </row>
    <row r="1933">
      <c r="A1933" s="5" t="s">
        <v>64</v>
      </c>
      <c r="B1933" s="6">
        <v>130.0</v>
      </c>
      <c r="C1933" s="13" t="s">
        <v>325</v>
      </c>
      <c r="D1933" s="17">
        <f>SUMIFS(ShadowLedger!$D:$D,ShadowLedger!$G:$G,A1933,ShadowLedger!$C:$C,"&gt;="&amp;DATE(LEFT(SUBSTITUTE(C1933,"'",""),4),MID(SUBSTITUTE(C1933,"'",""),6,2),1),ShadowLedger!$C:$C,"&lt;"&amp;EOMONTH(DATE(LEFT(SUBSTITUTE(C1933,"'",""),4),MID(SUBSTITUTE(C1933,"'",""),6,2),1),0)+1)</f>
        <v>0</v>
      </c>
      <c r="E1933" s="17">
        <f t="shared" si="1"/>
        <v>130</v>
      </c>
      <c r="F1933" s="17">
        <f t="shared" si="2"/>
        <v>0</v>
      </c>
    </row>
    <row r="1934">
      <c r="A1934" s="5" t="s">
        <v>70</v>
      </c>
      <c r="B1934" s="6">
        <v>130.0</v>
      </c>
      <c r="C1934" s="13" t="s">
        <v>325</v>
      </c>
      <c r="D1934" s="17">
        <f>SUMIFS(ShadowLedger!$D:$D,ShadowLedger!$G:$G,A1934,ShadowLedger!$C:$C,"&gt;="&amp;DATE(LEFT(SUBSTITUTE(C1934,"'",""),4),MID(SUBSTITUTE(C1934,"'",""),6,2),1),ShadowLedger!$C:$C,"&lt;"&amp;EOMONTH(DATE(LEFT(SUBSTITUTE(C1934,"'",""),4),MID(SUBSTITUTE(C1934,"'",""),6,2),1),0)+1)</f>
        <v>0</v>
      </c>
      <c r="E1934" s="17">
        <f t="shared" si="1"/>
        <v>130</v>
      </c>
      <c r="F1934" s="17">
        <f t="shared" si="2"/>
        <v>0</v>
      </c>
    </row>
    <row r="1935">
      <c r="A1935" s="5" t="s">
        <v>65</v>
      </c>
      <c r="B1935" s="6">
        <v>65.0</v>
      </c>
      <c r="C1935" s="13" t="s">
        <v>325</v>
      </c>
      <c r="D1935" s="17">
        <f>SUMIFS(ShadowLedger!$D:$D,ShadowLedger!$G:$G,A1935,ShadowLedger!$C:$C,"&gt;="&amp;DATE(LEFT(SUBSTITUTE(C1935,"'",""),4),MID(SUBSTITUTE(C1935,"'",""),6,2),1),ShadowLedger!$C:$C,"&lt;"&amp;EOMONTH(DATE(LEFT(SUBSTITUTE(C1935,"'",""),4),MID(SUBSTITUTE(C1935,"'",""),6,2),1),0)+1)</f>
        <v>0</v>
      </c>
      <c r="E1935" s="17">
        <f t="shared" si="1"/>
        <v>65</v>
      </c>
      <c r="F1935" s="17">
        <f t="shared" si="2"/>
        <v>0</v>
      </c>
    </row>
    <row r="1936">
      <c r="A1936" s="5" t="s">
        <v>66</v>
      </c>
      <c r="B1936" s="6">
        <v>65.0</v>
      </c>
      <c r="C1936" s="13" t="s">
        <v>325</v>
      </c>
      <c r="D1936" s="17">
        <f>SUMIFS(ShadowLedger!$D:$D,ShadowLedger!$G:$G,A1936,ShadowLedger!$C:$C,"&gt;="&amp;DATE(LEFT(SUBSTITUTE(C1936,"'",""),4),MID(SUBSTITUTE(C1936,"'",""),6,2),1),ShadowLedger!$C:$C,"&lt;"&amp;EOMONTH(DATE(LEFT(SUBSTITUTE(C1936,"'",""),4),MID(SUBSTITUTE(C1936,"'",""),6,2),1),0)+1)</f>
        <v>0</v>
      </c>
      <c r="E1936" s="17">
        <f t="shared" si="1"/>
        <v>65</v>
      </c>
      <c r="F1936" s="17">
        <f t="shared" si="2"/>
        <v>0</v>
      </c>
    </row>
    <row r="1937">
      <c r="A1937" s="5" t="s">
        <v>67</v>
      </c>
      <c r="B1937" s="6">
        <v>65.0</v>
      </c>
      <c r="C1937" s="13" t="s">
        <v>325</v>
      </c>
      <c r="D1937" s="17">
        <f>SUMIFS(ShadowLedger!$D:$D,ShadowLedger!$G:$G,A1937,ShadowLedger!$C:$C,"&gt;="&amp;DATE(LEFT(SUBSTITUTE(C1937,"'",""),4),MID(SUBSTITUTE(C1937,"'",""),6,2),1),ShadowLedger!$C:$C,"&lt;"&amp;EOMONTH(DATE(LEFT(SUBSTITUTE(C1937,"'",""),4),MID(SUBSTITUTE(C1937,"'",""),6,2),1),0)+1)</f>
        <v>0</v>
      </c>
      <c r="E1937" s="17">
        <f t="shared" si="1"/>
        <v>65</v>
      </c>
      <c r="F1937" s="17">
        <f t="shared" si="2"/>
        <v>0</v>
      </c>
    </row>
    <row r="1938">
      <c r="A1938" s="5" t="s">
        <v>68</v>
      </c>
      <c r="B1938" s="6">
        <v>65.0</v>
      </c>
      <c r="C1938" s="13" t="s">
        <v>325</v>
      </c>
      <c r="D1938" s="17">
        <f>SUMIFS(ShadowLedger!$D:$D,ShadowLedger!$G:$G,A1938,ShadowLedger!$C:$C,"&gt;="&amp;DATE(LEFT(SUBSTITUTE(C1938,"'",""),4),MID(SUBSTITUTE(C1938,"'",""),6,2),1),ShadowLedger!$C:$C,"&lt;"&amp;EOMONTH(DATE(LEFT(SUBSTITUTE(C1938,"'",""),4),MID(SUBSTITUTE(C1938,"'",""),6,2),1),0)+1)</f>
        <v>0</v>
      </c>
      <c r="E1938" s="17">
        <f t="shared" si="1"/>
        <v>65</v>
      </c>
      <c r="F1938" s="17">
        <f t="shared" si="2"/>
        <v>0</v>
      </c>
    </row>
    <row r="1939">
      <c r="A1939" s="5" t="s">
        <v>69</v>
      </c>
      <c r="B1939" s="6">
        <v>0.0</v>
      </c>
      <c r="C1939" s="13" t="s">
        <v>325</v>
      </c>
      <c r="D1939" s="17">
        <f>SUMIFS(ShadowLedger!$D:$D,ShadowLedger!$G:$G,A1939,ShadowLedger!$C:$C,"&gt;="&amp;DATE(LEFT(SUBSTITUTE(C1939,"'",""),4),MID(SUBSTITUTE(C1939,"'",""),6,2),1),ShadowLedger!$C:$C,"&lt;"&amp;EOMONTH(DATE(LEFT(SUBSTITUTE(C1939,"'",""),4),MID(SUBSTITUTE(C1939,"'",""),6,2),1),0)+1)</f>
        <v>0</v>
      </c>
      <c r="E1939" s="17">
        <f t="shared" si="1"/>
        <v>0</v>
      </c>
      <c r="F1939" s="17">
        <f t="shared" si="2"/>
        <v>0</v>
      </c>
    </row>
    <row r="1940">
      <c r="A1940" s="5" t="s">
        <v>54</v>
      </c>
      <c r="B1940" s="6">
        <v>1200.0</v>
      </c>
      <c r="C1940" s="13" t="s">
        <v>326</v>
      </c>
      <c r="D1940" s="17">
        <f>SUMIFS(ShadowLedger!$D:$D,ShadowLedger!$G:$G,A1940,ShadowLedger!$C:$C,"&gt;="&amp;DATE(LEFT(SUBSTITUTE(C1940,"'",""),4),MID(SUBSTITUTE(C1940,"'",""),6,2),1),ShadowLedger!$C:$C,"&lt;"&amp;EOMONTH(DATE(LEFT(SUBSTITUTE(C1940,"'",""),4),MID(SUBSTITUTE(C1940,"'",""),6,2),1),0)+1)</f>
        <v>0</v>
      </c>
      <c r="E1940" s="17">
        <f t="shared" si="1"/>
        <v>1200</v>
      </c>
      <c r="F1940" s="17">
        <f t="shared" si="2"/>
        <v>0</v>
      </c>
    </row>
    <row r="1941">
      <c r="A1941" s="5" t="s">
        <v>55</v>
      </c>
      <c r="B1941" s="6">
        <v>913.0</v>
      </c>
      <c r="C1941" s="13" t="s">
        <v>326</v>
      </c>
      <c r="D1941" s="17">
        <f>SUMIFS(ShadowLedger!$D:$D,ShadowLedger!$G:$G,A1941,ShadowLedger!$C:$C,"&gt;="&amp;DATE(LEFT(SUBSTITUTE(C1941,"'",""),4),MID(SUBSTITUTE(C1941,"'",""),6,2),1),ShadowLedger!$C:$C,"&lt;"&amp;EOMONTH(DATE(LEFT(SUBSTITUTE(C1941,"'",""),4),MID(SUBSTITUTE(C1941,"'",""),6,2),1),0)+1)</f>
        <v>0</v>
      </c>
      <c r="E1941" s="17">
        <f t="shared" si="1"/>
        <v>913</v>
      </c>
      <c r="F1941" s="17">
        <f t="shared" si="2"/>
        <v>0</v>
      </c>
    </row>
    <row r="1942">
      <c r="A1942" s="5" t="s">
        <v>56</v>
      </c>
      <c r="B1942" s="6">
        <v>652.0</v>
      </c>
      <c r="C1942" s="13" t="s">
        <v>326</v>
      </c>
      <c r="D1942" s="17">
        <f>SUMIFS(ShadowLedger!$D:$D,ShadowLedger!$G:$G,A1942,ShadowLedger!$C:$C,"&gt;="&amp;DATE(LEFT(SUBSTITUTE(C1942,"'",""),4),MID(SUBSTITUTE(C1942,"'",""),6,2),1),ShadowLedger!$C:$C,"&lt;"&amp;EOMONTH(DATE(LEFT(SUBSTITUTE(C1942,"'",""),4),MID(SUBSTITUTE(C1942,"'",""),6,2),1),0)+1)</f>
        <v>0</v>
      </c>
      <c r="E1942" s="17">
        <f t="shared" si="1"/>
        <v>652</v>
      </c>
      <c r="F1942" s="17">
        <f t="shared" si="2"/>
        <v>0</v>
      </c>
    </row>
    <row r="1943">
      <c r="A1943" s="5" t="s">
        <v>57</v>
      </c>
      <c r="B1943" s="6">
        <v>652.0</v>
      </c>
      <c r="C1943" s="13" t="s">
        <v>326</v>
      </c>
      <c r="D1943" s="17">
        <f>SUMIFS(ShadowLedger!$D:$D,ShadowLedger!$G:$G,A1943,ShadowLedger!$C:$C,"&gt;="&amp;DATE(LEFT(SUBSTITUTE(C1943,"'",""),4),MID(SUBSTITUTE(C1943,"'",""),6,2),1),ShadowLedger!$C:$C,"&lt;"&amp;EOMONTH(DATE(LEFT(SUBSTITUTE(C1943,"'",""),4),MID(SUBSTITUTE(C1943,"'",""),6,2),1),0)+1)</f>
        <v>0</v>
      </c>
      <c r="E1943" s="17">
        <f t="shared" si="1"/>
        <v>652</v>
      </c>
      <c r="F1943" s="17">
        <f t="shared" si="2"/>
        <v>0</v>
      </c>
    </row>
    <row r="1944">
      <c r="A1944" s="5" t="s">
        <v>58</v>
      </c>
      <c r="B1944" s="6">
        <v>522.0</v>
      </c>
      <c r="C1944" s="13" t="s">
        <v>326</v>
      </c>
      <c r="D1944" s="17">
        <f>SUMIFS(ShadowLedger!$D:$D,ShadowLedger!$G:$G,A1944,ShadowLedger!$C:$C,"&gt;="&amp;DATE(LEFT(SUBSTITUTE(C1944,"'",""),4),MID(SUBSTITUTE(C1944,"'",""),6,2),1),ShadowLedger!$C:$C,"&lt;"&amp;EOMONTH(DATE(LEFT(SUBSTITUTE(C1944,"'",""),4),MID(SUBSTITUTE(C1944,"'",""),6,2),1),0)+1)</f>
        <v>0</v>
      </c>
      <c r="E1944" s="17">
        <f t="shared" si="1"/>
        <v>522</v>
      </c>
      <c r="F1944" s="17">
        <f t="shared" si="2"/>
        <v>0</v>
      </c>
    </row>
    <row r="1945">
      <c r="A1945" s="5" t="s">
        <v>59</v>
      </c>
      <c r="B1945" s="6">
        <v>261.0</v>
      </c>
      <c r="C1945" s="13" t="s">
        <v>326</v>
      </c>
      <c r="D1945" s="17">
        <f>SUMIFS(ShadowLedger!$D:$D,ShadowLedger!$G:$G,A1945,ShadowLedger!$C:$C,"&gt;="&amp;DATE(LEFT(SUBSTITUTE(C1945,"'",""),4),MID(SUBSTITUTE(C1945,"'",""),6,2),1),ShadowLedger!$C:$C,"&lt;"&amp;EOMONTH(DATE(LEFT(SUBSTITUTE(C1945,"'",""),4),MID(SUBSTITUTE(C1945,"'",""),6,2),1),0)+1)</f>
        <v>0</v>
      </c>
      <c r="E1945" s="17">
        <f t="shared" si="1"/>
        <v>261</v>
      </c>
      <c r="F1945" s="17">
        <f t="shared" si="2"/>
        <v>0</v>
      </c>
    </row>
    <row r="1946">
      <c r="A1946" s="5" t="s">
        <v>60</v>
      </c>
      <c r="B1946" s="6">
        <v>196.0</v>
      </c>
      <c r="C1946" s="13" t="s">
        <v>326</v>
      </c>
      <c r="D1946" s="17">
        <f>SUMIFS(ShadowLedger!$D:$D,ShadowLedger!$G:$G,A1946,ShadowLedger!$C:$C,"&gt;="&amp;DATE(LEFT(SUBSTITUTE(C1946,"'",""),4),MID(SUBSTITUTE(C1946,"'",""),6,2),1),ShadowLedger!$C:$C,"&lt;"&amp;EOMONTH(DATE(LEFT(SUBSTITUTE(C1946,"'",""),4),MID(SUBSTITUTE(C1946,"'",""),6,2),1),0)+1)</f>
        <v>0</v>
      </c>
      <c r="E1946" s="17">
        <f t="shared" si="1"/>
        <v>196</v>
      </c>
      <c r="F1946" s="17">
        <f t="shared" si="2"/>
        <v>0</v>
      </c>
    </row>
    <row r="1947">
      <c r="A1947" s="5" t="s">
        <v>61</v>
      </c>
      <c r="B1947" s="6">
        <v>157.0</v>
      </c>
      <c r="C1947" s="13" t="s">
        <v>326</v>
      </c>
      <c r="D1947" s="17">
        <f>SUMIFS(ShadowLedger!$D:$D,ShadowLedger!$G:$G,A1947,ShadowLedger!$C:$C,"&gt;="&amp;DATE(LEFT(SUBSTITUTE(C1947,"'",""),4),MID(SUBSTITUTE(C1947,"'",""),6,2),1),ShadowLedger!$C:$C,"&lt;"&amp;EOMONTH(DATE(LEFT(SUBSTITUTE(C1947,"'",""),4),MID(SUBSTITUTE(C1947,"'",""),6,2),1),0)+1)</f>
        <v>0</v>
      </c>
      <c r="E1947" s="17">
        <f t="shared" si="1"/>
        <v>157</v>
      </c>
      <c r="F1947" s="17">
        <f t="shared" si="2"/>
        <v>0</v>
      </c>
    </row>
    <row r="1948">
      <c r="A1948" s="5" t="s">
        <v>62</v>
      </c>
      <c r="B1948" s="6">
        <v>157.0</v>
      </c>
      <c r="C1948" s="13" t="s">
        <v>326</v>
      </c>
      <c r="D1948" s="17">
        <f>SUMIFS(ShadowLedger!$D:$D,ShadowLedger!$G:$G,A1948,ShadowLedger!$C:$C,"&gt;="&amp;DATE(LEFT(SUBSTITUTE(C1948,"'",""),4),MID(SUBSTITUTE(C1948,"'",""),6,2),1),ShadowLedger!$C:$C,"&lt;"&amp;EOMONTH(DATE(LEFT(SUBSTITUTE(C1948,"'",""),4),MID(SUBSTITUTE(C1948,"'",""),6,2),1),0)+1)</f>
        <v>0</v>
      </c>
      <c r="E1948" s="17">
        <f t="shared" si="1"/>
        <v>157</v>
      </c>
      <c r="F1948" s="17">
        <f t="shared" si="2"/>
        <v>0</v>
      </c>
    </row>
    <row r="1949">
      <c r="A1949" s="5" t="s">
        <v>63</v>
      </c>
      <c r="B1949" s="6">
        <v>130.0</v>
      </c>
      <c r="C1949" s="13" t="s">
        <v>326</v>
      </c>
      <c r="D1949" s="17">
        <f>SUMIFS(ShadowLedger!$D:$D,ShadowLedger!$G:$G,A1949,ShadowLedger!$C:$C,"&gt;="&amp;DATE(LEFT(SUBSTITUTE(C1949,"'",""),4),MID(SUBSTITUTE(C1949,"'",""),6,2),1),ShadowLedger!$C:$C,"&lt;"&amp;EOMONTH(DATE(LEFT(SUBSTITUTE(C1949,"'",""),4),MID(SUBSTITUTE(C1949,"'",""),6,2),1),0)+1)</f>
        <v>0</v>
      </c>
      <c r="E1949" s="17">
        <f t="shared" si="1"/>
        <v>130</v>
      </c>
      <c r="F1949" s="17">
        <f t="shared" si="2"/>
        <v>0</v>
      </c>
    </row>
    <row r="1950">
      <c r="A1950" s="5" t="s">
        <v>64</v>
      </c>
      <c r="B1950" s="6">
        <v>130.0</v>
      </c>
      <c r="C1950" s="13" t="s">
        <v>326</v>
      </c>
      <c r="D1950" s="17">
        <f>SUMIFS(ShadowLedger!$D:$D,ShadowLedger!$G:$G,A1950,ShadowLedger!$C:$C,"&gt;="&amp;DATE(LEFT(SUBSTITUTE(C1950,"'",""),4),MID(SUBSTITUTE(C1950,"'",""),6,2),1),ShadowLedger!$C:$C,"&lt;"&amp;EOMONTH(DATE(LEFT(SUBSTITUTE(C1950,"'",""),4),MID(SUBSTITUTE(C1950,"'",""),6,2),1),0)+1)</f>
        <v>0</v>
      </c>
      <c r="E1950" s="17">
        <f t="shared" si="1"/>
        <v>130</v>
      </c>
      <c r="F1950" s="17">
        <f t="shared" si="2"/>
        <v>0</v>
      </c>
    </row>
    <row r="1951">
      <c r="A1951" s="5" t="s">
        <v>70</v>
      </c>
      <c r="B1951" s="6">
        <v>130.0</v>
      </c>
      <c r="C1951" s="13" t="s">
        <v>326</v>
      </c>
      <c r="D1951" s="17">
        <f>SUMIFS(ShadowLedger!$D:$D,ShadowLedger!$G:$G,A1951,ShadowLedger!$C:$C,"&gt;="&amp;DATE(LEFT(SUBSTITUTE(C1951,"'",""),4),MID(SUBSTITUTE(C1951,"'",""),6,2),1),ShadowLedger!$C:$C,"&lt;"&amp;EOMONTH(DATE(LEFT(SUBSTITUTE(C1951,"'",""),4),MID(SUBSTITUTE(C1951,"'",""),6,2),1),0)+1)</f>
        <v>0</v>
      </c>
      <c r="E1951" s="17">
        <f t="shared" si="1"/>
        <v>130</v>
      </c>
      <c r="F1951" s="17">
        <f t="shared" si="2"/>
        <v>0</v>
      </c>
    </row>
    <row r="1952">
      <c r="A1952" s="5" t="s">
        <v>65</v>
      </c>
      <c r="B1952" s="6">
        <v>65.0</v>
      </c>
      <c r="C1952" s="13" t="s">
        <v>326</v>
      </c>
      <c r="D1952" s="17">
        <f>SUMIFS(ShadowLedger!$D:$D,ShadowLedger!$G:$G,A1952,ShadowLedger!$C:$C,"&gt;="&amp;DATE(LEFT(SUBSTITUTE(C1952,"'",""),4),MID(SUBSTITUTE(C1952,"'",""),6,2),1),ShadowLedger!$C:$C,"&lt;"&amp;EOMONTH(DATE(LEFT(SUBSTITUTE(C1952,"'",""),4),MID(SUBSTITUTE(C1952,"'",""),6,2),1),0)+1)</f>
        <v>0</v>
      </c>
      <c r="E1952" s="17">
        <f t="shared" si="1"/>
        <v>65</v>
      </c>
      <c r="F1952" s="17">
        <f t="shared" si="2"/>
        <v>0</v>
      </c>
    </row>
    <row r="1953">
      <c r="A1953" s="5" t="s">
        <v>66</v>
      </c>
      <c r="B1953" s="6">
        <v>65.0</v>
      </c>
      <c r="C1953" s="13" t="s">
        <v>326</v>
      </c>
      <c r="D1953" s="17">
        <f>SUMIFS(ShadowLedger!$D:$D,ShadowLedger!$G:$G,A1953,ShadowLedger!$C:$C,"&gt;="&amp;DATE(LEFT(SUBSTITUTE(C1953,"'",""),4),MID(SUBSTITUTE(C1953,"'",""),6,2),1),ShadowLedger!$C:$C,"&lt;"&amp;EOMONTH(DATE(LEFT(SUBSTITUTE(C1953,"'",""),4),MID(SUBSTITUTE(C1953,"'",""),6,2),1),0)+1)</f>
        <v>0</v>
      </c>
      <c r="E1953" s="17">
        <f t="shared" si="1"/>
        <v>65</v>
      </c>
      <c r="F1953" s="17">
        <f t="shared" si="2"/>
        <v>0</v>
      </c>
    </row>
    <row r="1954">
      <c r="A1954" s="5" t="s">
        <v>67</v>
      </c>
      <c r="B1954" s="6">
        <v>65.0</v>
      </c>
      <c r="C1954" s="13" t="s">
        <v>326</v>
      </c>
      <c r="D1954" s="17">
        <f>SUMIFS(ShadowLedger!$D:$D,ShadowLedger!$G:$G,A1954,ShadowLedger!$C:$C,"&gt;="&amp;DATE(LEFT(SUBSTITUTE(C1954,"'",""),4),MID(SUBSTITUTE(C1954,"'",""),6,2),1),ShadowLedger!$C:$C,"&lt;"&amp;EOMONTH(DATE(LEFT(SUBSTITUTE(C1954,"'",""),4),MID(SUBSTITUTE(C1954,"'",""),6,2),1),0)+1)</f>
        <v>0</v>
      </c>
      <c r="E1954" s="17">
        <f t="shared" si="1"/>
        <v>65</v>
      </c>
      <c r="F1954" s="17">
        <f t="shared" si="2"/>
        <v>0</v>
      </c>
    </row>
    <row r="1955">
      <c r="A1955" s="5" t="s">
        <v>68</v>
      </c>
      <c r="B1955" s="6">
        <v>65.0</v>
      </c>
      <c r="C1955" s="13" t="s">
        <v>326</v>
      </c>
      <c r="D1955" s="17">
        <f>SUMIFS(ShadowLedger!$D:$D,ShadowLedger!$G:$G,A1955,ShadowLedger!$C:$C,"&gt;="&amp;DATE(LEFT(SUBSTITUTE(C1955,"'",""),4),MID(SUBSTITUTE(C1955,"'",""),6,2),1),ShadowLedger!$C:$C,"&lt;"&amp;EOMONTH(DATE(LEFT(SUBSTITUTE(C1955,"'",""),4),MID(SUBSTITUTE(C1955,"'",""),6,2),1),0)+1)</f>
        <v>0</v>
      </c>
      <c r="E1955" s="17">
        <f t="shared" si="1"/>
        <v>65</v>
      </c>
      <c r="F1955" s="17">
        <f t="shared" si="2"/>
        <v>0</v>
      </c>
    </row>
    <row r="1956">
      <c r="A1956" s="5" t="s">
        <v>69</v>
      </c>
      <c r="B1956" s="6">
        <v>0.0</v>
      </c>
      <c r="C1956" s="13" t="s">
        <v>326</v>
      </c>
      <c r="D1956" s="17">
        <f>SUMIFS(ShadowLedger!$D:$D,ShadowLedger!$G:$G,A1956,ShadowLedger!$C:$C,"&gt;="&amp;DATE(LEFT(SUBSTITUTE(C1956,"'",""),4),MID(SUBSTITUTE(C1956,"'",""),6,2),1),ShadowLedger!$C:$C,"&lt;"&amp;EOMONTH(DATE(LEFT(SUBSTITUTE(C1956,"'",""),4),MID(SUBSTITUTE(C1956,"'",""),6,2),1),0)+1)</f>
        <v>0</v>
      </c>
      <c r="E1956" s="17">
        <f t="shared" si="1"/>
        <v>0</v>
      </c>
      <c r="F1956" s="17">
        <f t="shared" si="2"/>
        <v>0</v>
      </c>
    </row>
    <row r="1957">
      <c r="A1957" s="5" t="s">
        <v>54</v>
      </c>
      <c r="B1957" s="6">
        <v>1200.0</v>
      </c>
      <c r="C1957" s="13" t="s">
        <v>327</v>
      </c>
      <c r="D1957" s="17">
        <f>SUMIFS(ShadowLedger!$D:$D,ShadowLedger!$G:$G,A1957,ShadowLedger!$C:$C,"&gt;="&amp;DATE(LEFT(SUBSTITUTE(C1957,"'",""),4),MID(SUBSTITUTE(C1957,"'",""),6,2),1),ShadowLedger!$C:$C,"&lt;"&amp;EOMONTH(DATE(LEFT(SUBSTITUTE(C1957,"'",""),4),MID(SUBSTITUTE(C1957,"'",""),6,2),1),0)+1)</f>
        <v>0</v>
      </c>
      <c r="E1957" s="17">
        <f t="shared" si="1"/>
        <v>1200</v>
      </c>
      <c r="F1957" s="17">
        <f t="shared" si="2"/>
        <v>0</v>
      </c>
    </row>
    <row r="1958">
      <c r="A1958" s="5" t="s">
        <v>55</v>
      </c>
      <c r="B1958" s="6">
        <v>913.0</v>
      </c>
      <c r="C1958" s="13" t="s">
        <v>327</v>
      </c>
      <c r="D1958" s="17">
        <f>SUMIFS(ShadowLedger!$D:$D,ShadowLedger!$G:$G,A1958,ShadowLedger!$C:$C,"&gt;="&amp;DATE(LEFT(SUBSTITUTE(C1958,"'",""),4),MID(SUBSTITUTE(C1958,"'",""),6,2),1),ShadowLedger!$C:$C,"&lt;"&amp;EOMONTH(DATE(LEFT(SUBSTITUTE(C1958,"'",""),4),MID(SUBSTITUTE(C1958,"'",""),6,2),1),0)+1)</f>
        <v>0</v>
      </c>
      <c r="E1958" s="17">
        <f t="shared" si="1"/>
        <v>913</v>
      </c>
      <c r="F1958" s="17">
        <f t="shared" si="2"/>
        <v>0</v>
      </c>
    </row>
    <row r="1959">
      <c r="A1959" s="5" t="s">
        <v>56</v>
      </c>
      <c r="B1959" s="6">
        <v>652.0</v>
      </c>
      <c r="C1959" s="13" t="s">
        <v>327</v>
      </c>
      <c r="D1959" s="17">
        <f>SUMIFS(ShadowLedger!$D:$D,ShadowLedger!$G:$G,A1959,ShadowLedger!$C:$C,"&gt;="&amp;DATE(LEFT(SUBSTITUTE(C1959,"'",""),4),MID(SUBSTITUTE(C1959,"'",""),6,2),1),ShadowLedger!$C:$C,"&lt;"&amp;EOMONTH(DATE(LEFT(SUBSTITUTE(C1959,"'",""),4),MID(SUBSTITUTE(C1959,"'",""),6,2),1),0)+1)</f>
        <v>0</v>
      </c>
      <c r="E1959" s="17">
        <f t="shared" si="1"/>
        <v>652</v>
      </c>
      <c r="F1959" s="17">
        <f t="shared" si="2"/>
        <v>0</v>
      </c>
    </row>
    <row r="1960">
      <c r="A1960" s="5" t="s">
        <v>57</v>
      </c>
      <c r="B1960" s="6">
        <v>652.0</v>
      </c>
      <c r="C1960" s="13" t="s">
        <v>327</v>
      </c>
      <c r="D1960" s="17">
        <f>SUMIFS(ShadowLedger!$D:$D,ShadowLedger!$G:$G,A1960,ShadowLedger!$C:$C,"&gt;="&amp;DATE(LEFT(SUBSTITUTE(C1960,"'",""),4),MID(SUBSTITUTE(C1960,"'",""),6,2),1),ShadowLedger!$C:$C,"&lt;"&amp;EOMONTH(DATE(LEFT(SUBSTITUTE(C1960,"'",""),4),MID(SUBSTITUTE(C1960,"'",""),6,2),1),0)+1)</f>
        <v>0</v>
      </c>
      <c r="E1960" s="17">
        <f t="shared" si="1"/>
        <v>652</v>
      </c>
      <c r="F1960" s="17">
        <f t="shared" si="2"/>
        <v>0</v>
      </c>
    </row>
    <row r="1961">
      <c r="A1961" s="5" t="s">
        <v>58</v>
      </c>
      <c r="B1961" s="6">
        <v>522.0</v>
      </c>
      <c r="C1961" s="13" t="s">
        <v>327</v>
      </c>
      <c r="D1961" s="17">
        <f>SUMIFS(ShadowLedger!$D:$D,ShadowLedger!$G:$G,A1961,ShadowLedger!$C:$C,"&gt;="&amp;DATE(LEFT(SUBSTITUTE(C1961,"'",""),4),MID(SUBSTITUTE(C1961,"'",""),6,2),1),ShadowLedger!$C:$C,"&lt;"&amp;EOMONTH(DATE(LEFT(SUBSTITUTE(C1961,"'",""),4),MID(SUBSTITUTE(C1961,"'",""),6,2),1),0)+1)</f>
        <v>0</v>
      </c>
      <c r="E1961" s="17">
        <f t="shared" si="1"/>
        <v>522</v>
      </c>
      <c r="F1961" s="17">
        <f t="shared" si="2"/>
        <v>0</v>
      </c>
    </row>
    <row r="1962">
      <c r="A1962" s="5" t="s">
        <v>59</v>
      </c>
      <c r="B1962" s="6">
        <v>261.0</v>
      </c>
      <c r="C1962" s="13" t="s">
        <v>327</v>
      </c>
      <c r="D1962" s="17">
        <f>SUMIFS(ShadowLedger!$D:$D,ShadowLedger!$G:$G,A1962,ShadowLedger!$C:$C,"&gt;="&amp;DATE(LEFT(SUBSTITUTE(C1962,"'",""),4),MID(SUBSTITUTE(C1962,"'",""),6,2),1),ShadowLedger!$C:$C,"&lt;"&amp;EOMONTH(DATE(LEFT(SUBSTITUTE(C1962,"'",""),4),MID(SUBSTITUTE(C1962,"'",""),6,2),1),0)+1)</f>
        <v>0</v>
      </c>
      <c r="E1962" s="17">
        <f t="shared" si="1"/>
        <v>261</v>
      </c>
      <c r="F1962" s="17">
        <f t="shared" si="2"/>
        <v>0</v>
      </c>
    </row>
    <row r="1963">
      <c r="A1963" s="5" t="s">
        <v>60</v>
      </c>
      <c r="B1963" s="6">
        <v>196.0</v>
      </c>
      <c r="C1963" s="13" t="s">
        <v>327</v>
      </c>
      <c r="D1963" s="17">
        <f>SUMIFS(ShadowLedger!$D:$D,ShadowLedger!$G:$G,A1963,ShadowLedger!$C:$C,"&gt;="&amp;DATE(LEFT(SUBSTITUTE(C1963,"'",""),4),MID(SUBSTITUTE(C1963,"'",""),6,2),1),ShadowLedger!$C:$C,"&lt;"&amp;EOMONTH(DATE(LEFT(SUBSTITUTE(C1963,"'",""),4),MID(SUBSTITUTE(C1963,"'",""),6,2),1),0)+1)</f>
        <v>0</v>
      </c>
      <c r="E1963" s="17">
        <f t="shared" si="1"/>
        <v>196</v>
      </c>
      <c r="F1963" s="17">
        <f t="shared" si="2"/>
        <v>0</v>
      </c>
    </row>
    <row r="1964">
      <c r="A1964" s="5" t="s">
        <v>61</v>
      </c>
      <c r="B1964" s="6">
        <v>157.0</v>
      </c>
      <c r="C1964" s="13" t="s">
        <v>327</v>
      </c>
      <c r="D1964" s="17">
        <f>SUMIFS(ShadowLedger!$D:$D,ShadowLedger!$G:$G,A1964,ShadowLedger!$C:$C,"&gt;="&amp;DATE(LEFT(SUBSTITUTE(C1964,"'",""),4),MID(SUBSTITUTE(C1964,"'",""),6,2),1),ShadowLedger!$C:$C,"&lt;"&amp;EOMONTH(DATE(LEFT(SUBSTITUTE(C1964,"'",""),4),MID(SUBSTITUTE(C1964,"'",""),6,2),1),0)+1)</f>
        <v>0</v>
      </c>
      <c r="E1964" s="17">
        <f t="shared" si="1"/>
        <v>157</v>
      </c>
      <c r="F1964" s="17">
        <f t="shared" si="2"/>
        <v>0</v>
      </c>
    </row>
    <row r="1965">
      <c r="A1965" s="5" t="s">
        <v>62</v>
      </c>
      <c r="B1965" s="6">
        <v>157.0</v>
      </c>
      <c r="C1965" s="13" t="s">
        <v>327</v>
      </c>
      <c r="D1965" s="17">
        <f>SUMIFS(ShadowLedger!$D:$D,ShadowLedger!$G:$G,A1965,ShadowLedger!$C:$C,"&gt;="&amp;DATE(LEFT(SUBSTITUTE(C1965,"'",""),4),MID(SUBSTITUTE(C1965,"'",""),6,2),1),ShadowLedger!$C:$C,"&lt;"&amp;EOMONTH(DATE(LEFT(SUBSTITUTE(C1965,"'",""),4),MID(SUBSTITUTE(C1965,"'",""),6,2),1),0)+1)</f>
        <v>0</v>
      </c>
      <c r="E1965" s="17">
        <f t="shared" si="1"/>
        <v>157</v>
      </c>
      <c r="F1965" s="17">
        <f t="shared" si="2"/>
        <v>0</v>
      </c>
    </row>
    <row r="1966">
      <c r="A1966" s="5" t="s">
        <v>63</v>
      </c>
      <c r="B1966" s="6">
        <v>130.0</v>
      </c>
      <c r="C1966" s="13" t="s">
        <v>327</v>
      </c>
      <c r="D1966" s="17">
        <f>SUMIFS(ShadowLedger!$D:$D,ShadowLedger!$G:$G,A1966,ShadowLedger!$C:$C,"&gt;="&amp;DATE(LEFT(SUBSTITUTE(C1966,"'",""),4),MID(SUBSTITUTE(C1966,"'",""),6,2),1),ShadowLedger!$C:$C,"&lt;"&amp;EOMONTH(DATE(LEFT(SUBSTITUTE(C1966,"'",""),4),MID(SUBSTITUTE(C1966,"'",""),6,2),1),0)+1)</f>
        <v>0</v>
      </c>
      <c r="E1966" s="17">
        <f t="shared" si="1"/>
        <v>130</v>
      </c>
      <c r="F1966" s="17">
        <f t="shared" si="2"/>
        <v>0</v>
      </c>
    </row>
    <row r="1967">
      <c r="A1967" s="5" t="s">
        <v>64</v>
      </c>
      <c r="B1967" s="6">
        <v>130.0</v>
      </c>
      <c r="C1967" s="13" t="s">
        <v>327</v>
      </c>
      <c r="D1967" s="17">
        <f>SUMIFS(ShadowLedger!$D:$D,ShadowLedger!$G:$G,A1967,ShadowLedger!$C:$C,"&gt;="&amp;DATE(LEFT(SUBSTITUTE(C1967,"'",""),4),MID(SUBSTITUTE(C1967,"'",""),6,2),1),ShadowLedger!$C:$C,"&lt;"&amp;EOMONTH(DATE(LEFT(SUBSTITUTE(C1967,"'",""),4),MID(SUBSTITUTE(C1967,"'",""),6,2),1),0)+1)</f>
        <v>0</v>
      </c>
      <c r="E1967" s="17">
        <f t="shared" si="1"/>
        <v>130</v>
      </c>
      <c r="F1967" s="17">
        <f t="shared" si="2"/>
        <v>0</v>
      </c>
    </row>
    <row r="1968">
      <c r="A1968" s="5" t="s">
        <v>70</v>
      </c>
      <c r="B1968" s="6">
        <v>130.0</v>
      </c>
      <c r="C1968" s="13" t="s">
        <v>327</v>
      </c>
      <c r="D1968" s="17">
        <f>SUMIFS(ShadowLedger!$D:$D,ShadowLedger!$G:$G,A1968,ShadowLedger!$C:$C,"&gt;="&amp;DATE(LEFT(SUBSTITUTE(C1968,"'",""),4),MID(SUBSTITUTE(C1968,"'",""),6,2),1),ShadowLedger!$C:$C,"&lt;"&amp;EOMONTH(DATE(LEFT(SUBSTITUTE(C1968,"'",""),4),MID(SUBSTITUTE(C1968,"'",""),6,2),1),0)+1)</f>
        <v>0</v>
      </c>
      <c r="E1968" s="17">
        <f t="shared" si="1"/>
        <v>130</v>
      </c>
      <c r="F1968" s="17">
        <f t="shared" si="2"/>
        <v>0</v>
      </c>
    </row>
    <row r="1969">
      <c r="A1969" s="5" t="s">
        <v>65</v>
      </c>
      <c r="B1969" s="6">
        <v>65.0</v>
      </c>
      <c r="C1969" s="13" t="s">
        <v>327</v>
      </c>
      <c r="D1969" s="17">
        <f>SUMIFS(ShadowLedger!$D:$D,ShadowLedger!$G:$G,A1969,ShadowLedger!$C:$C,"&gt;="&amp;DATE(LEFT(SUBSTITUTE(C1969,"'",""),4),MID(SUBSTITUTE(C1969,"'",""),6,2),1),ShadowLedger!$C:$C,"&lt;"&amp;EOMONTH(DATE(LEFT(SUBSTITUTE(C1969,"'",""),4),MID(SUBSTITUTE(C1969,"'",""),6,2),1),0)+1)</f>
        <v>0</v>
      </c>
      <c r="E1969" s="17">
        <f t="shared" si="1"/>
        <v>65</v>
      </c>
      <c r="F1969" s="17">
        <f t="shared" si="2"/>
        <v>0</v>
      </c>
    </row>
    <row r="1970">
      <c r="A1970" s="5" t="s">
        <v>66</v>
      </c>
      <c r="B1970" s="6">
        <v>65.0</v>
      </c>
      <c r="C1970" s="13" t="s">
        <v>327</v>
      </c>
      <c r="D1970" s="17">
        <f>SUMIFS(ShadowLedger!$D:$D,ShadowLedger!$G:$G,A1970,ShadowLedger!$C:$C,"&gt;="&amp;DATE(LEFT(SUBSTITUTE(C1970,"'",""),4),MID(SUBSTITUTE(C1970,"'",""),6,2),1),ShadowLedger!$C:$C,"&lt;"&amp;EOMONTH(DATE(LEFT(SUBSTITUTE(C1970,"'",""),4),MID(SUBSTITUTE(C1970,"'",""),6,2),1),0)+1)</f>
        <v>0</v>
      </c>
      <c r="E1970" s="17">
        <f t="shared" si="1"/>
        <v>65</v>
      </c>
      <c r="F1970" s="17">
        <f t="shared" si="2"/>
        <v>0</v>
      </c>
    </row>
    <row r="1971">
      <c r="A1971" s="5" t="s">
        <v>67</v>
      </c>
      <c r="B1971" s="6">
        <v>65.0</v>
      </c>
      <c r="C1971" s="13" t="s">
        <v>327</v>
      </c>
      <c r="D1971" s="17">
        <f>SUMIFS(ShadowLedger!$D:$D,ShadowLedger!$G:$G,A1971,ShadowLedger!$C:$C,"&gt;="&amp;DATE(LEFT(SUBSTITUTE(C1971,"'",""),4),MID(SUBSTITUTE(C1971,"'",""),6,2),1),ShadowLedger!$C:$C,"&lt;"&amp;EOMONTH(DATE(LEFT(SUBSTITUTE(C1971,"'",""),4),MID(SUBSTITUTE(C1971,"'",""),6,2),1),0)+1)</f>
        <v>0</v>
      </c>
      <c r="E1971" s="17">
        <f t="shared" si="1"/>
        <v>65</v>
      </c>
      <c r="F1971" s="17">
        <f t="shared" si="2"/>
        <v>0</v>
      </c>
    </row>
    <row r="1972">
      <c r="A1972" s="5" t="s">
        <v>68</v>
      </c>
      <c r="B1972" s="6">
        <v>65.0</v>
      </c>
      <c r="C1972" s="13" t="s">
        <v>327</v>
      </c>
      <c r="D1972" s="17">
        <f>SUMIFS(ShadowLedger!$D:$D,ShadowLedger!$G:$G,A1972,ShadowLedger!$C:$C,"&gt;="&amp;DATE(LEFT(SUBSTITUTE(C1972,"'",""),4),MID(SUBSTITUTE(C1972,"'",""),6,2),1),ShadowLedger!$C:$C,"&lt;"&amp;EOMONTH(DATE(LEFT(SUBSTITUTE(C1972,"'",""),4),MID(SUBSTITUTE(C1972,"'",""),6,2),1),0)+1)</f>
        <v>0</v>
      </c>
      <c r="E1972" s="17">
        <f t="shared" si="1"/>
        <v>65</v>
      </c>
      <c r="F1972" s="17">
        <f t="shared" si="2"/>
        <v>0</v>
      </c>
    </row>
    <row r="1973">
      <c r="A1973" s="5" t="s">
        <v>69</v>
      </c>
      <c r="B1973" s="6">
        <v>0.0</v>
      </c>
      <c r="C1973" s="13" t="s">
        <v>327</v>
      </c>
      <c r="D1973" s="17">
        <f>SUMIFS(ShadowLedger!$D:$D,ShadowLedger!$G:$G,A1973,ShadowLedger!$C:$C,"&gt;="&amp;DATE(LEFT(SUBSTITUTE(C1973,"'",""),4),MID(SUBSTITUTE(C1973,"'",""),6,2),1),ShadowLedger!$C:$C,"&lt;"&amp;EOMONTH(DATE(LEFT(SUBSTITUTE(C1973,"'",""),4),MID(SUBSTITUTE(C1973,"'",""),6,2),1),0)+1)</f>
        <v>0</v>
      </c>
      <c r="E1973" s="17">
        <f t="shared" si="1"/>
        <v>0</v>
      </c>
      <c r="F1973" s="17">
        <f t="shared" si="2"/>
        <v>0</v>
      </c>
    </row>
    <row r="1974">
      <c r="A1974" s="5" t="s">
        <v>54</v>
      </c>
      <c r="B1974" s="6">
        <v>1200.0</v>
      </c>
      <c r="C1974" s="13" t="s">
        <v>328</v>
      </c>
      <c r="D1974" s="17">
        <f>SUMIFS(ShadowLedger!$D:$D,ShadowLedger!$G:$G,A1974,ShadowLedger!$C:$C,"&gt;="&amp;DATE(LEFT(SUBSTITUTE(C1974,"'",""),4),MID(SUBSTITUTE(C1974,"'",""),6,2),1),ShadowLedger!$C:$C,"&lt;"&amp;EOMONTH(DATE(LEFT(SUBSTITUTE(C1974,"'",""),4),MID(SUBSTITUTE(C1974,"'",""),6,2),1),0)+1)</f>
        <v>0</v>
      </c>
      <c r="E1974" s="17">
        <f t="shared" si="1"/>
        <v>1200</v>
      </c>
      <c r="F1974" s="17">
        <f t="shared" si="2"/>
        <v>0</v>
      </c>
    </row>
    <row r="1975">
      <c r="A1975" s="5" t="s">
        <v>55</v>
      </c>
      <c r="B1975" s="6">
        <v>913.0</v>
      </c>
      <c r="C1975" s="13" t="s">
        <v>328</v>
      </c>
      <c r="D1975" s="17">
        <f>SUMIFS(ShadowLedger!$D:$D,ShadowLedger!$G:$G,A1975,ShadowLedger!$C:$C,"&gt;="&amp;DATE(LEFT(SUBSTITUTE(C1975,"'",""),4),MID(SUBSTITUTE(C1975,"'",""),6,2),1),ShadowLedger!$C:$C,"&lt;"&amp;EOMONTH(DATE(LEFT(SUBSTITUTE(C1975,"'",""),4),MID(SUBSTITUTE(C1975,"'",""),6,2),1),0)+1)</f>
        <v>0</v>
      </c>
      <c r="E1975" s="17">
        <f t="shared" si="1"/>
        <v>913</v>
      </c>
      <c r="F1975" s="17">
        <f t="shared" si="2"/>
        <v>0</v>
      </c>
    </row>
    <row r="1976">
      <c r="A1976" s="5" t="s">
        <v>56</v>
      </c>
      <c r="B1976" s="6">
        <v>652.0</v>
      </c>
      <c r="C1976" s="13" t="s">
        <v>328</v>
      </c>
      <c r="D1976" s="17">
        <f>SUMIFS(ShadowLedger!$D:$D,ShadowLedger!$G:$G,A1976,ShadowLedger!$C:$C,"&gt;="&amp;DATE(LEFT(SUBSTITUTE(C1976,"'",""),4),MID(SUBSTITUTE(C1976,"'",""),6,2),1),ShadowLedger!$C:$C,"&lt;"&amp;EOMONTH(DATE(LEFT(SUBSTITUTE(C1976,"'",""),4),MID(SUBSTITUTE(C1976,"'",""),6,2),1),0)+1)</f>
        <v>0</v>
      </c>
      <c r="E1976" s="17">
        <f t="shared" si="1"/>
        <v>652</v>
      </c>
      <c r="F1976" s="17">
        <f t="shared" si="2"/>
        <v>0</v>
      </c>
    </row>
    <row r="1977">
      <c r="A1977" s="5" t="s">
        <v>57</v>
      </c>
      <c r="B1977" s="6">
        <v>652.0</v>
      </c>
      <c r="C1977" s="13" t="s">
        <v>328</v>
      </c>
      <c r="D1977" s="17">
        <f>SUMIFS(ShadowLedger!$D:$D,ShadowLedger!$G:$G,A1977,ShadowLedger!$C:$C,"&gt;="&amp;DATE(LEFT(SUBSTITUTE(C1977,"'",""),4),MID(SUBSTITUTE(C1977,"'",""),6,2),1),ShadowLedger!$C:$C,"&lt;"&amp;EOMONTH(DATE(LEFT(SUBSTITUTE(C1977,"'",""),4),MID(SUBSTITUTE(C1977,"'",""),6,2),1),0)+1)</f>
        <v>0</v>
      </c>
      <c r="E1977" s="17">
        <f t="shared" si="1"/>
        <v>652</v>
      </c>
      <c r="F1977" s="17">
        <f t="shared" si="2"/>
        <v>0</v>
      </c>
    </row>
    <row r="1978">
      <c r="A1978" s="5" t="s">
        <v>58</v>
      </c>
      <c r="B1978" s="6">
        <v>522.0</v>
      </c>
      <c r="C1978" s="13" t="s">
        <v>328</v>
      </c>
      <c r="D1978" s="17">
        <f>SUMIFS(ShadowLedger!$D:$D,ShadowLedger!$G:$G,A1978,ShadowLedger!$C:$C,"&gt;="&amp;DATE(LEFT(SUBSTITUTE(C1978,"'",""),4),MID(SUBSTITUTE(C1978,"'",""),6,2),1),ShadowLedger!$C:$C,"&lt;"&amp;EOMONTH(DATE(LEFT(SUBSTITUTE(C1978,"'",""),4),MID(SUBSTITUTE(C1978,"'",""),6,2),1),0)+1)</f>
        <v>0</v>
      </c>
      <c r="E1978" s="17">
        <f t="shared" si="1"/>
        <v>522</v>
      </c>
      <c r="F1978" s="17">
        <f t="shared" si="2"/>
        <v>0</v>
      </c>
    </row>
    <row r="1979">
      <c r="A1979" s="5" t="s">
        <v>59</v>
      </c>
      <c r="B1979" s="6">
        <v>261.0</v>
      </c>
      <c r="C1979" s="13" t="s">
        <v>328</v>
      </c>
      <c r="D1979" s="17">
        <f>SUMIFS(ShadowLedger!$D:$D,ShadowLedger!$G:$G,A1979,ShadowLedger!$C:$C,"&gt;="&amp;DATE(LEFT(SUBSTITUTE(C1979,"'",""),4),MID(SUBSTITUTE(C1979,"'",""),6,2),1),ShadowLedger!$C:$C,"&lt;"&amp;EOMONTH(DATE(LEFT(SUBSTITUTE(C1979,"'",""),4),MID(SUBSTITUTE(C1979,"'",""),6,2),1),0)+1)</f>
        <v>0</v>
      </c>
      <c r="E1979" s="17">
        <f t="shared" si="1"/>
        <v>261</v>
      </c>
      <c r="F1979" s="17">
        <f t="shared" si="2"/>
        <v>0</v>
      </c>
    </row>
    <row r="1980">
      <c r="A1980" s="5" t="s">
        <v>60</v>
      </c>
      <c r="B1980" s="6">
        <v>196.0</v>
      </c>
      <c r="C1980" s="13" t="s">
        <v>328</v>
      </c>
      <c r="D1980" s="17">
        <f>SUMIFS(ShadowLedger!$D:$D,ShadowLedger!$G:$G,A1980,ShadowLedger!$C:$C,"&gt;="&amp;DATE(LEFT(SUBSTITUTE(C1980,"'",""),4),MID(SUBSTITUTE(C1980,"'",""),6,2),1),ShadowLedger!$C:$C,"&lt;"&amp;EOMONTH(DATE(LEFT(SUBSTITUTE(C1980,"'",""),4),MID(SUBSTITUTE(C1980,"'",""),6,2),1),0)+1)</f>
        <v>0</v>
      </c>
      <c r="E1980" s="17">
        <f t="shared" si="1"/>
        <v>196</v>
      </c>
      <c r="F1980" s="17">
        <f t="shared" si="2"/>
        <v>0</v>
      </c>
    </row>
    <row r="1981">
      <c r="A1981" s="5" t="s">
        <v>61</v>
      </c>
      <c r="B1981" s="6">
        <v>157.0</v>
      </c>
      <c r="C1981" s="13" t="s">
        <v>328</v>
      </c>
      <c r="D1981" s="17">
        <f>SUMIFS(ShadowLedger!$D:$D,ShadowLedger!$G:$G,A1981,ShadowLedger!$C:$C,"&gt;="&amp;DATE(LEFT(SUBSTITUTE(C1981,"'",""),4),MID(SUBSTITUTE(C1981,"'",""),6,2),1),ShadowLedger!$C:$C,"&lt;"&amp;EOMONTH(DATE(LEFT(SUBSTITUTE(C1981,"'",""),4),MID(SUBSTITUTE(C1981,"'",""),6,2),1),0)+1)</f>
        <v>0</v>
      </c>
      <c r="E1981" s="17">
        <f t="shared" si="1"/>
        <v>157</v>
      </c>
      <c r="F1981" s="17">
        <f t="shared" si="2"/>
        <v>0</v>
      </c>
    </row>
    <row r="1982">
      <c r="A1982" s="5" t="s">
        <v>62</v>
      </c>
      <c r="B1982" s="6">
        <v>157.0</v>
      </c>
      <c r="C1982" s="13" t="s">
        <v>328</v>
      </c>
      <c r="D1982" s="17">
        <f>SUMIFS(ShadowLedger!$D:$D,ShadowLedger!$G:$G,A1982,ShadowLedger!$C:$C,"&gt;="&amp;DATE(LEFT(SUBSTITUTE(C1982,"'",""),4),MID(SUBSTITUTE(C1982,"'",""),6,2),1),ShadowLedger!$C:$C,"&lt;"&amp;EOMONTH(DATE(LEFT(SUBSTITUTE(C1982,"'",""),4),MID(SUBSTITUTE(C1982,"'",""),6,2),1),0)+1)</f>
        <v>0</v>
      </c>
      <c r="E1982" s="17">
        <f t="shared" si="1"/>
        <v>157</v>
      </c>
      <c r="F1982" s="17">
        <f t="shared" si="2"/>
        <v>0</v>
      </c>
    </row>
    <row r="1983">
      <c r="A1983" s="5" t="s">
        <v>63</v>
      </c>
      <c r="B1983" s="6">
        <v>130.0</v>
      </c>
      <c r="C1983" s="13" t="s">
        <v>328</v>
      </c>
      <c r="D1983" s="17">
        <f>SUMIFS(ShadowLedger!$D:$D,ShadowLedger!$G:$G,A1983,ShadowLedger!$C:$C,"&gt;="&amp;DATE(LEFT(SUBSTITUTE(C1983,"'",""),4),MID(SUBSTITUTE(C1983,"'",""),6,2),1),ShadowLedger!$C:$C,"&lt;"&amp;EOMONTH(DATE(LEFT(SUBSTITUTE(C1983,"'",""),4),MID(SUBSTITUTE(C1983,"'",""),6,2),1),0)+1)</f>
        <v>0</v>
      </c>
      <c r="E1983" s="17">
        <f t="shared" si="1"/>
        <v>130</v>
      </c>
      <c r="F1983" s="17">
        <f t="shared" si="2"/>
        <v>0</v>
      </c>
    </row>
    <row r="1984">
      <c r="A1984" s="5" t="s">
        <v>64</v>
      </c>
      <c r="B1984" s="6">
        <v>130.0</v>
      </c>
      <c r="C1984" s="13" t="s">
        <v>328</v>
      </c>
      <c r="D1984" s="17">
        <f>SUMIFS(ShadowLedger!$D:$D,ShadowLedger!$G:$G,A1984,ShadowLedger!$C:$C,"&gt;="&amp;DATE(LEFT(SUBSTITUTE(C1984,"'",""),4),MID(SUBSTITUTE(C1984,"'",""),6,2),1),ShadowLedger!$C:$C,"&lt;"&amp;EOMONTH(DATE(LEFT(SUBSTITUTE(C1984,"'",""),4),MID(SUBSTITUTE(C1984,"'",""),6,2),1),0)+1)</f>
        <v>0</v>
      </c>
      <c r="E1984" s="17">
        <f t="shared" si="1"/>
        <v>130</v>
      </c>
      <c r="F1984" s="17">
        <f t="shared" si="2"/>
        <v>0</v>
      </c>
    </row>
    <row r="1985">
      <c r="A1985" s="5" t="s">
        <v>70</v>
      </c>
      <c r="B1985" s="6">
        <v>130.0</v>
      </c>
      <c r="C1985" s="13" t="s">
        <v>328</v>
      </c>
      <c r="D1985" s="17">
        <f>SUMIFS(ShadowLedger!$D:$D,ShadowLedger!$G:$G,A1985,ShadowLedger!$C:$C,"&gt;="&amp;DATE(LEFT(SUBSTITUTE(C1985,"'",""),4),MID(SUBSTITUTE(C1985,"'",""),6,2),1),ShadowLedger!$C:$C,"&lt;"&amp;EOMONTH(DATE(LEFT(SUBSTITUTE(C1985,"'",""),4),MID(SUBSTITUTE(C1985,"'",""),6,2),1),0)+1)</f>
        <v>0</v>
      </c>
      <c r="E1985" s="17">
        <f t="shared" si="1"/>
        <v>130</v>
      </c>
      <c r="F1985" s="17">
        <f t="shared" si="2"/>
        <v>0</v>
      </c>
    </row>
    <row r="1986">
      <c r="A1986" s="5" t="s">
        <v>65</v>
      </c>
      <c r="B1986" s="6">
        <v>65.0</v>
      </c>
      <c r="C1986" s="13" t="s">
        <v>328</v>
      </c>
      <c r="D1986" s="17">
        <f>SUMIFS(ShadowLedger!$D:$D,ShadowLedger!$G:$G,A1986,ShadowLedger!$C:$C,"&gt;="&amp;DATE(LEFT(SUBSTITUTE(C1986,"'",""),4),MID(SUBSTITUTE(C1986,"'",""),6,2),1),ShadowLedger!$C:$C,"&lt;"&amp;EOMONTH(DATE(LEFT(SUBSTITUTE(C1986,"'",""),4),MID(SUBSTITUTE(C1986,"'",""),6,2),1),0)+1)</f>
        <v>0</v>
      </c>
      <c r="E1986" s="17">
        <f t="shared" si="1"/>
        <v>65</v>
      </c>
      <c r="F1986" s="17">
        <f t="shared" si="2"/>
        <v>0</v>
      </c>
    </row>
    <row r="1987">
      <c r="A1987" s="5" t="s">
        <v>66</v>
      </c>
      <c r="B1987" s="6">
        <v>65.0</v>
      </c>
      <c r="C1987" s="13" t="s">
        <v>328</v>
      </c>
      <c r="D1987" s="17">
        <f>SUMIFS(ShadowLedger!$D:$D,ShadowLedger!$G:$G,A1987,ShadowLedger!$C:$C,"&gt;="&amp;DATE(LEFT(SUBSTITUTE(C1987,"'",""),4),MID(SUBSTITUTE(C1987,"'",""),6,2),1),ShadowLedger!$C:$C,"&lt;"&amp;EOMONTH(DATE(LEFT(SUBSTITUTE(C1987,"'",""),4),MID(SUBSTITUTE(C1987,"'",""),6,2),1),0)+1)</f>
        <v>0</v>
      </c>
      <c r="E1987" s="17">
        <f t="shared" si="1"/>
        <v>65</v>
      </c>
      <c r="F1987" s="17">
        <f t="shared" si="2"/>
        <v>0</v>
      </c>
    </row>
    <row r="1988">
      <c r="A1988" s="5" t="s">
        <v>67</v>
      </c>
      <c r="B1988" s="6">
        <v>65.0</v>
      </c>
      <c r="C1988" s="13" t="s">
        <v>328</v>
      </c>
      <c r="D1988" s="17">
        <f>SUMIFS(ShadowLedger!$D:$D,ShadowLedger!$G:$G,A1988,ShadowLedger!$C:$C,"&gt;="&amp;DATE(LEFT(SUBSTITUTE(C1988,"'",""),4),MID(SUBSTITUTE(C1988,"'",""),6,2),1),ShadowLedger!$C:$C,"&lt;"&amp;EOMONTH(DATE(LEFT(SUBSTITUTE(C1988,"'",""),4),MID(SUBSTITUTE(C1988,"'",""),6,2),1),0)+1)</f>
        <v>0</v>
      </c>
      <c r="E1988" s="17">
        <f t="shared" si="1"/>
        <v>65</v>
      </c>
      <c r="F1988" s="17">
        <f t="shared" si="2"/>
        <v>0</v>
      </c>
    </row>
    <row r="1989">
      <c r="A1989" s="5" t="s">
        <v>68</v>
      </c>
      <c r="B1989" s="6">
        <v>65.0</v>
      </c>
      <c r="C1989" s="13" t="s">
        <v>328</v>
      </c>
      <c r="D1989" s="17">
        <f>SUMIFS(ShadowLedger!$D:$D,ShadowLedger!$G:$G,A1989,ShadowLedger!$C:$C,"&gt;="&amp;DATE(LEFT(SUBSTITUTE(C1989,"'",""),4),MID(SUBSTITUTE(C1989,"'",""),6,2),1),ShadowLedger!$C:$C,"&lt;"&amp;EOMONTH(DATE(LEFT(SUBSTITUTE(C1989,"'",""),4),MID(SUBSTITUTE(C1989,"'",""),6,2),1),0)+1)</f>
        <v>0</v>
      </c>
      <c r="E1989" s="17">
        <f t="shared" si="1"/>
        <v>65</v>
      </c>
      <c r="F1989" s="17">
        <f t="shared" si="2"/>
        <v>0</v>
      </c>
    </row>
    <row r="1990">
      <c r="A1990" s="5" t="s">
        <v>69</v>
      </c>
      <c r="B1990" s="6">
        <v>0.0</v>
      </c>
      <c r="C1990" s="13" t="s">
        <v>328</v>
      </c>
      <c r="D1990" s="17">
        <f>SUMIFS(ShadowLedger!$D:$D,ShadowLedger!$G:$G,A1990,ShadowLedger!$C:$C,"&gt;="&amp;DATE(LEFT(SUBSTITUTE(C1990,"'",""),4),MID(SUBSTITUTE(C1990,"'",""),6,2),1),ShadowLedger!$C:$C,"&lt;"&amp;EOMONTH(DATE(LEFT(SUBSTITUTE(C1990,"'",""),4),MID(SUBSTITUTE(C1990,"'",""),6,2),1),0)+1)</f>
        <v>0</v>
      </c>
      <c r="E1990" s="17">
        <f t="shared" si="1"/>
        <v>0</v>
      </c>
      <c r="F1990" s="17">
        <f t="shared" si="2"/>
        <v>0</v>
      </c>
    </row>
    <row r="1991">
      <c r="A1991" s="5" t="s">
        <v>54</v>
      </c>
      <c r="B1991" s="6">
        <v>1200.0</v>
      </c>
      <c r="C1991" s="13" t="s">
        <v>329</v>
      </c>
      <c r="D1991" s="17">
        <f>SUMIFS(ShadowLedger!$D:$D,ShadowLedger!$G:$G,A1991,ShadowLedger!$C:$C,"&gt;="&amp;DATE(LEFT(SUBSTITUTE(C1991,"'",""),4),MID(SUBSTITUTE(C1991,"'",""),6,2),1),ShadowLedger!$C:$C,"&lt;"&amp;EOMONTH(DATE(LEFT(SUBSTITUTE(C1991,"'",""),4),MID(SUBSTITUTE(C1991,"'",""),6,2),1),0)+1)</f>
        <v>0</v>
      </c>
      <c r="E1991" s="17">
        <f t="shared" si="1"/>
        <v>1200</v>
      </c>
      <c r="F1991" s="17">
        <f t="shared" si="2"/>
        <v>0</v>
      </c>
    </row>
    <row r="1992">
      <c r="A1992" s="5" t="s">
        <v>55</v>
      </c>
      <c r="B1992" s="6">
        <v>913.0</v>
      </c>
      <c r="C1992" s="13" t="s">
        <v>329</v>
      </c>
      <c r="D1992" s="17">
        <f>SUMIFS(ShadowLedger!$D:$D,ShadowLedger!$G:$G,A1992,ShadowLedger!$C:$C,"&gt;="&amp;DATE(LEFT(SUBSTITUTE(C1992,"'",""),4),MID(SUBSTITUTE(C1992,"'",""),6,2),1),ShadowLedger!$C:$C,"&lt;"&amp;EOMONTH(DATE(LEFT(SUBSTITUTE(C1992,"'",""),4),MID(SUBSTITUTE(C1992,"'",""),6,2),1),0)+1)</f>
        <v>0</v>
      </c>
      <c r="E1992" s="17">
        <f t="shared" si="1"/>
        <v>913</v>
      </c>
      <c r="F1992" s="17">
        <f t="shared" si="2"/>
        <v>0</v>
      </c>
    </row>
    <row r="1993">
      <c r="A1993" s="5" t="s">
        <v>56</v>
      </c>
      <c r="B1993" s="6">
        <v>652.0</v>
      </c>
      <c r="C1993" s="13" t="s">
        <v>329</v>
      </c>
      <c r="D1993" s="17">
        <f>SUMIFS(ShadowLedger!$D:$D,ShadowLedger!$G:$G,A1993,ShadowLedger!$C:$C,"&gt;="&amp;DATE(LEFT(SUBSTITUTE(C1993,"'",""),4),MID(SUBSTITUTE(C1993,"'",""),6,2),1),ShadowLedger!$C:$C,"&lt;"&amp;EOMONTH(DATE(LEFT(SUBSTITUTE(C1993,"'",""),4),MID(SUBSTITUTE(C1993,"'",""),6,2),1),0)+1)</f>
        <v>0</v>
      </c>
      <c r="E1993" s="17">
        <f t="shared" si="1"/>
        <v>652</v>
      </c>
      <c r="F1993" s="17">
        <f t="shared" si="2"/>
        <v>0</v>
      </c>
    </row>
    <row r="1994">
      <c r="A1994" s="5" t="s">
        <v>57</v>
      </c>
      <c r="B1994" s="6">
        <v>652.0</v>
      </c>
      <c r="C1994" s="13" t="s">
        <v>329</v>
      </c>
      <c r="D1994" s="17">
        <f>SUMIFS(ShadowLedger!$D:$D,ShadowLedger!$G:$G,A1994,ShadowLedger!$C:$C,"&gt;="&amp;DATE(LEFT(SUBSTITUTE(C1994,"'",""),4),MID(SUBSTITUTE(C1994,"'",""),6,2),1),ShadowLedger!$C:$C,"&lt;"&amp;EOMONTH(DATE(LEFT(SUBSTITUTE(C1994,"'",""),4),MID(SUBSTITUTE(C1994,"'",""),6,2),1),0)+1)</f>
        <v>0</v>
      </c>
      <c r="E1994" s="17">
        <f t="shared" si="1"/>
        <v>652</v>
      </c>
      <c r="F1994" s="17">
        <f t="shared" si="2"/>
        <v>0</v>
      </c>
    </row>
    <row r="1995">
      <c r="A1995" s="5" t="s">
        <v>58</v>
      </c>
      <c r="B1995" s="6">
        <v>522.0</v>
      </c>
      <c r="C1995" s="13" t="s">
        <v>329</v>
      </c>
      <c r="D1995" s="17">
        <f>SUMIFS(ShadowLedger!$D:$D,ShadowLedger!$G:$G,A1995,ShadowLedger!$C:$C,"&gt;="&amp;DATE(LEFT(SUBSTITUTE(C1995,"'",""),4),MID(SUBSTITUTE(C1995,"'",""),6,2),1),ShadowLedger!$C:$C,"&lt;"&amp;EOMONTH(DATE(LEFT(SUBSTITUTE(C1995,"'",""),4),MID(SUBSTITUTE(C1995,"'",""),6,2),1),0)+1)</f>
        <v>0</v>
      </c>
      <c r="E1995" s="17">
        <f t="shared" si="1"/>
        <v>522</v>
      </c>
      <c r="F1995" s="17">
        <f t="shared" si="2"/>
        <v>0</v>
      </c>
    </row>
    <row r="1996">
      <c r="A1996" s="5" t="s">
        <v>59</v>
      </c>
      <c r="B1996" s="6">
        <v>261.0</v>
      </c>
      <c r="C1996" s="13" t="s">
        <v>329</v>
      </c>
      <c r="D1996" s="17">
        <f>SUMIFS(ShadowLedger!$D:$D,ShadowLedger!$G:$G,A1996,ShadowLedger!$C:$C,"&gt;="&amp;DATE(LEFT(SUBSTITUTE(C1996,"'",""),4),MID(SUBSTITUTE(C1996,"'",""),6,2),1),ShadowLedger!$C:$C,"&lt;"&amp;EOMONTH(DATE(LEFT(SUBSTITUTE(C1996,"'",""),4),MID(SUBSTITUTE(C1996,"'",""),6,2),1),0)+1)</f>
        <v>0</v>
      </c>
      <c r="E1996" s="17">
        <f t="shared" si="1"/>
        <v>261</v>
      </c>
      <c r="F1996" s="17">
        <f t="shared" si="2"/>
        <v>0</v>
      </c>
    </row>
    <row r="1997">
      <c r="A1997" s="5" t="s">
        <v>60</v>
      </c>
      <c r="B1997" s="6">
        <v>196.0</v>
      </c>
      <c r="C1997" s="13" t="s">
        <v>329</v>
      </c>
      <c r="D1997" s="17">
        <f>SUMIFS(ShadowLedger!$D:$D,ShadowLedger!$G:$G,A1997,ShadowLedger!$C:$C,"&gt;="&amp;DATE(LEFT(SUBSTITUTE(C1997,"'",""),4),MID(SUBSTITUTE(C1997,"'",""),6,2),1),ShadowLedger!$C:$C,"&lt;"&amp;EOMONTH(DATE(LEFT(SUBSTITUTE(C1997,"'",""),4),MID(SUBSTITUTE(C1997,"'",""),6,2),1),0)+1)</f>
        <v>0</v>
      </c>
      <c r="E1997" s="17">
        <f t="shared" si="1"/>
        <v>196</v>
      </c>
      <c r="F1997" s="17">
        <f t="shared" si="2"/>
        <v>0</v>
      </c>
    </row>
    <row r="1998">
      <c r="A1998" s="5" t="s">
        <v>61</v>
      </c>
      <c r="B1998" s="6">
        <v>157.0</v>
      </c>
      <c r="C1998" s="13" t="s">
        <v>329</v>
      </c>
      <c r="D1998" s="17">
        <f>SUMIFS(ShadowLedger!$D:$D,ShadowLedger!$G:$G,A1998,ShadowLedger!$C:$C,"&gt;="&amp;DATE(LEFT(SUBSTITUTE(C1998,"'",""),4),MID(SUBSTITUTE(C1998,"'",""),6,2),1),ShadowLedger!$C:$C,"&lt;"&amp;EOMONTH(DATE(LEFT(SUBSTITUTE(C1998,"'",""),4),MID(SUBSTITUTE(C1998,"'",""),6,2),1),0)+1)</f>
        <v>0</v>
      </c>
      <c r="E1998" s="17">
        <f t="shared" si="1"/>
        <v>157</v>
      </c>
      <c r="F1998" s="17">
        <f t="shared" si="2"/>
        <v>0</v>
      </c>
    </row>
    <row r="1999">
      <c r="A1999" s="5" t="s">
        <v>62</v>
      </c>
      <c r="B1999" s="6">
        <v>157.0</v>
      </c>
      <c r="C1999" s="13" t="s">
        <v>329</v>
      </c>
      <c r="D1999" s="17">
        <f>SUMIFS(ShadowLedger!$D:$D,ShadowLedger!$G:$G,A1999,ShadowLedger!$C:$C,"&gt;="&amp;DATE(LEFT(SUBSTITUTE(C1999,"'",""),4),MID(SUBSTITUTE(C1999,"'",""),6,2),1),ShadowLedger!$C:$C,"&lt;"&amp;EOMONTH(DATE(LEFT(SUBSTITUTE(C1999,"'",""),4),MID(SUBSTITUTE(C1999,"'",""),6,2),1),0)+1)</f>
        <v>0</v>
      </c>
      <c r="E1999" s="17">
        <f t="shared" si="1"/>
        <v>157</v>
      </c>
      <c r="F1999" s="17">
        <f t="shared" si="2"/>
        <v>0</v>
      </c>
    </row>
    <row r="2000">
      <c r="A2000" s="5" t="s">
        <v>63</v>
      </c>
      <c r="B2000" s="6">
        <v>130.0</v>
      </c>
      <c r="C2000" s="13" t="s">
        <v>329</v>
      </c>
      <c r="D2000" s="17">
        <f>SUMIFS(ShadowLedger!$D:$D,ShadowLedger!$G:$G,A2000,ShadowLedger!$C:$C,"&gt;="&amp;DATE(LEFT(SUBSTITUTE(C2000,"'",""),4),MID(SUBSTITUTE(C2000,"'",""),6,2),1),ShadowLedger!$C:$C,"&lt;"&amp;EOMONTH(DATE(LEFT(SUBSTITUTE(C2000,"'",""),4),MID(SUBSTITUTE(C2000,"'",""),6,2),1),0)+1)</f>
        <v>0</v>
      </c>
      <c r="E2000" s="17">
        <f t="shared" si="1"/>
        <v>130</v>
      </c>
      <c r="F2000" s="17">
        <f t="shared" si="2"/>
        <v>0</v>
      </c>
    </row>
    <row r="2001">
      <c r="A2001" s="5" t="s">
        <v>64</v>
      </c>
      <c r="B2001" s="6">
        <v>130.0</v>
      </c>
      <c r="C2001" s="13" t="s">
        <v>329</v>
      </c>
      <c r="D2001" s="17">
        <f>SUMIFS(ShadowLedger!$D:$D,ShadowLedger!$G:$G,A2001,ShadowLedger!$C:$C,"&gt;="&amp;DATE(LEFT(SUBSTITUTE(C2001,"'",""),4),MID(SUBSTITUTE(C2001,"'",""),6,2),1),ShadowLedger!$C:$C,"&lt;"&amp;EOMONTH(DATE(LEFT(SUBSTITUTE(C2001,"'",""),4),MID(SUBSTITUTE(C2001,"'",""),6,2),1),0)+1)</f>
        <v>0</v>
      </c>
      <c r="E2001" s="17">
        <f t="shared" si="1"/>
        <v>130</v>
      </c>
      <c r="F2001" s="17">
        <f t="shared" si="2"/>
        <v>0</v>
      </c>
    </row>
    <row r="2002">
      <c r="A2002" s="5" t="s">
        <v>70</v>
      </c>
      <c r="B2002" s="6">
        <v>130.0</v>
      </c>
      <c r="C2002" s="13" t="s">
        <v>329</v>
      </c>
      <c r="D2002" s="17">
        <f>SUMIFS(ShadowLedger!$D:$D,ShadowLedger!$G:$G,A2002,ShadowLedger!$C:$C,"&gt;="&amp;DATE(LEFT(SUBSTITUTE(C2002,"'",""),4),MID(SUBSTITUTE(C2002,"'",""),6,2),1),ShadowLedger!$C:$C,"&lt;"&amp;EOMONTH(DATE(LEFT(SUBSTITUTE(C2002,"'",""),4),MID(SUBSTITUTE(C2002,"'",""),6,2),1),0)+1)</f>
        <v>0</v>
      </c>
      <c r="E2002" s="17">
        <f t="shared" si="1"/>
        <v>130</v>
      </c>
      <c r="F2002" s="17">
        <f t="shared" si="2"/>
        <v>0</v>
      </c>
    </row>
    <row r="2003">
      <c r="A2003" s="5" t="s">
        <v>65</v>
      </c>
      <c r="B2003" s="6">
        <v>65.0</v>
      </c>
      <c r="C2003" s="13" t="s">
        <v>329</v>
      </c>
      <c r="D2003" s="17">
        <f>SUMIFS(ShadowLedger!$D:$D,ShadowLedger!$G:$G,A2003,ShadowLedger!$C:$C,"&gt;="&amp;DATE(LEFT(SUBSTITUTE(C2003,"'",""),4),MID(SUBSTITUTE(C2003,"'",""),6,2),1),ShadowLedger!$C:$C,"&lt;"&amp;EOMONTH(DATE(LEFT(SUBSTITUTE(C2003,"'",""),4),MID(SUBSTITUTE(C2003,"'",""),6,2),1),0)+1)</f>
        <v>0</v>
      </c>
      <c r="E2003" s="17">
        <f t="shared" si="1"/>
        <v>65</v>
      </c>
      <c r="F2003" s="17">
        <f t="shared" si="2"/>
        <v>0</v>
      </c>
    </row>
    <row r="2004">
      <c r="A2004" s="5" t="s">
        <v>66</v>
      </c>
      <c r="B2004" s="6">
        <v>65.0</v>
      </c>
      <c r="C2004" s="13" t="s">
        <v>329</v>
      </c>
      <c r="D2004" s="17">
        <f>SUMIFS(ShadowLedger!$D:$D,ShadowLedger!$G:$G,A2004,ShadowLedger!$C:$C,"&gt;="&amp;DATE(LEFT(SUBSTITUTE(C2004,"'",""),4),MID(SUBSTITUTE(C2004,"'",""),6,2),1),ShadowLedger!$C:$C,"&lt;"&amp;EOMONTH(DATE(LEFT(SUBSTITUTE(C2004,"'",""),4),MID(SUBSTITUTE(C2004,"'",""),6,2),1),0)+1)</f>
        <v>0</v>
      </c>
      <c r="E2004" s="17">
        <f t="shared" si="1"/>
        <v>65</v>
      </c>
      <c r="F2004" s="17">
        <f t="shared" si="2"/>
        <v>0</v>
      </c>
    </row>
    <row r="2005">
      <c r="A2005" s="5" t="s">
        <v>67</v>
      </c>
      <c r="B2005" s="6">
        <v>65.0</v>
      </c>
      <c r="C2005" s="13" t="s">
        <v>329</v>
      </c>
      <c r="D2005" s="17">
        <f>SUMIFS(ShadowLedger!$D:$D,ShadowLedger!$G:$G,A2005,ShadowLedger!$C:$C,"&gt;="&amp;DATE(LEFT(SUBSTITUTE(C2005,"'",""),4),MID(SUBSTITUTE(C2005,"'",""),6,2),1),ShadowLedger!$C:$C,"&lt;"&amp;EOMONTH(DATE(LEFT(SUBSTITUTE(C2005,"'",""),4),MID(SUBSTITUTE(C2005,"'",""),6,2),1),0)+1)</f>
        <v>0</v>
      </c>
      <c r="E2005" s="17">
        <f t="shared" si="1"/>
        <v>65</v>
      </c>
      <c r="F2005" s="17">
        <f t="shared" si="2"/>
        <v>0</v>
      </c>
    </row>
    <row r="2006">
      <c r="A2006" s="5" t="s">
        <v>68</v>
      </c>
      <c r="B2006" s="6">
        <v>65.0</v>
      </c>
      <c r="C2006" s="13" t="s">
        <v>329</v>
      </c>
      <c r="D2006" s="17">
        <f>SUMIFS(ShadowLedger!$D:$D,ShadowLedger!$G:$G,A2006,ShadowLedger!$C:$C,"&gt;="&amp;DATE(LEFT(SUBSTITUTE(C2006,"'",""),4),MID(SUBSTITUTE(C2006,"'",""),6,2),1),ShadowLedger!$C:$C,"&lt;"&amp;EOMONTH(DATE(LEFT(SUBSTITUTE(C2006,"'",""),4),MID(SUBSTITUTE(C2006,"'",""),6,2),1),0)+1)</f>
        <v>0</v>
      </c>
      <c r="E2006" s="17">
        <f t="shared" si="1"/>
        <v>65</v>
      </c>
      <c r="F2006" s="17">
        <f t="shared" si="2"/>
        <v>0</v>
      </c>
    </row>
    <row r="2007">
      <c r="A2007" s="5" t="s">
        <v>69</v>
      </c>
      <c r="B2007" s="6">
        <v>0.0</v>
      </c>
      <c r="C2007" s="13" t="s">
        <v>329</v>
      </c>
      <c r="D2007" s="17">
        <f>SUMIFS(ShadowLedger!$D:$D,ShadowLedger!$G:$G,A2007,ShadowLedger!$C:$C,"&gt;="&amp;DATE(LEFT(SUBSTITUTE(C2007,"'",""),4),MID(SUBSTITUTE(C2007,"'",""),6,2),1),ShadowLedger!$C:$C,"&lt;"&amp;EOMONTH(DATE(LEFT(SUBSTITUTE(C2007,"'",""),4),MID(SUBSTITUTE(C2007,"'",""),6,2),1),0)+1)</f>
        <v>0</v>
      </c>
      <c r="E2007" s="17">
        <f t="shared" si="1"/>
        <v>0</v>
      </c>
      <c r="F2007" s="17">
        <f t="shared" si="2"/>
        <v>0</v>
      </c>
    </row>
    <row r="2008">
      <c r="A2008" s="5" t="s">
        <v>54</v>
      </c>
      <c r="B2008" s="6">
        <v>1200.0</v>
      </c>
      <c r="C2008" s="13" t="s">
        <v>330</v>
      </c>
      <c r="D2008" s="17">
        <f>SUMIFS(ShadowLedger!$D:$D,ShadowLedger!$G:$G,A2008,ShadowLedger!$C:$C,"&gt;="&amp;DATE(LEFT(SUBSTITUTE(C2008,"'",""),4),MID(SUBSTITUTE(C2008,"'",""),6,2),1),ShadowLedger!$C:$C,"&lt;"&amp;EOMONTH(DATE(LEFT(SUBSTITUTE(C2008,"'",""),4),MID(SUBSTITUTE(C2008,"'",""),6,2),1),0)+1)</f>
        <v>0</v>
      </c>
      <c r="E2008" s="17">
        <f t="shared" si="1"/>
        <v>1200</v>
      </c>
      <c r="F2008" s="17">
        <f t="shared" si="2"/>
        <v>0</v>
      </c>
    </row>
    <row r="2009">
      <c r="A2009" s="5" t="s">
        <v>55</v>
      </c>
      <c r="B2009" s="6">
        <v>913.0</v>
      </c>
      <c r="C2009" s="13" t="s">
        <v>330</v>
      </c>
      <c r="D2009" s="17">
        <f>SUMIFS(ShadowLedger!$D:$D,ShadowLedger!$G:$G,A2009,ShadowLedger!$C:$C,"&gt;="&amp;DATE(LEFT(SUBSTITUTE(C2009,"'",""),4),MID(SUBSTITUTE(C2009,"'",""),6,2),1),ShadowLedger!$C:$C,"&lt;"&amp;EOMONTH(DATE(LEFT(SUBSTITUTE(C2009,"'",""),4),MID(SUBSTITUTE(C2009,"'",""),6,2),1),0)+1)</f>
        <v>0</v>
      </c>
      <c r="E2009" s="17">
        <f t="shared" si="1"/>
        <v>913</v>
      </c>
      <c r="F2009" s="17">
        <f t="shared" si="2"/>
        <v>0</v>
      </c>
    </row>
    <row r="2010">
      <c r="A2010" s="5" t="s">
        <v>56</v>
      </c>
      <c r="B2010" s="6">
        <v>652.0</v>
      </c>
      <c r="C2010" s="13" t="s">
        <v>330</v>
      </c>
      <c r="D2010" s="17">
        <f>SUMIFS(ShadowLedger!$D:$D,ShadowLedger!$G:$G,A2010,ShadowLedger!$C:$C,"&gt;="&amp;DATE(LEFT(SUBSTITUTE(C2010,"'",""),4),MID(SUBSTITUTE(C2010,"'",""),6,2),1),ShadowLedger!$C:$C,"&lt;"&amp;EOMONTH(DATE(LEFT(SUBSTITUTE(C2010,"'",""),4),MID(SUBSTITUTE(C2010,"'",""),6,2),1),0)+1)</f>
        <v>0</v>
      </c>
      <c r="E2010" s="17">
        <f t="shared" si="1"/>
        <v>652</v>
      </c>
      <c r="F2010" s="17">
        <f t="shared" si="2"/>
        <v>0</v>
      </c>
    </row>
    <row r="2011">
      <c r="A2011" s="5" t="s">
        <v>57</v>
      </c>
      <c r="B2011" s="6">
        <v>652.0</v>
      </c>
      <c r="C2011" s="13" t="s">
        <v>330</v>
      </c>
      <c r="D2011" s="17">
        <f>SUMIFS(ShadowLedger!$D:$D,ShadowLedger!$G:$G,A2011,ShadowLedger!$C:$C,"&gt;="&amp;DATE(LEFT(SUBSTITUTE(C2011,"'",""),4),MID(SUBSTITUTE(C2011,"'",""),6,2),1),ShadowLedger!$C:$C,"&lt;"&amp;EOMONTH(DATE(LEFT(SUBSTITUTE(C2011,"'",""),4),MID(SUBSTITUTE(C2011,"'",""),6,2),1),0)+1)</f>
        <v>0</v>
      </c>
      <c r="E2011" s="17">
        <f t="shared" si="1"/>
        <v>652</v>
      </c>
      <c r="F2011" s="17">
        <f t="shared" si="2"/>
        <v>0</v>
      </c>
    </row>
    <row r="2012">
      <c r="A2012" s="5" t="s">
        <v>58</v>
      </c>
      <c r="B2012" s="6">
        <v>522.0</v>
      </c>
      <c r="C2012" s="13" t="s">
        <v>330</v>
      </c>
      <c r="D2012" s="17">
        <f>SUMIFS(ShadowLedger!$D:$D,ShadowLedger!$G:$G,A2012,ShadowLedger!$C:$C,"&gt;="&amp;DATE(LEFT(SUBSTITUTE(C2012,"'",""),4),MID(SUBSTITUTE(C2012,"'",""),6,2),1),ShadowLedger!$C:$C,"&lt;"&amp;EOMONTH(DATE(LEFT(SUBSTITUTE(C2012,"'",""),4),MID(SUBSTITUTE(C2012,"'",""),6,2),1),0)+1)</f>
        <v>0</v>
      </c>
      <c r="E2012" s="17">
        <f t="shared" si="1"/>
        <v>522</v>
      </c>
      <c r="F2012" s="17">
        <f t="shared" si="2"/>
        <v>0</v>
      </c>
    </row>
    <row r="2013">
      <c r="A2013" s="5" t="s">
        <v>59</v>
      </c>
      <c r="B2013" s="6">
        <v>261.0</v>
      </c>
      <c r="C2013" s="13" t="s">
        <v>330</v>
      </c>
      <c r="D2013" s="17">
        <f>SUMIFS(ShadowLedger!$D:$D,ShadowLedger!$G:$G,A2013,ShadowLedger!$C:$C,"&gt;="&amp;DATE(LEFT(SUBSTITUTE(C2013,"'",""),4),MID(SUBSTITUTE(C2013,"'",""),6,2),1),ShadowLedger!$C:$C,"&lt;"&amp;EOMONTH(DATE(LEFT(SUBSTITUTE(C2013,"'",""),4),MID(SUBSTITUTE(C2013,"'",""),6,2),1),0)+1)</f>
        <v>0</v>
      </c>
      <c r="E2013" s="17">
        <f t="shared" si="1"/>
        <v>261</v>
      </c>
      <c r="F2013" s="17">
        <f t="shared" si="2"/>
        <v>0</v>
      </c>
    </row>
    <row r="2014">
      <c r="A2014" s="5" t="s">
        <v>60</v>
      </c>
      <c r="B2014" s="6">
        <v>196.0</v>
      </c>
      <c r="C2014" s="13" t="s">
        <v>330</v>
      </c>
      <c r="D2014" s="17">
        <f>SUMIFS(ShadowLedger!$D:$D,ShadowLedger!$G:$G,A2014,ShadowLedger!$C:$C,"&gt;="&amp;DATE(LEFT(SUBSTITUTE(C2014,"'",""),4),MID(SUBSTITUTE(C2014,"'",""),6,2),1),ShadowLedger!$C:$C,"&lt;"&amp;EOMONTH(DATE(LEFT(SUBSTITUTE(C2014,"'",""),4),MID(SUBSTITUTE(C2014,"'",""),6,2),1),0)+1)</f>
        <v>0</v>
      </c>
      <c r="E2014" s="17">
        <f t="shared" si="1"/>
        <v>196</v>
      </c>
      <c r="F2014" s="17">
        <f t="shared" si="2"/>
        <v>0</v>
      </c>
    </row>
    <row r="2015">
      <c r="A2015" s="5" t="s">
        <v>61</v>
      </c>
      <c r="B2015" s="6">
        <v>157.0</v>
      </c>
      <c r="C2015" s="13" t="s">
        <v>330</v>
      </c>
      <c r="D2015" s="17">
        <f>SUMIFS(ShadowLedger!$D:$D,ShadowLedger!$G:$G,A2015,ShadowLedger!$C:$C,"&gt;="&amp;DATE(LEFT(SUBSTITUTE(C2015,"'",""),4),MID(SUBSTITUTE(C2015,"'",""),6,2),1),ShadowLedger!$C:$C,"&lt;"&amp;EOMONTH(DATE(LEFT(SUBSTITUTE(C2015,"'",""),4),MID(SUBSTITUTE(C2015,"'",""),6,2),1),0)+1)</f>
        <v>0</v>
      </c>
      <c r="E2015" s="17">
        <f t="shared" si="1"/>
        <v>157</v>
      </c>
      <c r="F2015" s="17">
        <f t="shared" si="2"/>
        <v>0</v>
      </c>
    </row>
    <row r="2016">
      <c r="A2016" s="5" t="s">
        <v>62</v>
      </c>
      <c r="B2016" s="6">
        <v>157.0</v>
      </c>
      <c r="C2016" s="13" t="s">
        <v>330</v>
      </c>
      <c r="D2016" s="17">
        <f>SUMIFS(ShadowLedger!$D:$D,ShadowLedger!$G:$G,A2016,ShadowLedger!$C:$C,"&gt;="&amp;DATE(LEFT(SUBSTITUTE(C2016,"'",""),4),MID(SUBSTITUTE(C2016,"'",""),6,2),1),ShadowLedger!$C:$C,"&lt;"&amp;EOMONTH(DATE(LEFT(SUBSTITUTE(C2016,"'",""),4),MID(SUBSTITUTE(C2016,"'",""),6,2),1),0)+1)</f>
        <v>0</v>
      </c>
      <c r="E2016" s="17">
        <f t="shared" si="1"/>
        <v>157</v>
      </c>
      <c r="F2016" s="17">
        <f t="shared" si="2"/>
        <v>0</v>
      </c>
    </row>
    <row r="2017">
      <c r="A2017" s="5" t="s">
        <v>63</v>
      </c>
      <c r="B2017" s="6">
        <v>130.0</v>
      </c>
      <c r="C2017" s="13" t="s">
        <v>330</v>
      </c>
      <c r="D2017" s="17">
        <f>SUMIFS(ShadowLedger!$D:$D,ShadowLedger!$G:$G,A2017,ShadowLedger!$C:$C,"&gt;="&amp;DATE(LEFT(SUBSTITUTE(C2017,"'",""),4),MID(SUBSTITUTE(C2017,"'",""),6,2),1),ShadowLedger!$C:$C,"&lt;"&amp;EOMONTH(DATE(LEFT(SUBSTITUTE(C2017,"'",""),4),MID(SUBSTITUTE(C2017,"'",""),6,2),1),0)+1)</f>
        <v>0</v>
      </c>
      <c r="E2017" s="17">
        <f t="shared" si="1"/>
        <v>130</v>
      </c>
      <c r="F2017" s="17">
        <f t="shared" si="2"/>
        <v>0</v>
      </c>
    </row>
    <row r="2018">
      <c r="A2018" s="5" t="s">
        <v>64</v>
      </c>
      <c r="B2018" s="6">
        <v>130.0</v>
      </c>
      <c r="C2018" s="13" t="s">
        <v>330</v>
      </c>
      <c r="D2018" s="17">
        <f>SUMIFS(ShadowLedger!$D:$D,ShadowLedger!$G:$G,A2018,ShadowLedger!$C:$C,"&gt;="&amp;DATE(LEFT(SUBSTITUTE(C2018,"'",""),4),MID(SUBSTITUTE(C2018,"'",""),6,2),1),ShadowLedger!$C:$C,"&lt;"&amp;EOMONTH(DATE(LEFT(SUBSTITUTE(C2018,"'",""),4),MID(SUBSTITUTE(C2018,"'",""),6,2),1),0)+1)</f>
        <v>0</v>
      </c>
      <c r="E2018" s="17">
        <f t="shared" si="1"/>
        <v>130</v>
      </c>
      <c r="F2018" s="17">
        <f t="shared" si="2"/>
        <v>0</v>
      </c>
    </row>
    <row r="2019">
      <c r="A2019" s="5" t="s">
        <v>70</v>
      </c>
      <c r="B2019" s="6">
        <v>130.0</v>
      </c>
      <c r="C2019" s="13" t="s">
        <v>330</v>
      </c>
      <c r="D2019" s="17">
        <f>SUMIFS(ShadowLedger!$D:$D,ShadowLedger!$G:$G,A2019,ShadowLedger!$C:$C,"&gt;="&amp;DATE(LEFT(SUBSTITUTE(C2019,"'",""),4),MID(SUBSTITUTE(C2019,"'",""),6,2),1),ShadowLedger!$C:$C,"&lt;"&amp;EOMONTH(DATE(LEFT(SUBSTITUTE(C2019,"'",""),4),MID(SUBSTITUTE(C2019,"'",""),6,2),1),0)+1)</f>
        <v>0</v>
      </c>
      <c r="E2019" s="17">
        <f t="shared" si="1"/>
        <v>130</v>
      </c>
      <c r="F2019" s="17">
        <f t="shared" si="2"/>
        <v>0</v>
      </c>
    </row>
    <row r="2020">
      <c r="A2020" s="5" t="s">
        <v>65</v>
      </c>
      <c r="B2020" s="6">
        <v>65.0</v>
      </c>
      <c r="C2020" s="13" t="s">
        <v>330</v>
      </c>
      <c r="D2020" s="17">
        <f>SUMIFS(ShadowLedger!$D:$D,ShadowLedger!$G:$G,A2020,ShadowLedger!$C:$C,"&gt;="&amp;DATE(LEFT(SUBSTITUTE(C2020,"'",""),4),MID(SUBSTITUTE(C2020,"'",""),6,2),1),ShadowLedger!$C:$C,"&lt;"&amp;EOMONTH(DATE(LEFT(SUBSTITUTE(C2020,"'",""),4),MID(SUBSTITUTE(C2020,"'",""),6,2),1),0)+1)</f>
        <v>0</v>
      </c>
      <c r="E2020" s="17">
        <f t="shared" si="1"/>
        <v>65</v>
      </c>
      <c r="F2020" s="17">
        <f t="shared" si="2"/>
        <v>0</v>
      </c>
    </row>
    <row r="2021">
      <c r="A2021" s="5" t="s">
        <v>66</v>
      </c>
      <c r="B2021" s="6">
        <v>65.0</v>
      </c>
      <c r="C2021" s="13" t="s">
        <v>330</v>
      </c>
      <c r="D2021" s="17">
        <f>SUMIFS(ShadowLedger!$D:$D,ShadowLedger!$G:$G,A2021,ShadowLedger!$C:$C,"&gt;="&amp;DATE(LEFT(SUBSTITUTE(C2021,"'",""),4),MID(SUBSTITUTE(C2021,"'",""),6,2),1),ShadowLedger!$C:$C,"&lt;"&amp;EOMONTH(DATE(LEFT(SUBSTITUTE(C2021,"'",""),4),MID(SUBSTITUTE(C2021,"'",""),6,2),1),0)+1)</f>
        <v>0</v>
      </c>
      <c r="E2021" s="17">
        <f t="shared" si="1"/>
        <v>65</v>
      </c>
      <c r="F2021" s="17">
        <f t="shared" si="2"/>
        <v>0</v>
      </c>
    </row>
    <row r="2022">
      <c r="A2022" s="5" t="s">
        <v>67</v>
      </c>
      <c r="B2022" s="6">
        <v>65.0</v>
      </c>
      <c r="C2022" s="13" t="s">
        <v>330</v>
      </c>
      <c r="D2022" s="17">
        <f>SUMIFS(ShadowLedger!$D:$D,ShadowLedger!$G:$G,A2022,ShadowLedger!$C:$C,"&gt;="&amp;DATE(LEFT(SUBSTITUTE(C2022,"'",""),4),MID(SUBSTITUTE(C2022,"'",""),6,2),1),ShadowLedger!$C:$C,"&lt;"&amp;EOMONTH(DATE(LEFT(SUBSTITUTE(C2022,"'",""),4),MID(SUBSTITUTE(C2022,"'",""),6,2),1),0)+1)</f>
        <v>0</v>
      </c>
      <c r="E2022" s="17">
        <f t="shared" si="1"/>
        <v>65</v>
      </c>
      <c r="F2022" s="17">
        <f t="shared" si="2"/>
        <v>0</v>
      </c>
    </row>
    <row r="2023">
      <c r="A2023" s="5" t="s">
        <v>68</v>
      </c>
      <c r="B2023" s="6">
        <v>65.0</v>
      </c>
      <c r="C2023" s="13" t="s">
        <v>330</v>
      </c>
      <c r="D2023" s="17">
        <f>SUMIFS(ShadowLedger!$D:$D,ShadowLedger!$G:$G,A2023,ShadowLedger!$C:$C,"&gt;="&amp;DATE(LEFT(SUBSTITUTE(C2023,"'",""),4),MID(SUBSTITUTE(C2023,"'",""),6,2),1),ShadowLedger!$C:$C,"&lt;"&amp;EOMONTH(DATE(LEFT(SUBSTITUTE(C2023,"'",""),4),MID(SUBSTITUTE(C2023,"'",""),6,2),1),0)+1)</f>
        <v>0</v>
      </c>
      <c r="E2023" s="17">
        <f t="shared" si="1"/>
        <v>65</v>
      </c>
      <c r="F2023" s="17">
        <f t="shared" si="2"/>
        <v>0</v>
      </c>
    </row>
    <row r="2024">
      <c r="A2024" s="5" t="s">
        <v>69</v>
      </c>
      <c r="B2024" s="6">
        <v>0.0</v>
      </c>
      <c r="C2024" s="13" t="s">
        <v>330</v>
      </c>
      <c r="D2024" s="17">
        <f>SUMIFS(ShadowLedger!$D:$D,ShadowLedger!$G:$G,A2024,ShadowLedger!$C:$C,"&gt;="&amp;DATE(LEFT(SUBSTITUTE(C2024,"'",""),4),MID(SUBSTITUTE(C2024,"'",""),6,2),1),ShadowLedger!$C:$C,"&lt;"&amp;EOMONTH(DATE(LEFT(SUBSTITUTE(C2024,"'",""),4),MID(SUBSTITUTE(C2024,"'",""),6,2),1),0)+1)</f>
        <v>0</v>
      </c>
      <c r="E2024" s="17">
        <f t="shared" si="1"/>
        <v>0</v>
      </c>
      <c r="F2024" s="17">
        <f t="shared" si="2"/>
        <v>0</v>
      </c>
    </row>
    <row r="2025">
      <c r="A2025" s="5" t="s">
        <v>54</v>
      </c>
      <c r="B2025" s="6">
        <v>1200.0</v>
      </c>
      <c r="C2025" s="13" t="s">
        <v>331</v>
      </c>
      <c r="D2025" s="17">
        <f>SUMIFS(ShadowLedger!$D:$D,ShadowLedger!$G:$G,A2025,ShadowLedger!$C:$C,"&gt;="&amp;DATE(LEFT(SUBSTITUTE(C2025,"'",""),4),MID(SUBSTITUTE(C2025,"'",""),6,2),1),ShadowLedger!$C:$C,"&lt;"&amp;EOMONTH(DATE(LEFT(SUBSTITUTE(C2025,"'",""),4),MID(SUBSTITUTE(C2025,"'",""),6,2),1),0)+1)</f>
        <v>0</v>
      </c>
      <c r="E2025" s="17">
        <f t="shared" si="1"/>
        <v>1200</v>
      </c>
      <c r="F2025" s="17">
        <f t="shared" si="2"/>
        <v>0</v>
      </c>
    </row>
    <row r="2026">
      <c r="A2026" s="5" t="s">
        <v>55</v>
      </c>
      <c r="B2026" s="6">
        <v>913.0</v>
      </c>
      <c r="C2026" s="13" t="s">
        <v>331</v>
      </c>
      <c r="D2026" s="17">
        <f>SUMIFS(ShadowLedger!$D:$D,ShadowLedger!$G:$G,A2026,ShadowLedger!$C:$C,"&gt;="&amp;DATE(LEFT(SUBSTITUTE(C2026,"'",""),4),MID(SUBSTITUTE(C2026,"'",""),6,2),1),ShadowLedger!$C:$C,"&lt;"&amp;EOMONTH(DATE(LEFT(SUBSTITUTE(C2026,"'",""),4),MID(SUBSTITUTE(C2026,"'",""),6,2),1),0)+1)</f>
        <v>0</v>
      </c>
      <c r="E2026" s="17">
        <f t="shared" si="1"/>
        <v>913</v>
      </c>
      <c r="F2026" s="17">
        <f t="shared" si="2"/>
        <v>0</v>
      </c>
    </row>
    <row r="2027">
      <c r="A2027" s="5" t="s">
        <v>56</v>
      </c>
      <c r="B2027" s="6">
        <v>652.0</v>
      </c>
      <c r="C2027" s="13" t="s">
        <v>331</v>
      </c>
      <c r="D2027" s="17">
        <f>SUMIFS(ShadowLedger!$D:$D,ShadowLedger!$G:$G,A2027,ShadowLedger!$C:$C,"&gt;="&amp;DATE(LEFT(SUBSTITUTE(C2027,"'",""),4),MID(SUBSTITUTE(C2027,"'",""),6,2),1),ShadowLedger!$C:$C,"&lt;"&amp;EOMONTH(DATE(LEFT(SUBSTITUTE(C2027,"'",""),4),MID(SUBSTITUTE(C2027,"'",""),6,2),1),0)+1)</f>
        <v>0</v>
      </c>
      <c r="E2027" s="17">
        <f t="shared" si="1"/>
        <v>652</v>
      </c>
      <c r="F2027" s="17">
        <f t="shared" si="2"/>
        <v>0</v>
      </c>
    </row>
    <row r="2028">
      <c r="A2028" s="5" t="s">
        <v>57</v>
      </c>
      <c r="B2028" s="6">
        <v>652.0</v>
      </c>
      <c r="C2028" s="13" t="s">
        <v>331</v>
      </c>
      <c r="D2028" s="17">
        <f>SUMIFS(ShadowLedger!$D:$D,ShadowLedger!$G:$G,A2028,ShadowLedger!$C:$C,"&gt;="&amp;DATE(LEFT(SUBSTITUTE(C2028,"'",""),4),MID(SUBSTITUTE(C2028,"'",""),6,2),1),ShadowLedger!$C:$C,"&lt;"&amp;EOMONTH(DATE(LEFT(SUBSTITUTE(C2028,"'",""),4),MID(SUBSTITUTE(C2028,"'",""),6,2),1),0)+1)</f>
        <v>0</v>
      </c>
      <c r="E2028" s="17">
        <f t="shared" si="1"/>
        <v>652</v>
      </c>
      <c r="F2028" s="17">
        <f t="shared" si="2"/>
        <v>0</v>
      </c>
    </row>
    <row r="2029">
      <c r="A2029" s="5" t="s">
        <v>58</v>
      </c>
      <c r="B2029" s="6">
        <v>522.0</v>
      </c>
      <c r="C2029" s="13" t="s">
        <v>331</v>
      </c>
      <c r="D2029" s="17">
        <f>SUMIFS(ShadowLedger!$D:$D,ShadowLedger!$G:$G,A2029,ShadowLedger!$C:$C,"&gt;="&amp;DATE(LEFT(SUBSTITUTE(C2029,"'",""),4),MID(SUBSTITUTE(C2029,"'",""),6,2),1),ShadowLedger!$C:$C,"&lt;"&amp;EOMONTH(DATE(LEFT(SUBSTITUTE(C2029,"'",""),4),MID(SUBSTITUTE(C2029,"'",""),6,2),1),0)+1)</f>
        <v>0</v>
      </c>
      <c r="E2029" s="17">
        <f t="shared" si="1"/>
        <v>522</v>
      </c>
      <c r="F2029" s="17">
        <f t="shared" si="2"/>
        <v>0</v>
      </c>
    </row>
    <row r="2030">
      <c r="A2030" s="5" t="s">
        <v>59</v>
      </c>
      <c r="B2030" s="6">
        <v>261.0</v>
      </c>
      <c r="C2030" s="13" t="s">
        <v>331</v>
      </c>
      <c r="D2030" s="17">
        <f>SUMIFS(ShadowLedger!$D:$D,ShadowLedger!$G:$G,A2030,ShadowLedger!$C:$C,"&gt;="&amp;DATE(LEFT(SUBSTITUTE(C2030,"'",""),4),MID(SUBSTITUTE(C2030,"'",""),6,2),1),ShadowLedger!$C:$C,"&lt;"&amp;EOMONTH(DATE(LEFT(SUBSTITUTE(C2030,"'",""),4),MID(SUBSTITUTE(C2030,"'",""),6,2),1),0)+1)</f>
        <v>0</v>
      </c>
      <c r="E2030" s="17">
        <f t="shared" si="1"/>
        <v>261</v>
      </c>
      <c r="F2030" s="17">
        <f t="shared" si="2"/>
        <v>0</v>
      </c>
    </row>
    <row r="2031">
      <c r="A2031" s="5" t="s">
        <v>60</v>
      </c>
      <c r="B2031" s="6">
        <v>196.0</v>
      </c>
      <c r="C2031" s="13" t="s">
        <v>331</v>
      </c>
      <c r="D2031" s="17">
        <f>SUMIFS(ShadowLedger!$D:$D,ShadowLedger!$G:$G,A2031,ShadowLedger!$C:$C,"&gt;="&amp;DATE(LEFT(SUBSTITUTE(C2031,"'",""),4),MID(SUBSTITUTE(C2031,"'",""),6,2),1),ShadowLedger!$C:$C,"&lt;"&amp;EOMONTH(DATE(LEFT(SUBSTITUTE(C2031,"'",""),4),MID(SUBSTITUTE(C2031,"'",""),6,2),1),0)+1)</f>
        <v>0</v>
      </c>
      <c r="E2031" s="17">
        <f t="shared" si="1"/>
        <v>196</v>
      </c>
      <c r="F2031" s="17">
        <f t="shared" si="2"/>
        <v>0</v>
      </c>
    </row>
    <row r="2032">
      <c r="A2032" s="5" t="s">
        <v>61</v>
      </c>
      <c r="B2032" s="6">
        <v>157.0</v>
      </c>
      <c r="C2032" s="13" t="s">
        <v>331</v>
      </c>
      <c r="D2032" s="17">
        <f>SUMIFS(ShadowLedger!$D:$D,ShadowLedger!$G:$G,A2032,ShadowLedger!$C:$C,"&gt;="&amp;DATE(LEFT(SUBSTITUTE(C2032,"'",""),4),MID(SUBSTITUTE(C2032,"'",""),6,2),1),ShadowLedger!$C:$C,"&lt;"&amp;EOMONTH(DATE(LEFT(SUBSTITUTE(C2032,"'",""),4),MID(SUBSTITUTE(C2032,"'",""),6,2),1),0)+1)</f>
        <v>0</v>
      </c>
      <c r="E2032" s="17">
        <f t="shared" si="1"/>
        <v>157</v>
      </c>
      <c r="F2032" s="17">
        <f t="shared" si="2"/>
        <v>0</v>
      </c>
    </row>
    <row r="2033">
      <c r="A2033" s="5" t="s">
        <v>62</v>
      </c>
      <c r="B2033" s="6">
        <v>157.0</v>
      </c>
      <c r="C2033" s="13" t="s">
        <v>331</v>
      </c>
      <c r="D2033" s="17">
        <f>SUMIFS(ShadowLedger!$D:$D,ShadowLedger!$G:$G,A2033,ShadowLedger!$C:$C,"&gt;="&amp;DATE(LEFT(SUBSTITUTE(C2033,"'",""),4),MID(SUBSTITUTE(C2033,"'",""),6,2),1),ShadowLedger!$C:$C,"&lt;"&amp;EOMONTH(DATE(LEFT(SUBSTITUTE(C2033,"'",""),4),MID(SUBSTITUTE(C2033,"'",""),6,2),1),0)+1)</f>
        <v>0</v>
      </c>
      <c r="E2033" s="17">
        <f t="shared" si="1"/>
        <v>157</v>
      </c>
      <c r="F2033" s="17">
        <f t="shared" si="2"/>
        <v>0</v>
      </c>
    </row>
    <row r="2034">
      <c r="A2034" s="5" t="s">
        <v>63</v>
      </c>
      <c r="B2034" s="6">
        <v>130.0</v>
      </c>
      <c r="C2034" s="13" t="s">
        <v>331</v>
      </c>
      <c r="D2034" s="17">
        <f>SUMIFS(ShadowLedger!$D:$D,ShadowLedger!$G:$G,A2034,ShadowLedger!$C:$C,"&gt;="&amp;DATE(LEFT(SUBSTITUTE(C2034,"'",""),4),MID(SUBSTITUTE(C2034,"'",""),6,2),1),ShadowLedger!$C:$C,"&lt;"&amp;EOMONTH(DATE(LEFT(SUBSTITUTE(C2034,"'",""),4),MID(SUBSTITUTE(C2034,"'",""),6,2),1),0)+1)</f>
        <v>0</v>
      </c>
      <c r="E2034" s="17">
        <f t="shared" si="1"/>
        <v>130</v>
      </c>
      <c r="F2034" s="17">
        <f t="shared" si="2"/>
        <v>0</v>
      </c>
    </row>
    <row r="2035">
      <c r="A2035" s="5" t="s">
        <v>64</v>
      </c>
      <c r="B2035" s="6">
        <v>130.0</v>
      </c>
      <c r="C2035" s="13" t="s">
        <v>331</v>
      </c>
      <c r="D2035" s="17">
        <f>SUMIFS(ShadowLedger!$D:$D,ShadowLedger!$G:$G,A2035,ShadowLedger!$C:$C,"&gt;="&amp;DATE(LEFT(SUBSTITUTE(C2035,"'",""),4),MID(SUBSTITUTE(C2035,"'",""),6,2),1),ShadowLedger!$C:$C,"&lt;"&amp;EOMONTH(DATE(LEFT(SUBSTITUTE(C2035,"'",""),4),MID(SUBSTITUTE(C2035,"'",""),6,2),1),0)+1)</f>
        <v>0</v>
      </c>
      <c r="E2035" s="17">
        <f t="shared" si="1"/>
        <v>130</v>
      </c>
      <c r="F2035" s="17">
        <f t="shared" si="2"/>
        <v>0</v>
      </c>
    </row>
    <row r="2036">
      <c r="A2036" s="5" t="s">
        <v>70</v>
      </c>
      <c r="B2036" s="6">
        <v>130.0</v>
      </c>
      <c r="C2036" s="13" t="s">
        <v>331</v>
      </c>
      <c r="D2036" s="17">
        <f>SUMIFS(ShadowLedger!$D:$D,ShadowLedger!$G:$G,A2036,ShadowLedger!$C:$C,"&gt;="&amp;DATE(LEFT(SUBSTITUTE(C2036,"'",""),4),MID(SUBSTITUTE(C2036,"'",""),6,2),1),ShadowLedger!$C:$C,"&lt;"&amp;EOMONTH(DATE(LEFT(SUBSTITUTE(C2036,"'",""),4),MID(SUBSTITUTE(C2036,"'",""),6,2),1),0)+1)</f>
        <v>0</v>
      </c>
      <c r="E2036" s="17">
        <f t="shared" si="1"/>
        <v>130</v>
      </c>
      <c r="F2036" s="17">
        <f t="shared" si="2"/>
        <v>0</v>
      </c>
    </row>
    <row r="2037">
      <c r="A2037" s="5" t="s">
        <v>65</v>
      </c>
      <c r="B2037" s="6">
        <v>65.0</v>
      </c>
      <c r="C2037" s="13" t="s">
        <v>331</v>
      </c>
      <c r="D2037" s="17">
        <f>SUMIFS(ShadowLedger!$D:$D,ShadowLedger!$G:$G,A2037,ShadowLedger!$C:$C,"&gt;="&amp;DATE(LEFT(SUBSTITUTE(C2037,"'",""),4),MID(SUBSTITUTE(C2037,"'",""),6,2),1),ShadowLedger!$C:$C,"&lt;"&amp;EOMONTH(DATE(LEFT(SUBSTITUTE(C2037,"'",""),4),MID(SUBSTITUTE(C2037,"'",""),6,2),1),0)+1)</f>
        <v>0</v>
      </c>
      <c r="E2037" s="17">
        <f t="shared" si="1"/>
        <v>65</v>
      </c>
      <c r="F2037" s="17">
        <f t="shared" si="2"/>
        <v>0</v>
      </c>
    </row>
    <row r="2038">
      <c r="A2038" s="5" t="s">
        <v>66</v>
      </c>
      <c r="B2038" s="6">
        <v>65.0</v>
      </c>
      <c r="C2038" s="13" t="s">
        <v>331</v>
      </c>
      <c r="D2038" s="17">
        <f>SUMIFS(ShadowLedger!$D:$D,ShadowLedger!$G:$G,A2038,ShadowLedger!$C:$C,"&gt;="&amp;DATE(LEFT(SUBSTITUTE(C2038,"'",""),4),MID(SUBSTITUTE(C2038,"'",""),6,2),1),ShadowLedger!$C:$C,"&lt;"&amp;EOMONTH(DATE(LEFT(SUBSTITUTE(C2038,"'",""),4),MID(SUBSTITUTE(C2038,"'",""),6,2),1),0)+1)</f>
        <v>0</v>
      </c>
      <c r="E2038" s="17">
        <f t="shared" si="1"/>
        <v>65</v>
      </c>
      <c r="F2038" s="17">
        <f t="shared" si="2"/>
        <v>0</v>
      </c>
    </row>
    <row r="2039">
      <c r="A2039" s="5" t="s">
        <v>67</v>
      </c>
      <c r="B2039" s="6">
        <v>65.0</v>
      </c>
      <c r="C2039" s="13" t="s">
        <v>331</v>
      </c>
      <c r="D2039" s="17">
        <f>SUMIFS(ShadowLedger!$D:$D,ShadowLedger!$G:$G,A2039,ShadowLedger!$C:$C,"&gt;="&amp;DATE(LEFT(SUBSTITUTE(C2039,"'",""),4),MID(SUBSTITUTE(C2039,"'",""),6,2),1),ShadowLedger!$C:$C,"&lt;"&amp;EOMONTH(DATE(LEFT(SUBSTITUTE(C2039,"'",""),4),MID(SUBSTITUTE(C2039,"'",""),6,2),1),0)+1)</f>
        <v>0</v>
      </c>
      <c r="E2039" s="17">
        <f t="shared" si="1"/>
        <v>65</v>
      </c>
      <c r="F2039" s="17">
        <f t="shared" si="2"/>
        <v>0</v>
      </c>
    </row>
    <row r="2040">
      <c r="A2040" s="5" t="s">
        <v>68</v>
      </c>
      <c r="B2040" s="6">
        <v>65.0</v>
      </c>
      <c r="C2040" s="13" t="s">
        <v>331</v>
      </c>
      <c r="D2040" s="17">
        <f>SUMIFS(ShadowLedger!$D:$D,ShadowLedger!$G:$G,A2040,ShadowLedger!$C:$C,"&gt;="&amp;DATE(LEFT(SUBSTITUTE(C2040,"'",""),4),MID(SUBSTITUTE(C2040,"'",""),6,2),1),ShadowLedger!$C:$C,"&lt;"&amp;EOMONTH(DATE(LEFT(SUBSTITUTE(C2040,"'",""),4),MID(SUBSTITUTE(C2040,"'",""),6,2),1),0)+1)</f>
        <v>0</v>
      </c>
      <c r="E2040" s="17">
        <f t="shared" si="1"/>
        <v>65</v>
      </c>
      <c r="F2040" s="17">
        <f t="shared" si="2"/>
        <v>0</v>
      </c>
    </row>
    <row r="2041">
      <c r="A2041" s="5" t="s">
        <v>69</v>
      </c>
      <c r="B2041" s="6">
        <v>0.0</v>
      </c>
      <c r="C2041" s="13" t="s">
        <v>331</v>
      </c>
      <c r="D2041" s="17">
        <f>SUMIFS(ShadowLedger!$D:$D,ShadowLedger!$G:$G,A2041,ShadowLedger!$C:$C,"&gt;="&amp;DATE(LEFT(SUBSTITUTE(C2041,"'",""),4),MID(SUBSTITUTE(C2041,"'",""),6,2),1),ShadowLedger!$C:$C,"&lt;"&amp;EOMONTH(DATE(LEFT(SUBSTITUTE(C2041,"'",""),4),MID(SUBSTITUTE(C2041,"'",""),6,2),1),0)+1)</f>
        <v>0</v>
      </c>
      <c r="E2041" s="17">
        <f t="shared" si="1"/>
        <v>0</v>
      </c>
      <c r="F2041" s="17">
        <f t="shared" si="2"/>
        <v>0</v>
      </c>
    </row>
    <row r="2042">
      <c r="A2042" s="5" t="s">
        <v>54</v>
      </c>
      <c r="B2042" s="6">
        <v>1200.0</v>
      </c>
      <c r="C2042" s="13" t="s">
        <v>332</v>
      </c>
      <c r="D2042" s="17">
        <f>SUMIFS(ShadowLedger!$D:$D,ShadowLedger!$G:$G,A2042,ShadowLedger!$C:$C,"&gt;="&amp;DATE(LEFT(SUBSTITUTE(C2042,"'",""),4),MID(SUBSTITUTE(C2042,"'",""),6,2),1),ShadowLedger!$C:$C,"&lt;"&amp;EOMONTH(DATE(LEFT(SUBSTITUTE(C2042,"'",""),4),MID(SUBSTITUTE(C2042,"'",""),6,2),1),0)+1)</f>
        <v>0</v>
      </c>
      <c r="E2042" s="17">
        <f t="shared" si="1"/>
        <v>1200</v>
      </c>
      <c r="F2042" s="17">
        <f t="shared" si="2"/>
        <v>0</v>
      </c>
    </row>
    <row r="2043">
      <c r="A2043" s="5" t="s">
        <v>55</v>
      </c>
      <c r="B2043" s="6">
        <v>913.0</v>
      </c>
      <c r="C2043" s="13" t="s">
        <v>332</v>
      </c>
      <c r="D2043" s="17">
        <f>SUMIFS(ShadowLedger!$D:$D,ShadowLedger!$G:$G,A2043,ShadowLedger!$C:$C,"&gt;="&amp;DATE(LEFT(SUBSTITUTE(C2043,"'",""),4),MID(SUBSTITUTE(C2043,"'",""),6,2),1),ShadowLedger!$C:$C,"&lt;"&amp;EOMONTH(DATE(LEFT(SUBSTITUTE(C2043,"'",""),4),MID(SUBSTITUTE(C2043,"'",""),6,2),1),0)+1)</f>
        <v>0</v>
      </c>
      <c r="E2043" s="17">
        <f t="shared" si="1"/>
        <v>913</v>
      </c>
      <c r="F2043" s="17">
        <f t="shared" si="2"/>
        <v>0</v>
      </c>
    </row>
    <row r="2044">
      <c r="A2044" s="5" t="s">
        <v>56</v>
      </c>
      <c r="B2044" s="6">
        <v>652.0</v>
      </c>
      <c r="C2044" s="13" t="s">
        <v>332</v>
      </c>
      <c r="D2044" s="17">
        <f>SUMIFS(ShadowLedger!$D:$D,ShadowLedger!$G:$G,A2044,ShadowLedger!$C:$C,"&gt;="&amp;DATE(LEFT(SUBSTITUTE(C2044,"'",""),4),MID(SUBSTITUTE(C2044,"'",""),6,2),1),ShadowLedger!$C:$C,"&lt;"&amp;EOMONTH(DATE(LEFT(SUBSTITUTE(C2044,"'",""),4),MID(SUBSTITUTE(C2044,"'",""),6,2),1),0)+1)</f>
        <v>0</v>
      </c>
      <c r="E2044" s="17">
        <f t="shared" si="1"/>
        <v>652</v>
      </c>
      <c r="F2044" s="17">
        <f t="shared" si="2"/>
        <v>0</v>
      </c>
    </row>
    <row r="2045">
      <c r="A2045" s="5" t="s">
        <v>57</v>
      </c>
      <c r="B2045" s="6">
        <v>652.0</v>
      </c>
      <c r="C2045" s="13" t="s">
        <v>332</v>
      </c>
      <c r="D2045" s="17">
        <f>SUMIFS(ShadowLedger!$D:$D,ShadowLedger!$G:$G,A2045,ShadowLedger!$C:$C,"&gt;="&amp;DATE(LEFT(SUBSTITUTE(C2045,"'",""),4),MID(SUBSTITUTE(C2045,"'",""),6,2),1),ShadowLedger!$C:$C,"&lt;"&amp;EOMONTH(DATE(LEFT(SUBSTITUTE(C2045,"'",""),4),MID(SUBSTITUTE(C2045,"'",""),6,2),1),0)+1)</f>
        <v>0</v>
      </c>
      <c r="E2045" s="17">
        <f t="shared" si="1"/>
        <v>652</v>
      </c>
      <c r="F2045" s="17">
        <f t="shared" si="2"/>
        <v>0</v>
      </c>
    </row>
    <row r="2046">
      <c r="A2046" s="5" t="s">
        <v>58</v>
      </c>
      <c r="B2046" s="6">
        <v>522.0</v>
      </c>
      <c r="C2046" s="13" t="s">
        <v>332</v>
      </c>
      <c r="D2046" s="17">
        <f>SUMIFS(ShadowLedger!$D:$D,ShadowLedger!$G:$G,A2046,ShadowLedger!$C:$C,"&gt;="&amp;DATE(LEFT(SUBSTITUTE(C2046,"'",""),4),MID(SUBSTITUTE(C2046,"'",""),6,2),1),ShadowLedger!$C:$C,"&lt;"&amp;EOMONTH(DATE(LEFT(SUBSTITUTE(C2046,"'",""),4),MID(SUBSTITUTE(C2046,"'",""),6,2),1),0)+1)</f>
        <v>0</v>
      </c>
      <c r="E2046" s="17">
        <f t="shared" si="1"/>
        <v>522</v>
      </c>
      <c r="F2046" s="17">
        <f t="shared" si="2"/>
        <v>0</v>
      </c>
    </row>
    <row r="2047">
      <c r="A2047" s="5" t="s">
        <v>59</v>
      </c>
      <c r="B2047" s="6">
        <v>261.0</v>
      </c>
      <c r="C2047" s="13" t="s">
        <v>332</v>
      </c>
      <c r="D2047" s="17">
        <f>SUMIFS(ShadowLedger!$D:$D,ShadowLedger!$G:$G,A2047,ShadowLedger!$C:$C,"&gt;="&amp;DATE(LEFT(SUBSTITUTE(C2047,"'",""),4),MID(SUBSTITUTE(C2047,"'",""),6,2),1),ShadowLedger!$C:$C,"&lt;"&amp;EOMONTH(DATE(LEFT(SUBSTITUTE(C2047,"'",""),4),MID(SUBSTITUTE(C2047,"'",""),6,2),1),0)+1)</f>
        <v>0</v>
      </c>
      <c r="E2047" s="17">
        <f t="shared" si="1"/>
        <v>261</v>
      </c>
      <c r="F2047" s="17">
        <f t="shared" si="2"/>
        <v>0</v>
      </c>
    </row>
    <row r="2048">
      <c r="A2048" s="5" t="s">
        <v>60</v>
      </c>
      <c r="B2048" s="6">
        <v>196.0</v>
      </c>
      <c r="C2048" s="13" t="s">
        <v>332</v>
      </c>
      <c r="D2048" s="17">
        <f>SUMIFS(ShadowLedger!$D:$D,ShadowLedger!$G:$G,A2048,ShadowLedger!$C:$C,"&gt;="&amp;DATE(LEFT(SUBSTITUTE(C2048,"'",""),4),MID(SUBSTITUTE(C2048,"'",""),6,2),1),ShadowLedger!$C:$C,"&lt;"&amp;EOMONTH(DATE(LEFT(SUBSTITUTE(C2048,"'",""),4),MID(SUBSTITUTE(C2048,"'",""),6,2),1),0)+1)</f>
        <v>0</v>
      </c>
      <c r="E2048" s="17">
        <f t="shared" si="1"/>
        <v>196</v>
      </c>
      <c r="F2048" s="17">
        <f t="shared" si="2"/>
        <v>0</v>
      </c>
    </row>
    <row r="2049">
      <c r="A2049" s="5" t="s">
        <v>61</v>
      </c>
      <c r="B2049" s="6">
        <v>157.0</v>
      </c>
      <c r="C2049" s="13" t="s">
        <v>332</v>
      </c>
      <c r="D2049" s="17">
        <f>SUMIFS(ShadowLedger!$D:$D,ShadowLedger!$G:$G,A2049,ShadowLedger!$C:$C,"&gt;="&amp;DATE(LEFT(SUBSTITUTE(C2049,"'",""),4),MID(SUBSTITUTE(C2049,"'",""),6,2),1),ShadowLedger!$C:$C,"&lt;"&amp;EOMONTH(DATE(LEFT(SUBSTITUTE(C2049,"'",""),4),MID(SUBSTITUTE(C2049,"'",""),6,2),1),0)+1)</f>
        <v>0</v>
      </c>
      <c r="E2049" s="17">
        <f t="shared" si="1"/>
        <v>157</v>
      </c>
      <c r="F2049" s="17">
        <f t="shared" si="2"/>
        <v>0</v>
      </c>
    </row>
    <row r="2050">
      <c r="A2050" s="5" t="s">
        <v>62</v>
      </c>
      <c r="B2050" s="6">
        <v>157.0</v>
      </c>
      <c r="C2050" s="13" t="s">
        <v>332</v>
      </c>
      <c r="D2050" s="17">
        <f>SUMIFS(ShadowLedger!$D:$D,ShadowLedger!$G:$G,A2050,ShadowLedger!$C:$C,"&gt;="&amp;DATE(LEFT(SUBSTITUTE(C2050,"'",""),4),MID(SUBSTITUTE(C2050,"'",""),6,2),1),ShadowLedger!$C:$C,"&lt;"&amp;EOMONTH(DATE(LEFT(SUBSTITUTE(C2050,"'",""),4),MID(SUBSTITUTE(C2050,"'",""),6,2),1),0)+1)</f>
        <v>0</v>
      </c>
      <c r="E2050" s="17">
        <f t="shared" si="1"/>
        <v>157</v>
      </c>
      <c r="F2050" s="17">
        <f t="shared" si="2"/>
        <v>0</v>
      </c>
    </row>
    <row r="2051">
      <c r="A2051" s="5" t="s">
        <v>63</v>
      </c>
      <c r="B2051" s="6">
        <v>130.0</v>
      </c>
      <c r="C2051" s="13" t="s">
        <v>332</v>
      </c>
      <c r="D2051" s="17">
        <f>SUMIFS(ShadowLedger!$D:$D,ShadowLedger!$G:$G,A2051,ShadowLedger!$C:$C,"&gt;="&amp;DATE(LEFT(SUBSTITUTE(C2051,"'",""),4),MID(SUBSTITUTE(C2051,"'",""),6,2),1),ShadowLedger!$C:$C,"&lt;"&amp;EOMONTH(DATE(LEFT(SUBSTITUTE(C2051,"'",""),4),MID(SUBSTITUTE(C2051,"'",""),6,2),1),0)+1)</f>
        <v>0</v>
      </c>
      <c r="E2051" s="17">
        <f t="shared" si="1"/>
        <v>130</v>
      </c>
      <c r="F2051" s="17">
        <f t="shared" si="2"/>
        <v>0</v>
      </c>
    </row>
    <row r="2052">
      <c r="A2052" s="5" t="s">
        <v>64</v>
      </c>
      <c r="B2052" s="6">
        <v>130.0</v>
      </c>
      <c r="C2052" s="13" t="s">
        <v>332</v>
      </c>
      <c r="D2052" s="17">
        <f>SUMIFS(ShadowLedger!$D:$D,ShadowLedger!$G:$G,A2052,ShadowLedger!$C:$C,"&gt;="&amp;DATE(LEFT(SUBSTITUTE(C2052,"'",""),4),MID(SUBSTITUTE(C2052,"'",""),6,2),1),ShadowLedger!$C:$C,"&lt;"&amp;EOMONTH(DATE(LEFT(SUBSTITUTE(C2052,"'",""),4),MID(SUBSTITUTE(C2052,"'",""),6,2),1),0)+1)</f>
        <v>0</v>
      </c>
      <c r="E2052" s="17">
        <f t="shared" si="1"/>
        <v>130</v>
      </c>
      <c r="F2052" s="17">
        <f t="shared" si="2"/>
        <v>0</v>
      </c>
    </row>
    <row r="2053">
      <c r="A2053" s="5" t="s">
        <v>70</v>
      </c>
      <c r="B2053" s="6">
        <v>130.0</v>
      </c>
      <c r="C2053" s="13" t="s">
        <v>332</v>
      </c>
      <c r="D2053" s="17">
        <f>SUMIFS(ShadowLedger!$D:$D,ShadowLedger!$G:$G,A2053,ShadowLedger!$C:$C,"&gt;="&amp;DATE(LEFT(SUBSTITUTE(C2053,"'",""),4),MID(SUBSTITUTE(C2053,"'",""),6,2),1),ShadowLedger!$C:$C,"&lt;"&amp;EOMONTH(DATE(LEFT(SUBSTITUTE(C2053,"'",""),4),MID(SUBSTITUTE(C2053,"'",""),6,2),1),0)+1)</f>
        <v>0</v>
      </c>
      <c r="E2053" s="17">
        <f t="shared" si="1"/>
        <v>130</v>
      </c>
      <c r="F2053" s="17">
        <f t="shared" si="2"/>
        <v>0</v>
      </c>
    </row>
    <row r="2054">
      <c r="A2054" s="5" t="s">
        <v>65</v>
      </c>
      <c r="B2054" s="6">
        <v>65.0</v>
      </c>
      <c r="C2054" s="13" t="s">
        <v>332</v>
      </c>
      <c r="D2054" s="17">
        <f>SUMIFS(ShadowLedger!$D:$D,ShadowLedger!$G:$G,A2054,ShadowLedger!$C:$C,"&gt;="&amp;DATE(LEFT(SUBSTITUTE(C2054,"'",""),4),MID(SUBSTITUTE(C2054,"'",""),6,2),1),ShadowLedger!$C:$C,"&lt;"&amp;EOMONTH(DATE(LEFT(SUBSTITUTE(C2054,"'",""),4),MID(SUBSTITUTE(C2054,"'",""),6,2),1),0)+1)</f>
        <v>0</v>
      </c>
      <c r="E2054" s="17">
        <f t="shared" si="1"/>
        <v>65</v>
      </c>
      <c r="F2054" s="17">
        <f t="shared" si="2"/>
        <v>0</v>
      </c>
    </row>
    <row r="2055">
      <c r="A2055" s="5" t="s">
        <v>66</v>
      </c>
      <c r="B2055" s="6">
        <v>65.0</v>
      </c>
      <c r="C2055" s="13" t="s">
        <v>332</v>
      </c>
      <c r="D2055" s="17">
        <f>SUMIFS(ShadowLedger!$D:$D,ShadowLedger!$G:$G,A2055,ShadowLedger!$C:$C,"&gt;="&amp;DATE(LEFT(SUBSTITUTE(C2055,"'",""),4),MID(SUBSTITUTE(C2055,"'",""),6,2),1),ShadowLedger!$C:$C,"&lt;"&amp;EOMONTH(DATE(LEFT(SUBSTITUTE(C2055,"'",""),4),MID(SUBSTITUTE(C2055,"'",""),6,2),1),0)+1)</f>
        <v>0</v>
      </c>
      <c r="E2055" s="17">
        <f t="shared" si="1"/>
        <v>65</v>
      </c>
      <c r="F2055" s="17">
        <f t="shared" si="2"/>
        <v>0</v>
      </c>
    </row>
    <row r="2056">
      <c r="A2056" s="5" t="s">
        <v>67</v>
      </c>
      <c r="B2056" s="6">
        <v>65.0</v>
      </c>
      <c r="C2056" s="13" t="s">
        <v>332</v>
      </c>
      <c r="D2056" s="17">
        <f>SUMIFS(ShadowLedger!$D:$D,ShadowLedger!$G:$G,A2056,ShadowLedger!$C:$C,"&gt;="&amp;DATE(LEFT(SUBSTITUTE(C2056,"'",""),4),MID(SUBSTITUTE(C2056,"'",""),6,2),1),ShadowLedger!$C:$C,"&lt;"&amp;EOMONTH(DATE(LEFT(SUBSTITUTE(C2056,"'",""),4),MID(SUBSTITUTE(C2056,"'",""),6,2),1),0)+1)</f>
        <v>0</v>
      </c>
      <c r="E2056" s="17">
        <f t="shared" si="1"/>
        <v>65</v>
      </c>
      <c r="F2056" s="17">
        <f t="shared" si="2"/>
        <v>0</v>
      </c>
    </row>
    <row r="2057">
      <c r="A2057" s="5" t="s">
        <v>68</v>
      </c>
      <c r="B2057" s="6">
        <v>65.0</v>
      </c>
      <c r="C2057" s="13" t="s">
        <v>332</v>
      </c>
      <c r="D2057" s="17">
        <f>SUMIFS(ShadowLedger!$D:$D,ShadowLedger!$G:$G,A2057,ShadowLedger!$C:$C,"&gt;="&amp;DATE(LEFT(SUBSTITUTE(C2057,"'",""),4),MID(SUBSTITUTE(C2057,"'",""),6,2),1),ShadowLedger!$C:$C,"&lt;"&amp;EOMONTH(DATE(LEFT(SUBSTITUTE(C2057,"'",""),4),MID(SUBSTITUTE(C2057,"'",""),6,2),1),0)+1)</f>
        <v>0</v>
      </c>
      <c r="E2057" s="17">
        <f t="shared" si="1"/>
        <v>65</v>
      </c>
      <c r="F2057" s="17">
        <f t="shared" si="2"/>
        <v>0</v>
      </c>
    </row>
    <row r="2058">
      <c r="A2058" s="5" t="s">
        <v>69</v>
      </c>
      <c r="B2058" s="6">
        <v>0.0</v>
      </c>
      <c r="C2058" s="13" t="s">
        <v>332</v>
      </c>
      <c r="D2058" s="17">
        <f>SUMIFS(ShadowLedger!$D:$D,ShadowLedger!$G:$G,A2058,ShadowLedger!$C:$C,"&gt;="&amp;DATE(LEFT(SUBSTITUTE(C2058,"'",""),4),MID(SUBSTITUTE(C2058,"'",""),6,2),1),ShadowLedger!$C:$C,"&lt;"&amp;EOMONTH(DATE(LEFT(SUBSTITUTE(C2058,"'",""),4),MID(SUBSTITUTE(C2058,"'",""),6,2),1),0)+1)</f>
        <v>0</v>
      </c>
      <c r="E2058" s="17">
        <f t="shared" si="1"/>
        <v>0</v>
      </c>
      <c r="F2058" s="17">
        <f t="shared" si="2"/>
        <v>0</v>
      </c>
    </row>
    <row r="2059">
      <c r="A2059" s="5" t="s">
        <v>54</v>
      </c>
      <c r="B2059" s="6">
        <v>1236.0</v>
      </c>
      <c r="C2059" s="13" t="s">
        <v>333</v>
      </c>
      <c r="D2059" s="17">
        <f>SUMIFS(ShadowLedger!$D:$D,ShadowLedger!$G:$G,A2059,ShadowLedger!$C:$C,"&gt;="&amp;DATE(LEFT(SUBSTITUTE(C2059,"'",""),4),MID(SUBSTITUTE(C2059,"'",""),6,2),1),ShadowLedger!$C:$C,"&lt;"&amp;EOMONTH(DATE(LEFT(SUBSTITUTE(C2059,"'",""),4),MID(SUBSTITUTE(C2059,"'",""),6,2),1),0)+1)</f>
        <v>0</v>
      </c>
      <c r="E2059" s="17">
        <f t="shared" si="1"/>
        <v>1236</v>
      </c>
      <c r="F2059" s="17">
        <f t="shared" si="2"/>
        <v>0</v>
      </c>
    </row>
    <row r="2060">
      <c r="A2060" s="5" t="s">
        <v>55</v>
      </c>
      <c r="B2060" s="6">
        <v>941.0</v>
      </c>
      <c r="C2060" s="13" t="s">
        <v>333</v>
      </c>
      <c r="D2060" s="17">
        <f>SUMIFS(ShadowLedger!$D:$D,ShadowLedger!$G:$G,A2060,ShadowLedger!$C:$C,"&gt;="&amp;DATE(LEFT(SUBSTITUTE(C2060,"'",""),4),MID(SUBSTITUTE(C2060,"'",""),6,2),1),ShadowLedger!$C:$C,"&lt;"&amp;EOMONTH(DATE(LEFT(SUBSTITUTE(C2060,"'",""),4),MID(SUBSTITUTE(C2060,"'",""),6,2),1),0)+1)</f>
        <v>0</v>
      </c>
      <c r="E2060" s="17">
        <f t="shared" si="1"/>
        <v>941</v>
      </c>
      <c r="F2060" s="17">
        <f t="shared" si="2"/>
        <v>0</v>
      </c>
    </row>
    <row r="2061">
      <c r="A2061" s="5" t="s">
        <v>56</v>
      </c>
      <c r="B2061" s="6">
        <v>672.0</v>
      </c>
      <c r="C2061" s="13" t="s">
        <v>333</v>
      </c>
      <c r="D2061" s="17">
        <f>SUMIFS(ShadowLedger!$D:$D,ShadowLedger!$G:$G,A2061,ShadowLedger!$C:$C,"&gt;="&amp;DATE(LEFT(SUBSTITUTE(C2061,"'",""),4),MID(SUBSTITUTE(C2061,"'",""),6,2),1),ShadowLedger!$C:$C,"&lt;"&amp;EOMONTH(DATE(LEFT(SUBSTITUTE(C2061,"'",""),4),MID(SUBSTITUTE(C2061,"'",""),6,2),1),0)+1)</f>
        <v>0</v>
      </c>
      <c r="E2061" s="17">
        <f t="shared" si="1"/>
        <v>672</v>
      </c>
      <c r="F2061" s="17">
        <f t="shared" si="2"/>
        <v>0</v>
      </c>
    </row>
    <row r="2062">
      <c r="A2062" s="5" t="s">
        <v>57</v>
      </c>
      <c r="B2062" s="6">
        <v>672.0</v>
      </c>
      <c r="C2062" s="13" t="s">
        <v>333</v>
      </c>
      <c r="D2062" s="17">
        <f>SUMIFS(ShadowLedger!$D:$D,ShadowLedger!$G:$G,A2062,ShadowLedger!$C:$C,"&gt;="&amp;DATE(LEFT(SUBSTITUTE(C2062,"'",""),4),MID(SUBSTITUTE(C2062,"'",""),6,2),1),ShadowLedger!$C:$C,"&lt;"&amp;EOMONTH(DATE(LEFT(SUBSTITUTE(C2062,"'",""),4),MID(SUBSTITUTE(C2062,"'",""),6,2),1),0)+1)</f>
        <v>0</v>
      </c>
      <c r="E2062" s="17">
        <f t="shared" si="1"/>
        <v>672</v>
      </c>
      <c r="F2062" s="17">
        <f t="shared" si="2"/>
        <v>0</v>
      </c>
    </row>
    <row r="2063">
      <c r="A2063" s="5" t="s">
        <v>58</v>
      </c>
      <c r="B2063" s="6">
        <v>538.0</v>
      </c>
      <c r="C2063" s="13" t="s">
        <v>333</v>
      </c>
      <c r="D2063" s="17">
        <f>SUMIFS(ShadowLedger!$D:$D,ShadowLedger!$G:$G,A2063,ShadowLedger!$C:$C,"&gt;="&amp;DATE(LEFT(SUBSTITUTE(C2063,"'",""),4),MID(SUBSTITUTE(C2063,"'",""),6,2),1),ShadowLedger!$C:$C,"&lt;"&amp;EOMONTH(DATE(LEFT(SUBSTITUTE(C2063,"'",""),4),MID(SUBSTITUTE(C2063,"'",""),6,2),1),0)+1)</f>
        <v>0</v>
      </c>
      <c r="E2063" s="17">
        <f t="shared" si="1"/>
        <v>538</v>
      </c>
      <c r="F2063" s="17">
        <f t="shared" si="2"/>
        <v>0</v>
      </c>
    </row>
    <row r="2064">
      <c r="A2064" s="5" t="s">
        <v>59</v>
      </c>
      <c r="B2064" s="6">
        <v>269.0</v>
      </c>
      <c r="C2064" s="13" t="s">
        <v>333</v>
      </c>
      <c r="D2064" s="17">
        <f>SUMIFS(ShadowLedger!$D:$D,ShadowLedger!$G:$G,A2064,ShadowLedger!$C:$C,"&gt;="&amp;DATE(LEFT(SUBSTITUTE(C2064,"'",""),4),MID(SUBSTITUTE(C2064,"'",""),6,2),1),ShadowLedger!$C:$C,"&lt;"&amp;EOMONTH(DATE(LEFT(SUBSTITUTE(C2064,"'",""),4),MID(SUBSTITUTE(C2064,"'",""),6,2),1),0)+1)</f>
        <v>0</v>
      </c>
      <c r="E2064" s="17">
        <f t="shared" si="1"/>
        <v>269</v>
      </c>
      <c r="F2064" s="17">
        <f t="shared" si="2"/>
        <v>0</v>
      </c>
    </row>
    <row r="2065">
      <c r="A2065" s="5" t="s">
        <v>60</v>
      </c>
      <c r="B2065" s="6">
        <v>202.0</v>
      </c>
      <c r="C2065" s="13" t="s">
        <v>333</v>
      </c>
      <c r="D2065" s="17">
        <f>SUMIFS(ShadowLedger!$D:$D,ShadowLedger!$G:$G,A2065,ShadowLedger!$C:$C,"&gt;="&amp;DATE(LEFT(SUBSTITUTE(C2065,"'",""),4),MID(SUBSTITUTE(C2065,"'",""),6,2),1),ShadowLedger!$C:$C,"&lt;"&amp;EOMONTH(DATE(LEFT(SUBSTITUTE(C2065,"'",""),4),MID(SUBSTITUTE(C2065,"'",""),6,2),1),0)+1)</f>
        <v>0</v>
      </c>
      <c r="E2065" s="17">
        <f t="shared" si="1"/>
        <v>202</v>
      </c>
      <c r="F2065" s="17">
        <f t="shared" si="2"/>
        <v>0</v>
      </c>
    </row>
    <row r="2066">
      <c r="A2066" s="5" t="s">
        <v>61</v>
      </c>
      <c r="B2066" s="6">
        <v>161.0</v>
      </c>
      <c r="C2066" s="13" t="s">
        <v>333</v>
      </c>
      <c r="D2066" s="17">
        <f>SUMIFS(ShadowLedger!$D:$D,ShadowLedger!$G:$G,A2066,ShadowLedger!$C:$C,"&gt;="&amp;DATE(LEFT(SUBSTITUTE(C2066,"'",""),4),MID(SUBSTITUTE(C2066,"'",""),6,2),1),ShadowLedger!$C:$C,"&lt;"&amp;EOMONTH(DATE(LEFT(SUBSTITUTE(C2066,"'",""),4),MID(SUBSTITUTE(C2066,"'",""),6,2),1),0)+1)</f>
        <v>0</v>
      </c>
      <c r="E2066" s="17">
        <f t="shared" si="1"/>
        <v>161</v>
      </c>
      <c r="F2066" s="17">
        <f t="shared" si="2"/>
        <v>0</v>
      </c>
    </row>
    <row r="2067">
      <c r="A2067" s="5" t="s">
        <v>62</v>
      </c>
      <c r="B2067" s="6">
        <v>161.0</v>
      </c>
      <c r="C2067" s="13" t="s">
        <v>333</v>
      </c>
      <c r="D2067" s="17">
        <f>SUMIFS(ShadowLedger!$D:$D,ShadowLedger!$G:$G,A2067,ShadowLedger!$C:$C,"&gt;="&amp;DATE(LEFT(SUBSTITUTE(C2067,"'",""),4),MID(SUBSTITUTE(C2067,"'",""),6,2),1),ShadowLedger!$C:$C,"&lt;"&amp;EOMONTH(DATE(LEFT(SUBSTITUTE(C2067,"'",""),4),MID(SUBSTITUTE(C2067,"'",""),6,2),1),0)+1)</f>
        <v>0</v>
      </c>
      <c r="E2067" s="17">
        <f t="shared" si="1"/>
        <v>161</v>
      </c>
      <c r="F2067" s="17">
        <f t="shared" si="2"/>
        <v>0</v>
      </c>
    </row>
    <row r="2068">
      <c r="A2068" s="5" t="s">
        <v>63</v>
      </c>
      <c r="B2068" s="6">
        <v>134.0</v>
      </c>
      <c r="C2068" s="13" t="s">
        <v>333</v>
      </c>
      <c r="D2068" s="17">
        <f>SUMIFS(ShadowLedger!$D:$D,ShadowLedger!$G:$G,A2068,ShadowLedger!$C:$C,"&gt;="&amp;DATE(LEFT(SUBSTITUTE(C2068,"'",""),4),MID(SUBSTITUTE(C2068,"'",""),6,2),1),ShadowLedger!$C:$C,"&lt;"&amp;EOMONTH(DATE(LEFT(SUBSTITUTE(C2068,"'",""),4),MID(SUBSTITUTE(C2068,"'",""),6,2),1),0)+1)</f>
        <v>0</v>
      </c>
      <c r="E2068" s="17">
        <f t="shared" si="1"/>
        <v>134</v>
      </c>
      <c r="F2068" s="17">
        <f t="shared" si="2"/>
        <v>0</v>
      </c>
    </row>
    <row r="2069">
      <c r="A2069" s="5" t="s">
        <v>64</v>
      </c>
      <c r="B2069" s="6">
        <v>134.0</v>
      </c>
      <c r="C2069" s="13" t="s">
        <v>333</v>
      </c>
      <c r="D2069" s="17">
        <f>SUMIFS(ShadowLedger!$D:$D,ShadowLedger!$G:$G,A2069,ShadowLedger!$C:$C,"&gt;="&amp;DATE(LEFT(SUBSTITUTE(C2069,"'",""),4),MID(SUBSTITUTE(C2069,"'",""),6,2),1),ShadowLedger!$C:$C,"&lt;"&amp;EOMONTH(DATE(LEFT(SUBSTITUTE(C2069,"'",""),4),MID(SUBSTITUTE(C2069,"'",""),6,2),1),0)+1)</f>
        <v>0</v>
      </c>
      <c r="E2069" s="17">
        <f t="shared" si="1"/>
        <v>134</v>
      </c>
      <c r="F2069" s="17">
        <f t="shared" si="2"/>
        <v>0</v>
      </c>
    </row>
    <row r="2070">
      <c r="A2070" s="5" t="s">
        <v>70</v>
      </c>
      <c r="B2070" s="6">
        <v>134.0</v>
      </c>
      <c r="C2070" s="13" t="s">
        <v>333</v>
      </c>
      <c r="D2070" s="17">
        <f>SUMIFS(ShadowLedger!$D:$D,ShadowLedger!$G:$G,A2070,ShadowLedger!$C:$C,"&gt;="&amp;DATE(LEFT(SUBSTITUTE(C2070,"'",""),4),MID(SUBSTITUTE(C2070,"'",""),6,2),1),ShadowLedger!$C:$C,"&lt;"&amp;EOMONTH(DATE(LEFT(SUBSTITUTE(C2070,"'",""),4),MID(SUBSTITUTE(C2070,"'",""),6,2),1),0)+1)</f>
        <v>0</v>
      </c>
      <c r="E2070" s="17">
        <f t="shared" si="1"/>
        <v>134</v>
      </c>
      <c r="F2070" s="17">
        <f t="shared" si="2"/>
        <v>0</v>
      </c>
    </row>
    <row r="2071">
      <c r="A2071" s="5" t="s">
        <v>65</v>
      </c>
      <c r="B2071" s="6">
        <v>67.0</v>
      </c>
      <c r="C2071" s="13" t="s">
        <v>333</v>
      </c>
      <c r="D2071" s="17">
        <f>SUMIFS(ShadowLedger!$D:$D,ShadowLedger!$G:$G,A2071,ShadowLedger!$C:$C,"&gt;="&amp;DATE(LEFT(SUBSTITUTE(C2071,"'",""),4),MID(SUBSTITUTE(C2071,"'",""),6,2),1),ShadowLedger!$C:$C,"&lt;"&amp;EOMONTH(DATE(LEFT(SUBSTITUTE(C2071,"'",""),4),MID(SUBSTITUTE(C2071,"'",""),6,2),1),0)+1)</f>
        <v>0</v>
      </c>
      <c r="E2071" s="17">
        <f t="shared" si="1"/>
        <v>67</v>
      </c>
      <c r="F2071" s="17">
        <f t="shared" si="2"/>
        <v>0</v>
      </c>
    </row>
    <row r="2072">
      <c r="A2072" s="5" t="s">
        <v>66</v>
      </c>
      <c r="B2072" s="6">
        <v>67.0</v>
      </c>
      <c r="C2072" s="13" t="s">
        <v>333</v>
      </c>
      <c r="D2072" s="17">
        <f>SUMIFS(ShadowLedger!$D:$D,ShadowLedger!$G:$G,A2072,ShadowLedger!$C:$C,"&gt;="&amp;DATE(LEFT(SUBSTITUTE(C2072,"'",""),4),MID(SUBSTITUTE(C2072,"'",""),6,2),1),ShadowLedger!$C:$C,"&lt;"&amp;EOMONTH(DATE(LEFT(SUBSTITUTE(C2072,"'",""),4),MID(SUBSTITUTE(C2072,"'",""),6,2),1),0)+1)</f>
        <v>0</v>
      </c>
      <c r="E2072" s="17">
        <f t="shared" si="1"/>
        <v>67</v>
      </c>
      <c r="F2072" s="17">
        <f t="shared" si="2"/>
        <v>0</v>
      </c>
    </row>
    <row r="2073">
      <c r="A2073" s="5" t="s">
        <v>67</v>
      </c>
      <c r="B2073" s="6">
        <v>67.0</v>
      </c>
      <c r="C2073" s="13" t="s">
        <v>333</v>
      </c>
      <c r="D2073" s="17">
        <f>SUMIFS(ShadowLedger!$D:$D,ShadowLedger!$G:$G,A2073,ShadowLedger!$C:$C,"&gt;="&amp;DATE(LEFT(SUBSTITUTE(C2073,"'",""),4),MID(SUBSTITUTE(C2073,"'",""),6,2),1),ShadowLedger!$C:$C,"&lt;"&amp;EOMONTH(DATE(LEFT(SUBSTITUTE(C2073,"'",""),4),MID(SUBSTITUTE(C2073,"'",""),6,2),1),0)+1)</f>
        <v>0</v>
      </c>
      <c r="E2073" s="17">
        <f t="shared" si="1"/>
        <v>67</v>
      </c>
      <c r="F2073" s="17">
        <f t="shared" si="2"/>
        <v>0</v>
      </c>
    </row>
    <row r="2074">
      <c r="A2074" s="5" t="s">
        <v>68</v>
      </c>
      <c r="B2074" s="6">
        <v>67.0</v>
      </c>
      <c r="C2074" s="13" t="s">
        <v>333</v>
      </c>
      <c r="D2074" s="17">
        <f>SUMIFS(ShadowLedger!$D:$D,ShadowLedger!$G:$G,A2074,ShadowLedger!$C:$C,"&gt;="&amp;DATE(LEFT(SUBSTITUTE(C2074,"'",""),4),MID(SUBSTITUTE(C2074,"'",""),6,2),1),ShadowLedger!$C:$C,"&lt;"&amp;EOMONTH(DATE(LEFT(SUBSTITUTE(C2074,"'",""),4),MID(SUBSTITUTE(C2074,"'",""),6,2),1),0)+1)</f>
        <v>0</v>
      </c>
      <c r="E2074" s="17">
        <f t="shared" si="1"/>
        <v>67</v>
      </c>
      <c r="F2074" s="17">
        <f t="shared" si="2"/>
        <v>0</v>
      </c>
    </row>
    <row r="2075">
      <c r="A2075" s="5" t="s">
        <v>69</v>
      </c>
      <c r="B2075" s="6">
        <v>0.0</v>
      </c>
      <c r="C2075" s="13" t="s">
        <v>333</v>
      </c>
      <c r="D2075" s="17">
        <f>SUMIFS(ShadowLedger!$D:$D,ShadowLedger!$G:$G,A2075,ShadowLedger!$C:$C,"&gt;="&amp;DATE(LEFT(SUBSTITUTE(C2075,"'",""),4),MID(SUBSTITUTE(C2075,"'",""),6,2),1),ShadowLedger!$C:$C,"&lt;"&amp;EOMONTH(DATE(LEFT(SUBSTITUTE(C2075,"'",""),4),MID(SUBSTITUTE(C2075,"'",""),6,2),1),0)+1)</f>
        <v>0</v>
      </c>
      <c r="E2075" s="17">
        <f t="shared" si="1"/>
        <v>0</v>
      </c>
      <c r="F2075" s="17">
        <f t="shared" si="2"/>
        <v>0</v>
      </c>
    </row>
    <row r="2076">
      <c r="A2076" s="5" t="s">
        <v>54</v>
      </c>
      <c r="B2076" s="6">
        <v>1236.0</v>
      </c>
      <c r="C2076" s="13" t="s">
        <v>334</v>
      </c>
      <c r="D2076" s="17">
        <f>SUMIFS(ShadowLedger!$D:$D,ShadowLedger!$G:$G,A2076,ShadowLedger!$C:$C,"&gt;="&amp;DATE(LEFT(SUBSTITUTE(C2076,"'",""),4),MID(SUBSTITUTE(C2076,"'",""),6,2),1),ShadowLedger!$C:$C,"&lt;"&amp;EOMONTH(DATE(LEFT(SUBSTITUTE(C2076,"'",""),4),MID(SUBSTITUTE(C2076,"'",""),6,2),1),0)+1)</f>
        <v>0</v>
      </c>
      <c r="E2076" s="17">
        <f t="shared" si="1"/>
        <v>1236</v>
      </c>
      <c r="F2076" s="17">
        <f t="shared" si="2"/>
        <v>0</v>
      </c>
    </row>
    <row r="2077">
      <c r="A2077" s="5" t="s">
        <v>55</v>
      </c>
      <c r="B2077" s="6">
        <v>941.0</v>
      </c>
      <c r="C2077" s="13" t="s">
        <v>334</v>
      </c>
      <c r="D2077" s="17">
        <f>SUMIFS(ShadowLedger!$D:$D,ShadowLedger!$G:$G,A2077,ShadowLedger!$C:$C,"&gt;="&amp;DATE(LEFT(SUBSTITUTE(C2077,"'",""),4),MID(SUBSTITUTE(C2077,"'",""),6,2),1),ShadowLedger!$C:$C,"&lt;"&amp;EOMONTH(DATE(LEFT(SUBSTITUTE(C2077,"'",""),4),MID(SUBSTITUTE(C2077,"'",""),6,2),1),0)+1)</f>
        <v>0</v>
      </c>
      <c r="E2077" s="17">
        <f t="shared" si="1"/>
        <v>941</v>
      </c>
      <c r="F2077" s="17">
        <f t="shared" si="2"/>
        <v>0</v>
      </c>
    </row>
    <row r="2078">
      <c r="A2078" s="5" t="s">
        <v>56</v>
      </c>
      <c r="B2078" s="6">
        <v>672.0</v>
      </c>
      <c r="C2078" s="13" t="s">
        <v>334</v>
      </c>
      <c r="D2078" s="17">
        <f>SUMIFS(ShadowLedger!$D:$D,ShadowLedger!$G:$G,A2078,ShadowLedger!$C:$C,"&gt;="&amp;DATE(LEFT(SUBSTITUTE(C2078,"'",""),4),MID(SUBSTITUTE(C2078,"'",""),6,2),1),ShadowLedger!$C:$C,"&lt;"&amp;EOMONTH(DATE(LEFT(SUBSTITUTE(C2078,"'",""),4),MID(SUBSTITUTE(C2078,"'",""),6,2),1),0)+1)</f>
        <v>0</v>
      </c>
      <c r="E2078" s="17">
        <f t="shared" si="1"/>
        <v>672</v>
      </c>
      <c r="F2078" s="17">
        <f t="shared" si="2"/>
        <v>0</v>
      </c>
    </row>
    <row r="2079">
      <c r="A2079" s="5" t="s">
        <v>57</v>
      </c>
      <c r="B2079" s="6">
        <v>672.0</v>
      </c>
      <c r="C2079" s="13" t="s">
        <v>334</v>
      </c>
      <c r="D2079" s="17">
        <f>SUMIFS(ShadowLedger!$D:$D,ShadowLedger!$G:$G,A2079,ShadowLedger!$C:$C,"&gt;="&amp;DATE(LEFT(SUBSTITUTE(C2079,"'",""),4),MID(SUBSTITUTE(C2079,"'",""),6,2),1),ShadowLedger!$C:$C,"&lt;"&amp;EOMONTH(DATE(LEFT(SUBSTITUTE(C2079,"'",""),4),MID(SUBSTITUTE(C2079,"'",""),6,2),1),0)+1)</f>
        <v>0</v>
      </c>
      <c r="E2079" s="17">
        <f t="shared" si="1"/>
        <v>672</v>
      </c>
      <c r="F2079" s="17">
        <f t="shared" si="2"/>
        <v>0</v>
      </c>
    </row>
    <row r="2080">
      <c r="A2080" s="5" t="s">
        <v>58</v>
      </c>
      <c r="B2080" s="6">
        <v>538.0</v>
      </c>
      <c r="C2080" s="13" t="s">
        <v>334</v>
      </c>
      <c r="D2080" s="17">
        <f>SUMIFS(ShadowLedger!$D:$D,ShadowLedger!$G:$G,A2080,ShadowLedger!$C:$C,"&gt;="&amp;DATE(LEFT(SUBSTITUTE(C2080,"'",""),4),MID(SUBSTITUTE(C2080,"'",""),6,2),1),ShadowLedger!$C:$C,"&lt;"&amp;EOMONTH(DATE(LEFT(SUBSTITUTE(C2080,"'",""),4),MID(SUBSTITUTE(C2080,"'",""),6,2),1),0)+1)</f>
        <v>0</v>
      </c>
      <c r="E2080" s="17">
        <f t="shared" si="1"/>
        <v>538</v>
      </c>
      <c r="F2080" s="17">
        <f t="shared" si="2"/>
        <v>0</v>
      </c>
    </row>
    <row r="2081">
      <c r="A2081" s="5" t="s">
        <v>59</v>
      </c>
      <c r="B2081" s="6">
        <v>269.0</v>
      </c>
      <c r="C2081" s="13" t="s">
        <v>334</v>
      </c>
      <c r="D2081" s="17">
        <f>SUMIFS(ShadowLedger!$D:$D,ShadowLedger!$G:$G,A2081,ShadowLedger!$C:$C,"&gt;="&amp;DATE(LEFT(SUBSTITUTE(C2081,"'",""),4),MID(SUBSTITUTE(C2081,"'",""),6,2),1),ShadowLedger!$C:$C,"&lt;"&amp;EOMONTH(DATE(LEFT(SUBSTITUTE(C2081,"'",""),4),MID(SUBSTITUTE(C2081,"'",""),6,2),1),0)+1)</f>
        <v>0</v>
      </c>
      <c r="E2081" s="17">
        <f t="shared" si="1"/>
        <v>269</v>
      </c>
      <c r="F2081" s="17">
        <f t="shared" si="2"/>
        <v>0</v>
      </c>
    </row>
    <row r="2082">
      <c r="A2082" s="5" t="s">
        <v>60</v>
      </c>
      <c r="B2082" s="6">
        <v>202.0</v>
      </c>
      <c r="C2082" s="13" t="s">
        <v>334</v>
      </c>
      <c r="D2082" s="17">
        <f>SUMIFS(ShadowLedger!$D:$D,ShadowLedger!$G:$G,A2082,ShadowLedger!$C:$C,"&gt;="&amp;DATE(LEFT(SUBSTITUTE(C2082,"'",""),4),MID(SUBSTITUTE(C2082,"'",""),6,2),1),ShadowLedger!$C:$C,"&lt;"&amp;EOMONTH(DATE(LEFT(SUBSTITUTE(C2082,"'",""),4),MID(SUBSTITUTE(C2082,"'",""),6,2),1),0)+1)</f>
        <v>0</v>
      </c>
      <c r="E2082" s="17">
        <f t="shared" si="1"/>
        <v>202</v>
      </c>
      <c r="F2082" s="17">
        <f t="shared" si="2"/>
        <v>0</v>
      </c>
    </row>
    <row r="2083">
      <c r="A2083" s="5" t="s">
        <v>61</v>
      </c>
      <c r="B2083" s="6">
        <v>161.0</v>
      </c>
      <c r="C2083" s="13" t="s">
        <v>334</v>
      </c>
      <c r="D2083" s="17">
        <f>SUMIFS(ShadowLedger!$D:$D,ShadowLedger!$G:$G,A2083,ShadowLedger!$C:$C,"&gt;="&amp;DATE(LEFT(SUBSTITUTE(C2083,"'",""),4),MID(SUBSTITUTE(C2083,"'",""),6,2),1),ShadowLedger!$C:$C,"&lt;"&amp;EOMONTH(DATE(LEFT(SUBSTITUTE(C2083,"'",""),4),MID(SUBSTITUTE(C2083,"'",""),6,2),1),0)+1)</f>
        <v>0</v>
      </c>
      <c r="E2083" s="17">
        <f t="shared" si="1"/>
        <v>161</v>
      </c>
      <c r="F2083" s="17">
        <f t="shared" si="2"/>
        <v>0</v>
      </c>
    </row>
    <row r="2084">
      <c r="A2084" s="5" t="s">
        <v>62</v>
      </c>
      <c r="B2084" s="6">
        <v>161.0</v>
      </c>
      <c r="C2084" s="13" t="s">
        <v>334</v>
      </c>
      <c r="D2084" s="17">
        <f>SUMIFS(ShadowLedger!$D:$D,ShadowLedger!$G:$G,A2084,ShadowLedger!$C:$C,"&gt;="&amp;DATE(LEFT(SUBSTITUTE(C2084,"'",""),4),MID(SUBSTITUTE(C2084,"'",""),6,2),1),ShadowLedger!$C:$C,"&lt;"&amp;EOMONTH(DATE(LEFT(SUBSTITUTE(C2084,"'",""),4),MID(SUBSTITUTE(C2084,"'",""),6,2),1),0)+1)</f>
        <v>0</v>
      </c>
      <c r="E2084" s="17">
        <f t="shared" si="1"/>
        <v>161</v>
      </c>
      <c r="F2084" s="17">
        <f t="shared" si="2"/>
        <v>0</v>
      </c>
    </row>
    <row r="2085">
      <c r="A2085" s="5" t="s">
        <v>63</v>
      </c>
      <c r="B2085" s="6">
        <v>134.0</v>
      </c>
      <c r="C2085" s="13" t="s">
        <v>334</v>
      </c>
      <c r="D2085" s="17">
        <f>SUMIFS(ShadowLedger!$D:$D,ShadowLedger!$G:$G,A2085,ShadowLedger!$C:$C,"&gt;="&amp;DATE(LEFT(SUBSTITUTE(C2085,"'",""),4),MID(SUBSTITUTE(C2085,"'",""),6,2),1),ShadowLedger!$C:$C,"&lt;"&amp;EOMONTH(DATE(LEFT(SUBSTITUTE(C2085,"'",""),4),MID(SUBSTITUTE(C2085,"'",""),6,2),1),0)+1)</f>
        <v>0</v>
      </c>
      <c r="E2085" s="17">
        <f t="shared" si="1"/>
        <v>134</v>
      </c>
      <c r="F2085" s="17">
        <f t="shared" si="2"/>
        <v>0</v>
      </c>
    </row>
    <row r="2086">
      <c r="A2086" s="5" t="s">
        <v>64</v>
      </c>
      <c r="B2086" s="6">
        <v>134.0</v>
      </c>
      <c r="C2086" s="13" t="s">
        <v>334</v>
      </c>
      <c r="D2086" s="17">
        <f>SUMIFS(ShadowLedger!$D:$D,ShadowLedger!$G:$G,A2086,ShadowLedger!$C:$C,"&gt;="&amp;DATE(LEFT(SUBSTITUTE(C2086,"'",""),4),MID(SUBSTITUTE(C2086,"'",""),6,2),1),ShadowLedger!$C:$C,"&lt;"&amp;EOMONTH(DATE(LEFT(SUBSTITUTE(C2086,"'",""),4),MID(SUBSTITUTE(C2086,"'",""),6,2),1),0)+1)</f>
        <v>0</v>
      </c>
      <c r="E2086" s="17">
        <f t="shared" si="1"/>
        <v>134</v>
      </c>
      <c r="F2086" s="17">
        <f t="shared" si="2"/>
        <v>0</v>
      </c>
    </row>
    <row r="2087">
      <c r="A2087" s="5" t="s">
        <v>70</v>
      </c>
      <c r="B2087" s="6">
        <v>134.0</v>
      </c>
      <c r="C2087" s="13" t="s">
        <v>334</v>
      </c>
      <c r="D2087" s="17">
        <f>SUMIFS(ShadowLedger!$D:$D,ShadowLedger!$G:$G,A2087,ShadowLedger!$C:$C,"&gt;="&amp;DATE(LEFT(SUBSTITUTE(C2087,"'",""),4),MID(SUBSTITUTE(C2087,"'",""),6,2),1),ShadowLedger!$C:$C,"&lt;"&amp;EOMONTH(DATE(LEFT(SUBSTITUTE(C2087,"'",""),4),MID(SUBSTITUTE(C2087,"'",""),6,2),1),0)+1)</f>
        <v>0</v>
      </c>
      <c r="E2087" s="17">
        <f t="shared" si="1"/>
        <v>134</v>
      </c>
      <c r="F2087" s="17">
        <f t="shared" si="2"/>
        <v>0</v>
      </c>
    </row>
    <row r="2088">
      <c r="A2088" s="5" t="s">
        <v>65</v>
      </c>
      <c r="B2088" s="6">
        <v>67.0</v>
      </c>
      <c r="C2088" s="13" t="s">
        <v>334</v>
      </c>
      <c r="D2088" s="17">
        <f>SUMIFS(ShadowLedger!$D:$D,ShadowLedger!$G:$G,A2088,ShadowLedger!$C:$C,"&gt;="&amp;DATE(LEFT(SUBSTITUTE(C2088,"'",""),4),MID(SUBSTITUTE(C2088,"'",""),6,2),1),ShadowLedger!$C:$C,"&lt;"&amp;EOMONTH(DATE(LEFT(SUBSTITUTE(C2088,"'",""),4),MID(SUBSTITUTE(C2088,"'",""),6,2),1),0)+1)</f>
        <v>0</v>
      </c>
      <c r="E2088" s="17">
        <f t="shared" si="1"/>
        <v>67</v>
      </c>
      <c r="F2088" s="17">
        <f t="shared" si="2"/>
        <v>0</v>
      </c>
    </row>
    <row r="2089">
      <c r="A2089" s="5" t="s">
        <v>66</v>
      </c>
      <c r="B2089" s="6">
        <v>67.0</v>
      </c>
      <c r="C2089" s="13" t="s">
        <v>334</v>
      </c>
      <c r="D2089" s="17">
        <f>SUMIFS(ShadowLedger!$D:$D,ShadowLedger!$G:$G,A2089,ShadowLedger!$C:$C,"&gt;="&amp;DATE(LEFT(SUBSTITUTE(C2089,"'",""),4),MID(SUBSTITUTE(C2089,"'",""),6,2),1),ShadowLedger!$C:$C,"&lt;"&amp;EOMONTH(DATE(LEFT(SUBSTITUTE(C2089,"'",""),4),MID(SUBSTITUTE(C2089,"'",""),6,2),1),0)+1)</f>
        <v>0</v>
      </c>
      <c r="E2089" s="17">
        <f t="shared" si="1"/>
        <v>67</v>
      </c>
      <c r="F2089" s="17">
        <f t="shared" si="2"/>
        <v>0</v>
      </c>
    </row>
    <row r="2090">
      <c r="A2090" s="5" t="s">
        <v>67</v>
      </c>
      <c r="B2090" s="6">
        <v>67.0</v>
      </c>
      <c r="C2090" s="13" t="s">
        <v>334</v>
      </c>
      <c r="D2090" s="17">
        <f>SUMIFS(ShadowLedger!$D:$D,ShadowLedger!$G:$G,A2090,ShadowLedger!$C:$C,"&gt;="&amp;DATE(LEFT(SUBSTITUTE(C2090,"'",""),4),MID(SUBSTITUTE(C2090,"'",""),6,2),1),ShadowLedger!$C:$C,"&lt;"&amp;EOMONTH(DATE(LEFT(SUBSTITUTE(C2090,"'",""),4),MID(SUBSTITUTE(C2090,"'",""),6,2),1),0)+1)</f>
        <v>0</v>
      </c>
      <c r="E2090" s="17">
        <f t="shared" si="1"/>
        <v>67</v>
      </c>
      <c r="F2090" s="17">
        <f t="shared" si="2"/>
        <v>0</v>
      </c>
    </row>
    <row r="2091">
      <c r="A2091" s="5" t="s">
        <v>68</v>
      </c>
      <c r="B2091" s="6">
        <v>67.0</v>
      </c>
      <c r="C2091" s="13" t="s">
        <v>334</v>
      </c>
      <c r="D2091" s="17">
        <f>SUMIFS(ShadowLedger!$D:$D,ShadowLedger!$G:$G,A2091,ShadowLedger!$C:$C,"&gt;="&amp;DATE(LEFT(SUBSTITUTE(C2091,"'",""),4),MID(SUBSTITUTE(C2091,"'",""),6,2),1),ShadowLedger!$C:$C,"&lt;"&amp;EOMONTH(DATE(LEFT(SUBSTITUTE(C2091,"'",""),4),MID(SUBSTITUTE(C2091,"'",""),6,2),1),0)+1)</f>
        <v>0</v>
      </c>
      <c r="E2091" s="17">
        <f t="shared" si="1"/>
        <v>67</v>
      </c>
      <c r="F2091" s="17">
        <f t="shared" si="2"/>
        <v>0</v>
      </c>
    </row>
    <row r="2092">
      <c r="A2092" s="5" t="s">
        <v>69</v>
      </c>
      <c r="B2092" s="6">
        <v>0.0</v>
      </c>
      <c r="C2092" s="13" t="s">
        <v>334</v>
      </c>
      <c r="D2092" s="17">
        <f>SUMIFS(ShadowLedger!$D:$D,ShadowLedger!$G:$G,A2092,ShadowLedger!$C:$C,"&gt;="&amp;DATE(LEFT(SUBSTITUTE(C2092,"'",""),4),MID(SUBSTITUTE(C2092,"'",""),6,2),1),ShadowLedger!$C:$C,"&lt;"&amp;EOMONTH(DATE(LEFT(SUBSTITUTE(C2092,"'",""),4),MID(SUBSTITUTE(C2092,"'",""),6,2),1),0)+1)</f>
        <v>0</v>
      </c>
      <c r="E2092" s="17">
        <f t="shared" si="1"/>
        <v>0</v>
      </c>
      <c r="F2092" s="17">
        <f t="shared" si="2"/>
        <v>0</v>
      </c>
    </row>
    <row r="2093">
      <c r="A2093" s="5" t="s">
        <v>54</v>
      </c>
      <c r="B2093" s="6">
        <v>1236.0</v>
      </c>
      <c r="C2093" s="13" t="s">
        <v>335</v>
      </c>
      <c r="D2093" s="17">
        <f>SUMIFS(ShadowLedger!$D:$D,ShadowLedger!$G:$G,A2093,ShadowLedger!$C:$C,"&gt;="&amp;DATE(LEFT(SUBSTITUTE(C2093,"'",""),4),MID(SUBSTITUTE(C2093,"'",""),6,2),1),ShadowLedger!$C:$C,"&lt;"&amp;EOMONTH(DATE(LEFT(SUBSTITUTE(C2093,"'",""),4),MID(SUBSTITUTE(C2093,"'",""),6,2),1),0)+1)</f>
        <v>0</v>
      </c>
      <c r="E2093" s="17">
        <f t="shared" si="1"/>
        <v>1236</v>
      </c>
      <c r="F2093" s="17">
        <f t="shared" si="2"/>
        <v>0</v>
      </c>
    </row>
    <row r="2094">
      <c r="A2094" s="5" t="s">
        <v>55</v>
      </c>
      <c r="B2094" s="6">
        <v>941.0</v>
      </c>
      <c r="C2094" s="13" t="s">
        <v>335</v>
      </c>
      <c r="D2094" s="17">
        <f>SUMIFS(ShadowLedger!$D:$D,ShadowLedger!$G:$G,A2094,ShadowLedger!$C:$C,"&gt;="&amp;DATE(LEFT(SUBSTITUTE(C2094,"'",""),4),MID(SUBSTITUTE(C2094,"'",""),6,2),1),ShadowLedger!$C:$C,"&lt;"&amp;EOMONTH(DATE(LEFT(SUBSTITUTE(C2094,"'",""),4),MID(SUBSTITUTE(C2094,"'",""),6,2),1),0)+1)</f>
        <v>0</v>
      </c>
      <c r="E2094" s="17">
        <f t="shared" si="1"/>
        <v>941</v>
      </c>
      <c r="F2094" s="17">
        <f t="shared" si="2"/>
        <v>0</v>
      </c>
    </row>
    <row r="2095">
      <c r="A2095" s="5" t="s">
        <v>56</v>
      </c>
      <c r="B2095" s="6">
        <v>672.0</v>
      </c>
      <c r="C2095" s="13" t="s">
        <v>335</v>
      </c>
      <c r="D2095" s="17">
        <f>SUMIFS(ShadowLedger!$D:$D,ShadowLedger!$G:$G,A2095,ShadowLedger!$C:$C,"&gt;="&amp;DATE(LEFT(SUBSTITUTE(C2095,"'",""),4),MID(SUBSTITUTE(C2095,"'",""),6,2),1),ShadowLedger!$C:$C,"&lt;"&amp;EOMONTH(DATE(LEFT(SUBSTITUTE(C2095,"'",""),4),MID(SUBSTITUTE(C2095,"'",""),6,2),1),0)+1)</f>
        <v>0</v>
      </c>
      <c r="E2095" s="17">
        <f t="shared" si="1"/>
        <v>672</v>
      </c>
      <c r="F2095" s="17">
        <f t="shared" si="2"/>
        <v>0</v>
      </c>
    </row>
    <row r="2096">
      <c r="A2096" s="5" t="s">
        <v>57</v>
      </c>
      <c r="B2096" s="6">
        <v>672.0</v>
      </c>
      <c r="C2096" s="13" t="s">
        <v>335</v>
      </c>
      <c r="D2096" s="17">
        <f>SUMIFS(ShadowLedger!$D:$D,ShadowLedger!$G:$G,A2096,ShadowLedger!$C:$C,"&gt;="&amp;DATE(LEFT(SUBSTITUTE(C2096,"'",""),4),MID(SUBSTITUTE(C2096,"'",""),6,2),1),ShadowLedger!$C:$C,"&lt;"&amp;EOMONTH(DATE(LEFT(SUBSTITUTE(C2096,"'",""),4),MID(SUBSTITUTE(C2096,"'",""),6,2),1),0)+1)</f>
        <v>0</v>
      </c>
      <c r="E2096" s="17">
        <f t="shared" si="1"/>
        <v>672</v>
      </c>
      <c r="F2096" s="17">
        <f t="shared" si="2"/>
        <v>0</v>
      </c>
    </row>
    <row r="2097">
      <c r="A2097" s="5" t="s">
        <v>58</v>
      </c>
      <c r="B2097" s="6">
        <v>538.0</v>
      </c>
      <c r="C2097" s="13" t="s">
        <v>335</v>
      </c>
      <c r="D2097" s="17">
        <f>SUMIFS(ShadowLedger!$D:$D,ShadowLedger!$G:$G,A2097,ShadowLedger!$C:$C,"&gt;="&amp;DATE(LEFT(SUBSTITUTE(C2097,"'",""),4),MID(SUBSTITUTE(C2097,"'",""),6,2),1),ShadowLedger!$C:$C,"&lt;"&amp;EOMONTH(DATE(LEFT(SUBSTITUTE(C2097,"'",""),4),MID(SUBSTITUTE(C2097,"'",""),6,2),1),0)+1)</f>
        <v>0</v>
      </c>
      <c r="E2097" s="17">
        <f t="shared" si="1"/>
        <v>538</v>
      </c>
      <c r="F2097" s="17">
        <f t="shared" si="2"/>
        <v>0</v>
      </c>
    </row>
    <row r="2098">
      <c r="A2098" s="5" t="s">
        <v>59</v>
      </c>
      <c r="B2098" s="6">
        <v>269.0</v>
      </c>
      <c r="C2098" s="13" t="s">
        <v>335</v>
      </c>
      <c r="D2098" s="17">
        <f>SUMIFS(ShadowLedger!$D:$D,ShadowLedger!$G:$G,A2098,ShadowLedger!$C:$C,"&gt;="&amp;DATE(LEFT(SUBSTITUTE(C2098,"'",""),4),MID(SUBSTITUTE(C2098,"'",""),6,2),1),ShadowLedger!$C:$C,"&lt;"&amp;EOMONTH(DATE(LEFT(SUBSTITUTE(C2098,"'",""),4),MID(SUBSTITUTE(C2098,"'",""),6,2),1),0)+1)</f>
        <v>0</v>
      </c>
      <c r="E2098" s="17">
        <f t="shared" si="1"/>
        <v>269</v>
      </c>
      <c r="F2098" s="17">
        <f t="shared" si="2"/>
        <v>0</v>
      </c>
    </row>
    <row r="2099">
      <c r="A2099" s="5" t="s">
        <v>60</v>
      </c>
      <c r="B2099" s="6">
        <v>202.0</v>
      </c>
      <c r="C2099" s="13" t="s">
        <v>335</v>
      </c>
      <c r="D2099" s="17">
        <f>SUMIFS(ShadowLedger!$D:$D,ShadowLedger!$G:$G,A2099,ShadowLedger!$C:$C,"&gt;="&amp;DATE(LEFT(SUBSTITUTE(C2099,"'",""),4),MID(SUBSTITUTE(C2099,"'",""),6,2),1),ShadowLedger!$C:$C,"&lt;"&amp;EOMONTH(DATE(LEFT(SUBSTITUTE(C2099,"'",""),4),MID(SUBSTITUTE(C2099,"'",""),6,2),1),0)+1)</f>
        <v>0</v>
      </c>
      <c r="E2099" s="17">
        <f t="shared" si="1"/>
        <v>202</v>
      </c>
      <c r="F2099" s="17">
        <f t="shared" si="2"/>
        <v>0</v>
      </c>
    </row>
    <row r="2100">
      <c r="A2100" s="5" t="s">
        <v>61</v>
      </c>
      <c r="B2100" s="6">
        <v>161.0</v>
      </c>
      <c r="C2100" s="13" t="s">
        <v>335</v>
      </c>
      <c r="D2100" s="17">
        <f>SUMIFS(ShadowLedger!$D:$D,ShadowLedger!$G:$G,A2100,ShadowLedger!$C:$C,"&gt;="&amp;DATE(LEFT(SUBSTITUTE(C2100,"'",""),4),MID(SUBSTITUTE(C2100,"'",""),6,2),1),ShadowLedger!$C:$C,"&lt;"&amp;EOMONTH(DATE(LEFT(SUBSTITUTE(C2100,"'",""),4),MID(SUBSTITUTE(C2100,"'",""),6,2),1),0)+1)</f>
        <v>0</v>
      </c>
      <c r="E2100" s="17">
        <f t="shared" si="1"/>
        <v>161</v>
      </c>
      <c r="F2100" s="17">
        <f t="shared" si="2"/>
        <v>0</v>
      </c>
    </row>
    <row r="2101">
      <c r="A2101" s="5" t="s">
        <v>62</v>
      </c>
      <c r="B2101" s="6">
        <v>161.0</v>
      </c>
      <c r="C2101" s="13" t="s">
        <v>335</v>
      </c>
      <c r="D2101" s="17">
        <f>SUMIFS(ShadowLedger!$D:$D,ShadowLedger!$G:$G,A2101,ShadowLedger!$C:$C,"&gt;="&amp;DATE(LEFT(SUBSTITUTE(C2101,"'",""),4),MID(SUBSTITUTE(C2101,"'",""),6,2),1),ShadowLedger!$C:$C,"&lt;"&amp;EOMONTH(DATE(LEFT(SUBSTITUTE(C2101,"'",""),4),MID(SUBSTITUTE(C2101,"'",""),6,2),1),0)+1)</f>
        <v>0</v>
      </c>
      <c r="E2101" s="17">
        <f t="shared" si="1"/>
        <v>161</v>
      </c>
      <c r="F2101" s="17">
        <f t="shared" si="2"/>
        <v>0</v>
      </c>
    </row>
    <row r="2102">
      <c r="A2102" s="5" t="s">
        <v>63</v>
      </c>
      <c r="B2102" s="6">
        <v>134.0</v>
      </c>
      <c r="C2102" s="13" t="s">
        <v>335</v>
      </c>
      <c r="D2102" s="17">
        <f>SUMIFS(ShadowLedger!$D:$D,ShadowLedger!$G:$G,A2102,ShadowLedger!$C:$C,"&gt;="&amp;DATE(LEFT(SUBSTITUTE(C2102,"'",""),4),MID(SUBSTITUTE(C2102,"'",""),6,2),1),ShadowLedger!$C:$C,"&lt;"&amp;EOMONTH(DATE(LEFT(SUBSTITUTE(C2102,"'",""),4),MID(SUBSTITUTE(C2102,"'",""),6,2),1),0)+1)</f>
        <v>0</v>
      </c>
      <c r="E2102" s="17">
        <f t="shared" si="1"/>
        <v>134</v>
      </c>
      <c r="F2102" s="17">
        <f t="shared" si="2"/>
        <v>0</v>
      </c>
    </row>
    <row r="2103">
      <c r="A2103" s="5" t="s">
        <v>64</v>
      </c>
      <c r="B2103" s="6">
        <v>134.0</v>
      </c>
      <c r="C2103" s="13" t="s">
        <v>335</v>
      </c>
      <c r="D2103" s="17">
        <f>SUMIFS(ShadowLedger!$D:$D,ShadowLedger!$G:$G,A2103,ShadowLedger!$C:$C,"&gt;="&amp;DATE(LEFT(SUBSTITUTE(C2103,"'",""),4),MID(SUBSTITUTE(C2103,"'",""),6,2),1),ShadowLedger!$C:$C,"&lt;"&amp;EOMONTH(DATE(LEFT(SUBSTITUTE(C2103,"'",""),4),MID(SUBSTITUTE(C2103,"'",""),6,2),1),0)+1)</f>
        <v>0</v>
      </c>
      <c r="E2103" s="17">
        <f t="shared" si="1"/>
        <v>134</v>
      </c>
      <c r="F2103" s="17">
        <f t="shared" si="2"/>
        <v>0</v>
      </c>
    </row>
    <row r="2104">
      <c r="A2104" s="5" t="s">
        <v>70</v>
      </c>
      <c r="B2104" s="6">
        <v>134.0</v>
      </c>
      <c r="C2104" s="13" t="s">
        <v>335</v>
      </c>
      <c r="D2104" s="17">
        <f>SUMIFS(ShadowLedger!$D:$D,ShadowLedger!$G:$G,A2104,ShadowLedger!$C:$C,"&gt;="&amp;DATE(LEFT(SUBSTITUTE(C2104,"'",""),4),MID(SUBSTITUTE(C2104,"'",""),6,2),1),ShadowLedger!$C:$C,"&lt;"&amp;EOMONTH(DATE(LEFT(SUBSTITUTE(C2104,"'",""),4),MID(SUBSTITUTE(C2104,"'",""),6,2),1),0)+1)</f>
        <v>0</v>
      </c>
      <c r="E2104" s="17">
        <f t="shared" si="1"/>
        <v>134</v>
      </c>
      <c r="F2104" s="17">
        <f t="shared" si="2"/>
        <v>0</v>
      </c>
    </row>
    <row r="2105">
      <c r="A2105" s="5" t="s">
        <v>65</v>
      </c>
      <c r="B2105" s="6">
        <v>67.0</v>
      </c>
      <c r="C2105" s="13" t="s">
        <v>335</v>
      </c>
      <c r="D2105" s="17">
        <f>SUMIFS(ShadowLedger!$D:$D,ShadowLedger!$G:$G,A2105,ShadowLedger!$C:$C,"&gt;="&amp;DATE(LEFT(SUBSTITUTE(C2105,"'",""),4),MID(SUBSTITUTE(C2105,"'",""),6,2),1),ShadowLedger!$C:$C,"&lt;"&amp;EOMONTH(DATE(LEFT(SUBSTITUTE(C2105,"'",""),4),MID(SUBSTITUTE(C2105,"'",""),6,2),1),0)+1)</f>
        <v>0</v>
      </c>
      <c r="E2105" s="17">
        <f t="shared" si="1"/>
        <v>67</v>
      </c>
      <c r="F2105" s="17">
        <f t="shared" si="2"/>
        <v>0</v>
      </c>
    </row>
    <row r="2106">
      <c r="A2106" s="5" t="s">
        <v>66</v>
      </c>
      <c r="B2106" s="6">
        <v>67.0</v>
      </c>
      <c r="C2106" s="13" t="s">
        <v>335</v>
      </c>
      <c r="D2106" s="17">
        <f>SUMIFS(ShadowLedger!$D:$D,ShadowLedger!$G:$G,A2106,ShadowLedger!$C:$C,"&gt;="&amp;DATE(LEFT(SUBSTITUTE(C2106,"'",""),4),MID(SUBSTITUTE(C2106,"'",""),6,2),1),ShadowLedger!$C:$C,"&lt;"&amp;EOMONTH(DATE(LEFT(SUBSTITUTE(C2106,"'",""),4),MID(SUBSTITUTE(C2106,"'",""),6,2),1),0)+1)</f>
        <v>0</v>
      </c>
      <c r="E2106" s="17">
        <f t="shared" si="1"/>
        <v>67</v>
      </c>
      <c r="F2106" s="17">
        <f t="shared" si="2"/>
        <v>0</v>
      </c>
    </row>
    <row r="2107">
      <c r="A2107" s="5" t="s">
        <v>67</v>
      </c>
      <c r="B2107" s="6">
        <v>67.0</v>
      </c>
      <c r="C2107" s="13" t="s">
        <v>335</v>
      </c>
      <c r="D2107" s="17">
        <f>SUMIFS(ShadowLedger!$D:$D,ShadowLedger!$G:$G,A2107,ShadowLedger!$C:$C,"&gt;="&amp;DATE(LEFT(SUBSTITUTE(C2107,"'",""),4),MID(SUBSTITUTE(C2107,"'",""),6,2),1),ShadowLedger!$C:$C,"&lt;"&amp;EOMONTH(DATE(LEFT(SUBSTITUTE(C2107,"'",""),4),MID(SUBSTITUTE(C2107,"'",""),6,2),1),0)+1)</f>
        <v>0</v>
      </c>
      <c r="E2107" s="17">
        <f t="shared" si="1"/>
        <v>67</v>
      </c>
      <c r="F2107" s="17">
        <f t="shared" si="2"/>
        <v>0</v>
      </c>
    </row>
    <row r="2108">
      <c r="A2108" s="5" t="s">
        <v>68</v>
      </c>
      <c r="B2108" s="6">
        <v>67.0</v>
      </c>
      <c r="C2108" s="13" t="s">
        <v>335</v>
      </c>
      <c r="D2108" s="17">
        <f>SUMIFS(ShadowLedger!$D:$D,ShadowLedger!$G:$G,A2108,ShadowLedger!$C:$C,"&gt;="&amp;DATE(LEFT(SUBSTITUTE(C2108,"'",""),4),MID(SUBSTITUTE(C2108,"'",""),6,2),1),ShadowLedger!$C:$C,"&lt;"&amp;EOMONTH(DATE(LEFT(SUBSTITUTE(C2108,"'",""),4),MID(SUBSTITUTE(C2108,"'",""),6,2),1),0)+1)</f>
        <v>0</v>
      </c>
      <c r="E2108" s="17">
        <f t="shared" si="1"/>
        <v>67</v>
      </c>
      <c r="F2108" s="17">
        <f t="shared" si="2"/>
        <v>0</v>
      </c>
    </row>
    <row r="2109">
      <c r="A2109" s="5" t="s">
        <v>69</v>
      </c>
      <c r="B2109" s="6">
        <v>0.0</v>
      </c>
      <c r="C2109" s="13" t="s">
        <v>335</v>
      </c>
      <c r="D2109" s="17">
        <f>SUMIFS(ShadowLedger!$D:$D,ShadowLedger!$G:$G,A2109,ShadowLedger!$C:$C,"&gt;="&amp;DATE(LEFT(SUBSTITUTE(C2109,"'",""),4),MID(SUBSTITUTE(C2109,"'",""),6,2),1),ShadowLedger!$C:$C,"&lt;"&amp;EOMONTH(DATE(LEFT(SUBSTITUTE(C2109,"'",""),4),MID(SUBSTITUTE(C2109,"'",""),6,2),1),0)+1)</f>
        <v>0</v>
      </c>
      <c r="E2109" s="17">
        <f t="shared" si="1"/>
        <v>0</v>
      </c>
      <c r="F2109" s="17">
        <f t="shared" si="2"/>
        <v>0</v>
      </c>
    </row>
    <row r="2110">
      <c r="A2110" s="5" t="s">
        <v>54</v>
      </c>
      <c r="B2110" s="6">
        <v>1236.0</v>
      </c>
      <c r="C2110" s="13" t="s">
        <v>336</v>
      </c>
      <c r="D2110" s="17">
        <f>SUMIFS(ShadowLedger!$D:$D,ShadowLedger!$G:$G,A2110,ShadowLedger!$C:$C,"&gt;="&amp;DATE(LEFT(SUBSTITUTE(C2110,"'",""),4),MID(SUBSTITUTE(C2110,"'",""),6,2),1),ShadowLedger!$C:$C,"&lt;"&amp;EOMONTH(DATE(LEFT(SUBSTITUTE(C2110,"'",""),4),MID(SUBSTITUTE(C2110,"'",""),6,2),1),0)+1)</f>
        <v>0</v>
      </c>
      <c r="E2110" s="17">
        <f t="shared" si="1"/>
        <v>1236</v>
      </c>
      <c r="F2110" s="17">
        <f t="shared" si="2"/>
        <v>0</v>
      </c>
    </row>
    <row r="2111">
      <c r="A2111" s="5" t="s">
        <v>55</v>
      </c>
      <c r="B2111" s="6">
        <v>941.0</v>
      </c>
      <c r="C2111" s="13" t="s">
        <v>336</v>
      </c>
      <c r="D2111" s="17">
        <f>SUMIFS(ShadowLedger!$D:$D,ShadowLedger!$G:$G,A2111,ShadowLedger!$C:$C,"&gt;="&amp;DATE(LEFT(SUBSTITUTE(C2111,"'",""),4),MID(SUBSTITUTE(C2111,"'",""),6,2),1),ShadowLedger!$C:$C,"&lt;"&amp;EOMONTH(DATE(LEFT(SUBSTITUTE(C2111,"'",""),4),MID(SUBSTITUTE(C2111,"'",""),6,2),1),0)+1)</f>
        <v>0</v>
      </c>
      <c r="E2111" s="17">
        <f t="shared" si="1"/>
        <v>941</v>
      </c>
      <c r="F2111" s="17">
        <f t="shared" si="2"/>
        <v>0</v>
      </c>
    </row>
    <row r="2112">
      <c r="A2112" s="5" t="s">
        <v>56</v>
      </c>
      <c r="B2112" s="6">
        <v>672.0</v>
      </c>
      <c r="C2112" s="13" t="s">
        <v>336</v>
      </c>
      <c r="D2112" s="17">
        <f>SUMIFS(ShadowLedger!$D:$D,ShadowLedger!$G:$G,A2112,ShadowLedger!$C:$C,"&gt;="&amp;DATE(LEFT(SUBSTITUTE(C2112,"'",""),4),MID(SUBSTITUTE(C2112,"'",""),6,2),1),ShadowLedger!$C:$C,"&lt;"&amp;EOMONTH(DATE(LEFT(SUBSTITUTE(C2112,"'",""),4),MID(SUBSTITUTE(C2112,"'",""),6,2),1),0)+1)</f>
        <v>0</v>
      </c>
      <c r="E2112" s="17">
        <f t="shared" si="1"/>
        <v>672</v>
      </c>
      <c r="F2112" s="17">
        <f t="shared" si="2"/>
        <v>0</v>
      </c>
    </row>
    <row r="2113">
      <c r="A2113" s="5" t="s">
        <v>57</v>
      </c>
      <c r="B2113" s="6">
        <v>672.0</v>
      </c>
      <c r="C2113" s="13" t="s">
        <v>336</v>
      </c>
      <c r="D2113" s="17">
        <f>SUMIFS(ShadowLedger!$D:$D,ShadowLedger!$G:$G,A2113,ShadowLedger!$C:$C,"&gt;="&amp;DATE(LEFT(SUBSTITUTE(C2113,"'",""),4),MID(SUBSTITUTE(C2113,"'",""),6,2),1),ShadowLedger!$C:$C,"&lt;"&amp;EOMONTH(DATE(LEFT(SUBSTITUTE(C2113,"'",""),4),MID(SUBSTITUTE(C2113,"'",""),6,2),1),0)+1)</f>
        <v>0</v>
      </c>
      <c r="E2113" s="17">
        <f t="shared" si="1"/>
        <v>672</v>
      </c>
      <c r="F2113" s="17">
        <f t="shared" si="2"/>
        <v>0</v>
      </c>
    </row>
    <row r="2114">
      <c r="A2114" s="5" t="s">
        <v>58</v>
      </c>
      <c r="B2114" s="6">
        <v>538.0</v>
      </c>
      <c r="C2114" s="13" t="s">
        <v>336</v>
      </c>
      <c r="D2114" s="17">
        <f>SUMIFS(ShadowLedger!$D:$D,ShadowLedger!$G:$G,A2114,ShadowLedger!$C:$C,"&gt;="&amp;DATE(LEFT(SUBSTITUTE(C2114,"'",""),4),MID(SUBSTITUTE(C2114,"'",""),6,2),1),ShadowLedger!$C:$C,"&lt;"&amp;EOMONTH(DATE(LEFT(SUBSTITUTE(C2114,"'",""),4),MID(SUBSTITUTE(C2114,"'",""),6,2),1),0)+1)</f>
        <v>0</v>
      </c>
      <c r="E2114" s="17">
        <f t="shared" si="1"/>
        <v>538</v>
      </c>
      <c r="F2114" s="17">
        <f t="shared" si="2"/>
        <v>0</v>
      </c>
    </row>
    <row r="2115">
      <c r="A2115" s="5" t="s">
        <v>59</v>
      </c>
      <c r="B2115" s="6">
        <v>269.0</v>
      </c>
      <c r="C2115" s="13" t="s">
        <v>336</v>
      </c>
      <c r="D2115" s="17">
        <f>SUMIFS(ShadowLedger!$D:$D,ShadowLedger!$G:$G,A2115,ShadowLedger!$C:$C,"&gt;="&amp;DATE(LEFT(SUBSTITUTE(C2115,"'",""),4),MID(SUBSTITUTE(C2115,"'",""),6,2),1),ShadowLedger!$C:$C,"&lt;"&amp;EOMONTH(DATE(LEFT(SUBSTITUTE(C2115,"'",""),4),MID(SUBSTITUTE(C2115,"'",""),6,2),1),0)+1)</f>
        <v>0</v>
      </c>
      <c r="E2115" s="17">
        <f t="shared" si="1"/>
        <v>269</v>
      </c>
      <c r="F2115" s="17">
        <f t="shared" si="2"/>
        <v>0</v>
      </c>
    </row>
    <row r="2116">
      <c r="A2116" s="5" t="s">
        <v>60</v>
      </c>
      <c r="B2116" s="6">
        <v>202.0</v>
      </c>
      <c r="C2116" s="13" t="s">
        <v>336</v>
      </c>
      <c r="D2116" s="17">
        <f>SUMIFS(ShadowLedger!$D:$D,ShadowLedger!$G:$G,A2116,ShadowLedger!$C:$C,"&gt;="&amp;DATE(LEFT(SUBSTITUTE(C2116,"'",""),4),MID(SUBSTITUTE(C2116,"'",""),6,2),1),ShadowLedger!$C:$C,"&lt;"&amp;EOMONTH(DATE(LEFT(SUBSTITUTE(C2116,"'",""),4),MID(SUBSTITUTE(C2116,"'",""),6,2),1),0)+1)</f>
        <v>0</v>
      </c>
      <c r="E2116" s="17">
        <f t="shared" si="1"/>
        <v>202</v>
      </c>
      <c r="F2116" s="17">
        <f t="shared" si="2"/>
        <v>0</v>
      </c>
    </row>
    <row r="2117">
      <c r="A2117" s="5" t="s">
        <v>61</v>
      </c>
      <c r="B2117" s="6">
        <v>161.0</v>
      </c>
      <c r="C2117" s="13" t="s">
        <v>336</v>
      </c>
      <c r="D2117" s="17">
        <f>SUMIFS(ShadowLedger!$D:$D,ShadowLedger!$G:$G,A2117,ShadowLedger!$C:$C,"&gt;="&amp;DATE(LEFT(SUBSTITUTE(C2117,"'",""),4),MID(SUBSTITUTE(C2117,"'",""),6,2),1),ShadowLedger!$C:$C,"&lt;"&amp;EOMONTH(DATE(LEFT(SUBSTITUTE(C2117,"'",""),4),MID(SUBSTITUTE(C2117,"'",""),6,2),1),0)+1)</f>
        <v>0</v>
      </c>
      <c r="E2117" s="17">
        <f t="shared" si="1"/>
        <v>161</v>
      </c>
      <c r="F2117" s="17">
        <f t="shared" si="2"/>
        <v>0</v>
      </c>
    </row>
    <row r="2118">
      <c r="A2118" s="5" t="s">
        <v>62</v>
      </c>
      <c r="B2118" s="6">
        <v>161.0</v>
      </c>
      <c r="C2118" s="13" t="s">
        <v>336</v>
      </c>
      <c r="D2118" s="17">
        <f>SUMIFS(ShadowLedger!$D:$D,ShadowLedger!$G:$G,A2118,ShadowLedger!$C:$C,"&gt;="&amp;DATE(LEFT(SUBSTITUTE(C2118,"'",""),4),MID(SUBSTITUTE(C2118,"'",""),6,2),1),ShadowLedger!$C:$C,"&lt;"&amp;EOMONTH(DATE(LEFT(SUBSTITUTE(C2118,"'",""),4),MID(SUBSTITUTE(C2118,"'",""),6,2),1),0)+1)</f>
        <v>0</v>
      </c>
      <c r="E2118" s="17">
        <f t="shared" si="1"/>
        <v>161</v>
      </c>
      <c r="F2118" s="17">
        <f t="shared" si="2"/>
        <v>0</v>
      </c>
    </row>
    <row r="2119">
      <c r="A2119" s="5" t="s">
        <v>63</v>
      </c>
      <c r="B2119" s="6">
        <v>134.0</v>
      </c>
      <c r="C2119" s="13" t="s">
        <v>336</v>
      </c>
      <c r="D2119" s="17">
        <f>SUMIFS(ShadowLedger!$D:$D,ShadowLedger!$G:$G,A2119,ShadowLedger!$C:$C,"&gt;="&amp;DATE(LEFT(SUBSTITUTE(C2119,"'",""),4),MID(SUBSTITUTE(C2119,"'",""),6,2),1),ShadowLedger!$C:$C,"&lt;"&amp;EOMONTH(DATE(LEFT(SUBSTITUTE(C2119,"'",""),4),MID(SUBSTITUTE(C2119,"'",""),6,2),1),0)+1)</f>
        <v>0</v>
      </c>
      <c r="E2119" s="17">
        <f t="shared" si="1"/>
        <v>134</v>
      </c>
      <c r="F2119" s="17">
        <f t="shared" si="2"/>
        <v>0</v>
      </c>
    </row>
    <row r="2120">
      <c r="A2120" s="5" t="s">
        <v>64</v>
      </c>
      <c r="B2120" s="6">
        <v>134.0</v>
      </c>
      <c r="C2120" s="13" t="s">
        <v>336</v>
      </c>
      <c r="D2120" s="17">
        <f>SUMIFS(ShadowLedger!$D:$D,ShadowLedger!$G:$G,A2120,ShadowLedger!$C:$C,"&gt;="&amp;DATE(LEFT(SUBSTITUTE(C2120,"'",""),4),MID(SUBSTITUTE(C2120,"'",""),6,2),1),ShadowLedger!$C:$C,"&lt;"&amp;EOMONTH(DATE(LEFT(SUBSTITUTE(C2120,"'",""),4),MID(SUBSTITUTE(C2120,"'",""),6,2),1),0)+1)</f>
        <v>0</v>
      </c>
      <c r="E2120" s="17">
        <f t="shared" si="1"/>
        <v>134</v>
      </c>
      <c r="F2120" s="17">
        <f t="shared" si="2"/>
        <v>0</v>
      </c>
    </row>
    <row r="2121">
      <c r="A2121" s="5" t="s">
        <v>70</v>
      </c>
      <c r="B2121" s="6">
        <v>134.0</v>
      </c>
      <c r="C2121" s="13" t="s">
        <v>336</v>
      </c>
      <c r="D2121" s="17">
        <f>SUMIFS(ShadowLedger!$D:$D,ShadowLedger!$G:$G,A2121,ShadowLedger!$C:$C,"&gt;="&amp;DATE(LEFT(SUBSTITUTE(C2121,"'",""),4),MID(SUBSTITUTE(C2121,"'",""),6,2),1),ShadowLedger!$C:$C,"&lt;"&amp;EOMONTH(DATE(LEFT(SUBSTITUTE(C2121,"'",""),4),MID(SUBSTITUTE(C2121,"'",""),6,2),1),0)+1)</f>
        <v>0</v>
      </c>
      <c r="E2121" s="17">
        <f t="shared" si="1"/>
        <v>134</v>
      </c>
      <c r="F2121" s="17">
        <f t="shared" si="2"/>
        <v>0</v>
      </c>
    </row>
    <row r="2122">
      <c r="A2122" s="5" t="s">
        <v>65</v>
      </c>
      <c r="B2122" s="6">
        <v>67.0</v>
      </c>
      <c r="C2122" s="13" t="s">
        <v>336</v>
      </c>
      <c r="D2122" s="17">
        <f>SUMIFS(ShadowLedger!$D:$D,ShadowLedger!$G:$G,A2122,ShadowLedger!$C:$C,"&gt;="&amp;DATE(LEFT(SUBSTITUTE(C2122,"'",""),4),MID(SUBSTITUTE(C2122,"'",""),6,2),1),ShadowLedger!$C:$C,"&lt;"&amp;EOMONTH(DATE(LEFT(SUBSTITUTE(C2122,"'",""),4),MID(SUBSTITUTE(C2122,"'",""),6,2),1),0)+1)</f>
        <v>0</v>
      </c>
      <c r="E2122" s="17">
        <f t="shared" si="1"/>
        <v>67</v>
      </c>
      <c r="F2122" s="17">
        <f t="shared" si="2"/>
        <v>0</v>
      </c>
    </row>
    <row r="2123">
      <c r="A2123" s="5" t="s">
        <v>66</v>
      </c>
      <c r="B2123" s="6">
        <v>67.0</v>
      </c>
      <c r="C2123" s="13" t="s">
        <v>336</v>
      </c>
      <c r="D2123" s="17">
        <f>SUMIFS(ShadowLedger!$D:$D,ShadowLedger!$G:$G,A2123,ShadowLedger!$C:$C,"&gt;="&amp;DATE(LEFT(SUBSTITUTE(C2123,"'",""),4),MID(SUBSTITUTE(C2123,"'",""),6,2),1),ShadowLedger!$C:$C,"&lt;"&amp;EOMONTH(DATE(LEFT(SUBSTITUTE(C2123,"'",""),4),MID(SUBSTITUTE(C2123,"'",""),6,2),1),0)+1)</f>
        <v>0</v>
      </c>
      <c r="E2123" s="17">
        <f t="shared" si="1"/>
        <v>67</v>
      </c>
      <c r="F2123" s="17">
        <f t="shared" si="2"/>
        <v>0</v>
      </c>
    </row>
    <row r="2124">
      <c r="A2124" s="5" t="s">
        <v>67</v>
      </c>
      <c r="B2124" s="6">
        <v>67.0</v>
      </c>
      <c r="C2124" s="13" t="s">
        <v>336</v>
      </c>
      <c r="D2124" s="17">
        <f>SUMIFS(ShadowLedger!$D:$D,ShadowLedger!$G:$G,A2124,ShadowLedger!$C:$C,"&gt;="&amp;DATE(LEFT(SUBSTITUTE(C2124,"'",""),4),MID(SUBSTITUTE(C2124,"'",""),6,2),1),ShadowLedger!$C:$C,"&lt;"&amp;EOMONTH(DATE(LEFT(SUBSTITUTE(C2124,"'",""),4),MID(SUBSTITUTE(C2124,"'",""),6,2),1),0)+1)</f>
        <v>0</v>
      </c>
      <c r="E2124" s="17">
        <f t="shared" si="1"/>
        <v>67</v>
      </c>
      <c r="F2124" s="17">
        <f t="shared" si="2"/>
        <v>0</v>
      </c>
    </row>
    <row r="2125">
      <c r="A2125" s="5" t="s">
        <v>68</v>
      </c>
      <c r="B2125" s="6">
        <v>67.0</v>
      </c>
      <c r="C2125" s="13" t="s">
        <v>336</v>
      </c>
      <c r="D2125" s="17">
        <f>SUMIFS(ShadowLedger!$D:$D,ShadowLedger!$G:$G,A2125,ShadowLedger!$C:$C,"&gt;="&amp;DATE(LEFT(SUBSTITUTE(C2125,"'",""),4),MID(SUBSTITUTE(C2125,"'",""),6,2),1),ShadowLedger!$C:$C,"&lt;"&amp;EOMONTH(DATE(LEFT(SUBSTITUTE(C2125,"'",""),4),MID(SUBSTITUTE(C2125,"'",""),6,2),1),0)+1)</f>
        <v>0</v>
      </c>
      <c r="E2125" s="17">
        <f t="shared" si="1"/>
        <v>67</v>
      </c>
      <c r="F2125" s="17">
        <f t="shared" si="2"/>
        <v>0</v>
      </c>
    </row>
    <row r="2126">
      <c r="A2126" s="5" t="s">
        <v>69</v>
      </c>
      <c r="B2126" s="6">
        <v>0.0</v>
      </c>
      <c r="C2126" s="13" t="s">
        <v>336</v>
      </c>
      <c r="D2126" s="17">
        <f>SUMIFS(ShadowLedger!$D:$D,ShadowLedger!$G:$G,A2126,ShadowLedger!$C:$C,"&gt;="&amp;DATE(LEFT(SUBSTITUTE(C2126,"'",""),4),MID(SUBSTITUTE(C2126,"'",""),6,2),1),ShadowLedger!$C:$C,"&lt;"&amp;EOMONTH(DATE(LEFT(SUBSTITUTE(C2126,"'",""),4),MID(SUBSTITUTE(C2126,"'",""),6,2),1),0)+1)</f>
        <v>0</v>
      </c>
      <c r="E2126" s="17">
        <f t="shared" si="1"/>
        <v>0</v>
      </c>
      <c r="F2126" s="17">
        <f t="shared" si="2"/>
        <v>0</v>
      </c>
    </row>
    <row r="2127">
      <c r="A2127" s="5" t="s">
        <v>54</v>
      </c>
      <c r="B2127" s="6">
        <v>1236.0</v>
      </c>
      <c r="C2127" s="13" t="s">
        <v>337</v>
      </c>
      <c r="D2127" s="17">
        <f>SUMIFS(ShadowLedger!$D:$D,ShadowLedger!$G:$G,A2127,ShadowLedger!$C:$C,"&gt;="&amp;DATE(LEFT(SUBSTITUTE(C2127,"'",""),4),MID(SUBSTITUTE(C2127,"'",""),6,2),1),ShadowLedger!$C:$C,"&lt;"&amp;EOMONTH(DATE(LEFT(SUBSTITUTE(C2127,"'",""),4),MID(SUBSTITUTE(C2127,"'",""),6,2),1),0)+1)</f>
        <v>0</v>
      </c>
      <c r="E2127" s="17">
        <f t="shared" si="1"/>
        <v>1236</v>
      </c>
      <c r="F2127" s="17">
        <f t="shared" si="2"/>
        <v>0</v>
      </c>
    </row>
    <row r="2128">
      <c r="A2128" s="5" t="s">
        <v>55</v>
      </c>
      <c r="B2128" s="6">
        <v>941.0</v>
      </c>
      <c r="C2128" s="13" t="s">
        <v>337</v>
      </c>
      <c r="D2128" s="17">
        <f>SUMIFS(ShadowLedger!$D:$D,ShadowLedger!$G:$G,A2128,ShadowLedger!$C:$C,"&gt;="&amp;DATE(LEFT(SUBSTITUTE(C2128,"'",""),4),MID(SUBSTITUTE(C2128,"'",""),6,2),1),ShadowLedger!$C:$C,"&lt;"&amp;EOMONTH(DATE(LEFT(SUBSTITUTE(C2128,"'",""),4),MID(SUBSTITUTE(C2128,"'",""),6,2),1),0)+1)</f>
        <v>0</v>
      </c>
      <c r="E2128" s="17">
        <f t="shared" si="1"/>
        <v>941</v>
      </c>
      <c r="F2128" s="17">
        <f t="shared" si="2"/>
        <v>0</v>
      </c>
    </row>
    <row r="2129">
      <c r="A2129" s="5" t="s">
        <v>56</v>
      </c>
      <c r="B2129" s="6">
        <v>672.0</v>
      </c>
      <c r="C2129" s="13" t="s">
        <v>337</v>
      </c>
      <c r="D2129" s="17">
        <f>SUMIFS(ShadowLedger!$D:$D,ShadowLedger!$G:$G,A2129,ShadowLedger!$C:$C,"&gt;="&amp;DATE(LEFT(SUBSTITUTE(C2129,"'",""),4),MID(SUBSTITUTE(C2129,"'",""),6,2),1),ShadowLedger!$C:$C,"&lt;"&amp;EOMONTH(DATE(LEFT(SUBSTITUTE(C2129,"'",""),4),MID(SUBSTITUTE(C2129,"'",""),6,2),1),0)+1)</f>
        <v>0</v>
      </c>
      <c r="E2129" s="17">
        <f t="shared" si="1"/>
        <v>672</v>
      </c>
      <c r="F2129" s="17">
        <f t="shared" si="2"/>
        <v>0</v>
      </c>
    </row>
    <row r="2130">
      <c r="A2130" s="5" t="s">
        <v>57</v>
      </c>
      <c r="B2130" s="6">
        <v>672.0</v>
      </c>
      <c r="C2130" s="13" t="s">
        <v>337</v>
      </c>
      <c r="D2130" s="17">
        <f>SUMIFS(ShadowLedger!$D:$D,ShadowLedger!$G:$G,A2130,ShadowLedger!$C:$C,"&gt;="&amp;DATE(LEFT(SUBSTITUTE(C2130,"'",""),4),MID(SUBSTITUTE(C2130,"'",""),6,2),1),ShadowLedger!$C:$C,"&lt;"&amp;EOMONTH(DATE(LEFT(SUBSTITUTE(C2130,"'",""),4),MID(SUBSTITUTE(C2130,"'",""),6,2),1),0)+1)</f>
        <v>0</v>
      </c>
      <c r="E2130" s="17">
        <f t="shared" si="1"/>
        <v>672</v>
      </c>
      <c r="F2130" s="17">
        <f t="shared" si="2"/>
        <v>0</v>
      </c>
    </row>
    <row r="2131">
      <c r="A2131" s="5" t="s">
        <v>58</v>
      </c>
      <c r="B2131" s="6">
        <v>538.0</v>
      </c>
      <c r="C2131" s="13" t="s">
        <v>337</v>
      </c>
      <c r="D2131" s="17">
        <f>SUMIFS(ShadowLedger!$D:$D,ShadowLedger!$G:$G,A2131,ShadowLedger!$C:$C,"&gt;="&amp;DATE(LEFT(SUBSTITUTE(C2131,"'",""),4),MID(SUBSTITUTE(C2131,"'",""),6,2),1),ShadowLedger!$C:$C,"&lt;"&amp;EOMONTH(DATE(LEFT(SUBSTITUTE(C2131,"'",""),4),MID(SUBSTITUTE(C2131,"'",""),6,2),1),0)+1)</f>
        <v>0</v>
      </c>
      <c r="E2131" s="17">
        <f t="shared" si="1"/>
        <v>538</v>
      </c>
      <c r="F2131" s="17">
        <f t="shared" si="2"/>
        <v>0</v>
      </c>
    </row>
    <row r="2132">
      <c r="A2132" s="5" t="s">
        <v>59</v>
      </c>
      <c r="B2132" s="6">
        <v>269.0</v>
      </c>
      <c r="C2132" s="13" t="s">
        <v>337</v>
      </c>
      <c r="D2132" s="17">
        <f>SUMIFS(ShadowLedger!$D:$D,ShadowLedger!$G:$G,A2132,ShadowLedger!$C:$C,"&gt;="&amp;DATE(LEFT(SUBSTITUTE(C2132,"'",""),4),MID(SUBSTITUTE(C2132,"'",""),6,2),1),ShadowLedger!$C:$C,"&lt;"&amp;EOMONTH(DATE(LEFT(SUBSTITUTE(C2132,"'",""),4),MID(SUBSTITUTE(C2132,"'",""),6,2),1),0)+1)</f>
        <v>0</v>
      </c>
      <c r="E2132" s="17">
        <f t="shared" si="1"/>
        <v>269</v>
      </c>
      <c r="F2132" s="17">
        <f t="shared" si="2"/>
        <v>0</v>
      </c>
    </row>
    <row r="2133">
      <c r="A2133" s="5" t="s">
        <v>60</v>
      </c>
      <c r="B2133" s="6">
        <v>202.0</v>
      </c>
      <c r="C2133" s="13" t="s">
        <v>337</v>
      </c>
      <c r="D2133" s="17">
        <f>SUMIFS(ShadowLedger!$D:$D,ShadowLedger!$G:$G,A2133,ShadowLedger!$C:$C,"&gt;="&amp;DATE(LEFT(SUBSTITUTE(C2133,"'",""),4),MID(SUBSTITUTE(C2133,"'",""),6,2),1),ShadowLedger!$C:$C,"&lt;"&amp;EOMONTH(DATE(LEFT(SUBSTITUTE(C2133,"'",""),4),MID(SUBSTITUTE(C2133,"'",""),6,2),1),0)+1)</f>
        <v>0</v>
      </c>
      <c r="E2133" s="17">
        <f t="shared" si="1"/>
        <v>202</v>
      </c>
      <c r="F2133" s="17">
        <f t="shared" si="2"/>
        <v>0</v>
      </c>
    </row>
    <row r="2134">
      <c r="A2134" s="5" t="s">
        <v>61</v>
      </c>
      <c r="B2134" s="6">
        <v>161.0</v>
      </c>
      <c r="C2134" s="13" t="s">
        <v>337</v>
      </c>
      <c r="D2134" s="17">
        <f>SUMIFS(ShadowLedger!$D:$D,ShadowLedger!$G:$G,A2134,ShadowLedger!$C:$C,"&gt;="&amp;DATE(LEFT(SUBSTITUTE(C2134,"'",""),4),MID(SUBSTITUTE(C2134,"'",""),6,2),1),ShadowLedger!$C:$C,"&lt;"&amp;EOMONTH(DATE(LEFT(SUBSTITUTE(C2134,"'",""),4),MID(SUBSTITUTE(C2134,"'",""),6,2),1),0)+1)</f>
        <v>0</v>
      </c>
      <c r="E2134" s="17">
        <f t="shared" si="1"/>
        <v>161</v>
      </c>
      <c r="F2134" s="17">
        <f t="shared" si="2"/>
        <v>0</v>
      </c>
    </row>
    <row r="2135">
      <c r="A2135" s="5" t="s">
        <v>62</v>
      </c>
      <c r="B2135" s="6">
        <v>161.0</v>
      </c>
      <c r="C2135" s="13" t="s">
        <v>337</v>
      </c>
      <c r="D2135" s="17">
        <f>SUMIFS(ShadowLedger!$D:$D,ShadowLedger!$G:$G,A2135,ShadowLedger!$C:$C,"&gt;="&amp;DATE(LEFT(SUBSTITUTE(C2135,"'",""),4),MID(SUBSTITUTE(C2135,"'",""),6,2),1),ShadowLedger!$C:$C,"&lt;"&amp;EOMONTH(DATE(LEFT(SUBSTITUTE(C2135,"'",""),4),MID(SUBSTITUTE(C2135,"'",""),6,2),1),0)+1)</f>
        <v>0</v>
      </c>
      <c r="E2135" s="17">
        <f t="shared" si="1"/>
        <v>161</v>
      </c>
      <c r="F2135" s="17">
        <f t="shared" si="2"/>
        <v>0</v>
      </c>
    </row>
    <row r="2136">
      <c r="A2136" s="5" t="s">
        <v>63</v>
      </c>
      <c r="B2136" s="6">
        <v>134.0</v>
      </c>
      <c r="C2136" s="13" t="s">
        <v>337</v>
      </c>
      <c r="D2136" s="17">
        <f>SUMIFS(ShadowLedger!$D:$D,ShadowLedger!$G:$G,A2136,ShadowLedger!$C:$C,"&gt;="&amp;DATE(LEFT(SUBSTITUTE(C2136,"'",""),4),MID(SUBSTITUTE(C2136,"'",""),6,2),1),ShadowLedger!$C:$C,"&lt;"&amp;EOMONTH(DATE(LEFT(SUBSTITUTE(C2136,"'",""),4),MID(SUBSTITUTE(C2136,"'",""),6,2),1),0)+1)</f>
        <v>0</v>
      </c>
      <c r="E2136" s="17">
        <f t="shared" si="1"/>
        <v>134</v>
      </c>
      <c r="F2136" s="17">
        <f t="shared" si="2"/>
        <v>0</v>
      </c>
    </row>
    <row r="2137">
      <c r="A2137" s="5" t="s">
        <v>64</v>
      </c>
      <c r="B2137" s="6">
        <v>134.0</v>
      </c>
      <c r="C2137" s="13" t="s">
        <v>337</v>
      </c>
      <c r="D2137" s="17">
        <f>SUMIFS(ShadowLedger!$D:$D,ShadowLedger!$G:$G,A2137,ShadowLedger!$C:$C,"&gt;="&amp;DATE(LEFT(SUBSTITUTE(C2137,"'",""),4),MID(SUBSTITUTE(C2137,"'",""),6,2),1),ShadowLedger!$C:$C,"&lt;"&amp;EOMONTH(DATE(LEFT(SUBSTITUTE(C2137,"'",""),4),MID(SUBSTITUTE(C2137,"'",""),6,2),1),0)+1)</f>
        <v>0</v>
      </c>
      <c r="E2137" s="17">
        <f t="shared" si="1"/>
        <v>134</v>
      </c>
      <c r="F2137" s="17">
        <f t="shared" si="2"/>
        <v>0</v>
      </c>
    </row>
    <row r="2138">
      <c r="A2138" s="5" t="s">
        <v>70</v>
      </c>
      <c r="B2138" s="6">
        <v>134.0</v>
      </c>
      <c r="C2138" s="13" t="s">
        <v>337</v>
      </c>
      <c r="D2138" s="17">
        <f>SUMIFS(ShadowLedger!$D:$D,ShadowLedger!$G:$G,A2138,ShadowLedger!$C:$C,"&gt;="&amp;DATE(LEFT(SUBSTITUTE(C2138,"'",""),4),MID(SUBSTITUTE(C2138,"'",""),6,2),1),ShadowLedger!$C:$C,"&lt;"&amp;EOMONTH(DATE(LEFT(SUBSTITUTE(C2138,"'",""),4),MID(SUBSTITUTE(C2138,"'",""),6,2),1),0)+1)</f>
        <v>0</v>
      </c>
      <c r="E2138" s="17">
        <f t="shared" si="1"/>
        <v>134</v>
      </c>
      <c r="F2138" s="17">
        <f t="shared" si="2"/>
        <v>0</v>
      </c>
    </row>
    <row r="2139">
      <c r="A2139" s="5" t="s">
        <v>65</v>
      </c>
      <c r="B2139" s="6">
        <v>67.0</v>
      </c>
      <c r="C2139" s="13" t="s">
        <v>337</v>
      </c>
      <c r="D2139" s="17">
        <f>SUMIFS(ShadowLedger!$D:$D,ShadowLedger!$G:$G,A2139,ShadowLedger!$C:$C,"&gt;="&amp;DATE(LEFT(SUBSTITUTE(C2139,"'",""),4),MID(SUBSTITUTE(C2139,"'",""),6,2),1),ShadowLedger!$C:$C,"&lt;"&amp;EOMONTH(DATE(LEFT(SUBSTITUTE(C2139,"'",""),4),MID(SUBSTITUTE(C2139,"'",""),6,2),1),0)+1)</f>
        <v>0</v>
      </c>
      <c r="E2139" s="17">
        <f t="shared" si="1"/>
        <v>67</v>
      </c>
      <c r="F2139" s="17">
        <f t="shared" si="2"/>
        <v>0</v>
      </c>
    </row>
    <row r="2140">
      <c r="A2140" s="5" t="s">
        <v>66</v>
      </c>
      <c r="B2140" s="6">
        <v>67.0</v>
      </c>
      <c r="C2140" s="13" t="s">
        <v>337</v>
      </c>
      <c r="D2140" s="17">
        <f>SUMIFS(ShadowLedger!$D:$D,ShadowLedger!$G:$G,A2140,ShadowLedger!$C:$C,"&gt;="&amp;DATE(LEFT(SUBSTITUTE(C2140,"'",""),4),MID(SUBSTITUTE(C2140,"'",""),6,2),1),ShadowLedger!$C:$C,"&lt;"&amp;EOMONTH(DATE(LEFT(SUBSTITUTE(C2140,"'",""),4),MID(SUBSTITUTE(C2140,"'",""),6,2),1),0)+1)</f>
        <v>0</v>
      </c>
      <c r="E2140" s="17">
        <f t="shared" si="1"/>
        <v>67</v>
      </c>
      <c r="F2140" s="17">
        <f t="shared" si="2"/>
        <v>0</v>
      </c>
    </row>
    <row r="2141">
      <c r="A2141" s="5" t="s">
        <v>67</v>
      </c>
      <c r="B2141" s="6">
        <v>67.0</v>
      </c>
      <c r="C2141" s="13" t="s">
        <v>337</v>
      </c>
      <c r="D2141" s="17">
        <f>SUMIFS(ShadowLedger!$D:$D,ShadowLedger!$G:$G,A2141,ShadowLedger!$C:$C,"&gt;="&amp;DATE(LEFT(SUBSTITUTE(C2141,"'",""),4),MID(SUBSTITUTE(C2141,"'",""),6,2),1),ShadowLedger!$C:$C,"&lt;"&amp;EOMONTH(DATE(LEFT(SUBSTITUTE(C2141,"'",""),4),MID(SUBSTITUTE(C2141,"'",""),6,2),1),0)+1)</f>
        <v>0</v>
      </c>
      <c r="E2141" s="17">
        <f t="shared" si="1"/>
        <v>67</v>
      </c>
      <c r="F2141" s="17">
        <f t="shared" si="2"/>
        <v>0</v>
      </c>
    </row>
    <row r="2142">
      <c r="A2142" s="5" t="s">
        <v>68</v>
      </c>
      <c r="B2142" s="6">
        <v>67.0</v>
      </c>
      <c r="C2142" s="13" t="s">
        <v>337</v>
      </c>
      <c r="D2142" s="17">
        <f>SUMIFS(ShadowLedger!$D:$D,ShadowLedger!$G:$G,A2142,ShadowLedger!$C:$C,"&gt;="&amp;DATE(LEFT(SUBSTITUTE(C2142,"'",""),4),MID(SUBSTITUTE(C2142,"'",""),6,2),1),ShadowLedger!$C:$C,"&lt;"&amp;EOMONTH(DATE(LEFT(SUBSTITUTE(C2142,"'",""),4),MID(SUBSTITUTE(C2142,"'",""),6,2),1),0)+1)</f>
        <v>0</v>
      </c>
      <c r="E2142" s="17">
        <f t="shared" si="1"/>
        <v>67</v>
      </c>
      <c r="F2142" s="17">
        <f t="shared" si="2"/>
        <v>0</v>
      </c>
    </row>
    <row r="2143">
      <c r="A2143" s="5" t="s">
        <v>69</v>
      </c>
      <c r="B2143" s="6">
        <v>0.0</v>
      </c>
      <c r="C2143" s="13" t="s">
        <v>337</v>
      </c>
      <c r="D2143" s="17">
        <f>SUMIFS(ShadowLedger!$D:$D,ShadowLedger!$G:$G,A2143,ShadowLedger!$C:$C,"&gt;="&amp;DATE(LEFT(SUBSTITUTE(C2143,"'",""),4),MID(SUBSTITUTE(C2143,"'",""),6,2),1),ShadowLedger!$C:$C,"&lt;"&amp;EOMONTH(DATE(LEFT(SUBSTITUTE(C2143,"'",""),4),MID(SUBSTITUTE(C2143,"'",""),6,2),1),0)+1)</f>
        <v>0</v>
      </c>
      <c r="E2143" s="17">
        <f t="shared" si="1"/>
        <v>0</v>
      </c>
      <c r="F2143" s="17">
        <f t="shared" si="2"/>
        <v>0</v>
      </c>
    </row>
    <row r="2144">
      <c r="A2144" s="5" t="s">
        <v>54</v>
      </c>
      <c r="B2144" s="6">
        <v>1236.0</v>
      </c>
      <c r="C2144" s="13" t="s">
        <v>338</v>
      </c>
      <c r="D2144" s="17">
        <f>SUMIFS(ShadowLedger!$D:$D,ShadowLedger!$G:$G,A2144,ShadowLedger!$C:$C,"&gt;="&amp;DATE(LEFT(SUBSTITUTE(C2144,"'",""),4),MID(SUBSTITUTE(C2144,"'",""),6,2),1),ShadowLedger!$C:$C,"&lt;"&amp;EOMONTH(DATE(LEFT(SUBSTITUTE(C2144,"'",""),4),MID(SUBSTITUTE(C2144,"'",""),6,2),1),0)+1)</f>
        <v>0</v>
      </c>
      <c r="E2144" s="17">
        <f t="shared" si="1"/>
        <v>1236</v>
      </c>
      <c r="F2144" s="17">
        <f t="shared" si="2"/>
        <v>0</v>
      </c>
    </row>
    <row r="2145">
      <c r="A2145" s="5" t="s">
        <v>55</v>
      </c>
      <c r="B2145" s="6">
        <v>941.0</v>
      </c>
      <c r="C2145" s="13" t="s">
        <v>338</v>
      </c>
      <c r="D2145" s="17">
        <f>SUMIFS(ShadowLedger!$D:$D,ShadowLedger!$G:$G,A2145,ShadowLedger!$C:$C,"&gt;="&amp;DATE(LEFT(SUBSTITUTE(C2145,"'",""),4),MID(SUBSTITUTE(C2145,"'",""),6,2),1),ShadowLedger!$C:$C,"&lt;"&amp;EOMONTH(DATE(LEFT(SUBSTITUTE(C2145,"'",""),4),MID(SUBSTITUTE(C2145,"'",""),6,2),1),0)+1)</f>
        <v>0</v>
      </c>
      <c r="E2145" s="17">
        <f t="shared" si="1"/>
        <v>941</v>
      </c>
      <c r="F2145" s="17">
        <f t="shared" si="2"/>
        <v>0</v>
      </c>
    </row>
    <row r="2146">
      <c r="A2146" s="5" t="s">
        <v>56</v>
      </c>
      <c r="B2146" s="6">
        <v>672.0</v>
      </c>
      <c r="C2146" s="13" t="s">
        <v>338</v>
      </c>
      <c r="D2146" s="17">
        <f>SUMIFS(ShadowLedger!$D:$D,ShadowLedger!$G:$G,A2146,ShadowLedger!$C:$C,"&gt;="&amp;DATE(LEFT(SUBSTITUTE(C2146,"'",""),4),MID(SUBSTITUTE(C2146,"'",""),6,2),1),ShadowLedger!$C:$C,"&lt;"&amp;EOMONTH(DATE(LEFT(SUBSTITUTE(C2146,"'",""),4),MID(SUBSTITUTE(C2146,"'",""),6,2),1),0)+1)</f>
        <v>0</v>
      </c>
      <c r="E2146" s="17">
        <f t="shared" si="1"/>
        <v>672</v>
      </c>
      <c r="F2146" s="17">
        <f t="shared" si="2"/>
        <v>0</v>
      </c>
    </row>
    <row r="2147">
      <c r="A2147" s="5" t="s">
        <v>57</v>
      </c>
      <c r="B2147" s="6">
        <v>672.0</v>
      </c>
      <c r="C2147" s="13" t="s">
        <v>338</v>
      </c>
      <c r="D2147" s="17">
        <f>SUMIFS(ShadowLedger!$D:$D,ShadowLedger!$G:$G,A2147,ShadowLedger!$C:$C,"&gt;="&amp;DATE(LEFT(SUBSTITUTE(C2147,"'",""),4),MID(SUBSTITUTE(C2147,"'",""),6,2),1),ShadowLedger!$C:$C,"&lt;"&amp;EOMONTH(DATE(LEFT(SUBSTITUTE(C2147,"'",""),4),MID(SUBSTITUTE(C2147,"'",""),6,2),1),0)+1)</f>
        <v>0</v>
      </c>
      <c r="E2147" s="17">
        <f t="shared" si="1"/>
        <v>672</v>
      </c>
      <c r="F2147" s="17">
        <f t="shared" si="2"/>
        <v>0</v>
      </c>
    </row>
    <row r="2148">
      <c r="A2148" s="5" t="s">
        <v>58</v>
      </c>
      <c r="B2148" s="6">
        <v>538.0</v>
      </c>
      <c r="C2148" s="13" t="s">
        <v>338</v>
      </c>
      <c r="D2148" s="17">
        <f>SUMIFS(ShadowLedger!$D:$D,ShadowLedger!$G:$G,A2148,ShadowLedger!$C:$C,"&gt;="&amp;DATE(LEFT(SUBSTITUTE(C2148,"'",""),4),MID(SUBSTITUTE(C2148,"'",""),6,2),1),ShadowLedger!$C:$C,"&lt;"&amp;EOMONTH(DATE(LEFT(SUBSTITUTE(C2148,"'",""),4),MID(SUBSTITUTE(C2148,"'",""),6,2),1),0)+1)</f>
        <v>0</v>
      </c>
      <c r="E2148" s="17">
        <f t="shared" si="1"/>
        <v>538</v>
      </c>
      <c r="F2148" s="17">
        <f t="shared" si="2"/>
        <v>0</v>
      </c>
    </row>
    <row r="2149">
      <c r="A2149" s="5" t="s">
        <v>59</v>
      </c>
      <c r="B2149" s="6">
        <v>269.0</v>
      </c>
      <c r="C2149" s="13" t="s">
        <v>338</v>
      </c>
      <c r="D2149" s="17">
        <f>SUMIFS(ShadowLedger!$D:$D,ShadowLedger!$G:$G,A2149,ShadowLedger!$C:$C,"&gt;="&amp;DATE(LEFT(SUBSTITUTE(C2149,"'",""),4),MID(SUBSTITUTE(C2149,"'",""),6,2),1),ShadowLedger!$C:$C,"&lt;"&amp;EOMONTH(DATE(LEFT(SUBSTITUTE(C2149,"'",""),4),MID(SUBSTITUTE(C2149,"'",""),6,2),1),0)+1)</f>
        <v>0</v>
      </c>
      <c r="E2149" s="17">
        <f t="shared" si="1"/>
        <v>269</v>
      </c>
      <c r="F2149" s="17">
        <f t="shared" si="2"/>
        <v>0</v>
      </c>
    </row>
    <row r="2150">
      <c r="A2150" s="5" t="s">
        <v>60</v>
      </c>
      <c r="B2150" s="6">
        <v>202.0</v>
      </c>
      <c r="C2150" s="13" t="s">
        <v>338</v>
      </c>
      <c r="D2150" s="17">
        <f>SUMIFS(ShadowLedger!$D:$D,ShadowLedger!$G:$G,A2150,ShadowLedger!$C:$C,"&gt;="&amp;DATE(LEFT(SUBSTITUTE(C2150,"'",""),4),MID(SUBSTITUTE(C2150,"'",""),6,2),1),ShadowLedger!$C:$C,"&lt;"&amp;EOMONTH(DATE(LEFT(SUBSTITUTE(C2150,"'",""),4),MID(SUBSTITUTE(C2150,"'",""),6,2),1),0)+1)</f>
        <v>0</v>
      </c>
      <c r="E2150" s="17">
        <f t="shared" si="1"/>
        <v>202</v>
      </c>
      <c r="F2150" s="17">
        <f t="shared" si="2"/>
        <v>0</v>
      </c>
    </row>
    <row r="2151">
      <c r="A2151" s="5" t="s">
        <v>61</v>
      </c>
      <c r="B2151" s="6">
        <v>161.0</v>
      </c>
      <c r="C2151" s="13" t="s">
        <v>338</v>
      </c>
      <c r="D2151" s="17">
        <f>SUMIFS(ShadowLedger!$D:$D,ShadowLedger!$G:$G,A2151,ShadowLedger!$C:$C,"&gt;="&amp;DATE(LEFT(SUBSTITUTE(C2151,"'",""),4),MID(SUBSTITUTE(C2151,"'",""),6,2),1),ShadowLedger!$C:$C,"&lt;"&amp;EOMONTH(DATE(LEFT(SUBSTITUTE(C2151,"'",""),4),MID(SUBSTITUTE(C2151,"'",""),6,2),1),0)+1)</f>
        <v>0</v>
      </c>
      <c r="E2151" s="17">
        <f t="shared" si="1"/>
        <v>161</v>
      </c>
      <c r="F2151" s="17">
        <f t="shared" si="2"/>
        <v>0</v>
      </c>
    </row>
    <row r="2152">
      <c r="A2152" s="5" t="s">
        <v>62</v>
      </c>
      <c r="B2152" s="6">
        <v>161.0</v>
      </c>
      <c r="C2152" s="13" t="s">
        <v>338</v>
      </c>
      <c r="D2152" s="17">
        <f>SUMIFS(ShadowLedger!$D:$D,ShadowLedger!$G:$G,A2152,ShadowLedger!$C:$C,"&gt;="&amp;DATE(LEFT(SUBSTITUTE(C2152,"'",""),4),MID(SUBSTITUTE(C2152,"'",""),6,2),1),ShadowLedger!$C:$C,"&lt;"&amp;EOMONTH(DATE(LEFT(SUBSTITUTE(C2152,"'",""),4),MID(SUBSTITUTE(C2152,"'",""),6,2),1),0)+1)</f>
        <v>0</v>
      </c>
      <c r="E2152" s="17">
        <f t="shared" si="1"/>
        <v>161</v>
      </c>
      <c r="F2152" s="17">
        <f t="shared" si="2"/>
        <v>0</v>
      </c>
    </row>
    <row r="2153">
      <c r="A2153" s="5" t="s">
        <v>63</v>
      </c>
      <c r="B2153" s="6">
        <v>134.0</v>
      </c>
      <c r="C2153" s="13" t="s">
        <v>338</v>
      </c>
      <c r="D2153" s="17">
        <f>SUMIFS(ShadowLedger!$D:$D,ShadowLedger!$G:$G,A2153,ShadowLedger!$C:$C,"&gt;="&amp;DATE(LEFT(SUBSTITUTE(C2153,"'",""),4),MID(SUBSTITUTE(C2153,"'",""),6,2),1),ShadowLedger!$C:$C,"&lt;"&amp;EOMONTH(DATE(LEFT(SUBSTITUTE(C2153,"'",""),4),MID(SUBSTITUTE(C2153,"'",""),6,2),1),0)+1)</f>
        <v>0</v>
      </c>
      <c r="E2153" s="17">
        <f t="shared" si="1"/>
        <v>134</v>
      </c>
      <c r="F2153" s="17">
        <f t="shared" si="2"/>
        <v>0</v>
      </c>
    </row>
    <row r="2154">
      <c r="A2154" s="5" t="s">
        <v>64</v>
      </c>
      <c r="B2154" s="6">
        <v>134.0</v>
      </c>
      <c r="C2154" s="13" t="s">
        <v>338</v>
      </c>
      <c r="D2154" s="17">
        <f>SUMIFS(ShadowLedger!$D:$D,ShadowLedger!$G:$G,A2154,ShadowLedger!$C:$C,"&gt;="&amp;DATE(LEFT(SUBSTITUTE(C2154,"'",""),4),MID(SUBSTITUTE(C2154,"'",""),6,2),1),ShadowLedger!$C:$C,"&lt;"&amp;EOMONTH(DATE(LEFT(SUBSTITUTE(C2154,"'",""),4),MID(SUBSTITUTE(C2154,"'",""),6,2),1),0)+1)</f>
        <v>0</v>
      </c>
      <c r="E2154" s="17">
        <f t="shared" si="1"/>
        <v>134</v>
      </c>
      <c r="F2154" s="17">
        <f t="shared" si="2"/>
        <v>0</v>
      </c>
    </row>
    <row r="2155">
      <c r="A2155" s="5" t="s">
        <v>70</v>
      </c>
      <c r="B2155" s="6">
        <v>134.0</v>
      </c>
      <c r="C2155" s="13" t="s">
        <v>338</v>
      </c>
      <c r="D2155" s="17">
        <f>SUMIFS(ShadowLedger!$D:$D,ShadowLedger!$G:$G,A2155,ShadowLedger!$C:$C,"&gt;="&amp;DATE(LEFT(SUBSTITUTE(C2155,"'",""),4),MID(SUBSTITUTE(C2155,"'",""),6,2),1),ShadowLedger!$C:$C,"&lt;"&amp;EOMONTH(DATE(LEFT(SUBSTITUTE(C2155,"'",""),4),MID(SUBSTITUTE(C2155,"'",""),6,2),1),0)+1)</f>
        <v>0</v>
      </c>
      <c r="E2155" s="17">
        <f t="shared" si="1"/>
        <v>134</v>
      </c>
      <c r="F2155" s="17">
        <f t="shared" si="2"/>
        <v>0</v>
      </c>
    </row>
    <row r="2156">
      <c r="A2156" s="5" t="s">
        <v>65</v>
      </c>
      <c r="B2156" s="6">
        <v>67.0</v>
      </c>
      <c r="C2156" s="13" t="s">
        <v>338</v>
      </c>
      <c r="D2156" s="17">
        <f>SUMIFS(ShadowLedger!$D:$D,ShadowLedger!$G:$G,A2156,ShadowLedger!$C:$C,"&gt;="&amp;DATE(LEFT(SUBSTITUTE(C2156,"'",""),4),MID(SUBSTITUTE(C2156,"'",""),6,2),1),ShadowLedger!$C:$C,"&lt;"&amp;EOMONTH(DATE(LEFT(SUBSTITUTE(C2156,"'",""),4),MID(SUBSTITUTE(C2156,"'",""),6,2),1),0)+1)</f>
        <v>0</v>
      </c>
      <c r="E2156" s="17">
        <f t="shared" si="1"/>
        <v>67</v>
      </c>
      <c r="F2156" s="17">
        <f t="shared" si="2"/>
        <v>0</v>
      </c>
    </row>
    <row r="2157">
      <c r="A2157" s="5" t="s">
        <v>66</v>
      </c>
      <c r="B2157" s="6">
        <v>67.0</v>
      </c>
      <c r="C2157" s="13" t="s">
        <v>338</v>
      </c>
      <c r="D2157" s="17">
        <f>SUMIFS(ShadowLedger!$D:$D,ShadowLedger!$G:$G,A2157,ShadowLedger!$C:$C,"&gt;="&amp;DATE(LEFT(SUBSTITUTE(C2157,"'",""),4),MID(SUBSTITUTE(C2157,"'",""),6,2),1),ShadowLedger!$C:$C,"&lt;"&amp;EOMONTH(DATE(LEFT(SUBSTITUTE(C2157,"'",""),4),MID(SUBSTITUTE(C2157,"'",""),6,2),1),0)+1)</f>
        <v>0</v>
      </c>
      <c r="E2157" s="17">
        <f t="shared" si="1"/>
        <v>67</v>
      </c>
      <c r="F2157" s="17">
        <f t="shared" si="2"/>
        <v>0</v>
      </c>
    </row>
    <row r="2158">
      <c r="A2158" s="5" t="s">
        <v>67</v>
      </c>
      <c r="B2158" s="6">
        <v>67.0</v>
      </c>
      <c r="C2158" s="13" t="s">
        <v>338</v>
      </c>
      <c r="D2158" s="17">
        <f>SUMIFS(ShadowLedger!$D:$D,ShadowLedger!$G:$G,A2158,ShadowLedger!$C:$C,"&gt;="&amp;DATE(LEFT(SUBSTITUTE(C2158,"'",""),4),MID(SUBSTITUTE(C2158,"'",""),6,2),1),ShadowLedger!$C:$C,"&lt;"&amp;EOMONTH(DATE(LEFT(SUBSTITUTE(C2158,"'",""),4),MID(SUBSTITUTE(C2158,"'",""),6,2),1),0)+1)</f>
        <v>0</v>
      </c>
      <c r="E2158" s="17">
        <f t="shared" si="1"/>
        <v>67</v>
      </c>
      <c r="F2158" s="17">
        <f t="shared" si="2"/>
        <v>0</v>
      </c>
    </row>
    <row r="2159">
      <c r="A2159" s="5" t="s">
        <v>68</v>
      </c>
      <c r="B2159" s="6">
        <v>67.0</v>
      </c>
      <c r="C2159" s="13" t="s">
        <v>338</v>
      </c>
      <c r="D2159" s="17">
        <f>SUMIFS(ShadowLedger!$D:$D,ShadowLedger!$G:$G,A2159,ShadowLedger!$C:$C,"&gt;="&amp;DATE(LEFT(SUBSTITUTE(C2159,"'",""),4),MID(SUBSTITUTE(C2159,"'",""),6,2),1),ShadowLedger!$C:$C,"&lt;"&amp;EOMONTH(DATE(LEFT(SUBSTITUTE(C2159,"'",""),4),MID(SUBSTITUTE(C2159,"'",""),6,2),1),0)+1)</f>
        <v>0</v>
      </c>
      <c r="E2159" s="17">
        <f t="shared" si="1"/>
        <v>67</v>
      </c>
      <c r="F2159" s="17">
        <f t="shared" si="2"/>
        <v>0</v>
      </c>
    </row>
    <row r="2160">
      <c r="A2160" s="5" t="s">
        <v>69</v>
      </c>
      <c r="B2160" s="6">
        <v>0.0</v>
      </c>
      <c r="C2160" s="13" t="s">
        <v>338</v>
      </c>
      <c r="D2160" s="17">
        <f>SUMIFS(ShadowLedger!$D:$D,ShadowLedger!$G:$G,A2160,ShadowLedger!$C:$C,"&gt;="&amp;DATE(LEFT(SUBSTITUTE(C2160,"'",""),4),MID(SUBSTITUTE(C2160,"'",""),6,2),1),ShadowLedger!$C:$C,"&lt;"&amp;EOMONTH(DATE(LEFT(SUBSTITUTE(C2160,"'",""),4),MID(SUBSTITUTE(C2160,"'",""),6,2),1),0)+1)</f>
        <v>0</v>
      </c>
      <c r="E2160" s="17">
        <f t="shared" si="1"/>
        <v>0</v>
      </c>
      <c r="F2160" s="17">
        <f t="shared" si="2"/>
        <v>0</v>
      </c>
    </row>
    <row r="2161">
      <c r="A2161" s="5" t="s">
        <v>54</v>
      </c>
      <c r="B2161" s="6">
        <v>1236.0</v>
      </c>
      <c r="C2161" s="13" t="s">
        <v>339</v>
      </c>
      <c r="D2161" s="17">
        <f>SUMIFS(ShadowLedger!$D:$D,ShadowLedger!$G:$G,A2161,ShadowLedger!$C:$C,"&gt;="&amp;DATE(LEFT(SUBSTITUTE(C2161,"'",""),4),MID(SUBSTITUTE(C2161,"'",""),6,2),1),ShadowLedger!$C:$C,"&lt;"&amp;EOMONTH(DATE(LEFT(SUBSTITUTE(C2161,"'",""),4),MID(SUBSTITUTE(C2161,"'",""),6,2),1),0)+1)</f>
        <v>0</v>
      </c>
      <c r="E2161" s="17">
        <f t="shared" si="1"/>
        <v>1236</v>
      </c>
      <c r="F2161" s="17">
        <f t="shared" si="2"/>
        <v>0</v>
      </c>
    </row>
    <row r="2162">
      <c r="A2162" s="5" t="s">
        <v>55</v>
      </c>
      <c r="B2162" s="6">
        <v>941.0</v>
      </c>
      <c r="C2162" s="13" t="s">
        <v>339</v>
      </c>
      <c r="D2162" s="17">
        <f>SUMIFS(ShadowLedger!$D:$D,ShadowLedger!$G:$G,A2162,ShadowLedger!$C:$C,"&gt;="&amp;DATE(LEFT(SUBSTITUTE(C2162,"'",""),4),MID(SUBSTITUTE(C2162,"'",""),6,2),1),ShadowLedger!$C:$C,"&lt;"&amp;EOMONTH(DATE(LEFT(SUBSTITUTE(C2162,"'",""),4),MID(SUBSTITUTE(C2162,"'",""),6,2),1),0)+1)</f>
        <v>0</v>
      </c>
      <c r="E2162" s="17">
        <f t="shared" si="1"/>
        <v>941</v>
      </c>
      <c r="F2162" s="17">
        <f t="shared" si="2"/>
        <v>0</v>
      </c>
    </row>
    <row r="2163">
      <c r="A2163" s="5" t="s">
        <v>56</v>
      </c>
      <c r="B2163" s="6">
        <v>672.0</v>
      </c>
      <c r="C2163" s="13" t="s">
        <v>339</v>
      </c>
      <c r="D2163" s="17">
        <f>SUMIFS(ShadowLedger!$D:$D,ShadowLedger!$G:$G,A2163,ShadowLedger!$C:$C,"&gt;="&amp;DATE(LEFT(SUBSTITUTE(C2163,"'",""),4),MID(SUBSTITUTE(C2163,"'",""),6,2),1),ShadowLedger!$C:$C,"&lt;"&amp;EOMONTH(DATE(LEFT(SUBSTITUTE(C2163,"'",""),4),MID(SUBSTITUTE(C2163,"'",""),6,2),1),0)+1)</f>
        <v>0</v>
      </c>
      <c r="E2163" s="17">
        <f t="shared" si="1"/>
        <v>672</v>
      </c>
      <c r="F2163" s="17">
        <f t="shared" si="2"/>
        <v>0</v>
      </c>
    </row>
    <row r="2164">
      <c r="A2164" s="5" t="s">
        <v>57</v>
      </c>
      <c r="B2164" s="6">
        <v>672.0</v>
      </c>
      <c r="C2164" s="13" t="s">
        <v>339</v>
      </c>
      <c r="D2164" s="17">
        <f>SUMIFS(ShadowLedger!$D:$D,ShadowLedger!$G:$G,A2164,ShadowLedger!$C:$C,"&gt;="&amp;DATE(LEFT(SUBSTITUTE(C2164,"'",""),4),MID(SUBSTITUTE(C2164,"'",""),6,2),1),ShadowLedger!$C:$C,"&lt;"&amp;EOMONTH(DATE(LEFT(SUBSTITUTE(C2164,"'",""),4),MID(SUBSTITUTE(C2164,"'",""),6,2),1),0)+1)</f>
        <v>0</v>
      </c>
      <c r="E2164" s="17">
        <f t="shared" si="1"/>
        <v>672</v>
      </c>
      <c r="F2164" s="17">
        <f t="shared" si="2"/>
        <v>0</v>
      </c>
    </row>
    <row r="2165">
      <c r="A2165" s="5" t="s">
        <v>58</v>
      </c>
      <c r="B2165" s="6">
        <v>538.0</v>
      </c>
      <c r="C2165" s="13" t="s">
        <v>339</v>
      </c>
      <c r="D2165" s="17">
        <f>SUMIFS(ShadowLedger!$D:$D,ShadowLedger!$G:$G,A2165,ShadowLedger!$C:$C,"&gt;="&amp;DATE(LEFT(SUBSTITUTE(C2165,"'",""),4),MID(SUBSTITUTE(C2165,"'",""),6,2),1),ShadowLedger!$C:$C,"&lt;"&amp;EOMONTH(DATE(LEFT(SUBSTITUTE(C2165,"'",""),4),MID(SUBSTITUTE(C2165,"'",""),6,2),1),0)+1)</f>
        <v>0</v>
      </c>
      <c r="E2165" s="17">
        <f t="shared" si="1"/>
        <v>538</v>
      </c>
      <c r="F2165" s="17">
        <f t="shared" si="2"/>
        <v>0</v>
      </c>
    </row>
    <row r="2166">
      <c r="A2166" s="5" t="s">
        <v>59</v>
      </c>
      <c r="B2166" s="6">
        <v>269.0</v>
      </c>
      <c r="C2166" s="13" t="s">
        <v>339</v>
      </c>
      <c r="D2166" s="17">
        <f>SUMIFS(ShadowLedger!$D:$D,ShadowLedger!$G:$G,A2166,ShadowLedger!$C:$C,"&gt;="&amp;DATE(LEFT(SUBSTITUTE(C2166,"'",""),4),MID(SUBSTITUTE(C2166,"'",""),6,2),1),ShadowLedger!$C:$C,"&lt;"&amp;EOMONTH(DATE(LEFT(SUBSTITUTE(C2166,"'",""),4),MID(SUBSTITUTE(C2166,"'",""),6,2),1),0)+1)</f>
        <v>0</v>
      </c>
      <c r="E2166" s="17">
        <f t="shared" si="1"/>
        <v>269</v>
      </c>
      <c r="F2166" s="17">
        <f t="shared" si="2"/>
        <v>0</v>
      </c>
    </row>
    <row r="2167">
      <c r="A2167" s="5" t="s">
        <v>60</v>
      </c>
      <c r="B2167" s="6">
        <v>202.0</v>
      </c>
      <c r="C2167" s="13" t="s">
        <v>339</v>
      </c>
      <c r="D2167" s="17">
        <f>SUMIFS(ShadowLedger!$D:$D,ShadowLedger!$G:$G,A2167,ShadowLedger!$C:$C,"&gt;="&amp;DATE(LEFT(SUBSTITUTE(C2167,"'",""),4),MID(SUBSTITUTE(C2167,"'",""),6,2),1),ShadowLedger!$C:$C,"&lt;"&amp;EOMONTH(DATE(LEFT(SUBSTITUTE(C2167,"'",""),4),MID(SUBSTITUTE(C2167,"'",""),6,2),1),0)+1)</f>
        <v>0</v>
      </c>
      <c r="E2167" s="17">
        <f t="shared" si="1"/>
        <v>202</v>
      </c>
      <c r="F2167" s="17">
        <f t="shared" si="2"/>
        <v>0</v>
      </c>
    </row>
    <row r="2168">
      <c r="A2168" s="5" t="s">
        <v>61</v>
      </c>
      <c r="B2168" s="6">
        <v>161.0</v>
      </c>
      <c r="C2168" s="13" t="s">
        <v>339</v>
      </c>
      <c r="D2168" s="17">
        <f>SUMIFS(ShadowLedger!$D:$D,ShadowLedger!$G:$G,A2168,ShadowLedger!$C:$C,"&gt;="&amp;DATE(LEFT(SUBSTITUTE(C2168,"'",""),4),MID(SUBSTITUTE(C2168,"'",""),6,2),1),ShadowLedger!$C:$C,"&lt;"&amp;EOMONTH(DATE(LEFT(SUBSTITUTE(C2168,"'",""),4),MID(SUBSTITUTE(C2168,"'",""),6,2),1),0)+1)</f>
        <v>0</v>
      </c>
      <c r="E2168" s="17">
        <f t="shared" si="1"/>
        <v>161</v>
      </c>
      <c r="F2168" s="17">
        <f t="shared" si="2"/>
        <v>0</v>
      </c>
    </row>
    <row r="2169">
      <c r="A2169" s="5" t="s">
        <v>62</v>
      </c>
      <c r="B2169" s="6">
        <v>161.0</v>
      </c>
      <c r="C2169" s="13" t="s">
        <v>339</v>
      </c>
      <c r="D2169" s="17">
        <f>SUMIFS(ShadowLedger!$D:$D,ShadowLedger!$G:$G,A2169,ShadowLedger!$C:$C,"&gt;="&amp;DATE(LEFT(SUBSTITUTE(C2169,"'",""),4),MID(SUBSTITUTE(C2169,"'",""),6,2),1),ShadowLedger!$C:$C,"&lt;"&amp;EOMONTH(DATE(LEFT(SUBSTITUTE(C2169,"'",""),4),MID(SUBSTITUTE(C2169,"'",""),6,2),1),0)+1)</f>
        <v>0</v>
      </c>
      <c r="E2169" s="17">
        <f t="shared" si="1"/>
        <v>161</v>
      </c>
      <c r="F2169" s="17">
        <f t="shared" si="2"/>
        <v>0</v>
      </c>
    </row>
    <row r="2170">
      <c r="A2170" s="5" t="s">
        <v>63</v>
      </c>
      <c r="B2170" s="6">
        <v>134.0</v>
      </c>
      <c r="C2170" s="13" t="s">
        <v>339</v>
      </c>
      <c r="D2170" s="17">
        <f>SUMIFS(ShadowLedger!$D:$D,ShadowLedger!$G:$G,A2170,ShadowLedger!$C:$C,"&gt;="&amp;DATE(LEFT(SUBSTITUTE(C2170,"'",""),4),MID(SUBSTITUTE(C2170,"'",""),6,2),1),ShadowLedger!$C:$C,"&lt;"&amp;EOMONTH(DATE(LEFT(SUBSTITUTE(C2170,"'",""),4),MID(SUBSTITUTE(C2170,"'",""),6,2),1),0)+1)</f>
        <v>0</v>
      </c>
      <c r="E2170" s="17">
        <f t="shared" si="1"/>
        <v>134</v>
      </c>
      <c r="F2170" s="17">
        <f t="shared" si="2"/>
        <v>0</v>
      </c>
    </row>
    <row r="2171">
      <c r="A2171" s="5" t="s">
        <v>64</v>
      </c>
      <c r="B2171" s="6">
        <v>134.0</v>
      </c>
      <c r="C2171" s="13" t="s">
        <v>339</v>
      </c>
      <c r="D2171" s="17">
        <f>SUMIFS(ShadowLedger!$D:$D,ShadowLedger!$G:$G,A2171,ShadowLedger!$C:$C,"&gt;="&amp;DATE(LEFT(SUBSTITUTE(C2171,"'",""),4),MID(SUBSTITUTE(C2171,"'",""),6,2),1),ShadowLedger!$C:$C,"&lt;"&amp;EOMONTH(DATE(LEFT(SUBSTITUTE(C2171,"'",""),4),MID(SUBSTITUTE(C2171,"'",""),6,2),1),0)+1)</f>
        <v>0</v>
      </c>
      <c r="E2171" s="17">
        <f t="shared" si="1"/>
        <v>134</v>
      </c>
      <c r="F2171" s="17">
        <f t="shared" si="2"/>
        <v>0</v>
      </c>
    </row>
    <row r="2172">
      <c r="A2172" s="5" t="s">
        <v>70</v>
      </c>
      <c r="B2172" s="6">
        <v>134.0</v>
      </c>
      <c r="C2172" s="13" t="s">
        <v>339</v>
      </c>
      <c r="D2172" s="17">
        <f>SUMIFS(ShadowLedger!$D:$D,ShadowLedger!$G:$G,A2172,ShadowLedger!$C:$C,"&gt;="&amp;DATE(LEFT(SUBSTITUTE(C2172,"'",""),4),MID(SUBSTITUTE(C2172,"'",""),6,2),1),ShadowLedger!$C:$C,"&lt;"&amp;EOMONTH(DATE(LEFT(SUBSTITUTE(C2172,"'",""),4),MID(SUBSTITUTE(C2172,"'",""),6,2),1),0)+1)</f>
        <v>0</v>
      </c>
      <c r="E2172" s="17">
        <f t="shared" si="1"/>
        <v>134</v>
      </c>
      <c r="F2172" s="17">
        <f t="shared" si="2"/>
        <v>0</v>
      </c>
    </row>
    <row r="2173">
      <c r="A2173" s="5" t="s">
        <v>65</v>
      </c>
      <c r="B2173" s="6">
        <v>67.0</v>
      </c>
      <c r="C2173" s="13" t="s">
        <v>339</v>
      </c>
      <c r="D2173" s="17">
        <f>SUMIFS(ShadowLedger!$D:$D,ShadowLedger!$G:$G,A2173,ShadowLedger!$C:$C,"&gt;="&amp;DATE(LEFT(SUBSTITUTE(C2173,"'",""),4),MID(SUBSTITUTE(C2173,"'",""),6,2),1),ShadowLedger!$C:$C,"&lt;"&amp;EOMONTH(DATE(LEFT(SUBSTITUTE(C2173,"'",""),4),MID(SUBSTITUTE(C2173,"'",""),6,2),1),0)+1)</f>
        <v>0</v>
      </c>
      <c r="E2173" s="17">
        <f t="shared" si="1"/>
        <v>67</v>
      </c>
      <c r="F2173" s="17">
        <f t="shared" si="2"/>
        <v>0</v>
      </c>
    </row>
    <row r="2174">
      <c r="A2174" s="5" t="s">
        <v>66</v>
      </c>
      <c r="B2174" s="6">
        <v>67.0</v>
      </c>
      <c r="C2174" s="13" t="s">
        <v>339</v>
      </c>
      <c r="D2174" s="17">
        <f>SUMIFS(ShadowLedger!$D:$D,ShadowLedger!$G:$G,A2174,ShadowLedger!$C:$C,"&gt;="&amp;DATE(LEFT(SUBSTITUTE(C2174,"'",""),4),MID(SUBSTITUTE(C2174,"'",""),6,2),1),ShadowLedger!$C:$C,"&lt;"&amp;EOMONTH(DATE(LEFT(SUBSTITUTE(C2174,"'",""),4),MID(SUBSTITUTE(C2174,"'",""),6,2),1),0)+1)</f>
        <v>0</v>
      </c>
      <c r="E2174" s="17">
        <f t="shared" si="1"/>
        <v>67</v>
      </c>
      <c r="F2174" s="17">
        <f t="shared" si="2"/>
        <v>0</v>
      </c>
    </row>
    <row r="2175">
      <c r="A2175" s="5" t="s">
        <v>67</v>
      </c>
      <c r="B2175" s="6">
        <v>67.0</v>
      </c>
      <c r="C2175" s="13" t="s">
        <v>339</v>
      </c>
      <c r="D2175" s="17">
        <f>SUMIFS(ShadowLedger!$D:$D,ShadowLedger!$G:$G,A2175,ShadowLedger!$C:$C,"&gt;="&amp;DATE(LEFT(SUBSTITUTE(C2175,"'",""),4),MID(SUBSTITUTE(C2175,"'",""),6,2),1),ShadowLedger!$C:$C,"&lt;"&amp;EOMONTH(DATE(LEFT(SUBSTITUTE(C2175,"'",""),4),MID(SUBSTITUTE(C2175,"'",""),6,2),1),0)+1)</f>
        <v>0</v>
      </c>
      <c r="E2175" s="17">
        <f t="shared" si="1"/>
        <v>67</v>
      </c>
      <c r="F2175" s="17">
        <f t="shared" si="2"/>
        <v>0</v>
      </c>
    </row>
    <row r="2176">
      <c r="A2176" s="5" t="s">
        <v>68</v>
      </c>
      <c r="B2176" s="6">
        <v>67.0</v>
      </c>
      <c r="C2176" s="13" t="s">
        <v>339</v>
      </c>
      <c r="D2176" s="17">
        <f>SUMIFS(ShadowLedger!$D:$D,ShadowLedger!$G:$G,A2176,ShadowLedger!$C:$C,"&gt;="&amp;DATE(LEFT(SUBSTITUTE(C2176,"'",""),4),MID(SUBSTITUTE(C2176,"'",""),6,2),1),ShadowLedger!$C:$C,"&lt;"&amp;EOMONTH(DATE(LEFT(SUBSTITUTE(C2176,"'",""),4),MID(SUBSTITUTE(C2176,"'",""),6,2),1),0)+1)</f>
        <v>0</v>
      </c>
      <c r="E2176" s="17">
        <f t="shared" si="1"/>
        <v>67</v>
      </c>
      <c r="F2176" s="17">
        <f t="shared" si="2"/>
        <v>0</v>
      </c>
    </row>
    <row r="2177">
      <c r="A2177" s="5" t="s">
        <v>69</v>
      </c>
      <c r="B2177" s="6">
        <v>0.0</v>
      </c>
      <c r="C2177" s="13" t="s">
        <v>339</v>
      </c>
      <c r="D2177" s="17">
        <f>SUMIFS(ShadowLedger!$D:$D,ShadowLedger!$G:$G,A2177,ShadowLedger!$C:$C,"&gt;="&amp;DATE(LEFT(SUBSTITUTE(C2177,"'",""),4),MID(SUBSTITUTE(C2177,"'",""),6,2),1),ShadowLedger!$C:$C,"&lt;"&amp;EOMONTH(DATE(LEFT(SUBSTITUTE(C2177,"'",""),4),MID(SUBSTITUTE(C2177,"'",""),6,2),1),0)+1)</f>
        <v>0</v>
      </c>
      <c r="E2177" s="17">
        <f t="shared" si="1"/>
        <v>0</v>
      </c>
      <c r="F2177" s="17">
        <f t="shared" si="2"/>
        <v>0</v>
      </c>
    </row>
    <row r="2178">
      <c r="A2178" s="5" t="s">
        <v>54</v>
      </c>
      <c r="B2178" s="6">
        <v>1236.0</v>
      </c>
      <c r="C2178" s="13" t="s">
        <v>340</v>
      </c>
      <c r="D2178" s="17">
        <f>SUMIFS(ShadowLedger!$D:$D,ShadowLedger!$G:$G,A2178,ShadowLedger!$C:$C,"&gt;="&amp;DATE(LEFT(SUBSTITUTE(C2178,"'",""),4),MID(SUBSTITUTE(C2178,"'",""),6,2),1),ShadowLedger!$C:$C,"&lt;"&amp;EOMONTH(DATE(LEFT(SUBSTITUTE(C2178,"'",""),4),MID(SUBSTITUTE(C2178,"'",""),6,2),1),0)+1)</f>
        <v>0</v>
      </c>
      <c r="E2178" s="17">
        <f t="shared" si="1"/>
        <v>1236</v>
      </c>
      <c r="F2178" s="17">
        <f t="shared" si="2"/>
        <v>0</v>
      </c>
    </row>
    <row r="2179">
      <c r="A2179" s="5" t="s">
        <v>55</v>
      </c>
      <c r="B2179" s="6">
        <v>941.0</v>
      </c>
      <c r="C2179" s="13" t="s">
        <v>340</v>
      </c>
      <c r="D2179" s="17">
        <f>SUMIFS(ShadowLedger!$D:$D,ShadowLedger!$G:$G,A2179,ShadowLedger!$C:$C,"&gt;="&amp;DATE(LEFT(SUBSTITUTE(C2179,"'",""),4),MID(SUBSTITUTE(C2179,"'",""),6,2),1),ShadowLedger!$C:$C,"&lt;"&amp;EOMONTH(DATE(LEFT(SUBSTITUTE(C2179,"'",""),4),MID(SUBSTITUTE(C2179,"'",""),6,2),1),0)+1)</f>
        <v>0</v>
      </c>
      <c r="E2179" s="17">
        <f t="shared" si="1"/>
        <v>941</v>
      </c>
      <c r="F2179" s="17">
        <f t="shared" si="2"/>
        <v>0</v>
      </c>
    </row>
    <row r="2180">
      <c r="A2180" s="5" t="s">
        <v>56</v>
      </c>
      <c r="B2180" s="6">
        <v>672.0</v>
      </c>
      <c r="C2180" s="13" t="s">
        <v>340</v>
      </c>
      <c r="D2180" s="17">
        <f>SUMIFS(ShadowLedger!$D:$D,ShadowLedger!$G:$G,A2180,ShadowLedger!$C:$C,"&gt;="&amp;DATE(LEFT(SUBSTITUTE(C2180,"'",""),4),MID(SUBSTITUTE(C2180,"'",""),6,2),1),ShadowLedger!$C:$C,"&lt;"&amp;EOMONTH(DATE(LEFT(SUBSTITUTE(C2180,"'",""),4),MID(SUBSTITUTE(C2180,"'",""),6,2),1),0)+1)</f>
        <v>0</v>
      </c>
      <c r="E2180" s="17">
        <f t="shared" si="1"/>
        <v>672</v>
      </c>
      <c r="F2180" s="17">
        <f t="shared" si="2"/>
        <v>0</v>
      </c>
    </row>
    <row r="2181">
      <c r="A2181" s="5" t="s">
        <v>57</v>
      </c>
      <c r="B2181" s="6">
        <v>672.0</v>
      </c>
      <c r="C2181" s="13" t="s">
        <v>340</v>
      </c>
      <c r="D2181" s="17">
        <f>SUMIFS(ShadowLedger!$D:$D,ShadowLedger!$G:$G,A2181,ShadowLedger!$C:$C,"&gt;="&amp;DATE(LEFT(SUBSTITUTE(C2181,"'",""),4),MID(SUBSTITUTE(C2181,"'",""),6,2),1),ShadowLedger!$C:$C,"&lt;"&amp;EOMONTH(DATE(LEFT(SUBSTITUTE(C2181,"'",""),4),MID(SUBSTITUTE(C2181,"'",""),6,2),1),0)+1)</f>
        <v>0</v>
      </c>
      <c r="E2181" s="17">
        <f t="shared" si="1"/>
        <v>672</v>
      </c>
      <c r="F2181" s="17">
        <f t="shared" si="2"/>
        <v>0</v>
      </c>
    </row>
    <row r="2182">
      <c r="A2182" s="5" t="s">
        <v>58</v>
      </c>
      <c r="B2182" s="6">
        <v>538.0</v>
      </c>
      <c r="C2182" s="13" t="s">
        <v>340</v>
      </c>
      <c r="D2182" s="17">
        <f>SUMIFS(ShadowLedger!$D:$D,ShadowLedger!$G:$G,A2182,ShadowLedger!$C:$C,"&gt;="&amp;DATE(LEFT(SUBSTITUTE(C2182,"'",""),4),MID(SUBSTITUTE(C2182,"'",""),6,2),1),ShadowLedger!$C:$C,"&lt;"&amp;EOMONTH(DATE(LEFT(SUBSTITUTE(C2182,"'",""),4),MID(SUBSTITUTE(C2182,"'",""),6,2),1),0)+1)</f>
        <v>0</v>
      </c>
      <c r="E2182" s="17">
        <f t="shared" si="1"/>
        <v>538</v>
      </c>
      <c r="F2182" s="17">
        <f t="shared" si="2"/>
        <v>0</v>
      </c>
    </row>
    <row r="2183">
      <c r="A2183" s="5" t="s">
        <v>59</v>
      </c>
      <c r="B2183" s="6">
        <v>269.0</v>
      </c>
      <c r="C2183" s="13" t="s">
        <v>340</v>
      </c>
      <c r="D2183" s="17">
        <f>SUMIFS(ShadowLedger!$D:$D,ShadowLedger!$G:$G,A2183,ShadowLedger!$C:$C,"&gt;="&amp;DATE(LEFT(SUBSTITUTE(C2183,"'",""),4),MID(SUBSTITUTE(C2183,"'",""),6,2),1),ShadowLedger!$C:$C,"&lt;"&amp;EOMONTH(DATE(LEFT(SUBSTITUTE(C2183,"'",""),4),MID(SUBSTITUTE(C2183,"'",""),6,2),1),0)+1)</f>
        <v>0</v>
      </c>
      <c r="E2183" s="17">
        <f t="shared" si="1"/>
        <v>269</v>
      </c>
      <c r="F2183" s="17">
        <f t="shared" si="2"/>
        <v>0</v>
      </c>
    </row>
    <row r="2184">
      <c r="A2184" s="5" t="s">
        <v>60</v>
      </c>
      <c r="B2184" s="6">
        <v>202.0</v>
      </c>
      <c r="C2184" s="13" t="s">
        <v>340</v>
      </c>
      <c r="D2184" s="17">
        <f>SUMIFS(ShadowLedger!$D:$D,ShadowLedger!$G:$G,A2184,ShadowLedger!$C:$C,"&gt;="&amp;DATE(LEFT(SUBSTITUTE(C2184,"'",""),4),MID(SUBSTITUTE(C2184,"'",""),6,2),1),ShadowLedger!$C:$C,"&lt;"&amp;EOMONTH(DATE(LEFT(SUBSTITUTE(C2184,"'",""),4),MID(SUBSTITUTE(C2184,"'",""),6,2),1),0)+1)</f>
        <v>0</v>
      </c>
      <c r="E2184" s="17">
        <f t="shared" si="1"/>
        <v>202</v>
      </c>
      <c r="F2184" s="17">
        <f t="shared" si="2"/>
        <v>0</v>
      </c>
    </row>
    <row r="2185">
      <c r="A2185" s="5" t="s">
        <v>61</v>
      </c>
      <c r="B2185" s="6">
        <v>161.0</v>
      </c>
      <c r="C2185" s="13" t="s">
        <v>340</v>
      </c>
      <c r="D2185" s="17">
        <f>SUMIFS(ShadowLedger!$D:$D,ShadowLedger!$G:$G,A2185,ShadowLedger!$C:$C,"&gt;="&amp;DATE(LEFT(SUBSTITUTE(C2185,"'",""),4),MID(SUBSTITUTE(C2185,"'",""),6,2),1),ShadowLedger!$C:$C,"&lt;"&amp;EOMONTH(DATE(LEFT(SUBSTITUTE(C2185,"'",""),4),MID(SUBSTITUTE(C2185,"'",""),6,2),1),0)+1)</f>
        <v>0</v>
      </c>
      <c r="E2185" s="17">
        <f t="shared" si="1"/>
        <v>161</v>
      </c>
      <c r="F2185" s="17">
        <f t="shared" si="2"/>
        <v>0</v>
      </c>
    </row>
    <row r="2186">
      <c r="A2186" s="5" t="s">
        <v>62</v>
      </c>
      <c r="B2186" s="6">
        <v>161.0</v>
      </c>
      <c r="C2186" s="13" t="s">
        <v>340</v>
      </c>
      <c r="D2186" s="17">
        <f>SUMIFS(ShadowLedger!$D:$D,ShadowLedger!$G:$G,A2186,ShadowLedger!$C:$C,"&gt;="&amp;DATE(LEFT(SUBSTITUTE(C2186,"'",""),4),MID(SUBSTITUTE(C2186,"'",""),6,2),1),ShadowLedger!$C:$C,"&lt;"&amp;EOMONTH(DATE(LEFT(SUBSTITUTE(C2186,"'",""),4),MID(SUBSTITUTE(C2186,"'",""),6,2),1),0)+1)</f>
        <v>0</v>
      </c>
      <c r="E2186" s="17">
        <f t="shared" si="1"/>
        <v>161</v>
      </c>
      <c r="F2186" s="17">
        <f t="shared" si="2"/>
        <v>0</v>
      </c>
    </row>
    <row r="2187">
      <c r="A2187" s="5" t="s">
        <v>63</v>
      </c>
      <c r="B2187" s="6">
        <v>134.0</v>
      </c>
      <c r="C2187" s="13" t="s">
        <v>340</v>
      </c>
      <c r="D2187" s="17">
        <f>SUMIFS(ShadowLedger!$D:$D,ShadowLedger!$G:$G,A2187,ShadowLedger!$C:$C,"&gt;="&amp;DATE(LEFT(SUBSTITUTE(C2187,"'",""),4),MID(SUBSTITUTE(C2187,"'",""),6,2),1),ShadowLedger!$C:$C,"&lt;"&amp;EOMONTH(DATE(LEFT(SUBSTITUTE(C2187,"'",""),4),MID(SUBSTITUTE(C2187,"'",""),6,2),1),0)+1)</f>
        <v>0</v>
      </c>
      <c r="E2187" s="17">
        <f t="shared" si="1"/>
        <v>134</v>
      </c>
      <c r="F2187" s="17">
        <f t="shared" si="2"/>
        <v>0</v>
      </c>
    </row>
    <row r="2188">
      <c r="A2188" s="5" t="s">
        <v>64</v>
      </c>
      <c r="B2188" s="6">
        <v>134.0</v>
      </c>
      <c r="C2188" s="13" t="s">
        <v>340</v>
      </c>
      <c r="D2188" s="17">
        <f>SUMIFS(ShadowLedger!$D:$D,ShadowLedger!$G:$G,A2188,ShadowLedger!$C:$C,"&gt;="&amp;DATE(LEFT(SUBSTITUTE(C2188,"'",""),4),MID(SUBSTITUTE(C2188,"'",""),6,2),1),ShadowLedger!$C:$C,"&lt;"&amp;EOMONTH(DATE(LEFT(SUBSTITUTE(C2188,"'",""),4),MID(SUBSTITUTE(C2188,"'",""),6,2),1),0)+1)</f>
        <v>0</v>
      </c>
      <c r="E2188" s="17">
        <f t="shared" si="1"/>
        <v>134</v>
      </c>
      <c r="F2188" s="17">
        <f t="shared" si="2"/>
        <v>0</v>
      </c>
    </row>
    <row r="2189">
      <c r="A2189" s="5" t="s">
        <v>70</v>
      </c>
      <c r="B2189" s="6">
        <v>134.0</v>
      </c>
      <c r="C2189" s="13" t="s">
        <v>340</v>
      </c>
      <c r="D2189" s="17">
        <f>SUMIFS(ShadowLedger!$D:$D,ShadowLedger!$G:$G,A2189,ShadowLedger!$C:$C,"&gt;="&amp;DATE(LEFT(SUBSTITUTE(C2189,"'",""),4),MID(SUBSTITUTE(C2189,"'",""),6,2),1),ShadowLedger!$C:$C,"&lt;"&amp;EOMONTH(DATE(LEFT(SUBSTITUTE(C2189,"'",""),4),MID(SUBSTITUTE(C2189,"'",""),6,2),1),0)+1)</f>
        <v>0</v>
      </c>
      <c r="E2189" s="17">
        <f t="shared" si="1"/>
        <v>134</v>
      </c>
      <c r="F2189" s="17">
        <f t="shared" si="2"/>
        <v>0</v>
      </c>
    </row>
    <row r="2190">
      <c r="A2190" s="5" t="s">
        <v>65</v>
      </c>
      <c r="B2190" s="6">
        <v>67.0</v>
      </c>
      <c r="C2190" s="13" t="s">
        <v>340</v>
      </c>
      <c r="D2190" s="17">
        <f>SUMIFS(ShadowLedger!$D:$D,ShadowLedger!$G:$G,A2190,ShadowLedger!$C:$C,"&gt;="&amp;DATE(LEFT(SUBSTITUTE(C2190,"'",""),4),MID(SUBSTITUTE(C2190,"'",""),6,2),1),ShadowLedger!$C:$C,"&lt;"&amp;EOMONTH(DATE(LEFT(SUBSTITUTE(C2190,"'",""),4),MID(SUBSTITUTE(C2190,"'",""),6,2),1),0)+1)</f>
        <v>0</v>
      </c>
      <c r="E2190" s="17">
        <f t="shared" si="1"/>
        <v>67</v>
      </c>
      <c r="F2190" s="17">
        <f t="shared" si="2"/>
        <v>0</v>
      </c>
    </row>
    <row r="2191">
      <c r="A2191" s="5" t="s">
        <v>66</v>
      </c>
      <c r="B2191" s="6">
        <v>67.0</v>
      </c>
      <c r="C2191" s="13" t="s">
        <v>340</v>
      </c>
      <c r="D2191" s="17">
        <f>SUMIFS(ShadowLedger!$D:$D,ShadowLedger!$G:$G,A2191,ShadowLedger!$C:$C,"&gt;="&amp;DATE(LEFT(SUBSTITUTE(C2191,"'",""),4),MID(SUBSTITUTE(C2191,"'",""),6,2),1),ShadowLedger!$C:$C,"&lt;"&amp;EOMONTH(DATE(LEFT(SUBSTITUTE(C2191,"'",""),4),MID(SUBSTITUTE(C2191,"'",""),6,2),1),0)+1)</f>
        <v>0</v>
      </c>
      <c r="E2191" s="17">
        <f t="shared" si="1"/>
        <v>67</v>
      </c>
      <c r="F2191" s="17">
        <f t="shared" si="2"/>
        <v>0</v>
      </c>
    </row>
    <row r="2192">
      <c r="A2192" s="5" t="s">
        <v>67</v>
      </c>
      <c r="B2192" s="6">
        <v>67.0</v>
      </c>
      <c r="C2192" s="13" t="s">
        <v>340</v>
      </c>
      <c r="D2192" s="17">
        <f>SUMIFS(ShadowLedger!$D:$D,ShadowLedger!$G:$G,A2192,ShadowLedger!$C:$C,"&gt;="&amp;DATE(LEFT(SUBSTITUTE(C2192,"'",""),4),MID(SUBSTITUTE(C2192,"'",""),6,2),1),ShadowLedger!$C:$C,"&lt;"&amp;EOMONTH(DATE(LEFT(SUBSTITUTE(C2192,"'",""),4),MID(SUBSTITUTE(C2192,"'",""),6,2),1),0)+1)</f>
        <v>0</v>
      </c>
      <c r="E2192" s="17">
        <f t="shared" si="1"/>
        <v>67</v>
      </c>
      <c r="F2192" s="17">
        <f t="shared" si="2"/>
        <v>0</v>
      </c>
    </row>
    <row r="2193">
      <c r="A2193" s="5" t="s">
        <v>68</v>
      </c>
      <c r="B2193" s="6">
        <v>67.0</v>
      </c>
      <c r="C2193" s="13" t="s">
        <v>340</v>
      </c>
      <c r="D2193" s="17">
        <f>SUMIFS(ShadowLedger!$D:$D,ShadowLedger!$G:$G,A2193,ShadowLedger!$C:$C,"&gt;="&amp;DATE(LEFT(SUBSTITUTE(C2193,"'",""),4),MID(SUBSTITUTE(C2193,"'",""),6,2),1),ShadowLedger!$C:$C,"&lt;"&amp;EOMONTH(DATE(LEFT(SUBSTITUTE(C2193,"'",""),4),MID(SUBSTITUTE(C2193,"'",""),6,2),1),0)+1)</f>
        <v>0</v>
      </c>
      <c r="E2193" s="17">
        <f t="shared" si="1"/>
        <v>67</v>
      </c>
      <c r="F2193" s="17">
        <f t="shared" si="2"/>
        <v>0</v>
      </c>
    </row>
    <row r="2194">
      <c r="A2194" s="5" t="s">
        <v>69</v>
      </c>
      <c r="B2194" s="6">
        <v>0.0</v>
      </c>
      <c r="C2194" s="13" t="s">
        <v>340</v>
      </c>
      <c r="D2194" s="17">
        <f>SUMIFS(ShadowLedger!$D:$D,ShadowLedger!$G:$G,A2194,ShadowLedger!$C:$C,"&gt;="&amp;DATE(LEFT(SUBSTITUTE(C2194,"'",""),4),MID(SUBSTITUTE(C2194,"'",""),6,2),1),ShadowLedger!$C:$C,"&lt;"&amp;EOMONTH(DATE(LEFT(SUBSTITUTE(C2194,"'",""),4),MID(SUBSTITUTE(C2194,"'",""),6,2),1),0)+1)</f>
        <v>0</v>
      </c>
      <c r="E2194" s="17">
        <f t="shared" si="1"/>
        <v>0</v>
      </c>
      <c r="F2194" s="17">
        <f t="shared" si="2"/>
        <v>0</v>
      </c>
    </row>
    <row r="2195">
      <c r="A2195" s="5" t="s">
        <v>54</v>
      </c>
      <c r="B2195" s="6">
        <v>1236.0</v>
      </c>
      <c r="C2195" s="13" t="s">
        <v>341</v>
      </c>
      <c r="D2195" s="17">
        <f>SUMIFS(ShadowLedger!$D:$D,ShadowLedger!$G:$G,A2195,ShadowLedger!$C:$C,"&gt;="&amp;DATE(LEFT(SUBSTITUTE(C2195,"'",""),4),MID(SUBSTITUTE(C2195,"'",""),6,2),1),ShadowLedger!$C:$C,"&lt;"&amp;EOMONTH(DATE(LEFT(SUBSTITUTE(C2195,"'",""),4),MID(SUBSTITUTE(C2195,"'",""),6,2),1),0)+1)</f>
        <v>0</v>
      </c>
      <c r="E2195" s="17">
        <f t="shared" si="1"/>
        <v>1236</v>
      </c>
      <c r="F2195" s="17">
        <f t="shared" si="2"/>
        <v>0</v>
      </c>
    </row>
    <row r="2196">
      <c r="A2196" s="5" t="s">
        <v>55</v>
      </c>
      <c r="B2196" s="6">
        <v>941.0</v>
      </c>
      <c r="C2196" s="13" t="s">
        <v>341</v>
      </c>
      <c r="D2196" s="17">
        <f>SUMIFS(ShadowLedger!$D:$D,ShadowLedger!$G:$G,A2196,ShadowLedger!$C:$C,"&gt;="&amp;DATE(LEFT(SUBSTITUTE(C2196,"'",""),4),MID(SUBSTITUTE(C2196,"'",""),6,2),1),ShadowLedger!$C:$C,"&lt;"&amp;EOMONTH(DATE(LEFT(SUBSTITUTE(C2196,"'",""),4),MID(SUBSTITUTE(C2196,"'",""),6,2),1),0)+1)</f>
        <v>0</v>
      </c>
      <c r="E2196" s="17">
        <f t="shared" si="1"/>
        <v>941</v>
      </c>
      <c r="F2196" s="17">
        <f t="shared" si="2"/>
        <v>0</v>
      </c>
    </row>
    <row r="2197">
      <c r="A2197" s="5" t="s">
        <v>56</v>
      </c>
      <c r="B2197" s="6">
        <v>672.0</v>
      </c>
      <c r="C2197" s="13" t="s">
        <v>341</v>
      </c>
      <c r="D2197" s="17">
        <f>SUMIFS(ShadowLedger!$D:$D,ShadowLedger!$G:$G,A2197,ShadowLedger!$C:$C,"&gt;="&amp;DATE(LEFT(SUBSTITUTE(C2197,"'",""),4),MID(SUBSTITUTE(C2197,"'",""),6,2),1),ShadowLedger!$C:$C,"&lt;"&amp;EOMONTH(DATE(LEFT(SUBSTITUTE(C2197,"'",""),4),MID(SUBSTITUTE(C2197,"'",""),6,2),1),0)+1)</f>
        <v>0</v>
      </c>
      <c r="E2197" s="17">
        <f t="shared" si="1"/>
        <v>672</v>
      </c>
      <c r="F2197" s="17">
        <f t="shared" si="2"/>
        <v>0</v>
      </c>
    </row>
    <row r="2198">
      <c r="A2198" s="5" t="s">
        <v>57</v>
      </c>
      <c r="B2198" s="6">
        <v>672.0</v>
      </c>
      <c r="C2198" s="13" t="s">
        <v>341</v>
      </c>
      <c r="D2198" s="17">
        <f>SUMIFS(ShadowLedger!$D:$D,ShadowLedger!$G:$G,A2198,ShadowLedger!$C:$C,"&gt;="&amp;DATE(LEFT(SUBSTITUTE(C2198,"'",""),4),MID(SUBSTITUTE(C2198,"'",""),6,2),1),ShadowLedger!$C:$C,"&lt;"&amp;EOMONTH(DATE(LEFT(SUBSTITUTE(C2198,"'",""),4),MID(SUBSTITUTE(C2198,"'",""),6,2),1),0)+1)</f>
        <v>0</v>
      </c>
      <c r="E2198" s="17">
        <f t="shared" si="1"/>
        <v>672</v>
      </c>
      <c r="F2198" s="17">
        <f t="shared" si="2"/>
        <v>0</v>
      </c>
    </row>
    <row r="2199">
      <c r="A2199" s="5" t="s">
        <v>58</v>
      </c>
      <c r="B2199" s="6">
        <v>538.0</v>
      </c>
      <c r="C2199" s="13" t="s">
        <v>341</v>
      </c>
      <c r="D2199" s="17">
        <f>SUMIFS(ShadowLedger!$D:$D,ShadowLedger!$G:$G,A2199,ShadowLedger!$C:$C,"&gt;="&amp;DATE(LEFT(SUBSTITUTE(C2199,"'",""),4),MID(SUBSTITUTE(C2199,"'",""),6,2),1),ShadowLedger!$C:$C,"&lt;"&amp;EOMONTH(DATE(LEFT(SUBSTITUTE(C2199,"'",""),4),MID(SUBSTITUTE(C2199,"'",""),6,2),1),0)+1)</f>
        <v>0</v>
      </c>
      <c r="E2199" s="17">
        <f t="shared" si="1"/>
        <v>538</v>
      </c>
      <c r="F2199" s="17">
        <f t="shared" si="2"/>
        <v>0</v>
      </c>
    </row>
    <row r="2200">
      <c r="A2200" s="5" t="s">
        <v>59</v>
      </c>
      <c r="B2200" s="6">
        <v>269.0</v>
      </c>
      <c r="C2200" s="13" t="s">
        <v>341</v>
      </c>
      <c r="D2200" s="17">
        <f>SUMIFS(ShadowLedger!$D:$D,ShadowLedger!$G:$G,A2200,ShadowLedger!$C:$C,"&gt;="&amp;DATE(LEFT(SUBSTITUTE(C2200,"'",""),4),MID(SUBSTITUTE(C2200,"'",""),6,2),1),ShadowLedger!$C:$C,"&lt;"&amp;EOMONTH(DATE(LEFT(SUBSTITUTE(C2200,"'",""),4),MID(SUBSTITUTE(C2200,"'",""),6,2),1),0)+1)</f>
        <v>0</v>
      </c>
      <c r="E2200" s="17">
        <f t="shared" si="1"/>
        <v>269</v>
      </c>
      <c r="F2200" s="17">
        <f t="shared" si="2"/>
        <v>0</v>
      </c>
    </row>
    <row r="2201">
      <c r="A2201" s="5" t="s">
        <v>60</v>
      </c>
      <c r="B2201" s="6">
        <v>202.0</v>
      </c>
      <c r="C2201" s="13" t="s">
        <v>341</v>
      </c>
      <c r="D2201" s="17">
        <f>SUMIFS(ShadowLedger!$D:$D,ShadowLedger!$G:$G,A2201,ShadowLedger!$C:$C,"&gt;="&amp;DATE(LEFT(SUBSTITUTE(C2201,"'",""),4),MID(SUBSTITUTE(C2201,"'",""),6,2),1),ShadowLedger!$C:$C,"&lt;"&amp;EOMONTH(DATE(LEFT(SUBSTITUTE(C2201,"'",""),4),MID(SUBSTITUTE(C2201,"'",""),6,2),1),0)+1)</f>
        <v>0</v>
      </c>
      <c r="E2201" s="17">
        <f t="shared" si="1"/>
        <v>202</v>
      </c>
      <c r="F2201" s="17">
        <f t="shared" si="2"/>
        <v>0</v>
      </c>
    </row>
    <row r="2202">
      <c r="A2202" s="5" t="s">
        <v>61</v>
      </c>
      <c r="B2202" s="6">
        <v>161.0</v>
      </c>
      <c r="C2202" s="13" t="s">
        <v>341</v>
      </c>
      <c r="D2202" s="17">
        <f>SUMIFS(ShadowLedger!$D:$D,ShadowLedger!$G:$G,A2202,ShadowLedger!$C:$C,"&gt;="&amp;DATE(LEFT(SUBSTITUTE(C2202,"'",""),4),MID(SUBSTITUTE(C2202,"'",""),6,2),1),ShadowLedger!$C:$C,"&lt;"&amp;EOMONTH(DATE(LEFT(SUBSTITUTE(C2202,"'",""),4),MID(SUBSTITUTE(C2202,"'",""),6,2),1),0)+1)</f>
        <v>0</v>
      </c>
      <c r="E2202" s="17">
        <f t="shared" si="1"/>
        <v>161</v>
      </c>
      <c r="F2202" s="17">
        <f t="shared" si="2"/>
        <v>0</v>
      </c>
    </row>
    <row r="2203">
      <c r="A2203" s="5" t="s">
        <v>62</v>
      </c>
      <c r="B2203" s="6">
        <v>161.0</v>
      </c>
      <c r="C2203" s="13" t="s">
        <v>341</v>
      </c>
      <c r="D2203" s="17">
        <f>SUMIFS(ShadowLedger!$D:$D,ShadowLedger!$G:$G,A2203,ShadowLedger!$C:$C,"&gt;="&amp;DATE(LEFT(SUBSTITUTE(C2203,"'",""),4),MID(SUBSTITUTE(C2203,"'",""),6,2),1),ShadowLedger!$C:$C,"&lt;"&amp;EOMONTH(DATE(LEFT(SUBSTITUTE(C2203,"'",""),4),MID(SUBSTITUTE(C2203,"'",""),6,2),1),0)+1)</f>
        <v>0</v>
      </c>
      <c r="E2203" s="17">
        <f t="shared" si="1"/>
        <v>161</v>
      </c>
      <c r="F2203" s="17">
        <f t="shared" si="2"/>
        <v>0</v>
      </c>
    </row>
    <row r="2204">
      <c r="A2204" s="5" t="s">
        <v>63</v>
      </c>
      <c r="B2204" s="6">
        <v>134.0</v>
      </c>
      <c r="C2204" s="13" t="s">
        <v>341</v>
      </c>
      <c r="D2204" s="17">
        <f>SUMIFS(ShadowLedger!$D:$D,ShadowLedger!$G:$G,A2204,ShadowLedger!$C:$C,"&gt;="&amp;DATE(LEFT(SUBSTITUTE(C2204,"'",""),4),MID(SUBSTITUTE(C2204,"'",""),6,2),1),ShadowLedger!$C:$C,"&lt;"&amp;EOMONTH(DATE(LEFT(SUBSTITUTE(C2204,"'",""),4),MID(SUBSTITUTE(C2204,"'",""),6,2),1),0)+1)</f>
        <v>0</v>
      </c>
      <c r="E2204" s="17">
        <f t="shared" si="1"/>
        <v>134</v>
      </c>
      <c r="F2204" s="17">
        <f t="shared" si="2"/>
        <v>0</v>
      </c>
    </row>
    <row r="2205">
      <c r="A2205" s="5" t="s">
        <v>64</v>
      </c>
      <c r="B2205" s="6">
        <v>134.0</v>
      </c>
      <c r="C2205" s="13" t="s">
        <v>341</v>
      </c>
      <c r="D2205" s="17">
        <f>SUMIFS(ShadowLedger!$D:$D,ShadowLedger!$G:$G,A2205,ShadowLedger!$C:$C,"&gt;="&amp;DATE(LEFT(SUBSTITUTE(C2205,"'",""),4),MID(SUBSTITUTE(C2205,"'",""),6,2),1),ShadowLedger!$C:$C,"&lt;"&amp;EOMONTH(DATE(LEFT(SUBSTITUTE(C2205,"'",""),4),MID(SUBSTITUTE(C2205,"'",""),6,2),1),0)+1)</f>
        <v>0</v>
      </c>
      <c r="E2205" s="17">
        <f t="shared" si="1"/>
        <v>134</v>
      </c>
      <c r="F2205" s="17">
        <f t="shared" si="2"/>
        <v>0</v>
      </c>
    </row>
    <row r="2206">
      <c r="A2206" s="5" t="s">
        <v>70</v>
      </c>
      <c r="B2206" s="6">
        <v>134.0</v>
      </c>
      <c r="C2206" s="13" t="s">
        <v>341</v>
      </c>
      <c r="D2206" s="17">
        <f>SUMIFS(ShadowLedger!$D:$D,ShadowLedger!$G:$G,A2206,ShadowLedger!$C:$C,"&gt;="&amp;DATE(LEFT(SUBSTITUTE(C2206,"'",""),4),MID(SUBSTITUTE(C2206,"'",""),6,2),1),ShadowLedger!$C:$C,"&lt;"&amp;EOMONTH(DATE(LEFT(SUBSTITUTE(C2206,"'",""),4),MID(SUBSTITUTE(C2206,"'",""),6,2),1),0)+1)</f>
        <v>0</v>
      </c>
      <c r="E2206" s="17">
        <f t="shared" si="1"/>
        <v>134</v>
      </c>
      <c r="F2206" s="17">
        <f t="shared" si="2"/>
        <v>0</v>
      </c>
    </row>
    <row r="2207">
      <c r="A2207" s="5" t="s">
        <v>65</v>
      </c>
      <c r="B2207" s="6">
        <v>67.0</v>
      </c>
      <c r="C2207" s="13" t="s">
        <v>341</v>
      </c>
      <c r="D2207" s="17">
        <f>SUMIFS(ShadowLedger!$D:$D,ShadowLedger!$G:$G,A2207,ShadowLedger!$C:$C,"&gt;="&amp;DATE(LEFT(SUBSTITUTE(C2207,"'",""),4),MID(SUBSTITUTE(C2207,"'",""),6,2),1),ShadowLedger!$C:$C,"&lt;"&amp;EOMONTH(DATE(LEFT(SUBSTITUTE(C2207,"'",""),4),MID(SUBSTITUTE(C2207,"'",""),6,2),1),0)+1)</f>
        <v>0</v>
      </c>
      <c r="E2207" s="17">
        <f t="shared" si="1"/>
        <v>67</v>
      </c>
      <c r="F2207" s="17">
        <f t="shared" si="2"/>
        <v>0</v>
      </c>
    </row>
    <row r="2208">
      <c r="A2208" s="5" t="s">
        <v>66</v>
      </c>
      <c r="B2208" s="6">
        <v>67.0</v>
      </c>
      <c r="C2208" s="13" t="s">
        <v>341</v>
      </c>
      <c r="D2208" s="17">
        <f>SUMIFS(ShadowLedger!$D:$D,ShadowLedger!$G:$G,A2208,ShadowLedger!$C:$C,"&gt;="&amp;DATE(LEFT(SUBSTITUTE(C2208,"'",""),4),MID(SUBSTITUTE(C2208,"'",""),6,2),1),ShadowLedger!$C:$C,"&lt;"&amp;EOMONTH(DATE(LEFT(SUBSTITUTE(C2208,"'",""),4),MID(SUBSTITUTE(C2208,"'",""),6,2),1),0)+1)</f>
        <v>0</v>
      </c>
      <c r="E2208" s="17">
        <f t="shared" si="1"/>
        <v>67</v>
      </c>
      <c r="F2208" s="17">
        <f t="shared" si="2"/>
        <v>0</v>
      </c>
    </row>
    <row r="2209">
      <c r="A2209" s="5" t="s">
        <v>67</v>
      </c>
      <c r="B2209" s="6">
        <v>67.0</v>
      </c>
      <c r="C2209" s="13" t="s">
        <v>341</v>
      </c>
      <c r="D2209" s="17">
        <f>SUMIFS(ShadowLedger!$D:$D,ShadowLedger!$G:$G,A2209,ShadowLedger!$C:$C,"&gt;="&amp;DATE(LEFT(SUBSTITUTE(C2209,"'",""),4),MID(SUBSTITUTE(C2209,"'",""),6,2),1),ShadowLedger!$C:$C,"&lt;"&amp;EOMONTH(DATE(LEFT(SUBSTITUTE(C2209,"'",""),4),MID(SUBSTITUTE(C2209,"'",""),6,2),1),0)+1)</f>
        <v>0</v>
      </c>
      <c r="E2209" s="17">
        <f t="shared" si="1"/>
        <v>67</v>
      </c>
      <c r="F2209" s="17">
        <f t="shared" si="2"/>
        <v>0</v>
      </c>
    </row>
    <row r="2210">
      <c r="A2210" s="5" t="s">
        <v>68</v>
      </c>
      <c r="B2210" s="6">
        <v>67.0</v>
      </c>
      <c r="C2210" s="13" t="s">
        <v>341</v>
      </c>
      <c r="D2210" s="17">
        <f>SUMIFS(ShadowLedger!$D:$D,ShadowLedger!$G:$G,A2210,ShadowLedger!$C:$C,"&gt;="&amp;DATE(LEFT(SUBSTITUTE(C2210,"'",""),4),MID(SUBSTITUTE(C2210,"'",""),6,2),1),ShadowLedger!$C:$C,"&lt;"&amp;EOMONTH(DATE(LEFT(SUBSTITUTE(C2210,"'",""),4),MID(SUBSTITUTE(C2210,"'",""),6,2),1),0)+1)</f>
        <v>0</v>
      </c>
      <c r="E2210" s="17">
        <f t="shared" si="1"/>
        <v>67</v>
      </c>
      <c r="F2210" s="17">
        <f t="shared" si="2"/>
        <v>0</v>
      </c>
    </row>
    <row r="2211">
      <c r="A2211" s="5" t="s">
        <v>69</v>
      </c>
      <c r="B2211" s="6">
        <v>0.0</v>
      </c>
      <c r="C2211" s="13" t="s">
        <v>341</v>
      </c>
      <c r="D2211" s="17">
        <f>SUMIFS(ShadowLedger!$D:$D,ShadowLedger!$G:$G,A2211,ShadowLedger!$C:$C,"&gt;="&amp;DATE(LEFT(SUBSTITUTE(C2211,"'",""),4),MID(SUBSTITUTE(C2211,"'",""),6,2),1),ShadowLedger!$C:$C,"&lt;"&amp;EOMONTH(DATE(LEFT(SUBSTITUTE(C2211,"'",""),4),MID(SUBSTITUTE(C2211,"'",""),6,2),1),0)+1)</f>
        <v>0</v>
      </c>
      <c r="E2211" s="17">
        <f t="shared" si="1"/>
        <v>0</v>
      </c>
      <c r="F2211" s="17">
        <f t="shared" si="2"/>
        <v>0</v>
      </c>
    </row>
    <row r="2212">
      <c r="A2212" s="5" t="s">
        <v>54</v>
      </c>
      <c r="B2212" s="6">
        <v>1236.0</v>
      </c>
      <c r="C2212" s="13" t="s">
        <v>342</v>
      </c>
      <c r="D2212" s="17">
        <f>SUMIFS(ShadowLedger!$D:$D,ShadowLedger!$G:$G,A2212,ShadowLedger!$C:$C,"&gt;="&amp;DATE(LEFT(SUBSTITUTE(C2212,"'",""),4),MID(SUBSTITUTE(C2212,"'",""),6,2),1),ShadowLedger!$C:$C,"&lt;"&amp;EOMONTH(DATE(LEFT(SUBSTITUTE(C2212,"'",""),4),MID(SUBSTITUTE(C2212,"'",""),6,2),1),0)+1)</f>
        <v>0</v>
      </c>
      <c r="E2212" s="17">
        <f t="shared" si="1"/>
        <v>1236</v>
      </c>
      <c r="F2212" s="17">
        <f t="shared" si="2"/>
        <v>0</v>
      </c>
    </row>
    <row r="2213">
      <c r="A2213" s="5" t="s">
        <v>55</v>
      </c>
      <c r="B2213" s="6">
        <v>941.0</v>
      </c>
      <c r="C2213" s="13" t="s">
        <v>342</v>
      </c>
      <c r="D2213" s="17">
        <f>SUMIFS(ShadowLedger!$D:$D,ShadowLedger!$G:$G,A2213,ShadowLedger!$C:$C,"&gt;="&amp;DATE(LEFT(SUBSTITUTE(C2213,"'",""),4),MID(SUBSTITUTE(C2213,"'",""),6,2),1),ShadowLedger!$C:$C,"&lt;"&amp;EOMONTH(DATE(LEFT(SUBSTITUTE(C2213,"'",""),4),MID(SUBSTITUTE(C2213,"'",""),6,2),1),0)+1)</f>
        <v>0</v>
      </c>
      <c r="E2213" s="17">
        <f t="shared" si="1"/>
        <v>941</v>
      </c>
      <c r="F2213" s="17">
        <f t="shared" si="2"/>
        <v>0</v>
      </c>
    </row>
    <row r="2214">
      <c r="A2214" s="5" t="s">
        <v>56</v>
      </c>
      <c r="B2214" s="6">
        <v>672.0</v>
      </c>
      <c r="C2214" s="13" t="s">
        <v>342</v>
      </c>
      <c r="D2214" s="17">
        <f>SUMIFS(ShadowLedger!$D:$D,ShadowLedger!$G:$G,A2214,ShadowLedger!$C:$C,"&gt;="&amp;DATE(LEFT(SUBSTITUTE(C2214,"'",""),4),MID(SUBSTITUTE(C2214,"'",""),6,2),1),ShadowLedger!$C:$C,"&lt;"&amp;EOMONTH(DATE(LEFT(SUBSTITUTE(C2214,"'",""),4),MID(SUBSTITUTE(C2214,"'",""),6,2),1),0)+1)</f>
        <v>0</v>
      </c>
      <c r="E2214" s="17">
        <f t="shared" si="1"/>
        <v>672</v>
      </c>
      <c r="F2214" s="17">
        <f t="shared" si="2"/>
        <v>0</v>
      </c>
    </row>
    <row r="2215">
      <c r="A2215" s="5" t="s">
        <v>57</v>
      </c>
      <c r="B2215" s="6">
        <v>672.0</v>
      </c>
      <c r="C2215" s="13" t="s">
        <v>342</v>
      </c>
      <c r="D2215" s="17">
        <f>SUMIFS(ShadowLedger!$D:$D,ShadowLedger!$G:$G,A2215,ShadowLedger!$C:$C,"&gt;="&amp;DATE(LEFT(SUBSTITUTE(C2215,"'",""),4),MID(SUBSTITUTE(C2215,"'",""),6,2),1),ShadowLedger!$C:$C,"&lt;"&amp;EOMONTH(DATE(LEFT(SUBSTITUTE(C2215,"'",""),4),MID(SUBSTITUTE(C2215,"'",""),6,2),1),0)+1)</f>
        <v>0</v>
      </c>
      <c r="E2215" s="17">
        <f t="shared" si="1"/>
        <v>672</v>
      </c>
      <c r="F2215" s="17">
        <f t="shared" si="2"/>
        <v>0</v>
      </c>
    </row>
    <row r="2216">
      <c r="A2216" s="5" t="s">
        <v>58</v>
      </c>
      <c r="B2216" s="6">
        <v>538.0</v>
      </c>
      <c r="C2216" s="13" t="s">
        <v>342</v>
      </c>
      <c r="D2216" s="17">
        <f>SUMIFS(ShadowLedger!$D:$D,ShadowLedger!$G:$G,A2216,ShadowLedger!$C:$C,"&gt;="&amp;DATE(LEFT(SUBSTITUTE(C2216,"'",""),4),MID(SUBSTITUTE(C2216,"'",""),6,2),1),ShadowLedger!$C:$C,"&lt;"&amp;EOMONTH(DATE(LEFT(SUBSTITUTE(C2216,"'",""),4),MID(SUBSTITUTE(C2216,"'",""),6,2),1),0)+1)</f>
        <v>0</v>
      </c>
      <c r="E2216" s="17">
        <f t="shared" si="1"/>
        <v>538</v>
      </c>
      <c r="F2216" s="17">
        <f t="shared" si="2"/>
        <v>0</v>
      </c>
    </row>
    <row r="2217">
      <c r="A2217" s="5" t="s">
        <v>59</v>
      </c>
      <c r="B2217" s="6">
        <v>269.0</v>
      </c>
      <c r="C2217" s="13" t="s">
        <v>342</v>
      </c>
      <c r="D2217" s="17">
        <f>SUMIFS(ShadowLedger!$D:$D,ShadowLedger!$G:$G,A2217,ShadowLedger!$C:$C,"&gt;="&amp;DATE(LEFT(SUBSTITUTE(C2217,"'",""),4),MID(SUBSTITUTE(C2217,"'",""),6,2),1),ShadowLedger!$C:$C,"&lt;"&amp;EOMONTH(DATE(LEFT(SUBSTITUTE(C2217,"'",""),4),MID(SUBSTITUTE(C2217,"'",""),6,2),1),0)+1)</f>
        <v>0</v>
      </c>
      <c r="E2217" s="17">
        <f t="shared" si="1"/>
        <v>269</v>
      </c>
      <c r="F2217" s="17">
        <f t="shared" si="2"/>
        <v>0</v>
      </c>
    </row>
    <row r="2218">
      <c r="A2218" s="5" t="s">
        <v>60</v>
      </c>
      <c r="B2218" s="6">
        <v>202.0</v>
      </c>
      <c r="C2218" s="13" t="s">
        <v>342</v>
      </c>
      <c r="D2218" s="17">
        <f>SUMIFS(ShadowLedger!$D:$D,ShadowLedger!$G:$G,A2218,ShadowLedger!$C:$C,"&gt;="&amp;DATE(LEFT(SUBSTITUTE(C2218,"'",""),4),MID(SUBSTITUTE(C2218,"'",""),6,2),1),ShadowLedger!$C:$C,"&lt;"&amp;EOMONTH(DATE(LEFT(SUBSTITUTE(C2218,"'",""),4),MID(SUBSTITUTE(C2218,"'",""),6,2),1),0)+1)</f>
        <v>0</v>
      </c>
      <c r="E2218" s="17">
        <f t="shared" si="1"/>
        <v>202</v>
      </c>
      <c r="F2218" s="17">
        <f t="shared" si="2"/>
        <v>0</v>
      </c>
    </row>
    <row r="2219">
      <c r="A2219" s="5" t="s">
        <v>61</v>
      </c>
      <c r="B2219" s="6">
        <v>161.0</v>
      </c>
      <c r="C2219" s="13" t="s">
        <v>342</v>
      </c>
      <c r="D2219" s="17">
        <f>SUMIFS(ShadowLedger!$D:$D,ShadowLedger!$G:$G,A2219,ShadowLedger!$C:$C,"&gt;="&amp;DATE(LEFT(SUBSTITUTE(C2219,"'",""),4),MID(SUBSTITUTE(C2219,"'",""),6,2),1),ShadowLedger!$C:$C,"&lt;"&amp;EOMONTH(DATE(LEFT(SUBSTITUTE(C2219,"'",""),4),MID(SUBSTITUTE(C2219,"'",""),6,2),1),0)+1)</f>
        <v>0</v>
      </c>
      <c r="E2219" s="17">
        <f t="shared" si="1"/>
        <v>161</v>
      </c>
      <c r="F2219" s="17">
        <f t="shared" si="2"/>
        <v>0</v>
      </c>
    </row>
    <row r="2220">
      <c r="A2220" s="5" t="s">
        <v>62</v>
      </c>
      <c r="B2220" s="6">
        <v>161.0</v>
      </c>
      <c r="C2220" s="13" t="s">
        <v>342</v>
      </c>
      <c r="D2220" s="17">
        <f>SUMIFS(ShadowLedger!$D:$D,ShadowLedger!$G:$G,A2220,ShadowLedger!$C:$C,"&gt;="&amp;DATE(LEFT(SUBSTITUTE(C2220,"'",""),4),MID(SUBSTITUTE(C2220,"'",""),6,2),1),ShadowLedger!$C:$C,"&lt;"&amp;EOMONTH(DATE(LEFT(SUBSTITUTE(C2220,"'",""),4),MID(SUBSTITUTE(C2220,"'",""),6,2),1),0)+1)</f>
        <v>0</v>
      </c>
      <c r="E2220" s="17">
        <f t="shared" si="1"/>
        <v>161</v>
      </c>
      <c r="F2220" s="17">
        <f t="shared" si="2"/>
        <v>0</v>
      </c>
    </row>
    <row r="2221">
      <c r="A2221" s="5" t="s">
        <v>63</v>
      </c>
      <c r="B2221" s="6">
        <v>134.0</v>
      </c>
      <c r="C2221" s="13" t="s">
        <v>342</v>
      </c>
      <c r="D2221" s="17">
        <f>SUMIFS(ShadowLedger!$D:$D,ShadowLedger!$G:$G,A2221,ShadowLedger!$C:$C,"&gt;="&amp;DATE(LEFT(SUBSTITUTE(C2221,"'",""),4),MID(SUBSTITUTE(C2221,"'",""),6,2),1),ShadowLedger!$C:$C,"&lt;"&amp;EOMONTH(DATE(LEFT(SUBSTITUTE(C2221,"'",""),4),MID(SUBSTITUTE(C2221,"'",""),6,2),1),0)+1)</f>
        <v>0</v>
      </c>
      <c r="E2221" s="17">
        <f t="shared" si="1"/>
        <v>134</v>
      </c>
      <c r="F2221" s="17">
        <f t="shared" si="2"/>
        <v>0</v>
      </c>
    </row>
    <row r="2222">
      <c r="A2222" s="5" t="s">
        <v>64</v>
      </c>
      <c r="B2222" s="6">
        <v>134.0</v>
      </c>
      <c r="C2222" s="13" t="s">
        <v>342</v>
      </c>
      <c r="D2222" s="17">
        <f>SUMIFS(ShadowLedger!$D:$D,ShadowLedger!$G:$G,A2222,ShadowLedger!$C:$C,"&gt;="&amp;DATE(LEFT(SUBSTITUTE(C2222,"'",""),4),MID(SUBSTITUTE(C2222,"'",""),6,2),1),ShadowLedger!$C:$C,"&lt;"&amp;EOMONTH(DATE(LEFT(SUBSTITUTE(C2222,"'",""),4),MID(SUBSTITUTE(C2222,"'",""),6,2),1),0)+1)</f>
        <v>0</v>
      </c>
      <c r="E2222" s="17">
        <f t="shared" si="1"/>
        <v>134</v>
      </c>
      <c r="F2222" s="17">
        <f t="shared" si="2"/>
        <v>0</v>
      </c>
    </row>
    <row r="2223">
      <c r="A2223" s="5" t="s">
        <v>70</v>
      </c>
      <c r="B2223" s="6">
        <v>134.0</v>
      </c>
      <c r="C2223" s="13" t="s">
        <v>342</v>
      </c>
      <c r="D2223" s="17">
        <f>SUMIFS(ShadowLedger!$D:$D,ShadowLedger!$G:$G,A2223,ShadowLedger!$C:$C,"&gt;="&amp;DATE(LEFT(SUBSTITUTE(C2223,"'",""),4),MID(SUBSTITUTE(C2223,"'",""),6,2),1),ShadowLedger!$C:$C,"&lt;"&amp;EOMONTH(DATE(LEFT(SUBSTITUTE(C2223,"'",""),4),MID(SUBSTITUTE(C2223,"'",""),6,2),1),0)+1)</f>
        <v>0</v>
      </c>
      <c r="E2223" s="17">
        <f t="shared" si="1"/>
        <v>134</v>
      </c>
      <c r="F2223" s="17">
        <f t="shared" si="2"/>
        <v>0</v>
      </c>
    </row>
    <row r="2224">
      <c r="A2224" s="5" t="s">
        <v>65</v>
      </c>
      <c r="B2224" s="6">
        <v>67.0</v>
      </c>
      <c r="C2224" s="13" t="s">
        <v>342</v>
      </c>
      <c r="D2224" s="17">
        <f>SUMIFS(ShadowLedger!$D:$D,ShadowLedger!$G:$G,A2224,ShadowLedger!$C:$C,"&gt;="&amp;DATE(LEFT(SUBSTITUTE(C2224,"'",""),4),MID(SUBSTITUTE(C2224,"'",""),6,2),1),ShadowLedger!$C:$C,"&lt;"&amp;EOMONTH(DATE(LEFT(SUBSTITUTE(C2224,"'",""),4),MID(SUBSTITUTE(C2224,"'",""),6,2),1),0)+1)</f>
        <v>0</v>
      </c>
      <c r="E2224" s="17">
        <f t="shared" si="1"/>
        <v>67</v>
      </c>
      <c r="F2224" s="17">
        <f t="shared" si="2"/>
        <v>0</v>
      </c>
    </row>
    <row r="2225">
      <c r="A2225" s="5" t="s">
        <v>66</v>
      </c>
      <c r="B2225" s="6">
        <v>67.0</v>
      </c>
      <c r="C2225" s="13" t="s">
        <v>342</v>
      </c>
      <c r="D2225" s="17">
        <f>SUMIFS(ShadowLedger!$D:$D,ShadowLedger!$G:$G,A2225,ShadowLedger!$C:$C,"&gt;="&amp;DATE(LEFT(SUBSTITUTE(C2225,"'",""),4),MID(SUBSTITUTE(C2225,"'",""),6,2),1),ShadowLedger!$C:$C,"&lt;"&amp;EOMONTH(DATE(LEFT(SUBSTITUTE(C2225,"'",""),4),MID(SUBSTITUTE(C2225,"'",""),6,2),1),0)+1)</f>
        <v>0</v>
      </c>
      <c r="E2225" s="17">
        <f t="shared" si="1"/>
        <v>67</v>
      </c>
      <c r="F2225" s="17">
        <f t="shared" si="2"/>
        <v>0</v>
      </c>
    </row>
    <row r="2226">
      <c r="A2226" s="5" t="s">
        <v>67</v>
      </c>
      <c r="B2226" s="6">
        <v>67.0</v>
      </c>
      <c r="C2226" s="13" t="s">
        <v>342</v>
      </c>
      <c r="D2226" s="17">
        <f>SUMIFS(ShadowLedger!$D:$D,ShadowLedger!$G:$G,A2226,ShadowLedger!$C:$C,"&gt;="&amp;DATE(LEFT(SUBSTITUTE(C2226,"'",""),4),MID(SUBSTITUTE(C2226,"'",""),6,2),1),ShadowLedger!$C:$C,"&lt;"&amp;EOMONTH(DATE(LEFT(SUBSTITUTE(C2226,"'",""),4),MID(SUBSTITUTE(C2226,"'",""),6,2),1),0)+1)</f>
        <v>0</v>
      </c>
      <c r="E2226" s="17">
        <f t="shared" si="1"/>
        <v>67</v>
      </c>
      <c r="F2226" s="17">
        <f t="shared" si="2"/>
        <v>0</v>
      </c>
    </row>
    <row r="2227">
      <c r="A2227" s="5" t="s">
        <v>68</v>
      </c>
      <c r="B2227" s="6">
        <v>67.0</v>
      </c>
      <c r="C2227" s="13" t="s">
        <v>342</v>
      </c>
      <c r="D2227" s="17">
        <f>SUMIFS(ShadowLedger!$D:$D,ShadowLedger!$G:$G,A2227,ShadowLedger!$C:$C,"&gt;="&amp;DATE(LEFT(SUBSTITUTE(C2227,"'",""),4),MID(SUBSTITUTE(C2227,"'",""),6,2),1),ShadowLedger!$C:$C,"&lt;"&amp;EOMONTH(DATE(LEFT(SUBSTITUTE(C2227,"'",""),4),MID(SUBSTITUTE(C2227,"'",""),6,2),1),0)+1)</f>
        <v>0</v>
      </c>
      <c r="E2227" s="17">
        <f t="shared" si="1"/>
        <v>67</v>
      </c>
      <c r="F2227" s="17">
        <f t="shared" si="2"/>
        <v>0</v>
      </c>
    </row>
    <row r="2228">
      <c r="A2228" s="5" t="s">
        <v>69</v>
      </c>
      <c r="B2228" s="6">
        <v>0.0</v>
      </c>
      <c r="C2228" s="13" t="s">
        <v>342</v>
      </c>
      <c r="D2228" s="17">
        <f>SUMIFS(ShadowLedger!$D:$D,ShadowLedger!$G:$G,A2228,ShadowLedger!$C:$C,"&gt;="&amp;DATE(LEFT(SUBSTITUTE(C2228,"'",""),4),MID(SUBSTITUTE(C2228,"'",""),6,2),1),ShadowLedger!$C:$C,"&lt;"&amp;EOMONTH(DATE(LEFT(SUBSTITUTE(C2228,"'",""),4),MID(SUBSTITUTE(C2228,"'",""),6,2),1),0)+1)</f>
        <v>0</v>
      </c>
      <c r="E2228" s="17">
        <f t="shared" si="1"/>
        <v>0</v>
      </c>
      <c r="F2228" s="17">
        <f t="shared" si="2"/>
        <v>0</v>
      </c>
    </row>
    <row r="2229">
      <c r="A2229" s="5" t="s">
        <v>54</v>
      </c>
      <c r="B2229" s="6">
        <v>1236.0</v>
      </c>
      <c r="C2229" s="13" t="s">
        <v>343</v>
      </c>
      <c r="D2229" s="17">
        <f>SUMIFS(ShadowLedger!$D:$D,ShadowLedger!$G:$G,A2229,ShadowLedger!$C:$C,"&gt;="&amp;DATE(LEFT(SUBSTITUTE(C2229,"'",""),4),MID(SUBSTITUTE(C2229,"'",""),6,2),1),ShadowLedger!$C:$C,"&lt;"&amp;EOMONTH(DATE(LEFT(SUBSTITUTE(C2229,"'",""),4),MID(SUBSTITUTE(C2229,"'",""),6,2),1),0)+1)</f>
        <v>0</v>
      </c>
      <c r="E2229" s="17">
        <f t="shared" si="1"/>
        <v>1236</v>
      </c>
      <c r="F2229" s="17">
        <f t="shared" si="2"/>
        <v>0</v>
      </c>
    </row>
    <row r="2230">
      <c r="A2230" s="5" t="s">
        <v>55</v>
      </c>
      <c r="B2230" s="6">
        <v>941.0</v>
      </c>
      <c r="C2230" s="13" t="s">
        <v>343</v>
      </c>
      <c r="D2230" s="17">
        <f>SUMIFS(ShadowLedger!$D:$D,ShadowLedger!$G:$G,A2230,ShadowLedger!$C:$C,"&gt;="&amp;DATE(LEFT(SUBSTITUTE(C2230,"'",""),4),MID(SUBSTITUTE(C2230,"'",""),6,2),1),ShadowLedger!$C:$C,"&lt;"&amp;EOMONTH(DATE(LEFT(SUBSTITUTE(C2230,"'",""),4),MID(SUBSTITUTE(C2230,"'",""),6,2),1),0)+1)</f>
        <v>0</v>
      </c>
      <c r="E2230" s="17">
        <f t="shared" si="1"/>
        <v>941</v>
      </c>
      <c r="F2230" s="17">
        <f t="shared" si="2"/>
        <v>0</v>
      </c>
    </row>
    <row r="2231">
      <c r="A2231" s="5" t="s">
        <v>56</v>
      </c>
      <c r="B2231" s="6">
        <v>672.0</v>
      </c>
      <c r="C2231" s="13" t="s">
        <v>343</v>
      </c>
      <c r="D2231" s="17">
        <f>SUMIFS(ShadowLedger!$D:$D,ShadowLedger!$G:$G,A2231,ShadowLedger!$C:$C,"&gt;="&amp;DATE(LEFT(SUBSTITUTE(C2231,"'",""),4),MID(SUBSTITUTE(C2231,"'",""),6,2),1),ShadowLedger!$C:$C,"&lt;"&amp;EOMONTH(DATE(LEFT(SUBSTITUTE(C2231,"'",""),4),MID(SUBSTITUTE(C2231,"'",""),6,2),1),0)+1)</f>
        <v>0</v>
      </c>
      <c r="E2231" s="17">
        <f t="shared" si="1"/>
        <v>672</v>
      </c>
      <c r="F2231" s="17">
        <f t="shared" si="2"/>
        <v>0</v>
      </c>
    </row>
    <row r="2232">
      <c r="A2232" s="5" t="s">
        <v>57</v>
      </c>
      <c r="B2232" s="6">
        <v>672.0</v>
      </c>
      <c r="C2232" s="13" t="s">
        <v>343</v>
      </c>
      <c r="D2232" s="17">
        <f>SUMIFS(ShadowLedger!$D:$D,ShadowLedger!$G:$G,A2232,ShadowLedger!$C:$C,"&gt;="&amp;DATE(LEFT(SUBSTITUTE(C2232,"'",""),4),MID(SUBSTITUTE(C2232,"'",""),6,2),1),ShadowLedger!$C:$C,"&lt;"&amp;EOMONTH(DATE(LEFT(SUBSTITUTE(C2232,"'",""),4),MID(SUBSTITUTE(C2232,"'",""),6,2),1),0)+1)</f>
        <v>0</v>
      </c>
      <c r="E2232" s="17">
        <f t="shared" si="1"/>
        <v>672</v>
      </c>
      <c r="F2232" s="17">
        <f t="shared" si="2"/>
        <v>0</v>
      </c>
    </row>
    <row r="2233">
      <c r="A2233" s="5" t="s">
        <v>58</v>
      </c>
      <c r="B2233" s="6">
        <v>538.0</v>
      </c>
      <c r="C2233" s="13" t="s">
        <v>343</v>
      </c>
      <c r="D2233" s="17">
        <f>SUMIFS(ShadowLedger!$D:$D,ShadowLedger!$G:$G,A2233,ShadowLedger!$C:$C,"&gt;="&amp;DATE(LEFT(SUBSTITUTE(C2233,"'",""),4),MID(SUBSTITUTE(C2233,"'",""),6,2),1),ShadowLedger!$C:$C,"&lt;"&amp;EOMONTH(DATE(LEFT(SUBSTITUTE(C2233,"'",""),4),MID(SUBSTITUTE(C2233,"'",""),6,2),1),0)+1)</f>
        <v>0</v>
      </c>
      <c r="E2233" s="17">
        <f t="shared" si="1"/>
        <v>538</v>
      </c>
      <c r="F2233" s="17">
        <f t="shared" si="2"/>
        <v>0</v>
      </c>
    </row>
    <row r="2234">
      <c r="A2234" s="5" t="s">
        <v>59</v>
      </c>
      <c r="B2234" s="6">
        <v>269.0</v>
      </c>
      <c r="C2234" s="13" t="s">
        <v>343</v>
      </c>
      <c r="D2234" s="17">
        <f>SUMIFS(ShadowLedger!$D:$D,ShadowLedger!$G:$G,A2234,ShadowLedger!$C:$C,"&gt;="&amp;DATE(LEFT(SUBSTITUTE(C2234,"'",""),4),MID(SUBSTITUTE(C2234,"'",""),6,2),1),ShadowLedger!$C:$C,"&lt;"&amp;EOMONTH(DATE(LEFT(SUBSTITUTE(C2234,"'",""),4),MID(SUBSTITUTE(C2234,"'",""),6,2),1),0)+1)</f>
        <v>0</v>
      </c>
      <c r="E2234" s="17">
        <f t="shared" si="1"/>
        <v>269</v>
      </c>
      <c r="F2234" s="17">
        <f t="shared" si="2"/>
        <v>0</v>
      </c>
    </row>
    <row r="2235">
      <c r="A2235" s="5" t="s">
        <v>60</v>
      </c>
      <c r="B2235" s="6">
        <v>202.0</v>
      </c>
      <c r="C2235" s="13" t="s">
        <v>343</v>
      </c>
      <c r="D2235" s="17">
        <f>SUMIFS(ShadowLedger!$D:$D,ShadowLedger!$G:$G,A2235,ShadowLedger!$C:$C,"&gt;="&amp;DATE(LEFT(SUBSTITUTE(C2235,"'",""),4),MID(SUBSTITUTE(C2235,"'",""),6,2),1),ShadowLedger!$C:$C,"&lt;"&amp;EOMONTH(DATE(LEFT(SUBSTITUTE(C2235,"'",""),4),MID(SUBSTITUTE(C2235,"'",""),6,2),1),0)+1)</f>
        <v>0</v>
      </c>
      <c r="E2235" s="17">
        <f t="shared" si="1"/>
        <v>202</v>
      </c>
      <c r="F2235" s="17">
        <f t="shared" si="2"/>
        <v>0</v>
      </c>
    </row>
    <row r="2236">
      <c r="A2236" s="5" t="s">
        <v>61</v>
      </c>
      <c r="B2236" s="6">
        <v>161.0</v>
      </c>
      <c r="C2236" s="13" t="s">
        <v>343</v>
      </c>
      <c r="D2236" s="17">
        <f>SUMIFS(ShadowLedger!$D:$D,ShadowLedger!$G:$G,A2236,ShadowLedger!$C:$C,"&gt;="&amp;DATE(LEFT(SUBSTITUTE(C2236,"'",""),4),MID(SUBSTITUTE(C2236,"'",""),6,2),1),ShadowLedger!$C:$C,"&lt;"&amp;EOMONTH(DATE(LEFT(SUBSTITUTE(C2236,"'",""),4),MID(SUBSTITUTE(C2236,"'",""),6,2),1),0)+1)</f>
        <v>0</v>
      </c>
      <c r="E2236" s="17">
        <f t="shared" si="1"/>
        <v>161</v>
      </c>
      <c r="F2236" s="17">
        <f t="shared" si="2"/>
        <v>0</v>
      </c>
    </row>
    <row r="2237">
      <c r="A2237" s="5" t="s">
        <v>62</v>
      </c>
      <c r="B2237" s="6">
        <v>161.0</v>
      </c>
      <c r="C2237" s="13" t="s">
        <v>343</v>
      </c>
      <c r="D2237" s="17">
        <f>SUMIFS(ShadowLedger!$D:$D,ShadowLedger!$G:$G,A2237,ShadowLedger!$C:$C,"&gt;="&amp;DATE(LEFT(SUBSTITUTE(C2237,"'",""),4),MID(SUBSTITUTE(C2237,"'",""),6,2),1),ShadowLedger!$C:$C,"&lt;"&amp;EOMONTH(DATE(LEFT(SUBSTITUTE(C2237,"'",""),4),MID(SUBSTITUTE(C2237,"'",""),6,2),1),0)+1)</f>
        <v>0</v>
      </c>
      <c r="E2237" s="17">
        <f t="shared" si="1"/>
        <v>161</v>
      </c>
      <c r="F2237" s="17">
        <f t="shared" si="2"/>
        <v>0</v>
      </c>
    </row>
    <row r="2238">
      <c r="A2238" s="5" t="s">
        <v>63</v>
      </c>
      <c r="B2238" s="6">
        <v>134.0</v>
      </c>
      <c r="C2238" s="13" t="s">
        <v>343</v>
      </c>
      <c r="D2238" s="17">
        <f>SUMIFS(ShadowLedger!$D:$D,ShadowLedger!$G:$G,A2238,ShadowLedger!$C:$C,"&gt;="&amp;DATE(LEFT(SUBSTITUTE(C2238,"'",""),4),MID(SUBSTITUTE(C2238,"'",""),6,2),1),ShadowLedger!$C:$C,"&lt;"&amp;EOMONTH(DATE(LEFT(SUBSTITUTE(C2238,"'",""),4),MID(SUBSTITUTE(C2238,"'",""),6,2),1),0)+1)</f>
        <v>0</v>
      </c>
      <c r="E2238" s="17">
        <f t="shared" si="1"/>
        <v>134</v>
      </c>
      <c r="F2238" s="17">
        <f t="shared" si="2"/>
        <v>0</v>
      </c>
    </row>
    <row r="2239">
      <c r="A2239" s="5" t="s">
        <v>64</v>
      </c>
      <c r="B2239" s="6">
        <v>134.0</v>
      </c>
      <c r="C2239" s="13" t="s">
        <v>343</v>
      </c>
      <c r="D2239" s="17">
        <f>SUMIFS(ShadowLedger!$D:$D,ShadowLedger!$G:$G,A2239,ShadowLedger!$C:$C,"&gt;="&amp;DATE(LEFT(SUBSTITUTE(C2239,"'",""),4),MID(SUBSTITUTE(C2239,"'",""),6,2),1),ShadowLedger!$C:$C,"&lt;"&amp;EOMONTH(DATE(LEFT(SUBSTITUTE(C2239,"'",""),4),MID(SUBSTITUTE(C2239,"'",""),6,2),1),0)+1)</f>
        <v>0</v>
      </c>
      <c r="E2239" s="17">
        <f t="shared" si="1"/>
        <v>134</v>
      </c>
      <c r="F2239" s="17">
        <f t="shared" si="2"/>
        <v>0</v>
      </c>
    </row>
    <row r="2240">
      <c r="A2240" s="5" t="s">
        <v>70</v>
      </c>
      <c r="B2240" s="6">
        <v>134.0</v>
      </c>
      <c r="C2240" s="13" t="s">
        <v>343</v>
      </c>
      <c r="D2240" s="17">
        <f>SUMIFS(ShadowLedger!$D:$D,ShadowLedger!$G:$G,A2240,ShadowLedger!$C:$C,"&gt;="&amp;DATE(LEFT(SUBSTITUTE(C2240,"'",""),4),MID(SUBSTITUTE(C2240,"'",""),6,2),1),ShadowLedger!$C:$C,"&lt;"&amp;EOMONTH(DATE(LEFT(SUBSTITUTE(C2240,"'",""),4),MID(SUBSTITUTE(C2240,"'",""),6,2),1),0)+1)</f>
        <v>0</v>
      </c>
      <c r="E2240" s="17">
        <f t="shared" si="1"/>
        <v>134</v>
      </c>
      <c r="F2240" s="17">
        <f t="shared" si="2"/>
        <v>0</v>
      </c>
    </row>
    <row r="2241">
      <c r="A2241" s="5" t="s">
        <v>65</v>
      </c>
      <c r="B2241" s="6">
        <v>67.0</v>
      </c>
      <c r="C2241" s="13" t="s">
        <v>343</v>
      </c>
      <c r="D2241" s="17">
        <f>SUMIFS(ShadowLedger!$D:$D,ShadowLedger!$G:$G,A2241,ShadowLedger!$C:$C,"&gt;="&amp;DATE(LEFT(SUBSTITUTE(C2241,"'",""),4),MID(SUBSTITUTE(C2241,"'",""),6,2),1),ShadowLedger!$C:$C,"&lt;"&amp;EOMONTH(DATE(LEFT(SUBSTITUTE(C2241,"'",""),4),MID(SUBSTITUTE(C2241,"'",""),6,2),1),0)+1)</f>
        <v>0</v>
      </c>
      <c r="E2241" s="17">
        <f t="shared" si="1"/>
        <v>67</v>
      </c>
      <c r="F2241" s="17">
        <f t="shared" si="2"/>
        <v>0</v>
      </c>
    </row>
    <row r="2242">
      <c r="A2242" s="5" t="s">
        <v>66</v>
      </c>
      <c r="B2242" s="6">
        <v>67.0</v>
      </c>
      <c r="C2242" s="13" t="s">
        <v>343</v>
      </c>
      <c r="D2242" s="17">
        <f>SUMIFS(ShadowLedger!$D:$D,ShadowLedger!$G:$G,A2242,ShadowLedger!$C:$C,"&gt;="&amp;DATE(LEFT(SUBSTITUTE(C2242,"'",""),4),MID(SUBSTITUTE(C2242,"'",""),6,2),1),ShadowLedger!$C:$C,"&lt;"&amp;EOMONTH(DATE(LEFT(SUBSTITUTE(C2242,"'",""),4),MID(SUBSTITUTE(C2242,"'",""),6,2),1),0)+1)</f>
        <v>0</v>
      </c>
      <c r="E2242" s="17">
        <f t="shared" si="1"/>
        <v>67</v>
      </c>
      <c r="F2242" s="17">
        <f t="shared" si="2"/>
        <v>0</v>
      </c>
    </row>
    <row r="2243">
      <c r="A2243" s="5" t="s">
        <v>67</v>
      </c>
      <c r="B2243" s="6">
        <v>67.0</v>
      </c>
      <c r="C2243" s="13" t="s">
        <v>343</v>
      </c>
      <c r="D2243" s="17">
        <f>SUMIFS(ShadowLedger!$D:$D,ShadowLedger!$G:$G,A2243,ShadowLedger!$C:$C,"&gt;="&amp;DATE(LEFT(SUBSTITUTE(C2243,"'",""),4),MID(SUBSTITUTE(C2243,"'",""),6,2),1),ShadowLedger!$C:$C,"&lt;"&amp;EOMONTH(DATE(LEFT(SUBSTITUTE(C2243,"'",""),4),MID(SUBSTITUTE(C2243,"'",""),6,2),1),0)+1)</f>
        <v>0</v>
      </c>
      <c r="E2243" s="17">
        <f t="shared" si="1"/>
        <v>67</v>
      </c>
      <c r="F2243" s="17">
        <f t="shared" si="2"/>
        <v>0</v>
      </c>
    </row>
    <row r="2244">
      <c r="A2244" s="5" t="s">
        <v>68</v>
      </c>
      <c r="B2244" s="6">
        <v>67.0</v>
      </c>
      <c r="C2244" s="13" t="s">
        <v>343</v>
      </c>
      <c r="D2244" s="17">
        <f>SUMIFS(ShadowLedger!$D:$D,ShadowLedger!$G:$G,A2244,ShadowLedger!$C:$C,"&gt;="&amp;DATE(LEFT(SUBSTITUTE(C2244,"'",""),4),MID(SUBSTITUTE(C2244,"'",""),6,2),1),ShadowLedger!$C:$C,"&lt;"&amp;EOMONTH(DATE(LEFT(SUBSTITUTE(C2244,"'",""),4),MID(SUBSTITUTE(C2244,"'",""),6,2),1),0)+1)</f>
        <v>0</v>
      </c>
      <c r="E2244" s="17">
        <f t="shared" si="1"/>
        <v>67</v>
      </c>
      <c r="F2244" s="17">
        <f t="shared" si="2"/>
        <v>0</v>
      </c>
    </row>
    <row r="2245">
      <c r="A2245" s="5" t="s">
        <v>69</v>
      </c>
      <c r="B2245" s="6">
        <v>0.0</v>
      </c>
      <c r="C2245" s="13" t="s">
        <v>343</v>
      </c>
      <c r="D2245" s="17">
        <f>SUMIFS(ShadowLedger!$D:$D,ShadowLedger!$G:$G,A2245,ShadowLedger!$C:$C,"&gt;="&amp;DATE(LEFT(SUBSTITUTE(C2245,"'",""),4),MID(SUBSTITUTE(C2245,"'",""),6,2),1),ShadowLedger!$C:$C,"&lt;"&amp;EOMONTH(DATE(LEFT(SUBSTITUTE(C2245,"'",""),4),MID(SUBSTITUTE(C2245,"'",""),6,2),1),0)+1)</f>
        <v>0</v>
      </c>
      <c r="E2245" s="17">
        <f t="shared" si="1"/>
        <v>0</v>
      </c>
      <c r="F2245" s="17">
        <f t="shared" si="2"/>
        <v>0</v>
      </c>
    </row>
    <row r="2246">
      <c r="A2246" s="5" t="s">
        <v>54</v>
      </c>
      <c r="B2246" s="6">
        <v>1236.0</v>
      </c>
      <c r="C2246" s="13" t="s">
        <v>344</v>
      </c>
      <c r="D2246" s="17">
        <f>SUMIFS(ShadowLedger!$D:$D,ShadowLedger!$G:$G,A2246,ShadowLedger!$C:$C,"&gt;="&amp;DATE(LEFT(SUBSTITUTE(C2246,"'",""),4),MID(SUBSTITUTE(C2246,"'",""),6,2),1),ShadowLedger!$C:$C,"&lt;"&amp;EOMONTH(DATE(LEFT(SUBSTITUTE(C2246,"'",""),4),MID(SUBSTITUTE(C2246,"'",""),6,2),1),0)+1)</f>
        <v>0</v>
      </c>
      <c r="E2246" s="17">
        <f t="shared" si="1"/>
        <v>1236</v>
      </c>
      <c r="F2246" s="17">
        <f t="shared" si="2"/>
        <v>0</v>
      </c>
    </row>
    <row r="2247">
      <c r="A2247" s="5" t="s">
        <v>55</v>
      </c>
      <c r="B2247" s="6">
        <v>941.0</v>
      </c>
      <c r="C2247" s="13" t="s">
        <v>344</v>
      </c>
      <c r="D2247" s="17">
        <f>SUMIFS(ShadowLedger!$D:$D,ShadowLedger!$G:$G,A2247,ShadowLedger!$C:$C,"&gt;="&amp;DATE(LEFT(SUBSTITUTE(C2247,"'",""),4),MID(SUBSTITUTE(C2247,"'",""),6,2),1),ShadowLedger!$C:$C,"&lt;"&amp;EOMONTH(DATE(LEFT(SUBSTITUTE(C2247,"'",""),4),MID(SUBSTITUTE(C2247,"'",""),6,2),1),0)+1)</f>
        <v>0</v>
      </c>
      <c r="E2247" s="17">
        <f t="shared" si="1"/>
        <v>941</v>
      </c>
      <c r="F2247" s="17">
        <f t="shared" si="2"/>
        <v>0</v>
      </c>
    </row>
    <row r="2248">
      <c r="A2248" s="5" t="s">
        <v>56</v>
      </c>
      <c r="B2248" s="6">
        <v>672.0</v>
      </c>
      <c r="C2248" s="13" t="s">
        <v>344</v>
      </c>
      <c r="D2248" s="17">
        <f>SUMIFS(ShadowLedger!$D:$D,ShadowLedger!$G:$G,A2248,ShadowLedger!$C:$C,"&gt;="&amp;DATE(LEFT(SUBSTITUTE(C2248,"'",""),4),MID(SUBSTITUTE(C2248,"'",""),6,2),1),ShadowLedger!$C:$C,"&lt;"&amp;EOMONTH(DATE(LEFT(SUBSTITUTE(C2248,"'",""),4),MID(SUBSTITUTE(C2248,"'",""),6,2),1),0)+1)</f>
        <v>0</v>
      </c>
      <c r="E2248" s="17">
        <f t="shared" si="1"/>
        <v>672</v>
      </c>
      <c r="F2248" s="17">
        <f t="shared" si="2"/>
        <v>0</v>
      </c>
    </row>
    <row r="2249">
      <c r="A2249" s="5" t="s">
        <v>57</v>
      </c>
      <c r="B2249" s="6">
        <v>672.0</v>
      </c>
      <c r="C2249" s="13" t="s">
        <v>344</v>
      </c>
      <c r="D2249" s="17">
        <f>SUMIFS(ShadowLedger!$D:$D,ShadowLedger!$G:$G,A2249,ShadowLedger!$C:$C,"&gt;="&amp;DATE(LEFT(SUBSTITUTE(C2249,"'",""),4),MID(SUBSTITUTE(C2249,"'",""),6,2),1),ShadowLedger!$C:$C,"&lt;"&amp;EOMONTH(DATE(LEFT(SUBSTITUTE(C2249,"'",""),4),MID(SUBSTITUTE(C2249,"'",""),6,2),1),0)+1)</f>
        <v>0</v>
      </c>
      <c r="E2249" s="17">
        <f t="shared" si="1"/>
        <v>672</v>
      </c>
      <c r="F2249" s="17">
        <f t="shared" si="2"/>
        <v>0</v>
      </c>
    </row>
    <row r="2250">
      <c r="A2250" s="5" t="s">
        <v>58</v>
      </c>
      <c r="B2250" s="6">
        <v>538.0</v>
      </c>
      <c r="C2250" s="13" t="s">
        <v>344</v>
      </c>
      <c r="D2250" s="17">
        <f>SUMIFS(ShadowLedger!$D:$D,ShadowLedger!$G:$G,A2250,ShadowLedger!$C:$C,"&gt;="&amp;DATE(LEFT(SUBSTITUTE(C2250,"'",""),4),MID(SUBSTITUTE(C2250,"'",""),6,2),1),ShadowLedger!$C:$C,"&lt;"&amp;EOMONTH(DATE(LEFT(SUBSTITUTE(C2250,"'",""),4),MID(SUBSTITUTE(C2250,"'",""),6,2),1),0)+1)</f>
        <v>0</v>
      </c>
      <c r="E2250" s="17">
        <f t="shared" si="1"/>
        <v>538</v>
      </c>
      <c r="F2250" s="17">
        <f t="shared" si="2"/>
        <v>0</v>
      </c>
    </row>
    <row r="2251">
      <c r="A2251" s="5" t="s">
        <v>59</v>
      </c>
      <c r="B2251" s="6">
        <v>269.0</v>
      </c>
      <c r="C2251" s="13" t="s">
        <v>344</v>
      </c>
      <c r="D2251" s="17">
        <f>SUMIFS(ShadowLedger!$D:$D,ShadowLedger!$G:$G,A2251,ShadowLedger!$C:$C,"&gt;="&amp;DATE(LEFT(SUBSTITUTE(C2251,"'",""),4),MID(SUBSTITUTE(C2251,"'",""),6,2),1),ShadowLedger!$C:$C,"&lt;"&amp;EOMONTH(DATE(LEFT(SUBSTITUTE(C2251,"'",""),4),MID(SUBSTITUTE(C2251,"'",""),6,2),1),0)+1)</f>
        <v>0</v>
      </c>
      <c r="E2251" s="17">
        <f t="shared" si="1"/>
        <v>269</v>
      </c>
      <c r="F2251" s="17">
        <f t="shared" si="2"/>
        <v>0</v>
      </c>
    </row>
    <row r="2252">
      <c r="A2252" s="5" t="s">
        <v>60</v>
      </c>
      <c r="B2252" s="6">
        <v>202.0</v>
      </c>
      <c r="C2252" s="13" t="s">
        <v>344</v>
      </c>
      <c r="D2252" s="17">
        <f>SUMIFS(ShadowLedger!$D:$D,ShadowLedger!$G:$G,A2252,ShadowLedger!$C:$C,"&gt;="&amp;DATE(LEFT(SUBSTITUTE(C2252,"'",""),4),MID(SUBSTITUTE(C2252,"'",""),6,2),1),ShadowLedger!$C:$C,"&lt;"&amp;EOMONTH(DATE(LEFT(SUBSTITUTE(C2252,"'",""),4),MID(SUBSTITUTE(C2252,"'",""),6,2),1),0)+1)</f>
        <v>0</v>
      </c>
      <c r="E2252" s="17">
        <f t="shared" si="1"/>
        <v>202</v>
      </c>
      <c r="F2252" s="17">
        <f t="shared" si="2"/>
        <v>0</v>
      </c>
    </row>
    <row r="2253">
      <c r="A2253" s="5" t="s">
        <v>61</v>
      </c>
      <c r="B2253" s="6">
        <v>161.0</v>
      </c>
      <c r="C2253" s="13" t="s">
        <v>344</v>
      </c>
      <c r="D2253" s="17">
        <f>SUMIFS(ShadowLedger!$D:$D,ShadowLedger!$G:$G,A2253,ShadowLedger!$C:$C,"&gt;="&amp;DATE(LEFT(SUBSTITUTE(C2253,"'",""),4),MID(SUBSTITUTE(C2253,"'",""),6,2),1),ShadowLedger!$C:$C,"&lt;"&amp;EOMONTH(DATE(LEFT(SUBSTITUTE(C2253,"'",""),4),MID(SUBSTITUTE(C2253,"'",""),6,2),1),0)+1)</f>
        <v>0</v>
      </c>
      <c r="E2253" s="17">
        <f t="shared" si="1"/>
        <v>161</v>
      </c>
      <c r="F2253" s="17">
        <f t="shared" si="2"/>
        <v>0</v>
      </c>
    </row>
    <row r="2254">
      <c r="A2254" s="5" t="s">
        <v>62</v>
      </c>
      <c r="B2254" s="6">
        <v>161.0</v>
      </c>
      <c r="C2254" s="13" t="s">
        <v>344</v>
      </c>
      <c r="D2254" s="17">
        <f>SUMIFS(ShadowLedger!$D:$D,ShadowLedger!$G:$G,A2254,ShadowLedger!$C:$C,"&gt;="&amp;DATE(LEFT(SUBSTITUTE(C2254,"'",""),4),MID(SUBSTITUTE(C2254,"'",""),6,2),1),ShadowLedger!$C:$C,"&lt;"&amp;EOMONTH(DATE(LEFT(SUBSTITUTE(C2254,"'",""),4),MID(SUBSTITUTE(C2254,"'",""),6,2),1),0)+1)</f>
        <v>0</v>
      </c>
      <c r="E2254" s="17">
        <f t="shared" si="1"/>
        <v>161</v>
      </c>
      <c r="F2254" s="17">
        <f t="shared" si="2"/>
        <v>0</v>
      </c>
    </row>
    <row r="2255">
      <c r="A2255" s="5" t="s">
        <v>63</v>
      </c>
      <c r="B2255" s="6">
        <v>134.0</v>
      </c>
      <c r="C2255" s="13" t="s">
        <v>344</v>
      </c>
      <c r="D2255" s="17">
        <f>SUMIFS(ShadowLedger!$D:$D,ShadowLedger!$G:$G,A2255,ShadowLedger!$C:$C,"&gt;="&amp;DATE(LEFT(SUBSTITUTE(C2255,"'",""),4),MID(SUBSTITUTE(C2255,"'",""),6,2),1),ShadowLedger!$C:$C,"&lt;"&amp;EOMONTH(DATE(LEFT(SUBSTITUTE(C2255,"'",""),4),MID(SUBSTITUTE(C2255,"'",""),6,2),1),0)+1)</f>
        <v>0</v>
      </c>
      <c r="E2255" s="17">
        <f t="shared" si="1"/>
        <v>134</v>
      </c>
      <c r="F2255" s="17">
        <f t="shared" si="2"/>
        <v>0</v>
      </c>
    </row>
    <row r="2256">
      <c r="A2256" s="5" t="s">
        <v>64</v>
      </c>
      <c r="B2256" s="6">
        <v>134.0</v>
      </c>
      <c r="C2256" s="13" t="s">
        <v>344</v>
      </c>
      <c r="D2256" s="17">
        <f>SUMIFS(ShadowLedger!$D:$D,ShadowLedger!$G:$G,A2256,ShadowLedger!$C:$C,"&gt;="&amp;DATE(LEFT(SUBSTITUTE(C2256,"'",""),4),MID(SUBSTITUTE(C2256,"'",""),6,2),1),ShadowLedger!$C:$C,"&lt;"&amp;EOMONTH(DATE(LEFT(SUBSTITUTE(C2256,"'",""),4),MID(SUBSTITUTE(C2256,"'",""),6,2),1),0)+1)</f>
        <v>0</v>
      </c>
      <c r="E2256" s="17">
        <f t="shared" si="1"/>
        <v>134</v>
      </c>
      <c r="F2256" s="17">
        <f t="shared" si="2"/>
        <v>0</v>
      </c>
    </row>
    <row r="2257">
      <c r="A2257" s="5" t="s">
        <v>70</v>
      </c>
      <c r="B2257" s="6">
        <v>134.0</v>
      </c>
      <c r="C2257" s="13" t="s">
        <v>344</v>
      </c>
      <c r="D2257" s="17">
        <f>SUMIFS(ShadowLedger!$D:$D,ShadowLedger!$G:$G,A2257,ShadowLedger!$C:$C,"&gt;="&amp;DATE(LEFT(SUBSTITUTE(C2257,"'",""),4),MID(SUBSTITUTE(C2257,"'",""),6,2),1),ShadowLedger!$C:$C,"&lt;"&amp;EOMONTH(DATE(LEFT(SUBSTITUTE(C2257,"'",""),4),MID(SUBSTITUTE(C2257,"'",""),6,2),1),0)+1)</f>
        <v>0</v>
      </c>
      <c r="E2257" s="17">
        <f t="shared" si="1"/>
        <v>134</v>
      </c>
      <c r="F2257" s="17">
        <f t="shared" si="2"/>
        <v>0</v>
      </c>
    </row>
    <row r="2258">
      <c r="A2258" s="5" t="s">
        <v>65</v>
      </c>
      <c r="B2258" s="6">
        <v>67.0</v>
      </c>
      <c r="C2258" s="13" t="s">
        <v>344</v>
      </c>
      <c r="D2258" s="17">
        <f>SUMIFS(ShadowLedger!$D:$D,ShadowLedger!$G:$G,A2258,ShadowLedger!$C:$C,"&gt;="&amp;DATE(LEFT(SUBSTITUTE(C2258,"'",""),4),MID(SUBSTITUTE(C2258,"'",""),6,2),1),ShadowLedger!$C:$C,"&lt;"&amp;EOMONTH(DATE(LEFT(SUBSTITUTE(C2258,"'",""),4),MID(SUBSTITUTE(C2258,"'",""),6,2),1),0)+1)</f>
        <v>0</v>
      </c>
      <c r="E2258" s="17">
        <f t="shared" si="1"/>
        <v>67</v>
      </c>
      <c r="F2258" s="17">
        <f t="shared" si="2"/>
        <v>0</v>
      </c>
    </row>
    <row r="2259">
      <c r="A2259" s="5" t="s">
        <v>66</v>
      </c>
      <c r="B2259" s="6">
        <v>67.0</v>
      </c>
      <c r="C2259" s="13" t="s">
        <v>344</v>
      </c>
      <c r="D2259" s="17">
        <f>SUMIFS(ShadowLedger!$D:$D,ShadowLedger!$G:$G,A2259,ShadowLedger!$C:$C,"&gt;="&amp;DATE(LEFT(SUBSTITUTE(C2259,"'",""),4),MID(SUBSTITUTE(C2259,"'",""),6,2),1),ShadowLedger!$C:$C,"&lt;"&amp;EOMONTH(DATE(LEFT(SUBSTITUTE(C2259,"'",""),4),MID(SUBSTITUTE(C2259,"'",""),6,2),1),0)+1)</f>
        <v>0</v>
      </c>
      <c r="E2259" s="17">
        <f t="shared" si="1"/>
        <v>67</v>
      </c>
      <c r="F2259" s="17">
        <f t="shared" si="2"/>
        <v>0</v>
      </c>
    </row>
    <row r="2260">
      <c r="A2260" s="5" t="s">
        <v>67</v>
      </c>
      <c r="B2260" s="6">
        <v>67.0</v>
      </c>
      <c r="C2260" s="13" t="s">
        <v>344</v>
      </c>
      <c r="D2260" s="17">
        <f>SUMIFS(ShadowLedger!$D:$D,ShadowLedger!$G:$G,A2260,ShadowLedger!$C:$C,"&gt;="&amp;DATE(LEFT(SUBSTITUTE(C2260,"'",""),4),MID(SUBSTITUTE(C2260,"'",""),6,2),1),ShadowLedger!$C:$C,"&lt;"&amp;EOMONTH(DATE(LEFT(SUBSTITUTE(C2260,"'",""),4),MID(SUBSTITUTE(C2260,"'",""),6,2),1),0)+1)</f>
        <v>0</v>
      </c>
      <c r="E2260" s="17">
        <f t="shared" si="1"/>
        <v>67</v>
      </c>
      <c r="F2260" s="17">
        <f t="shared" si="2"/>
        <v>0</v>
      </c>
    </row>
    <row r="2261">
      <c r="A2261" s="5" t="s">
        <v>68</v>
      </c>
      <c r="B2261" s="6">
        <v>67.0</v>
      </c>
      <c r="C2261" s="13" t="s">
        <v>344</v>
      </c>
      <c r="D2261" s="17">
        <f>SUMIFS(ShadowLedger!$D:$D,ShadowLedger!$G:$G,A2261,ShadowLedger!$C:$C,"&gt;="&amp;DATE(LEFT(SUBSTITUTE(C2261,"'",""),4),MID(SUBSTITUTE(C2261,"'",""),6,2),1),ShadowLedger!$C:$C,"&lt;"&amp;EOMONTH(DATE(LEFT(SUBSTITUTE(C2261,"'",""),4),MID(SUBSTITUTE(C2261,"'",""),6,2),1),0)+1)</f>
        <v>0</v>
      </c>
      <c r="E2261" s="17">
        <f t="shared" si="1"/>
        <v>67</v>
      </c>
      <c r="F2261" s="17">
        <f t="shared" si="2"/>
        <v>0</v>
      </c>
    </row>
    <row r="2262">
      <c r="A2262" s="5" t="s">
        <v>69</v>
      </c>
      <c r="B2262" s="6">
        <v>0.0</v>
      </c>
      <c r="C2262" s="13" t="s">
        <v>344</v>
      </c>
      <c r="D2262" s="17">
        <f>SUMIFS(ShadowLedger!$D:$D,ShadowLedger!$G:$G,A2262,ShadowLedger!$C:$C,"&gt;="&amp;DATE(LEFT(SUBSTITUTE(C2262,"'",""),4),MID(SUBSTITUTE(C2262,"'",""),6,2),1),ShadowLedger!$C:$C,"&lt;"&amp;EOMONTH(DATE(LEFT(SUBSTITUTE(C2262,"'",""),4),MID(SUBSTITUTE(C2262,"'",""),6,2),1),0)+1)</f>
        <v>0</v>
      </c>
      <c r="E2262" s="17">
        <f t="shared" si="1"/>
        <v>0</v>
      </c>
      <c r="F2262" s="17">
        <f t="shared" si="2"/>
        <v>0</v>
      </c>
    </row>
    <row r="2263">
      <c r="A2263" s="5" t="s">
        <v>54</v>
      </c>
      <c r="B2263" s="6">
        <v>1273.0</v>
      </c>
      <c r="C2263" s="13" t="s">
        <v>345</v>
      </c>
      <c r="D2263" s="17">
        <f>SUMIFS(ShadowLedger!$D:$D,ShadowLedger!$G:$G,A2263,ShadowLedger!$C:$C,"&gt;="&amp;DATE(LEFT(SUBSTITUTE(C2263,"'",""),4),MID(SUBSTITUTE(C2263,"'",""),6,2),1),ShadowLedger!$C:$C,"&lt;"&amp;EOMONTH(DATE(LEFT(SUBSTITUTE(C2263,"'",""),4),MID(SUBSTITUTE(C2263,"'",""),6,2),1),0)+1)</f>
        <v>0</v>
      </c>
      <c r="E2263" s="17">
        <f t="shared" si="1"/>
        <v>1273</v>
      </c>
      <c r="F2263" s="17">
        <f t="shared" si="2"/>
        <v>0</v>
      </c>
    </row>
    <row r="2264">
      <c r="A2264" s="5" t="s">
        <v>55</v>
      </c>
      <c r="B2264" s="6">
        <v>969.0</v>
      </c>
      <c r="C2264" s="13" t="s">
        <v>345</v>
      </c>
      <c r="D2264" s="17">
        <f>SUMIFS(ShadowLedger!$D:$D,ShadowLedger!$G:$G,A2264,ShadowLedger!$C:$C,"&gt;="&amp;DATE(LEFT(SUBSTITUTE(C2264,"'",""),4),MID(SUBSTITUTE(C2264,"'",""),6,2),1),ShadowLedger!$C:$C,"&lt;"&amp;EOMONTH(DATE(LEFT(SUBSTITUTE(C2264,"'",""),4),MID(SUBSTITUTE(C2264,"'",""),6,2),1),0)+1)</f>
        <v>0</v>
      </c>
      <c r="E2264" s="17">
        <f t="shared" si="1"/>
        <v>969</v>
      </c>
      <c r="F2264" s="17">
        <f t="shared" si="2"/>
        <v>0</v>
      </c>
    </row>
    <row r="2265">
      <c r="A2265" s="5" t="s">
        <v>56</v>
      </c>
      <c r="B2265" s="6">
        <v>692.0</v>
      </c>
      <c r="C2265" s="13" t="s">
        <v>345</v>
      </c>
      <c r="D2265" s="17">
        <f>SUMIFS(ShadowLedger!$D:$D,ShadowLedger!$G:$G,A2265,ShadowLedger!$C:$C,"&gt;="&amp;DATE(LEFT(SUBSTITUTE(C2265,"'",""),4),MID(SUBSTITUTE(C2265,"'",""),6,2),1),ShadowLedger!$C:$C,"&lt;"&amp;EOMONTH(DATE(LEFT(SUBSTITUTE(C2265,"'",""),4),MID(SUBSTITUTE(C2265,"'",""),6,2),1),0)+1)</f>
        <v>0</v>
      </c>
      <c r="E2265" s="17">
        <f t="shared" si="1"/>
        <v>692</v>
      </c>
      <c r="F2265" s="17">
        <f t="shared" si="2"/>
        <v>0</v>
      </c>
    </row>
    <row r="2266">
      <c r="A2266" s="5" t="s">
        <v>57</v>
      </c>
      <c r="B2266" s="6">
        <v>692.0</v>
      </c>
      <c r="C2266" s="13" t="s">
        <v>345</v>
      </c>
      <c r="D2266" s="17">
        <f>SUMIFS(ShadowLedger!$D:$D,ShadowLedger!$G:$G,A2266,ShadowLedger!$C:$C,"&gt;="&amp;DATE(LEFT(SUBSTITUTE(C2266,"'",""),4),MID(SUBSTITUTE(C2266,"'",""),6,2),1),ShadowLedger!$C:$C,"&lt;"&amp;EOMONTH(DATE(LEFT(SUBSTITUTE(C2266,"'",""),4),MID(SUBSTITUTE(C2266,"'",""),6,2),1),0)+1)</f>
        <v>0</v>
      </c>
      <c r="E2266" s="17">
        <f t="shared" si="1"/>
        <v>692</v>
      </c>
      <c r="F2266" s="17">
        <f t="shared" si="2"/>
        <v>0</v>
      </c>
    </row>
    <row r="2267">
      <c r="A2267" s="5" t="s">
        <v>58</v>
      </c>
      <c r="B2267" s="6">
        <v>554.0</v>
      </c>
      <c r="C2267" s="13" t="s">
        <v>345</v>
      </c>
      <c r="D2267" s="17">
        <f>SUMIFS(ShadowLedger!$D:$D,ShadowLedger!$G:$G,A2267,ShadowLedger!$C:$C,"&gt;="&amp;DATE(LEFT(SUBSTITUTE(C2267,"'",""),4),MID(SUBSTITUTE(C2267,"'",""),6,2),1),ShadowLedger!$C:$C,"&lt;"&amp;EOMONTH(DATE(LEFT(SUBSTITUTE(C2267,"'",""),4),MID(SUBSTITUTE(C2267,"'",""),6,2),1),0)+1)</f>
        <v>0</v>
      </c>
      <c r="E2267" s="17">
        <f t="shared" si="1"/>
        <v>554</v>
      </c>
      <c r="F2267" s="17">
        <f t="shared" si="2"/>
        <v>0</v>
      </c>
    </row>
    <row r="2268">
      <c r="A2268" s="5" t="s">
        <v>59</v>
      </c>
      <c r="B2268" s="6">
        <v>277.0</v>
      </c>
      <c r="C2268" s="13" t="s">
        <v>345</v>
      </c>
      <c r="D2268" s="17">
        <f>SUMIFS(ShadowLedger!$D:$D,ShadowLedger!$G:$G,A2268,ShadowLedger!$C:$C,"&gt;="&amp;DATE(LEFT(SUBSTITUTE(C2268,"'",""),4),MID(SUBSTITUTE(C2268,"'",""),6,2),1),ShadowLedger!$C:$C,"&lt;"&amp;EOMONTH(DATE(LEFT(SUBSTITUTE(C2268,"'",""),4),MID(SUBSTITUTE(C2268,"'",""),6,2),1),0)+1)</f>
        <v>0</v>
      </c>
      <c r="E2268" s="17">
        <f t="shared" si="1"/>
        <v>277</v>
      </c>
      <c r="F2268" s="17">
        <f t="shared" si="2"/>
        <v>0</v>
      </c>
    </row>
    <row r="2269">
      <c r="A2269" s="5" t="s">
        <v>60</v>
      </c>
      <c r="B2269" s="6">
        <v>208.0</v>
      </c>
      <c r="C2269" s="13" t="s">
        <v>345</v>
      </c>
      <c r="D2269" s="17">
        <f>SUMIFS(ShadowLedger!$D:$D,ShadowLedger!$G:$G,A2269,ShadowLedger!$C:$C,"&gt;="&amp;DATE(LEFT(SUBSTITUTE(C2269,"'",""),4),MID(SUBSTITUTE(C2269,"'",""),6,2),1),ShadowLedger!$C:$C,"&lt;"&amp;EOMONTH(DATE(LEFT(SUBSTITUTE(C2269,"'",""),4),MID(SUBSTITUTE(C2269,"'",""),6,2),1),0)+1)</f>
        <v>0</v>
      </c>
      <c r="E2269" s="17">
        <f t="shared" si="1"/>
        <v>208</v>
      </c>
      <c r="F2269" s="17">
        <f t="shared" si="2"/>
        <v>0</v>
      </c>
    </row>
    <row r="2270">
      <c r="A2270" s="5" t="s">
        <v>61</v>
      </c>
      <c r="B2270" s="6">
        <v>166.0</v>
      </c>
      <c r="C2270" s="13" t="s">
        <v>345</v>
      </c>
      <c r="D2270" s="17">
        <f>SUMIFS(ShadowLedger!$D:$D,ShadowLedger!$G:$G,A2270,ShadowLedger!$C:$C,"&gt;="&amp;DATE(LEFT(SUBSTITUTE(C2270,"'",""),4),MID(SUBSTITUTE(C2270,"'",""),6,2),1),ShadowLedger!$C:$C,"&lt;"&amp;EOMONTH(DATE(LEFT(SUBSTITUTE(C2270,"'",""),4),MID(SUBSTITUTE(C2270,"'",""),6,2),1),0)+1)</f>
        <v>0</v>
      </c>
      <c r="E2270" s="17">
        <f t="shared" si="1"/>
        <v>166</v>
      </c>
      <c r="F2270" s="17">
        <f t="shared" si="2"/>
        <v>0</v>
      </c>
    </row>
    <row r="2271">
      <c r="A2271" s="5" t="s">
        <v>62</v>
      </c>
      <c r="B2271" s="6">
        <v>166.0</v>
      </c>
      <c r="C2271" s="13" t="s">
        <v>345</v>
      </c>
      <c r="D2271" s="17">
        <f>SUMIFS(ShadowLedger!$D:$D,ShadowLedger!$G:$G,A2271,ShadowLedger!$C:$C,"&gt;="&amp;DATE(LEFT(SUBSTITUTE(C2271,"'",""),4),MID(SUBSTITUTE(C2271,"'",""),6,2),1),ShadowLedger!$C:$C,"&lt;"&amp;EOMONTH(DATE(LEFT(SUBSTITUTE(C2271,"'",""),4),MID(SUBSTITUTE(C2271,"'",""),6,2),1),0)+1)</f>
        <v>0</v>
      </c>
      <c r="E2271" s="17">
        <f t="shared" si="1"/>
        <v>166</v>
      </c>
      <c r="F2271" s="17">
        <f t="shared" si="2"/>
        <v>0</v>
      </c>
    </row>
    <row r="2272">
      <c r="A2272" s="5" t="s">
        <v>63</v>
      </c>
      <c r="B2272" s="6">
        <v>138.0</v>
      </c>
      <c r="C2272" s="13" t="s">
        <v>345</v>
      </c>
      <c r="D2272" s="17">
        <f>SUMIFS(ShadowLedger!$D:$D,ShadowLedger!$G:$G,A2272,ShadowLedger!$C:$C,"&gt;="&amp;DATE(LEFT(SUBSTITUTE(C2272,"'",""),4),MID(SUBSTITUTE(C2272,"'",""),6,2),1),ShadowLedger!$C:$C,"&lt;"&amp;EOMONTH(DATE(LEFT(SUBSTITUTE(C2272,"'",""),4),MID(SUBSTITUTE(C2272,"'",""),6,2),1),0)+1)</f>
        <v>0</v>
      </c>
      <c r="E2272" s="17">
        <f t="shared" si="1"/>
        <v>138</v>
      </c>
      <c r="F2272" s="17">
        <f t="shared" si="2"/>
        <v>0</v>
      </c>
    </row>
    <row r="2273">
      <c r="A2273" s="5" t="s">
        <v>64</v>
      </c>
      <c r="B2273" s="6">
        <v>138.0</v>
      </c>
      <c r="C2273" s="13" t="s">
        <v>345</v>
      </c>
      <c r="D2273" s="17">
        <f>SUMIFS(ShadowLedger!$D:$D,ShadowLedger!$G:$G,A2273,ShadowLedger!$C:$C,"&gt;="&amp;DATE(LEFT(SUBSTITUTE(C2273,"'",""),4),MID(SUBSTITUTE(C2273,"'",""),6,2),1),ShadowLedger!$C:$C,"&lt;"&amp;EOMONTH(DATE(LEFT(SUBSTITUTE(C2273,"'",""),4),MID(SUBSTITUTE(C2273,"'",""),6,2),1),0)+1)</f>
        <v>0</v>
      </c>
      <c r="E2273" s="17">
        <f t="shared" si="1"/>
        <v>138</v>
      </c>
      <c r="F2273" s="17">
        <f t="shared" si="2"/>
        <v>0</v>
      </c>
    </row>
    <row r="2274">
      <c r="A2274" s="5" t="s">
        <v>70</v>
      </c>
      <c r="B2274" s="6">
        <v>138.0</v>
      </c>
      <c r="C2274" s="13" t="s">
        <v>345</v>
      </c>
      <c r="D2274" s="17">
        <f>SUMIFS(ShadowLedger!$D:$D,ShadowLedger!$G:$G,A2274,ShadowLedger!$C:$C,"&gt;="&amp;DATE(LEFT(SUBSTITUTE(C2274,"'",""),4),MID(SUBSTITUTE(C2274,"'",""),6,2),1),ShadowLedger!$C:$C,"&lt;"&amp;EOMONTH(DATE(LEFT(SUBSTITUTE(C2274,"'",""),4),MID(SUBSTITUTE(C2274,"'",""),6,2),1),0)+1)</f>
        <v>0</v>
      </c>
      <c r="E2274" s="17">
        <f t="shared" si="1"/>
        <v>138</v>
      </c>
      <c r="F2274" s="17">
        <f t="shared" si="2"/>
        <v>0</v>
      </c>
    </row>
    <row r="2275">
      <c r="A2275" s="5" t="s">
        <v>65</v>
      </c>
      <c r="B2275" s="6">
        <v>69.0</v>
      </c>
      <c r="C2275" s="13" t="s">
        <v>345</v>
      </c>
      <c r="D2275" s="17">
        <f>SUMIFS(ShadowLedger!$D:$D,ShadowLedger!$G:$G,A2275,ShadowLedger!$C:$C,"&gt;="&amp;DATE(LEFT(SUBSTITUTE(C2275,"'",""),4),MID(SUBSTITUTE(C2275,"'",""),6,2),1),ShadowLedger!$C:$C,"&lt;"&amp;EOMONTH(DATE(LEFT(SUBSTITUTE(C2275,"'",""),4),MID(SUBSTITUTE(C2275,"'",""),6,2),1),0)+1)</f>
        <v>0</v>
      </c>
      <c r="E2275" s="17">
        <f t="shared" si="1"/>
        <v>69</v>
      </c>
      <c r="F2275" s="17">
        <f t="shared" si="2"/>
        <v>0</v>
      </c>
    </row>
    <row r="2276">
      <c r="A2276" s="5" t="s">
        <v>66</v>
      </c>
      <c r="B2276" s="6">
        <v>69.0</v>
      </c>
      <c r="C2276" s="13" t="s">
        <v>345</v>
      </c>
      <c r="D2276" s="17">
        <f>SUMIFS(ShadowLedger!$D:$D,ShadowLedger!$G:$G,A2276,ShadowLedger!$C:$C,"&gt;="&amp;DATE(LEFT(SUBSTITUTE(C2276,"'",""),4),MID(SUBSTITUTE(C2276,"'",""),6,2),1),ShadowLedger!$C:$C,"&lt;"&amp;EOMONTH(DATE(LEFT(SUBSTITUTE(C2276,"'",""),4),MID(SUBSTITUTE(C2276,"'",""),6,2),1),0)+1)</f>
        <v>0</v>
      </c>
      <c r="E2276" s="17">
        <f t="shared" si="1"/>
        <v>69</v>
      </c>
      <c r="F2276" s="17">
        <f t="shared" si="2"/>
        <v>0</v>
      </c>
    </row>
    <row r="2277">
      <c r="A2277" s="5" t="s">
        <v>67</v>
      </c>
      <c r="B2277" s="6">
        <v>69.0</v>
      </c>
      <c r="C2277" s="13" t="s">
        <v>345</v>
      </c>
      <c r="D2277" s="17">
        <f>SUMIFS(ShadowLedger!$D:$D,ShadowLedger!$G:$G,A2277,ShadowLedger!$C:$C,"&gt;="&amp;DATE(LEFT(SUBSTITUTE(C2277,"'",""),4),MID(SUBSTITUTE(C2277,"'",""),6,2),1),ShadowLedger!$C:$C,"&lt;"&amp;EOMONTH(DATE(LEFT(SUBSTITUTE(C2277,"'",""),4),MID(SUBSTITUTE(C2277,"'",""),6,2),1),0)+1)</f>
        <v>0</v>
      </c>
      <c r="E2277" s="17">
        <f t="shared" si="1"/>
        <v>69</v>
      </c>
      <c r="F2277" s="17">
        <f t="shared" si="2"/>
        <v>0</v>
      </c>
    </row>
    <row r="2278">
      <c r="A2278" s="5" t="s">
        <v>68</v>
      </c>
      <c r="B2278" s="6">
        <v>69.0</v>
      </c>
      <c r="C2278" s="13" t="s">
        <v>345</v>
      </c>
      <c r="D2278" s="17">
        <f>SUMIFS(ShadowLedger!$D:$D,ShadowLedger!$G:$G,A2278,ShadowLedger!$C:$C,"&gt;="&amp;DATE(LEFT(SUBSTITUTE(C2278,"'",""),4),MID(SUBSTITUTE(C2278,"'",""),6,2),1),ShadowLedger!$C:$C,"&lt;"&amp;EOMONTH(DATE(LEFT(SUBSTITUTE(C2278,"'",""),4),MID(SUBSTITUTE(C2278,"'",""),6,2),1),0)+1)</f>
        <v>0</v>
      </c>
      <c r="E2278" s="17">
        <f t="shared" si="1"/>
        <v>69</v>
      </c>
      <c r="F2278" s="17">
        <f t="shared" si="2"/>
        <v>0</v>
      </c>
    </row>
    <row r="2279">
      <c r="A2279" s="5" t="s">
        <v>69</v>
      </c>
      <c r="B2279" s="6">
        <v>0.0</v>
      </c>
      <c r="C2279" s="13" t="s">
        <v>345</v>
      </c>
      <c r="D2279" s="17">
        <f>SUMIFS(ShadowLedger!$D:$D,ShadowLedger!$G:$G,A2279,ShadowLedger!$C:$C,"&gt;="&amp;DATE(LEFT(SUBSTITUTE(C2279,"'",""),4),MID(SUBSTITUTE(C2279,"'",""),6,2),1),ShadowLedger!$C:$C,"&lt;"&amp;EOMONTH(DATE(LEFT(SUBSTITUTE(C2279,"'",""),4),MID(SUBSTITUTE(C2279,"'",""),6,2),1),0)+1)</f>
        <v>0</v>
      </c>
      <c r="E2279" s="17">
        <f t="shared" si="1"/>
        <v>0</v>
      </c>
      <c r="F2279" s="17">
        <f t="shared" si="2"/>
        <v>0</v>
      </c>
    </row>
    <row r="2280">
      <c r="A2280" s="5" t="s">
        <v>54</v>
      </c>
      <c r="B2280" s="6">
        <v>1273.0</v>
      </c>
      <c r="C2280" s="13" t="s">
        <v>346</v>
      </c>
      <c r="D2280" s="17">
        <f>SUMIFS(ShadowLedger!$D:$D,ShadowLedger!$G:$G,A2280,ShadowLedger!$C:$C,"&gt;="&amp;DATE(LEFT(SUBSTITUTE(C2280,"'",""),4),MID(SUBSTITUTE(C2280,"'",""),6,2),1),ShadowLedger!$C:$C,"&lt;"&amp;EOMONTH(DATE(LEFT(SUBSTITUTE(C2280,"'",""),4),MID(SUBSTITUTE(C2280,"'",""),6,2),1),0)+1)</f>
        <v>0</v>
      </c>
      <c r="E2280" s="17">
        <f t="shared" si="1"/>
        <v>1273</v>
      </c>
      <c r="F2280" s="17">
        <f t="shared" si="2"/>
        <v>0</v>
      </c>
    </row>
    <row r="2281">
      <c r="A2281" s="5" t="s">
        <v>55</v>
      </c>
      <c r="B2281" s="6">
        <v>969.0</v>
      </c>
      <c r="C2281" s="13" t="s">
        <v>346</v>
      </c>
      <c r="D2281" s="17">
        <f>SUMIFS(ShadowLedger!$D:$D,ShadowLedger!$G:$G,A2281,ShadowLedger!$C:$C,"&gt;="&amp;DATE(LEFT(SUBSTITUTE(C2281,"'",""),4),MID(SUBSTITUTE(C2281,"'",""),6,2),1),ShadowLedger!$C:$C,"&lt;"&amp;EOMONTH(DATE(LEFT(SUBSTITUTE(C2281,"'",""),4),MID(SUBSTITUTE(C2281,"'",""),6,2),1),0)+1)</f>
        <v>0</v>
      </c>
      <c r="E2281" s="17">
        <f t="shared" si="1"/>
        <v>969</v>
      </c>
      <c r="F2281" s="17">
        <f t="shared" si="2"/>
        <v>0</v>
      </c>
    </row>
    <row r="2282">
      <c r="A2282" s="5" t="s">
        <v>56</v>
      </c>
      <c r="B2282" s="6">
        <v>692.0</v>
      </c>
      <c r="C2282" s="13" t="s">
        <v>346</v>
      </c>
      <c r="D2282" s="17">
        <f>SUMIFS(ShadowLedger!$D:$D,ShadowLedger!$G:$G,A2282,ShadowLedger!$C:$C,"&gt;="&amp;DATE(LEFT(SUBSTITUTE(C2282,"'",""),4),MID(SUBSTITUTE(C2282,"'",""),6,2),1),ShadowLedger!$C:$C,"&lt;"&amp;EOMONTH(DATE(LEFT(SUBSTITUTE(C2282,"'",""),4),MID(SUBSTITUTE(C2282,"'",""),6,2),1),0)+1)</f>
        <v>0</v>
      </c>
      <c r="E2282" s="17">
        <f t="shared" si="1"/>
        <v>692</v>
      </c>
      <c r="F2282" s="17">
        <f t="shared" si="2"/>
        <v>0</v>
      </c>
    </row>
    <row r="2283">
      <c r="A2283" s="5" t="s">
        <v>57</v>
      </c>
      <c r="B2283" s="6">
        <v>692.0</v>
      </c>
      <c r="C2283" s="13" t="s">
        <v>346</v>
      </c>
      <c r="D2283" s="17">
        <f>SUMIFS(ShadowLedger!$D:$D,ShadowLedger!$G:$G,A2283,ShadowLedger!$C:$C,"&gt;="&amp;DATE(LEFT(SUBSTITUTE(C2283,"'",""),4),MID(SUBSTITUTE(C2283,"'",""),6,2),1),ShadowLedger!$C:$C,"&lt;"&amp;EOMONTH(DATE(LEFT(SUBSTITUTE(C2283,"'",""),4),MID(SUBSTITUTE(C2283,"'",""),6,2),1),0)+1)</f>
        <v>0</v>
      </c>
      <c r="E2283" s="17">
        <f t="shared" si="1"/>
        <v>692</v>
      </c>
      <c r="F2283" s="17">
        <f t="shared" si="2"/>
        <v>0</v>
      </c>
    </row>
    <row r="2284">
      <c r="A2284" s="5" t="s">
        <v>58</v>
      </c>
      <c r="B2284" s="6">
        <v>554.0</v>
      </c>
      <c r="C2284" s="13" t="s">
        <v>346</v>
      </c>
      <c r="D2284" s="17">
        <f>SUMIFS(ShadowLedger!$D:$D,ShadowLedger!$G:$G,A2284,ShadowLedger!$C:$C,"&gt;="&amp;DATE(LEFT(SUBSTITUTE(C2284,"'",""),4),MID(SUBSTITUTE(C2284,"'",""),6,2),1),ShadowLedger!$C:$C,"&lt;"&amp;EOMONTH(DATE(LEFT(SUBSTITUTE(C2284,"'",""),4),MID(SUBSTITUTE(C2284,"'",""),6,2),1),0)+1)</f>
        <v>0</v>
      </c>
      <c r="E2284" s="17">
        <f t="shared" si="1"/>
        <v>554</v>
      </c>
      <c r="F2284" s="17">
        <f t="shared" si="2"/>
        <v>0</v>
      </c>
    </row>
    <row r="2285">
      <c r="A2285" s="5" t="s">
        <v>59</v>
      </c>
      <c r="B2285" s="6">
        <v>277.0</v>
      </c>
      <c r="C2285" s="13" t="s">
        <v>346</v>
      </c>
      <c r="D2285" s="17">
        <f>SUMIFS(ShadowLedger!$D:$D,ShadowLedger!$G:$G,A2285,ShadowLedger!$C:$C,"&gt;="&amp;DATE(LEFT(SUBSTITUTE(C2285,"'",""),4),MID(SUBSTITUTE(C2285,"'",""),6,2),1),ShadowLedger!$C:$C,"&lt;"&amp;EOMONTH(DATE(LEFT(SUBSTITUTE(C2285,"'",""),4),MID(SUBSTITUTE(C2285,"'",""),6,2),1),0)+1)</f>
        <v>0</v>
      </c>
      <c r="E2285" s="17">
        <f t="shared" si="1"/>
        <v>277</v>
      </c>
      <c r="F2285" s="17">
        <f t="shared" si="2"/>
        <v>0</v>
      </c>
    </row>
    <row r="2286">
      <c r="A2286" s="5" t="s">
        <v>60</v>
      </c>
      <c r="B2286" s="6">
        <v>208.0</v>
      </c>
      <c r="C2286" s="13" t="s">
        <v>346</v>
      </c>
      <c r="D2286" s="17">
        <f>SUMIFS(ShadowLedger!$D:$D,ShadowLedger!$G:$G,A2286,ShadowLedger!$C:$C,"&gt;="&amp;DATE(LEFT(SUBSTITUTE(C2286,"'",""),4),MID(SUBSTITUTE(C2286,"'",""),6,2),1),ShadowLedger!$C:$C,"&lt;"&amp;EOMONTH(DATE(LEFT(SUBSTITUTE(C2286,"'",""),4),MID(SUBSTITUTE(C2286,"'",""),6,2),1),0)+1)</f>
        <v>0</v>
      </c>
      <c r="E2286" s="17">
        <f t="shared" si="1"/>
        <v>208</v>
      </c>
      <c r="F2286" s="17">
        <f t="shared" si="2"/>
        <v>0</v>
      </c>
    </row>
    <row r="2287">
      <c r="A2287" s="5" t="s">
        <v>61</v>
      </c>
      <c r="B2287" s="6">
        <v>166.0</v>
      </c>
      <c r="C2287" s="13" t="s">
        <v>346</v>
      </c>
      <c r="D2287" s="17">
        <f>SUMIFS(ShadowLedger!$D:$D,ShadowLedger!$G:$G,A2287,ShadowLedger!$C:$C,"&gt;="&amp;DATE(LEFT(SUBSTITUTE(C2287,"'",""),4),MID(SUBSTITUTE(C2287,"'",""),6,2),1),ShadowLedger!$C:$C,"&lt;"&amp;EOMONTH(DATE(LEFT(SUBSTITUTE(C2287,"'",""),4),MID(SUBSTITUTE(C2287,"'",""),6,2),1),0)+1)</f>
        <v>0</v>
      </c>
      <c r="E2287" s="17">
        <f t="shared" si="1"/>
        <v>166</v>
      </c>
      <c r="F2287" s="17">
        <f t="shared" si="2"/>
        <v>0</v>
      </c>
    </row>
    <row r="2288">
      <c r="A2288" s="5" t="s">
        <v>62</v>
      </c>
      <c r="B2288" s="6">
        <v>166.0</v>
      </c>
      <c r="C2288" s="13" t="s">
        <v>346</v>
      </c>
      <c r="D2288" s="17">
        <f>SUMIFS(ShadowLedger!$D:$D,ShadowLedger!$G:$G,A2288,ShadowLedger!$C:$C,"&gt;="&amp;DATE(LEFT(SUBSTITUTE(C2288,"'",""),4),MID(SUBSTITUTE(C2288,"'",""),6,2),1),ShadowLedger!$C:$C,"&lt;"&amp;EOMONTH(DATE(LEFT(SUBSTITUTE(C2288,"'",""),4),MID(SUBSTITUTE(C2288,"'",""),6,2),1),0)+1)</f>
        <v>0</v>
      </c>
      <c r="E2288" s="17">
        <f t="shared" si="1"/>
        <v>166</v>
      </c>
      <c r="F2288" s="17">
        <f t="shared" si="2"/>
        <v>0</v>
      </c>
    </row>
    <row r="2289">
      <c r="A2289" s="5" t="s">
        <v>63</v>
      </c>
      <c r="B2289" s="6">
        <v>138.0</v>
      </c>
      <c r="C2289" s="13" t="s">
        <v>346</v>
      </c>
      <c r="D2289" s="17">
        <f>SUMIFS(ShadowLedger!$D:$D,ShadowLedger!$G:$G,A2289,ShadowLedger!$C:$C,"&gt;="&amp;DATE(LEFT(SUBSTITUTE(C2289,"'",""),4),MID(SUBSTITUTE(C2289,"'",""),6,2),1),ShadowLedger!$C:$C,"&lt;"&amp;EOMONTH(DATE(LEFT(SUBSTITUTE(C2289,"'",""),4),MID(SUBSTITUTE(C2289,"'",""),6,2),1),0)+1)</f>
        <v>0</v>
      </c>
      <c r="E2289" s="17">
        <f t="shared" si="1"/>
        <v>138</v>
      </c>
      <c r="F2289" s="17">
        <f t="shared" si="2"/>
        <v>0</v>
      </c>
    </row>
    <row r="2290">
      <c r="A2290" s="5" t="s">
        <v>64</v>
      </c>
      <c r="B2290" s="6">
        <v>138.0</v>
      </c>
      <c r="C2290" s="13" t="s">
        <v>346</v>
      </c>
      <c r="D2290" s="17">
        <f>SUMIFS(ShadowLedger!$D:$D,ShadowLedger!$G:$G,A2290,ShadowLedger!$C:$C,"&gt;="&amp;DATE(LEFT(SUBSTITUTE(C2290,"'",""),4),MID(SUBSTITUTE(C2290,"'",""),6,2),1),ShadowLedger!$C:$C,"&lt;"&amp;EOMONTH(DATE(LEFT(SUBSTITUTE(C2290,"'",""),4),MID(SUBSTITUTE(C2290,"'",""),6,2),1),0)+1)</f>
        <v>0</v>
      </c>
      <c r="E2290" s="17">
        <f t="shared" si="1"/>
        <v>138</v>
      </c>
      <c r="F2290" s="17">
        <f t="shared" si="2"/>
        <v>0</v>
      </c>
    </row>
    <row r="2291">
      <c r="A2291" s="5" t="s">
        <v>70</v>
      </c>
      <c r="B2291" s="6">
        <v>138.0</v>
      </c>
      <c r="C2291" s="13" t="s">
        <v>346</v>
      </c>
      <c r="D2291" s="17">
        <f>SUMIFS(ShadowLedger!$D:$D,ShadowLedger!$G:$G,A2291,ShadowLedger!$C:$C,"&gt;="&amp;DATE(LEFT(SUBSTITUTE(C2291,"'",""),4),MID(SUBSTITUTE(C2291,"'",""),6,2),1),ShadowLedger!$C:$C,"&lt;"&amp;EOMONTH(DATE(LEFT(SUBSTITUTE(C2291,"'",""),4),MID(SUBSTITUTE(C2291,"'",""),6,2),1),0)+1)</f>
        <v>0</v>
      </c>
      <c r="E2291" s="17">
        <f t="shared" si="1"/>
        <v>138</v>
      </c>
      <c r="F2291" s="17">
        <f t="shared" si="2"/>
        <v>0</v>
      </c>
    </row>
    <row r="2292">
      <c r="A2292" s="5" t="s">
        <v>65</v>
      </c>
      <c r="B2292" s="6">
        <v>69.0</v>
      </c>
      <c r="C2292" s="13" t="s">
        <v>346</v>
      </c>
      <c r="D2292" s="17">
        <f>SUMIFS(ShadowLedger!$D:$D,ShadowLedger!$G:$G,A2292,ShadowLedger!$C:$C,"&gt;="&amp;DATE(LEFT(SUBSTITUTE(C2292,"'",""),4),MID(SUBSTITUTE(C2292,"'",""),6,2),1),ShadowLedger!$C:$C,"&lt;"&amp;EOMONTH(DATE(LEFT(SUBSTITUTE(C2292,"'",""),4),MID(SUBSTITUTE(C2292,"'",""),6,2),1),0)+1)</f>
        <v>0</v>
      </c>
      <c r="E2292" s="17">
        <f t="shared" si="1"/>
        <v>69</v>
      </c>
      <c r="F2292" s="17">
        <f t="shared" si="2"/>
        <v>0</v>
      </c>
    </row>
    <row r="2293">
      <c r="A2293" s="5" t="s">
        <v>66</v>
      </c>
      <c r="B2293" s="6">
        <v>69.0</v>
      </c>
      <c r="C2293" s="13" t="s">
        <v>346</v>
      </c>
      <c r="D2293" s="17">
        <f>SUMIFS(ShadowLedger!$D:$D,ShadowLedger!$G:$G,A2293,ShadowLedger!$C:$C,"&gt;="&amp;DATE(LEFT(SUBSTITUTE(C2293,"'",""),4),MID(SUBSTITUTE(C2293,"'",""),6,2),1),ShadowLedger!$C:$C,"&lt;"&amp;EOMONTH(DATE(LEFT(SUBSTITUTE(C2293,"'",""),4),MID(SUBSTITUTE(C2293,"'",""),6,2),1),0)+1)</f>
        <v>0</v>
      </c>
      <c r="E2293" s="17">
        <f t="shared" si="1"/>
        <v>69</v>
      </c>
      <c r="F2293" s="17">
        <f t="shared" si="2"/>
        <v>0</v>
      </c>
    </row>
    <row r="2294">
      <c r="A2294" s="5" t="s">
        <v>67</v>
      </c>
      <c r="B2294" s="6">
        <v>69.0</v>
      </c>
      <c r="C2294" s="13" t="s">
        <v>346</v>
      </c>
      <c r="D2294" s="17">
        <f>SUMIFS(ShadowLedger!$D:$D,ShadowLedger!$G:$G,A2294,ShadowLedger!$C:$C,"&gt;="&amp;DATE(LEFT(SUBSTITUTE(C2294,"'",""),4),MID(SUBSTITUTE(C2294,"'",""),6,2),1),ShadowLedger!$C:$C,"&lt;"&amp;EOMONTH(DATE(LEFT(SUBSTITUTE(C2294,"'",""),4),MID(SUBSTITUTE(C2294,"'",""),6,2),1),0)+1)</f>
        <v>0</v>
      </c>
      <c r="E2294" s="17">
        <f t="shared" si="1"/>
        <v>69</v>
      </c>
      <c r="F2294" s="17">
        <f t="shared" si="2"/>
        <v>0</v>
      </c>
    </row>
    <row r="2295">
      <c r="A2295" s="5" t="s">
        <v>68</v>
      </c>
      <c r="B2295" s="6">
        <v>69.0</v>
      </c>
      <c r="C2295" s="13" t="s">
        <v>346</v>
      </c>
      <c r="D2295" s="17">
        <f>SUMIFS(ShadowLedger!$D:$D,ShadowLedger!$G:$G,A2295,ShadowLedger!$C:$C,"&gt;="&amp;DATE(LEFT(SUBSTITUTE(C2295,"'",""),4),MID(SUBSTITUTE(C2295,"'",""),6,2),1),ShadowLedger!$C:$C,"&lt;"&amp;EOMONTH(DATE(LEFT(SUBSTITUTE(C2295,"'",""),4),MID(SUBSTITUTE(C2295,"'",""),6,2),1),0)+1)</f>
        <v>0</v>
      </c>
      <c r="E2295" s="17">
        <f t="shared" si="1"/>
        <v>69</v>
      </c>
      <c r="F2295" s="17">
        <f t="shared" si="2"/>
        <v>0</v>
      </c>
    </row>
    <row r="2296">
      <c r="A2296" s="5" t="s">
        <v>69</v>
      </c>
      <c r="B2296" s="6">
        <v>0.0</v>
      </c>
      <c r="C2296" s="13" t="s">
        <v>346</v>
      </c>
      <c r="D2296" s="17">
        <f>SUMIFS(ShadowLedger!$D:$D,ShadowLedger!$G:$G,A2296,ShadowLedger!$C:$C,"&gt;="&amp;DATE(LEFT(SUBSTITUTE(C2296,"'",""),4),MID(SUBSTITUTE(C2296,"'",""),6,2),1),ShadowLedger!$C:$C,"&lt;"&amp;EOMONTH(DATE(LEFT(SUBSTITUTE(C2296,"'",""),4),MID(SUBSTITUTE(C2296,"'",""),6,2),1),0)+1)</f>
        <v>0</v>
      </c>
      <c r="E2296" s="17">
        <f t="shared" si="1"/>
        <v>0</v>
      </c>
      <c r="F2296" s="17">
        <f t="shared" si="2"/>
        <v>0</v>
      </c>
    </row>
    <row r="2297">
      <c r="A2297" s="5" t="s">
        <v>54</v>
      </c>
      <c r="B2297" s="6">
        <v>1273.0</v>
      </c>
      <c r="C2297" s="13" t="s">
        <v>347</v>
      </c>
      <c r="D2297" s="17">
        <f>SUMIFS(ShadowLedger!$D:$D,ShadowLedger!$G:$G,A2297,ShadowLedger!$C:$C,"&gt;="&amp;DATE(LEFT(SUBSTITUTE(C2297,"'",""),4),MID(SUBSTITUTE(C2297,"'",""),6,2),1),ShadowLedger!$C:$C,"&lt;"&amp;EOMONTH(DATE(LEFT(SUBSTITUTE(C2297,"'",""),4),MID(SUBSTITUTE(C2297,"'",""),6,2),1),0)+1)</f>
        <v>0</v>
      </c>
      <c r="E2297" s="17">
        <f t="shared" si="1"/>
        <v>1273</v>
      </c>
      <c r="F2297" s="17">
        <f t="shared" si="2"/>
        <v>0</v>
      </c>
    </row>
    <row r="2298">
      <c r="A2298" s="5" t="s">
        <v>55</v>
      </c>
      <c r="B2298" s="6">
        <v>969.0</v>
      </c>
      <c r="C2298" s="13" t="s">
        <v>347</v>
      </c>
      <c r="D2298" s="17">
        <f>SUMIFS(ShadowLedger!$D:$D,ShadowLedger!$G:$G,A2298,ShadowLedger!$C:$C,"&gt;="&amp;DATE(LEFT(SUBSTITUTE(C2298,"'",""),4),MID(SUBSTITUTE(C2298,"'",""),6,2),1),ShadowLedger!$C:$C,"&lt;"&amp;EOMONTH(DATE(LEFT(SUBSTITUTE(C2298,"'",""),4),MID(SUBSTITUTE(C2298,"'",""),6,2),1),0)+1)</f>
        <v>0</v>
      </c>
      <c r="E2298" s="17">
        <f t="shared" si="1"/>
        <v>969</v>
      </c>
      <c r="F2298" s="17">
        <f t="shared" si="2"/>
        <v>0</v>
      </c>
    </row>
    <row r="2299">
      <c r="A2299" s="5" t="s">
        <v>56</v>
      </c>
      <c r="B2299" s="6">
        <v>692.0</v>
      </c>
      <c r="C2299" s="13" t="s">
        <v>347</v>
      </c>
      <c r="D2299" s="17">
        <f>SUMIFS(ShadowLedger!$D:$D,ShadowLedger!$G:$G,A2299,ShadowLedger!$C:$C,"&gt;="&amp;DATE(LEFT(SUBSTITUTE(C2299,"'",""),4),MID(SUBSTITUTE(C2299,"'",""),6,2),1),ShadowLedger!$C:$C,"&lt;"&amp;EOMONTH(DATE(LEFT(SUBSTITUTE(C2299,"'",""),4),MID(SUBSTITUTE(C2299,"'",""),6,2),1),0)+1)</f>
        <v>0</v>
      </c>
      <c r="E2299" s="17">
        <f t="shared" si="1"/>
        <v>692</v>
      </c>
      <c r="F2299" s="17">
        <f t="shared" si="2"/>
        <v>0</v>
      </c>
    </row>
    <row r="2300">
      <c r="A2300" s="5" t="s">
        <v>57</v>
      </c>
      <c r="B2300" s="6">
        <v>692.0</v>
      </c>
      <c r="C2300" s="13" t="s">
        <v>347</v>
      </c>
      <c r="D2300" s="17">
        <f>SUMIFS(ShadowLedger!$D:$D,ShadowLedger!$G:$G,A2300,ShadowLedger!$C:$C,"&gt;="&amp;DATE(LEFT(SUBSTITUTE(C2300,"'",""),4),MID(SUBSTITUTE(C2300,"'",""),6,2),1),ShadowLedger!$C:$C,"&lt;"&amp;EOMONTH(DATE(LEFT(SUBSTITUTE(C2300,"'",""),4),MID(SUBSTITUTE(C2300,"'",""),6,2),1),0)+1)</f>
        <v>0</v>
      </c>
      <c r="E2300" s="17">
        <f t="shared" si="1"/>
        <v>692</v>
      </c>
      <c r="F2300" s="17">
        <f t="shared" si="2"/>
        <v>0</v>
      </c>
    </row>
    <row r="2301">
      <c r="A2301" s="5" t="s">
        <v>58</v>
      </c>
      <c r="B2301" s="6">
        <v>554.0</v>
      </c>
      <c r="C2301" s="13" t="s">
        <v>347</v>
      </c>
      <c r="D2301" s="17">
        <f>SUMIFS(ShadowLedger!$D:$D,ShadowLedger!$G:$G,A2301,ShadowLedger!$C:$C,"&gt;="&amp;DATE(LEFT(SUBSTITUTE(C2301,"'",""),4),MID(SUBSTITUTE(C2301,"'",""),6,2),1),ShadowLedger!$C:$C,"&lt;"&amp;EOMONTH(DATE(LEFT(SUBSTITUTE(C2301,"'",""),4),MID(SUBSTITUTE(C2301,"'",""),6,2),1),0)+1)</f>
        <v>0</v>
      </c>
      <c r="E2301" s="17">
        <f t="shared" si="1"/>
        <v>554</v>
      </c>
      <c r="F2301" s="17">
        <f t="shared" si="2"/>
        <v>0</v>
      </c>
    </row>
    <row r="2302">
      <c r="A2302" s="5" t="s">
        <v>59</v>
      </c>
      <c r="B2302" s="6">
        <v>277.0</v>
      </c>
      <c r="C2302" s="13" t="s">
        <v>347</v>
      </c>
      <c r="D2302" s="17">
        <f>SUMIFS(ShadowLedger!$D:$D,ShadowLedger!$G:$G,A2302,ShadowLedger!$C:$C,"&gt;="&amp;DATE(LEFT(SUBSTITUTE(C2302,"'",""),4),MID(SUBSTITUTE(C2302,"'",""),6,2),1),ShadowLedger!$C:$C,"&lt;"&amp;EOMONTH(DATE(LEFT(SUBSTITUTE(C2302,"'",""),4),MID(SUBSTITUTE(C2302,"'",""),6,2),1),0)+1)</f>
        <v>0</v>
      </c>
      <c r="E2302" s="17">
        <f t="shared" si="1"/>
        <v>277</v>
      </c>
      <c r="F2302" s="17">
        <f t="shared" si="2"/>
        <v>0</v>
      </c>
    </row>
    <row r="2303">
      <c r="A2303" s="5" t="s">
        <v>60</v>
      </c>
      <c r="B2303" s="6">
        <v>208.0</v>
      </c>
      <c r="C2303" s="13" t="s">
        <v>347</v>
      </c>
      <c r="D2303" s="17">
        <f>SUMIFS(ShadowLedger!$D:$D,ShadowLedger!$G:$G,A2303,ShadowLedger!$C:$C,"&gt;="&amp;DATE(LEFT(SUBSTITUTE(C2303,"'",""),4),MID(SUBSTITUTE(C2303,"'",""),6,2),1),ShadowLedger!$C:$C,"&lt;"&amp;EOMONTH(DATE(LEFT(SUBSTITUTE(C2303,"'",""),4),MID(SUBSTITUTE(C2303,"'",""),6,2),1),0)+1)</f>
        <v>0</v>
      </c>
      <c r="E2303" s="17">
        <f t="shared" si="1"/>
        <v>208</v>
      </c>
      <c r="F2303" s="17">
        <f t="shared" si="2"/>
        <v>0</v>
      </c>
    </row>
    <row r="2304">
      <c r="A2304" s="5" t="s">
        <v>61</v>
      </c>
      <c r="B2304" s="6">
        <v>166.0</v>
      </c>
      <c r="C2304" s="13" t="s">
        <v>347</v>
      </c>
      <c r="D2304" s="17">
        <f>SUMIFS(ShadowLedger!$D:$D,ShadowLedger!$G:$G,A2304,ShadowLedger!$C:$C,"&gt;="&amp;DATE(LEFT(SUBSTITUTE(C2304,"'",""),4),MID(SUBSTITUTE(C2304,"'",""),6,2),1),ShadowLedger!$C:$C,"&lt;"&amp;EOMONTH(DATE(LEFT(SUBSTITUTE(C2304,"'",""),4),MID(SUBSTITUTE(C2304,"'",""),6,2),1),0)+1)</f>
        <v>0</v>
      </c>
      <c r="E2304" s="17">
        <f t="shared" si="1"/>
        <v>166</v>
      </c>
      <c r="F2304" s="17">
        <f t="shared" si="2"/>
        <v>0</v>
      </c>
    </row>
    <row r="2305">
      <c r="A2305" s="5" t="s">
        <v>62</v>
      </c>
      <c r="B2305" s="6">
        <v>166.0</v>
      </c>
      <c r="C2305" s="13" t="s">
        <v>347</v>
      </c>
      <c r="D2305" s="17">
        <f>SUMIFS(ShadowLedger!$D:$D,ShadowLedger!$G:$G,A2305,ShadowLedger!$C:$C,"&gt;="&amp;DATE(LEFT(SUBSTITUTE(C2305,"'",""),4),MID(SUBSTITUTE(C2305,"'",""),6,2),1),ShadowLedger!$C:$C,"&lt;"&amp;EOMONTH(DATE(LEFT(SUBSTITUTE(C2305,"'",""),4),MID(SUBSTITUTE(C2305,"'",""),6,2),1),0)+1)</f>
        <v>0</v>
      </c>
      <c r="E2305" s="17">
        <f t="shared" si="1"/>
        <v>166</v>
      </c>
      <c r="F2305" s="17">
        <f t="shared" si="2"/>
        <v>0</v>
      </c>
    </row>
    <row r="2306">
      <c r="A2306" s="5" t="s">
        <v>63</v>
      </c>
      <c r="B2306" s="6">
        <v>138.0</v>
      </c>
      <c r="C2306" s="13" t="s">
        <v>347</v>
      </c>
      <c r="D2306" s="17">
        <f>SUMIFS(ShadowLedger!$D:$D,ShadowLedger!$G:$G,A2306,ShadowLedger!$C:$C,"&gt;="&amp;DATE(LEFT(SUBSTITUTE(C2306,"'",""),4),MID(SUBSTITUTE(C2306,"'",""),6,2),1),ShadowLedger!$C:$C,"&lt;"&amp;EOMONTH(DATE(LEFT(SUBSTITUTE(C2306,"'",""),4),MID(SUBSTITUTE(C2306,"'",""),6,2),1),0)+1)</f>
        <v>0</v>
      </c>
      <c r="E2306" s="17">
        <f t="shared" si="1"/>
        <v>138</v>
      </c>
      <c r="F2306" s="17">
        <f t="shared" si="2"/>
        <v>0</v>
      </c>
    </row>
    <row r="2307">
      <c r="A2307" s="5" t="s">
        <v>64</v>
      </c>
      <c r="B2307" s="6">
        <v>138.0</v>
      </c>
      <c r="C2307" s="13" t="s">
        <v>347</v>
      </c>
      <c r="D2307" s="17">
        <f>SUMIFS(ShadowLedger!$D:$D,ShadowLedger!$G:$G,A2307,ShadowLedger!$C:$C,"&gt;="&amp;DATE(LEFT(SUBSTITUTE(C2307,"'",""),4),MID(SUBSTITUTE(C2307,"'",""),6,2),1),ShadowLedger!$C:$C,"&lt;"&amp;EOMONTH(DATE(LEFT(SUBSTITUTE(C2307,"'",""),4),MID(SUBSTITUTE(C2307,"'",""),6,2),1),0)+1)</f>
        <v>0</v>
      </c>
      <c r="E2307" s="17">
        <f t="shared" si="1"/>
        <v>138</v>
      </c>
      <c r="F2307" s="17">
        <f t="shared" si="2"/>
        <v>0</v>
      </c>
    </row>
    <row r="2308">
      <c r="A2308" s="5" t="s">
        <v>70</v>
      </c>
      <c r="B2308" s="6">
        <v>138.0</v>
      </c>
      <c r="C2308" s="13" t="s">
        <v>347</v>
      </c>
      <c r="D2308" s="17">
        <f>SUMIFS(ShadowLedger!$D:$D,ShadowLedger!$G:$G,A2308,ShadowLedger!$C:$C,"&gt;="&amp;DATE(LEFT(SUBSTITUTE(C2308,"'",""),4),MID(SUBSTITUTE(C2308,"'",""),6,2),1),ShadowLedger!$C:$C,"&lt;"&amp;EOMONTH(DATE(LEFT(SUBSTITUTE(C2308,"'",""),4),MID(SUBSTITUTE(C2308,"'",""),6,2),1),0)+1)</f>
        <v>0</v>
      </c>
      <c r="E2308" s="17">
        <f t="shared" si="1"/>
        <v>138</v>
      </c>
      <c r="F2308" s="17">
        <f t="shared" si="2"/>
        <v>0</v>
      </c>
    </row>
    <row r="2309">
      <c r="A2309" s="5" t="s">
        <v>65</v>
      </c>
      <c r="B2309" s="6">
        <v>69.0</v>
      </c>
      <c r="C2309" s="13" t="s">
        <v>347</v>
      </c>
      <c r="D2309" s="17">
        <f>SUMIFS(ShadowLedger!$D:$D,ShadowLedger!$G:$G,A2309,ShadowLedger!$C:$C,"&gt;="&amp;DATE(LEFT(SUBSTITUTE(C2309,"'",""),4),MID(SUBSTITUTE(C2309,"'",""),6,2),1),ShadowLedger!$C:$C,"&lt;"&amp;EOMONTH(DATE(LEFT(SUBSTITUTE(C2309,"'",""),4),MID(SUBSTITUTE(C2309,"'",""),6,2),1),0)+1)</f>
        <v>0</v>
      </c>
      <c r="E2309" s="17">
        <f t="shared" si="1"/>
        <v>69</v>
      </c>
      <c r="F2309" s="17">
        <f t="shared" si="2"/>
        <v>0</v>
      </c>
    </row>
    <row r="2310">
      <c r="A2310" s="5" t="s">
        <v>66</v>
      </c>
      <c r="B2310" s="6">
        <v>69.0</v>
      </c>
      <c r="C2310" s="13" t="s">
        <v>347</v>
      </c>
      <c r="D2310" s="17">
        <f>SUMIFS(ShadowLedger!$D:$D,ShadowLedger!$G:$G,A2310,ShadowLedger!$C:$C,"&gt;="&amp;DATE(LEFT(SUBSTITUTE(C2310,"'",""),4),MID(SUBSTITUTE(C2310,"'",""),6,2),1),ShadowLedger!$C:$C,"&lt;"&amp;EOMONTH(DATE(LEFT(SUBSTITUTE(C2310,"'",""),4),MID(SUBSTITUTE(C2310,"'",""),6,2),1),0)+1)</f>
        <v>0</v>
      </c>
      <c r="E2310" s="17">
        <f t="shared" si="1"/>
        <v>69</v>
      </c>
      <c r="F2310" s="17">
        <f t="shared" si="2"/>
        <v>0</v>
      </c>
    </row>
    <row r="2311">
      <c r="A2311" s="5" t="s">
        <v>67</v>
      </c>
      <c r="B2311" s="6">
        <v>69.0</v>
      </c>
      <c r="C2311" s="13" t="s">
        <v>347</v>
      </c>
      <c r="D2311" s="17">
        <f>SUMIFS(ShadowLedger!$D:$D,ShadowLedger!$G:$G,A2311,ShadowLedger!$C:$C,"&gt;="&amp;DATE(LEFT(SUBSTITUTE(C2311,"'",""),4),MID(SUBSTITUTE(C2311,"'",""),6,2),1),ShadowLedger!$C:$C,"&lt;"&amp;EOMONTH(DATE(LEFT(SUBSTITUTE(C2311,"'",""),4),MID(SUBSTITUTE(C2311,"'",""),6,2),1),0)+1)</f>
        <v>0</v>
      </c>
      <c r="E2311" s="17">
        <f t="shared" si="1"/>
        <v>69</v>
      </c>
      <c r="F2311" s="17">
        <f t="shared" si="2"/>
        <v>0</v>
      </c>
    </row>
    <row r="2312">
      <c r="A2312" s="5" t="s">
        <v>68</v>
      </c>
      <c r="B2312" s="6">
        <v>69.0</v>
      </c>
      <c r="C2312" s="13" t="s">
        <v>347</v>
      </c>
      <c r="D2312" s="17">
        <f>SUMIFS(ShadowLedger!$D:$D,ShadowLedger!$G:$G,A2312,ShadowLedger!$C:$C,"&gt;="&amp;DATE(LEFT(SUBSTITUTE(C2312,"'",""),4),MID(SUBSTITUTE(C2312,"'",""),6,2),1),ShadowLedger!$C:$C,"&lt;"&amp;EOMONTH(DATE(LEFT(SUBSTITUTE(C2312,"'",""),4),MID(SUBSTITUTE(C2312,"'",""),6,2),1),0)+1)</f>
        <v>0</v>
      </c>
      <c r="E2312" s="17">
        <f t="shared" si="1"/>
        <v>69</v>
      </c>
      <c r="F2312" s="17">
        <f t="shared" si="2"/>
        <v>0</v>
      </c>
    </row>
    <row r="2313">
      <c r="A2313" s="5" t="s">
        <v>69</v>
      </c>
      <c r="B2313" s="6">
        <v>0.0</v>
      </c>
      <c r="C2313" s="13" t="s">
        <v>347</v>
      </c>
      <c r="D2313" s="17">
        <f>SUMIFS(ShadowLedger!$D:$D,ShadowLedger!$G:$G,A2313,ShadowLedger!$C:$C,"&gt;="&amp;DATE(LEFT(SUBSTITUTE(C2313,"'",""),4),MID(SUBSTITUTE(C2313,"'",""),6,2),1),ShadowLedger!$C:$C,"&lt;"&amp;EOMONTH(DATE(LEFT(SUBSTITUTE(C2313,"'",""),4),MID(SUBSTITUTE(C2313,"'",""),6,2),1),0)+1)</f>
        <v>0</v>
      </c>
      <c r="E2313" s="17">
        <f t="shared" si="1"/>
        <v>0</v>
      </c>
      <c r="F2313" s="17">
        <f t="shared" si="2"/>
        <v>0</v>
      </c>
    </row>
    <row r="2314">
      <c r="A2314" s="5" t="s">
        <v>54</v>
      </c>
      <c r="B2314" s="6">
        <v>1273.0</v>
      </c>
      <c r="C2314" s="13" t="s">
        <v>348</v>
      </c>
      <c r="D2314" s="17">
        <f>SUMIFS(ShadowLedger!$D:$D,ShadowLedger!$G:$G,A2314,ShadowLedger!$C:$C,"&gt;="&amp;DATE(LEFT(SUBSTITUTE(C2314,"'",""),4),MID(SUBSTITUTE(C2314,"'",""),6,2),1),ShadowLedger!$C:$C,"&lt;"&amp;EOMONTH(DATE(LEFT(SUBSTITUTE(C2314,"'",""),4),MID(SUBSTITUTE(C2314,"'",""),6,2),1),0)+1)</f>
        <v>0</v>
      </c>
      <c r="E2314" s="17">
        <f t="shared" si="1"/>
        <v>1273</v>
      </c>
      <c r="F2314" s="17">
        <f t="shared" si="2"/>
        <v>0</v>
      </c>
    </row>
    <row r="2315">
      <c r="A2315" s="5" t="s">
        <v>55</v>
      </c>
      <c r="B2315" s="6">
        <v>969.0</v>
      </c>
      <c r="C2315" s="13" t="s">
        <v>348</v>
      </c>
      <c r="D2315" s="17">
        <f>SUMIFS(ShadowLedger!$D:$D,ShadowLedger!$G:$G,A2315,ShadowLedger!$C:$C,"&gt;="&amp;DATE(LEFT(SUBSTITUTE(C2315,"'",""),4),MID(SUBSTITUTE(C2315,"'",""),6,2),1),ShadowLedger!$C:$C,"&lt;"&amp;EOMONTH(DATE(LEFT(SUBSTITUTE(C2315,"'",""),4),MID(SUBSTITUTE(C2315,"'",""),6,2),1),0)+1)</f>
        <v>0</v>
      </c>
      <c r="E2315" s="17">
        <f t="shared" si="1"/>
        <v>969</v>
      </c>
      <c r="F2315" s="17">
        <f t="shared" si="2"/>
        <v>0</v>
      </c>
    </row>
    <row r="2316">
      <c r="A2316" s="5" t="s">
        <v>56</v>
      </c>
      <c r="B2316" s="6">
        <v>692.0</v>
      </c>
      <c r="C2316" s="13" t="s">
        <v>348</v>
      </c>
      <c r="D2316" s="17">
        <f>SUMIFS(ShadowLedger!$D:$D,ShadowLedger!$G:$G,A2316,ShadowLedger!$C:$C,"&gt;="&amp;DATE(LEFT(SUBSTITUTE(C2316,"'",""),4),MID(SUBSTITUTE(C2316,"'",""),6,2),1),ShadowLedger!$C:$C,"&lt;"&amp;EOMONTH(DATE(LEFT(SUBSTITUTE(C2316,"'",""),4),MID(SUBSTITUTE(C2316,"'",""),6,2),1),0)+1)</f>
        <v>0</v>
      </c>
      <c r="E2316" s="17">
        <f t="shared" si="1"/>
        <v>692</v>
      </c>
      <c r="F2316" s="17">
        <f t="shared" si="2"/>
        <v>0</v>
      </c>
    </row>
    <row r="2317">
      <c r="A2317" s="5" t="s">
        <v>57</v>
      </c>
      <c r="B2317" s="6">
        <v>692.0</v>
      </c>
      <c r="C2317" s="13" t="s">
        <v>348</v>
      </c>
      <c r="D2317" s="17">
        <f>SUMIFS(ShadowLedger!$D:$D,ShadowLedger!$G:$G,A2317,ShadowLedger!$C:$C,"&gt;="&amp;DATE(LEFT(SUBSTITUTE(C2317,"'",""),4),MID(SUBSTITUTE(C2317,"'",""),6,2),1),ShadowLedger!$C:$C,"&lt;"&amp;EOMONTH(DATE(LEFT(SUBSTITUTE(C2317,"'",""),4),MID(SUBSTITUTE(C2317,"'",""),6,2),1),0)+1)</f>
        <v>0</v>
      </c>
      <c r="E2317" s="17">
        <f t="shared" si="1"/>
        <v>692</v>
      </c>
      <c r="F2317" s="17">
        <f t="shared" si="2"/>
        <v>0</v>
      </c>
    </row>
    <row r="2318">
      <c r="A2318" s="5" t="s">
        <v>58</v>
      </c>
      <c r="B2318" s="6">
        <v>554.0</v>
      </c>
      <c r="C2318" s="13" t="s">
        <v>348</v>
      </c>
      <c r="D2318" s="17">
        <f>SUMIFS(ShadowLedger!$D:$D,ShadowLedger!$G:$G,A2318,ShadowLedger!$C:$C,"&gt;="&amp;DATE(LEFT(SUBSTITUTE(C2318,"'",""),4),MID(SUBSTITUTE(C2318,"'",""),6,2),1),ShadowLedger!$C:$C,"&lt;"&amp;EOMONTH(DATE(LEFT(SUBSTITUTE(C2318,"'",""),4),MID(SUBSTITUTE(C2318,"'",""),6,2),1),0)+1)</f>
        <v>0</v>
      </c>
      <c r="E2318" s="17">
        <f t="shared" si="1"/>
        <v>554</v>
      </c>
      <c r="F2318" s="17">
        <f t="shared" si="2"/>
        <v>0</v>
      </c>
    </row>
    <row r="2319">
      <c r="A2319" s="5" t="s">
        <v>59</v>
      </c>
      <c r="B2319" s="6">
        <v>277.0</v>
      </c>
      <c r="C2319" s="13" t="s">
        <v>348</v>
      </c>
      <c r="D2319" s="17">
        <f>SUMIFS(ShadowLedger!$D:$D,ShadowLedger!$G:$G,A2319,ShadowLedger!$C:$C,"&gt;="&amp;DATE(LEFT(SUBSTITUTE(C2319,"'",""),4),MID(SUBSTITUTE(C2319,"'",""),6,2),1),ShadowLedger!$C:$C,"&lt;"&amp;EOMONTH(DATE(LEFT(SUBSTITUTE(C2319,"'",""),4),MID(SUBSTITUTE(C2319,"'",""),6,2),1),0)+1)</f>
        <v>0</v>
      </c>
      <c r="E2319" s="17">
        <f t="shared" si="1"/>
        <v>277</v>
      </c>
      <c r="F2319" s="17">
        <f t="shared" si="2"/>
        <v>0</v>
      </c>
    </row>
    <row r="2320">
      <c r="A2320" s="5" t="s">
        <v>60</v>
      </c>
      <c r="B2320" s="6">
        <v>208.0</v>
      </c>
      <c r="C2320" s="13" t="s">
        <v>348</v>
      </c>
      <c r="D2320" s="17">
        <f>SUMIFS(ShadowLedger!$D:$D,ShadowLedger!$G:$G,A2320,ShadowLedger!$C:$C,"&gt;="&amp;DATE(LEFT(SUBSTITUTE(C2320,"'",""),4),MID(SUBSTITUTE(C2320,"'",""),6,2),1),ShadowLedger!$C:$C,"&lt;"&amp;EOMONTH(DATE(LEFT(SUBSTITUTE(C2320,"'",""),4),MID(SUBSTITUTE(C2320,"'",""),6,2),1),0)+1)</f>
        <v>0</v>
      </c>
      <c r="E2320" s="17">
        <f t="shared" si="1"/>
        <v>208</v>
      </c>
      <c r="F2320" s="17">
        <f t="shared" si="2"/>
        <v>0</v>
      </c>
    </row>
    <row r="2321">
      <c r="A2321" s="5" t="s">
        <v>61</v>
      </c>
      <c r="B2321" s="6">
        <v>166.0</v>
      </c>
      <c r="C2321" s="13" t="s">
        <v>348</v>
      </c>
      <c r="D2321" s="17">
        <f>SUMIFS(ShadowLedger!$D:$D,ShadowLedger!$G:$G,A2321,ShadowLedger!$C:$C,"&gt;="&amp;DATE(LEFT(SUBSTITUTE(C2321,"'",""),4),MID(SUBSTITUTE(C2321,"'",""),6,2),1),ShadowLedger!$C:$C,"&lt;"&amp;EOMONTH(DATE(LEFT(SUBSTITUTE(C2321,"'",""),4),MID(SUBSTITUTE(C2321,"'",""),6,2),1),0)+1)</f>
        <v>0</v>
      </c>
      <c r="E2321" s="17">
        <f t="shared" si="1"/>
        <v>166</v>
      </c>
      <c r="F2321" s="17">
        <f t="shared" si="2"/>
        <v>0</v>
      </c>
    </row>
    <row r="2322">
      <c r="A2322" s="5" t="s">
        <v>62</v>
      </c>
      <c r="B2322" s="6">
        <v>166.0</v>
      </c>
      <c r="C2322" s="13" t="s">
        <v>348</v>
      </c>
      <c r="D2322" s="17">
        <f>SUMIFS(ShadowLedger!$D:$D,ShadowLedger!$G:$G,A2322,ShadowLedger!$C:$C,"&gt;="&amp;DATE(LEFT(SUBSTITUTE(C2322,"'",""),4),MID(SUBSTITUTE(C2322,"'",""),6,2),1),ShadowLedger!$C:$C,"&lt;"&amp;EOMONTH(DATE(LEFT(SUBSTITUTE(C2322,"'",""),4),MID(SUBSTITUTE(C2322,"'",""),6,2),1),0)+1)</f>
        <v>0</v>
      </c>
      <c r="E2322" s="17">
        <f t="shared" si="1"/>
        <v>166</v>
      </c>
      <c r="F2322" s="17">
        <f t="shared" si="2"/>
        <v>0</v>
      </c>
    </row>
    <row r="2323">
      <c r="A2323" s="5" t="s">
        <v>63</v>
      </c>
      <c r="B2323" s="6">
        <v>138.0</v>
      </c>
      <c r="C2323" s="13" t="s">
        <v>348</v>
      </c>
      <c r="D2323" s="17">
        <f>SUMIFS(ShadowLedger!$D:$D,ShadowLedger!$G:$G,A2323,ShadowLedger!$C:$C,"&gt;="&amp;DATE(LEFT(SUBSTITUTE(C2323,"'",""),4),MID(SUBSTITUTE(C2323,"'",""),6,2),1),ShadowLedger!$C:$C,"&lt;"&amp;EOMONTH(DATE(LEFT(SUBSTITUTE(C2323,"'",""),4),MID(SUBSTITUTE(C2323,"'",""),6,2),1),0)+1)</f>
        <v>0</v>
      </c>
      <c r="E2323" s="17">
        <f t="shared" si="1"/>
        <v>138</v>
      </c>
      <c r="F2323" s="17">
        <f t="shared" si="2"/>
        <v>0</v>
      </c>
    </row>
    <row r="2324">
      <c r="A2324" s="5" t="s">
        <v>64</v>
      </c>
      <c r="B2324" s="6">
        <v>138.0</v>
      </c>
      <c r="C2324" s="13" t="s">
        <v>348</v>
      </c>
      <c r="D2324" s="17">
        <f>SUMIFS(ShadowLedger!$D:$D,ShadowLedger!$G:$G,A2324,ShadowLedger!$C:$C,"&gt;="&amp;DATE(LEFT(SUBSTITUTE(C2324,"'",""),4),MID(SUBSTITUTE(C2324,"'",""),6,2),1),ShadowLedger!$C:$C,"&lt;"&amp;EOMONTH(DATE(LEFT(SUBSTITUTE(C2324,"'",""),4),MID(SUBSTITUTE(C2324,"'",""),6,2),1),0)+1)</f>
        <v>0</v>
      </c>
      <c r="E2324" s="17">
        <f t="shared" si="1"/>
        <v>138</v>
      </c>
      <c r="F2324" s="17">
        <f t="shared" si="2"/>
        <v>0</v>
      </c>
    </row>
    <row r="2325">
      <c r="A2325" s="5" t="s">
        <v>70</v>
      </c>
      <c r="B2325" s="6">
        <v>138.0</v>
      </c>
      <c r="C2325" s="13" t="s">
        <v>348</v>
      </c>
      <c r="D2325" s="17">
        <f>SUMIFS(ShadowLedger!$D:$D,ShadowLedger!$G:$G,A2325,ShadowLedger!$C:$C,"&gt;="&amp;DATE(LEFT(SUBSTITUTE(C2325,"'",""),4),MID(SUBSTITUTE(C2325,"'",""),6,2),1),ShadowLedger!$C:$C,"&lt;"&amp;EOMONTH(DATE(LEFT(SUBSTITUTE(C2325,"'",""),4),MID(SUBSTITUTE(C2325,"'",""),6,2),1),0)+1)</f>
        <v>0</v>
      </c>
      <c r="E2325" s="17">
        <f t="shared" si="1"/>
        <v>138</v>
      </c>
      <c r="F2325" s="17">
        <f t="shared" si="2"/>
        <v>0</v>
      </c>
    </row>
    <row r="2326">
      <c r="A2326" s="5" t="s">
        <v>65</v>
      </c>
      <c r="B2326" s="6">
        <v>69.0</v>
      </c>
      <c r="C2326" s="13" t="s">
        <v>348</v>
      </c>
      <c r="D2326" s="17">
        <f>SUMIFS(ShadowLedger!$D:$D,ShadowLedger!$G:$G,A2326,ShadowLedger!$C:$C,"&gt;="&amp;DATE(LEFT(SUBSTITUTE(C2326,"'",""),4),MID(SUBSTITUTE(C2326,"'",""),6,2),1),ShadowLedger!$C:$C,"&lt;"&amp;EOMONTH(DATE(LEFT(SUBSTITUTE(C2326,"'",""),4),MID(SUBSTITUTE(C2326,"'",""),6,2),1),0)+1)</f>
        <v>0</v>
      </c>
      <c r="E2326" s="17">
        <f t="shared" si="1"/>
        <v>69</v>
      </c>
      <c r="F2326" s="17">
        <f t="shared" si="2"/>
        <v>0</v>
      </c>
    </row>
    <row r="2327">
      <c r="A2327" s="5" t="s">
        <v>66</v>
      </c>
      <c r="B2327" s="6">
        <v>69.0</v>
      </c>
      <c r="C2327" s="13" t="s">
        <v>348</v>
      </c>
      <c r="D2327" s="17">
        <f>SUMIFS(ShadowLedger!$D:$D,ShadowLedger!$G:$G,A2327,ShadowLedger!$C:$C,"&gt;="&amp;DATE(LEFT(SUBSTITUTE(C2327,"'",""),4),MID(SUBSTITUTE(C2327,"'",""),6,2),1),ShadowLedger!$C:$C,"&lt;"&amp;EOMONTH(DATE(LEFT(SUBSTITUTE(C2327,"'",""),4),MID(SUBSTITUTE(C2327,"'",""),6,2),1),0)+1)</f>
        <v>0</v>
      </c>
      <c r="E2327" s="17">
        <f t="shared" si="1"/>
        <v>69</v>
      </c>
      <c r="F2327" s="17">
        <f t="shared" si="2"/>
        <v>0</v>
      </c>
    </row>
    <row r="2328">
      <c r="A2328" s="5" t="s">
        <v>67</v>
      </c>
      <c r="B2328" s="6">
        <v>69.0</v>
      </c>
      <c r="C2328" s="13" t="s">
        <v>348</v>
      </c>
      <c r="D2328" s="17">
        <f>SUMIFS(ShadowLedger!$D:$D,ShadowLedger!$G:$G,A2328,ShadowLedger!$C:$C,"&gt;="&amp;DATE(LEFT(SUBSTITUTE(C2328,"'",""),4),MID(SUBSTITUTE(C2328,"'",""),6,2),1),ShadowLedger!$C:$C,"&lt;"&amp;EOMONTH(DATE(LEFT(SUBSTITUTE(C2328,"'",""),4),MID(SUBSTITUTE(C2328,"'",""),6,2),1),0)+1)</f>
        <v>0</v>
      </c>
      <c r="E2328" s="17">
        <f t="shared" si="1"/>
        <v>69</v>
      </c>
      <c r="F2328" s="17">
        <f t="shared" si="2"/>
        <v>0</v>
      </c>
    </row>
    <row r="2329">
      <c r="A2329" s="5" t="s">
        <v>68</v>
      </c>
      <c r="B2329" s="6">
        <v>69.0</v>
      </c>
      <c r="C2329" s="13" t="s">
        <v>348</v>
      </c>
      <c r="D2329" s="17">
        <f>SUMIFS(ShadowLedger!$D:$D,ShadowLedger!$G:$G,A2329,ShadowLedger!$C:$C,"&gt;="&amp;DATE(LEFT(SUBSTITUTE(C2329,"'",""),4),MID(SUBSTITUTE(C2329,"'",""),6,2),1),ShadowLedger!$C:$C,"&lt;"&amp;EOMONTH(DATE(LEFT(SUBSTITUTE(C2329,"'",""),4),MID(SUBSTITUTE(C2329,"'",""),6,2),1),0)+1)</f>
        <v>0</v>
      </c>
      <c r="E2329" s="17">
        <f t="shared" si="1"/>
        <v>69</v>
      </c>
      <c r="F2329" s="17">
        <f t="shared" si="2"/>
        <v>0</v>
      </c>
    </row>
    <row r="2330">
      <c r="A2330" s="5" t="s">
        <v>69</v>
      </c>
      <c r="B2330" s="6">
        <v>0.0</v>
      </c>
      <c r="C2330" s="13" t="s">
        <v>348</v>
      </c>
      <c r="D2330" s="17">
        <f>SUMIFS(ShadowLedger!$D:$D,ShadowLedger!$G:$G,A2330,ShadowLedger!$C:$C,"&gt;="&amp;DATE(LEFT(SUBSTITUTE(C2330,"'",""),4),MID(SUBSTITUTE(C2330,"'",""),6,2),1),ShadowLedger!$C:$C,"&lt;"&amp;EOMONTH(DATE(LEFT(SUBSTITUTE(C2330,"'",""),4),MID(SUBSTITUTE(C2330,"'",""),6,2),1),0)+1)</f>
        <v>0</v>
      </c>
      <c r="E2330" s="17">
        <f t="shared" si="1"/>
        <v>0</v>
      </c>
      <c r="F2330" s="17">
        <f t="shared" si="2"/>
        <v>0</v>
      </c>
    </row>
    <row r="2331">
      <c r="A2331" s="5" t="s">
        <v>54</v>
      </c>
      <c r="B2331" s="6">
        <v>1273.0</v>
      </c>
      <c r="C2331" s="13" t="s">
        <v>349</v>
      </c>
      <c r="D2331" s="17">
        <f>SUMIFS(ShadowLedger!$D:$D,ShadowLedger!$G:$G,A2331,ShadowLedger!$C:$C,"&gt;="&amp;DATE(LEFT(SUBSTITUTE(C2331,"'",""),4),MID(SUBSTITUTE(C2331,"'",""),6,2),1),ShadowLedger!$C:$C,"&lt;"&amp;EOMONTH(DATE(LEFT(SUBSTITUTE(C2331,"'",""),4),MID(SUBSTITUTE(C2331,"'",""),6,2),1),0)+1)</f>
        <v>0</v>
      </c>
      <c r="E2331" s="17">
        <f t="shared" si="1"/>
        <v>1273</v>
      </c>
      <c r="F2331" s="17">
        <f t="shared" si="2"/>
        <v>0</v>
      </c>
    </row>
    <row r="2332">
      <c r="A2332" s="5" t="s">
        <v>55</v>
      </c>
      <c r="B2332" s="6">
        <v>969.0</v>
      </c>
      <c r="C2332" s="13" t="s">
        <v>349</v>
      </c>
      <c r="D2332" s="17">
        <f>SUMIFS(ShadowLedger!$D:$D,ShadowLedger!$G:$G,A2332,ShadowLedger!$C:$C,"&gt;="&amp;DATE(LEFT(SUBSTITUTE(C2332,"'",""),4),MID(SUBSTITUTE(C2332,"'",""),6,2),1),ShadowLedger!$C:$C,"&lt;"&amp;EOMONTH(DATE(LEFT(SUBSTITUTE(C2332,"'",""),4),MID(SUBSTITUTE(C2332,"'",""),6,2),1),0)+1)</f>
        <v>0</v>
      </c>
      <c r="E2332" s="17">
        <f t="shared" si="1"/>
        <v>969</v>
      </c>
      <c r="F2332" s="17">
        <f t="shared" si="2"/>
        <v>0</v>
      </c>
    </row>
    <row r="2333">
      <c r="A2333" s="5" t="s">
        <v>56</v>
      </c>
      <c r="B2333" s="6">
        <v>692.0</v>
      </c>
      <c r="C2333" s="13" t="s">
        <v>349</v>
      </c>
      <c r="D2333" s="17">
        <f>SUMIFS(ShadowLedger!$D:$D,ShadowLedger!$G:$G,A2333,ShadowLedger!$C:$C,"&gt;="&amp;DATE(LEFT(SUBSTITUTE(C2333,"'",""),4),MID(SUBSTITUTE(C2333,"'",""),6,2),1),ShadowLedger!$C:$C,"&lt;"&amp;EOMONTH(DATE(LEFT(SUBSTITUTE(C2333,"'",""),4),MID(SUBSTITUTE(C2333,"'",""),6,2),1),0)+1)</f>
        <v>0</v>
      </c>
      <c r="E2333" s="17">
        <f t="shared" si="1"/>
        <v>692</v>
      </c>
      <c r="F2333" s="17">
        <f t="shared" si="2"/>
        <v>0</v>
      </c>
    </row>
    <row r="2334">
      <c r="A2334" s="5" t="s">
        <v>57</v>
      </c>
      <c r="B2334" s="6">
        <v>692.0</v>
      </c>
      <c r="C2334" s="13" t="s">
        <v>349</v>
      </c>
      <c r="D2334" s="17">
        <f>SUMIFS(ShadowLedger!$D:$D,ShadowLedger!$G:$G,A2334,ShadowLedger!$C:$C,"&gt;="&amp;DATE(LEFT(SUBSTITUTE(C2334,"'",""),4),MID(SUBSTITUTE(C2334,"'",""),6,2),1),ShadowLedger!$C:$C,"&lt;"&amp;EOMONTH(DATE(LEFT(SUBSTITUTE(C2334,"'",""),4),MID(SUBSTITUTE(C2334,"'",""),6,2),1),0)+1)</f>
        <v>0</v>
      </c>
      <c r="E2334" s="17">
        <f t="shared" si="1"/>
        <v>692</v>
      </c>
      <c r="F2334" s="17">
        <f t="shared" si="2"/>
        <v>0</v>
      </c>
    </row>
    <row r="2335">
      <c r="A2335" s="5" t="s">
        <v>58</v>
      </c>
      <c r="B2335" s="6">
        <v>554.0</v>
      </c>
      <c r="C2335" s="13" t="s">
        <v>349</v>
      </c>
      <c r="D2335" s="17">
        <f>SUMIFS(ShadowLedger!$D:$D,ShadowLedger!$G:$G,A2335,ShadowLedger!$C:$C,"&gt;="&amp;DATE(LEFT(SUBSTITUTE(C2335,"'",""),4),MID(SUBSTITUTE(C2335,"'",""),6,2),1),ShadowLedger!$C:$C,"&lt;"&amp;EOMONTH(DATE(LEFT(SUBSTITUTE(C2335,"'",""),4),MID(SUBSTITUTE(C2335,"'",""),6,2),1),0)+1)</f>
        <v>0</v>
      </c>
      <c r="E2335" s="17">
        <f t="shared" si="1"/>
        <v>554</v>
      </c>
      <c r="F2335" s="17">
        <f t="shared" si="2"/>
        <v>0</v>
      </c>
    </row>
    <row r="2336">
      <c r="A2336" s="5" t="s">
        <v>59</v>
      </c>
      <c r="B2336" s="6">
        <v>277.0</v>
      </c>
      <c r="C2336" s="13" t="s">
        <v>349</v>
      </c>
      <c r="D2336" s="17">
        <f>SUMIFS(ShadowLedger!$D:$D,ShadowLedger!$G:$G,A2336,ShadowLedger!$C:$C,"&gt;="&amp;DATE(LEFT(SUBSTITUTE(C2336,"'",""),4),MID(SUBSTITUTE(C2336,"'",""),6,2),1),ShadowLedger!$C:$C,"&lt;"&amp;EOMONTH(DATE(LEFT(SUBSTITUTE(C2336,"'",""),4),MID(SUBSTITUTE(C2336,"'",""),6,2),1),0)+1)</f>
        <v>0</v>
      </c>
      <c r="E2336" s="17">
        <f t="shared" si="1"/>
        <v>277</v>
      </c>
      <c r="F2336" s="17">
        <f t="shared" si="2"/>
        <v>0</v>
      </c>
    </row>
    <row r="2337">
      <c r="A2337" s="5" t="s">
        <v>60</v>
      </c>
      <c r="B2337" s="6">
        <v>208.0</v>
      </c>
      <c r="C2337" s="13" t="s">
        <v>349</v>
      </c>
      <c r="D2337" s="17">
        <f>SUMIFS(ShadowLedger!$D:$D,ShadowLedger!$G:$G,A2337,ShadowLedger!$C:$C,"&gt;="&amp;DATE(LEFT(SUBSTITUTE(C2337,"'",""),4),MID(SUBSTITUTE(C2337,"'",""),6,2),1),ShadowLedger!$C:$C,"&lt;"&amp;EOMONTH(DATE(LEFT(SUBSTITUTE(C2337,"'",""),4),MID(SUBSTITUTE(C2337,"'",""),6,2),1),0)+1)</f>
        <v>0</v>
      </c>
      <c r="E2337" s="17">
        <f t="shared" si="1"/>
        <v>208</v>
      </c>
      <c r="F2337" s="17">
        <f t="shared" si="2"/>
        <v>0</v>
      </c>
    </row>
    <row r="2338">
      <c r="A2338" s="5" t="s">
        <v>61</v>
      </c>
      <c r="B2338" s="6">
        <v>166.0</v>
      </c>
      <c r="C2338" s="13" t="s">
        <v>349</v>
      </c>
      <c r="D2338" s="17">
        <f>SUMIFS(ShadowLedger!$D:$D,ShadowLedger!$G:$G,A2338,ShadowLedger!$C:$C,"&gt;="&amp;DATE(LEFT(SUBSTITUTE(C2338,"'",""),4),MID(SUBSTITUTE(C2338,"'",""),6,2),1),ShadowLedger!$C:$C,"&lt;"&amp;EOMONTH(DATE(LEFT(SUBSTITUTE(C2338,"'",""),4),MID(SUBSTITUTE(C2338,"'",""),6,2),1),0)+1)</f>
        <v>0</v>
      </c>
      <c r="E2338" s="17">
        <f t="shared" si="1"/>
        <v>166</v>
      </c>
      <c r="F2338" s="17">
        <f t="shared" si="2"/>
        <v>0</v>
      </c>
    </row>
    <row r="2339">
      <c r="A2339" s="5" t="s">
        <v>62</v>
      </c>
      <c r="B2339" s="6">
        <v>166.0</v>
      </c>
      <c r="C2339" s="13" t="s">
        <v>349</v>
      </c>
      <c r="D2339" s="17">
        <f>SUMIFS(ShadowLedger!$D:$D,ShadowLedger!$G:$G,A2339,ShadowLedger!$C:$C,"&gt;="&amp;DATE(LEFT(SUBSTITUTE(C2339,"'",""),4),MID(SUBSTITUTE(C2339,"'",""),6,2),1),ShadowLedger!$C:$C,"&lt;"&amp;EOMONTH(DATE(LEFT(SUBSTITUTE(C2339,"'",""),4),MID(SUBSTITUTE(C2339,"'",""),6,2),1),0)+1)</f>
        <v>0</v>
      </c>
      <c r="E2339" s="17">
        <f t="shared" si="1"/>
        <v>166</v>
      </c>
      <c r="F2339" s="17">
        <f t="shared" si="2"/>
        <v>0</v>
      </c>
    </row>
    <row r="2340">
      <c r="A2340" s="5" t="s">
        <v>63</v>
      </c>
      <c r="B2340" s="6">
        <v>138.0</v>
      </c>
      <c r="C2340" s="13" t="s">
        <v>349</v>
      </c>
      <c r="D2340" s="17">
        <f>SUMIFS(ShadowLedger!$D:$D,ShadowLedger!$G:$G,A2340,ShadowLedger!$C:$C,"&gt;="&amp;DATE(LEFT(SUBSTITUTE(C2340,"'",""),4),MID(SUBSTITUTE(C2340,"'",""),6,2),1),ShadowLedger!$C:$C,"&lt;"&amp;EOMONTH(DATE(LEFT(SUBSTITUTE(C2340,"'",""),4),MID(SUBSTITUTE(C2340,"'",""),6,2),1),0)+1)</f>
        <v>0</v>
      </c>
      <c r="E2340" s="17">
        <f t="shared" si="1"/>
        <v>138</v>
      </c>
      <c r="F2340" s="17">
        <f t="shared" si="2"/>
        <v>0</v>
      </c>
    </row>
    <row r="2341">
      <c r="A2341" s="5" t="s">
        <v>64</v>
      </c>
      <c r="B2341" s="6">
        <v>138.0</v>
      </c>
      <c r="C2341" s="13" t="s">
        <v>349</v>
      </c>
      <c r="D2341" s="17">
        <f>SUMIFS(ShadowLedger!$D:$D,ShadowLedger!$G:$G,A2341,ShadowLedger!$C:$C,"&gt;="&amp;DATE(LEFT(SUBSTITUTE(C2341,"'",""),4),MID(SUBSTITUTE(C2341,"'",""),6,2),1),ShadowLedger!$C:$C,"&lt;"&amp;EOMONTH(DATE(LEFT(SUBSTITUTE(C2341,"'",""),4),MID(SUBSTITUTE(C2341,"'",""),6,2),1),0)+1)</f>
        <v>0</v>
      </c>
      <c r="E2341" s="17">
        <f t="shared" si="1"/>
        <v>138</v>
      </c>
      <c r="F2341" s="17">
        <f t="shared" si="2"/>
        <v>0</v>
      </c>
    </row>
    <row r="2342">
      <c r="A2342" s="5" t="s">
        <v>70</v>
      </c>
      <c r="B2342" s="6">
        <v>138.0</v>
      </c>
      <c r="C2342" s="13" t="s">
        <v>349</v>
      </c>
      <c r="D2342" s="17">
        <f>SUMIFS(ShadowLedger!$D:$D,ShadowLedger!$G:$G,A2342,ShadowLedger!$C:$C,"&gt;="&amp;DATE(LEFT(SUBSTITUTE(C2342,"'",""),4),MID(SUBSTITUTE(C2342,"'",""),6,2),1),ShadowLedger!$C:$C,"&lt;"&amp;EOMONTH(DATE(LEFT(SUBSTITUTE(C2342,"'",""),4),MID(SUBSTITUTE(C2342,"'",""),6,2),1),0)+1)</f>
        <v>0</v>
      </c>
      <c r="E2342" s="17">
        <f t="shared" si="1"/>
        <v>138</v>
      </c>
      <c r="F2342" s="17">
        <f t="shared" si="2"/>
        <v>0</v>
      </c>
    </row>
    <row r="2343">
      <c r="A2343" s="5" t="s">
        <v>65</v>
      </c>
      <c r="B2343" s="6">
        <v>69.0</v>
      </c>
      <c r="C2343" s="13" t="s">
        <v>349</v>
      </c>
      <c r="D2343" s="17">
        <f>SUMIFS(ShadowLedger!$D:$D,ShadowLedger!$G:$G,A2343,ShadowLedger!$C:$C,"&gt;="&amp;DATE(LEFT(SUBSTITUTE(C2343,"'",""),4),MID(SUBSTITUTE(C2343,"'",""),6,2),1),ShadowLedger!$C:$C,"&lt;"&amp;EOMONTH(DATE(LEFT(SUBSTITUTE(C2343,"'",""),4),MID(SUBSTITUTE(C2343,"'",""),6,2),1),0)+1)</f>
        <v>0</v>
      </c>
      <c r="E2343" s="17">
        <f t="shared" si="1"/>
        <v>69</v>
      </c>
      <c r="F2343" s="17">
        <f t="shared" si="2"/>
        <v>0</v>
      </c>
    </row>
    <row r="2344">
      <c r="A2344" s="5" t="s">
        <v>66</v>
      </c>
      <c r="B2344" s="6">
        <v>69.0</v>
      </c>
      <c r="C2344" s="13" t="s">
        <v>349</v>
      </c>
      <c r="D2344" s="17">
        <f>SUMIFS(ShadowLedger!$D:$D,ShadowLedger!$G:$G,A2344,ShadowLedger!$C:$C,"&gt;="&amp;DATE(LEFT(SUBSTITUTE(C2344,"'",""),4),MID(SUBSTITUTE(C2344,"'",""),6,2),1),ShadowLedger!$C:$C,"&lt;"&amp;EOMONTH(DATE(LEFT(SUBSTITUTE(C2344,"'",""),4),MID(SUBSTITUTE(C2344,"'",""),6,2),1),0)+1)</f>
        <v>0</v>
      </c>
      <c r="E2344" s="17">
        <f t="shared" si="1"/>
        <v>69</v>
      </c>
      <c r="F2344" s="17">
        <f t="shared" si="2"/>
        <v>0</v>
      </c>
    </row>
    <row r="2345">
      <c r="A2345" s="5" t="s">
        <v>67</v>
      </c>
      <c r="B2345" s="6">
        <v>69.0</v>
      </c>
      <c r="C2345" s="13" t="s">
        <v>349</v>
      </c>
      <c r="D2345" s="17">
        <f>SUMIFS(ShadowLedger!$D:$D,ShadowLedger!$G:$G,A2345,ShadowLedger!$C:$C,"&gt;="&amp;DATE(LEFT(SUBSTITUTE(C2345,"'",""),4),MID(SUBSTITUTE(C2345,"'",""),6,2),1),ShadowLedger!$C:$C,"&lt;"&amp;EOMONTH(DATE(LEFT(SUBSTITUTE(C2345,"'",""),4),MID(SUBSTITUTE(C2345,"'",""),6,2),1),0)+1)</f>
        <v>0</v>
      </c>
      <c r="E2345" s="17">
        <f t="shared" si="1"/>
        <v>69</v>
      </c>
      <c r="F2345" s="17">
        <f t="shared" si="2"/>
        <v>0</v>
      </c>
    </row>
    <row r="2346">
      <c r="A2346" s="5" t="s">
        <v>68</v>
      </c>
      <c r="B2346" s="6">
        <v>69.0</v>
      </c>
      <c r="C2346" s="13" t="s">
        <v>349</v>
      </c>
      <c r="D2346" s="17">
        <f>SUMIFS(ShadowLedger!$D:$D,ShadowLedger!$G:$G,A2346,ShadowLedger!$C:$C,"&gt;="&amp;DATE(LEFT(SUBSTITUTE(C2346,"'",""),4),MID(SUBSTITUTE(C2346,"'",""),6,2),1),ShadowLedger!$C:$C,"&lt;"&amp;EOMONTH(DATE(LEFT(SUBSTITUTE(C2346,"'",""),4),MID(SUBSTITUTE(C2346,"'",""),6,2),1),0)+1)</f>
        <v>0</v>
      </c>
      <c r="E2346" s="17">
        <f t="shared" si="1"/>
        <v>69</v>
      </c>
      <c r="F2346" s="17">
        <f t="shared" si="2"/>
        <v>0</v>
      </c>
    </row>
    <row r="2347">
      <c r="A2347" s="5" t="s">
        <v>69</v>
      </c>
      <c r="B2347" s="6">
        <v>0.0</v>
      </c>
      <c r="C2347" s="13" t="s">
        <v>349</v>
      </c>
      <c r="D2347" s="17">
        <f>SUMIFS(ShadowLedger!$D:$D,ShadowLedger!$G:$G,A2347,ShadowLedger!$C:$C,"&gt;="&amp;DATE(LEFT(SUBSTITUTE(C2347,"'",""),4),MID(SUBSTITUTE(C2347,"'",""),6,2),1),ShadowLedger!$C:$C,"&lt;"&amp;EOMONTH(DATE(LEFT(SUBSTITUTE(C2347,"'",""),4),MID(SUBSTITUTE(C2347,"'",""),6,2),1),0)+1)</f>
        <v>0</v>
      </c>
      <c r="E2347" s="17">
        <f t="shared" si="1"/>
        <v>0</v>
      </c>
      <c r="F2347" s="17">
        <f t="shared" si="2"/>
        <v>0</v>
      </c>
    </row>
    <row r="2348">
      <c r="A2348" s="5" t="s">
        <v>54</v>
      </c>
      <c r="B2348" s="6">
        <v>1273.0</v>
      </c>
      <c r="C2348" s="13" t="s">
        <v>350</v>
      </c>
      <c r="D2348" s="17">
        <f>SUMIFS(ShadowLedger!$D:$D,ShadowLedger!$G:$G,A2348,ShadowLedger!$C:$C,"&gt;="&amp;DATE(LEFT(SUBSTITUTE(C2348,"'",""),4),MID(SUBSTITUTE(C2348,"'",""),6,2),1),ShadowLedger!$C:$C,"&lt;"&amp;EOMONTH(DATE(LEFT(SUBSTITUTE(C2348,"'",""),4),MID(SUBSTITUTE(C2348,"'",""),6,2),1),0)+1)</f>
        <v>0</v>
      </c>
      <c r="E2348" s="17">
        <f t="shared" si="1"/>
        <v>1273</v>
      </c>
      <c r="F2348" s="17">
        <f t="shared" si="2"/>
        <v>0</v>
      </c>
    </row>
    <row r="2349">
      <c r="A2349" s="5" t="s">
        <v>55</v>
      </c>
      <c r="B2349" s="6">
        <v>969.0</v>
      </c>
      <c r="C2349" s="13" t="s">
        <v>350</v>
      </c>
      <c r="D2349" s="17">
        <f>SUMIFS(ShadowLedger!$D:$D,ShadowLedger!$G:$G,A2349,ShadowLedger!$C:$C,"&gt;="&amp;DATE(LEFT(SUBSTITUTE(C2349,"'",""),4),MID(SUBSTITUTE(C2349,"'",""),6,2),1),ShadowLedger!$C:$C,"&lt;"&amp;EOMONTH(DATE(LEFT(SUBSTITUTE(C2349,"'",""),4),MID(SUBSTITUTE(C2349,"'",""),6,2),1),0)+1)</f>
        <v>0</v>
      </c>
      <c r="E2349" s="17">
        <f t="shared" si="1"/>
        <v>969</v>
      </c>
      <c r="F2349" s="17">
        <f t="shared" si="2"/>
        <v>0</v>
      </c>
    </row>
    <row r="2350">
      <c r="A2350" s="5" t="s">
        <v>56</v>
      </c>
      <c r="B2350" s="6">
        <v>692.0</v>
      </c>
      <c r="C2350" s="13" t="s">
        <v>350</v>
      </c>
      <c r="D2350" s="17">
        <f>SUMIFS(ShadowLedger!$D:$D,ShadowLedger!$G:$G,A2350,ShadowLedger!$C:$C,"&gt;="&amp;DATE(LEFT(SUBSTITUTE(C2350,"'",""),4),MID(SUBSTITUTE(C2350,"'",""),6,2),1),ShadowLedger!$C:$C,"&lt;"&amp;EOMONTH(DATE(LEFT(SUBSTITUTE(C2350,"'",""),4),MID(SUBSTITUTE(C2350,"'",""),6,2),1),0)+1)</f>
        <v>0</v>
      </c>
      <c r="E2350" s="17">
        <f t="shared" si="1"/>
        <v>692</v>
      </c>
      <c r="F2350" s="17">
        <f t="shared" si="2"/>
        <v>0</v>
      </c>
    </row>
    <row r="2351">
      <c r="A2351" s="5" t="s">
        <v>57</v>
      </c>
      <c r="B2351" s="6">
        <v>692.0</v>
      </c>
      <c r="C2351" s="13" t="s">
        <v>350</v>
      </c>
      <c r="D2351" s="17">
        <f>SUMIFS(ShadowLedger!$D:$D,ShadowLedger!$G:$G,A2351,ShadowLedger!$C:$C,"&gt;="&amp;DATE(LEFT(SUBSTITUTE(C2351,"'",""),4),MID(SUBSTITUTE(C2351,"'",""),6,2),1),ShadowLedger!$C:$C,"&lt;"&amp;EOMONTH(DATE(LEFT(SUBSTITUTE(C2351,"'",""),4),MID(SUBSTITUTE(C2351,"'",""),6,2),1),0)+1)</f>
        <v>0</v>
      </c>
      <c r="E2351" s="17">
        <f t="shared" si="1"/>
        <v>692</v>
      </c>
      <c r="F2351" s="17">
        <f t="shared" si="2"/>
        <v>0</v>
      </c>
    </row>
    <row r="2352">
      <c r="A2352" s="5" t="s">
        <v>58</v>
      </c>
      <c r="B2352" s="6">
        <v>554.0</v>
      </c>
      <c r="C2352" s="13" t="s">
        <v>350</v>
      </c>
      <c r="D2352" s="17">
        <f>SUMIFS(ShadowLedger!$D:$D,ShadowLedger!$G:$G,A2352,ShadowLedger!$C:$C,"&gt;="&amp;DATE(LEFT(SUBSTITUTE(C2352,"'",""),4),MID(SUBSTITUTE(C2352,"'",""),6,2),1),ShadowLedger!$C:$C,"&lt;"&amp;EOMONTH(DATE(LEFT(SUBSTITUTE(C2352,"'",""),4),MID(SUBSTITUTE(C2352,"'",""),6,2),1),0)+1)</f>
        <v>0</v>
      </c>
      <c r="E2352" s="17">
        <f t="shared" si="1"/>
        <v>554</v>
      </c>
      <c r="F2352" s="17">
        <f t="shared" si="2"/>
        <v>0</v>
      </c>
    </row>
    <row r="2353">
      <c r="A2353" s="5" t="s">
        <v>59</v>
      </c>
      <c r="B2353" s="6">
        <v>277.0</v>
      </c>
      <c r="C2353" s="13" t="s">
        <v>350</v>
      </c>
      <c r="D2353" s="17">
        <f>SUMIFS(ShadowLedger!$D:$D,ShadowLedger!$G:$G,A2353,ShadowLedger!$C:$C,"&gt;="&amp;DATE(LEFT(SUBSTITUTE(C2353,"'",""),4),MID(SUBSTITUTE(C2353,"'",""),6,2),1),ShadowLedger!$C:$C,"&lt;"&amp;EOMONTH(DATE(LEFT(SUBSTITUTE(C2353,"'",""),4),MID(SUBSTITUTE(C2353,"'",""),6,2),1),0)+1)</f>
        <v>0</v>
      </c>
      <c r="E2353" s="17">
        <f t="shared" si="1"/>
        <v>277</v>
      </c>
      <c r="F2353" s="17">
        <f t="shared" si="2"/>
        <v>0</v>
      </c>
    </row>
    <row r="2354">
      <c r="A2354" s="5" t="s">
        <v>60</v>
      </c>
      <c r="B2354" s="6">
        <v>208.0</v>
      </c>
      <c r="C2354" s="13" t="s">
        <v>350</v>
      </c>
      <c r="D2354" s="17">
        <f>SUMIFS(ShadowLedger!$D:$D,ShadowLedger!$G:$G,A2354,ShadowLedger!$C:$C,"&gt;="&amp;DATE(LEFT(SUBSTITUTE(C2354,"'",""),4),MID(SUBSTITUTE(C2354,"'",""),6,2),1),ShadowLedger!$C:$C,"&lt;"&amp;EOMONTH(DATE(LEFT(SUBSTITUTE(C2354,"'",""),4),MID(SUBSTITUTE(C2354,"'",""),6,2),1),0)+1)</f>
        <v>0</v>
      </c>
      <c r="E2354" s="17">
        <f t="shared" si="1"/>
        <v>208</v>
      </c>
      <c r="F2354" s="17">
        <f t="shared" si="2"/>
        <v>0</v>
      </c>
    </row>
    <row r="2355">
      <c r="A2355" s="5" t="s">
        <v>61</v>
      </c>
      <c r="B2355" s="6">
        <v>166.0</v>
      </c>
      <c r="C2355" s="13" t="s">
        <v>350</v>
      </c>
      <c r="D2355" s="17">
        <f>SUMIFS(ShadowLedger!$D:$D,ShadowLedger!$G:$G,A2355,ShadowLedger!$C:$C,"&gt;="&amp;DATE(LEFT(SUBSTITUTE(C2355,"'",""),4),MID(SUBSTITUTE(C2355,"'",""),6,2),1),ShadowLedger!$C:$C,"&lt;"&amp;EOMONTH(DATE(LEFT(SUBSTITUTE(C2355,"'",""),4),MID(SUBSTITUTE(C2355,"'",""),6,2),1),0)+1)</f>
        <v>0</v>
      </c>
      <c r="E2355" s="17">
        <f t="shared" si="1"/>
        <v>166</v>
      </c>
      <c r="F2355" s="17">
        <f t="shared" si="2"/>
        <v>0</v>
      </c>
    </row>
    <row r="2356">
      <c r="A2356" s="5" t="s">
        <v>62</v>
      </c>
      <c r="B2356" s="6">
        <v>166.0</v>
      </c>
      <c r="C2356" s="13" t="s">
        <v>350</v>
      </c>
      <c r="D2356" s="17">
        <f>SUMIFS(ShadowLedger!$D:$D,ShadowLedger!$G:$G,A2356,ShadowLedger!$C:$C,"&gt;="&amp;DATE(LEFT(SUBSTITUTE(C2356,"'",""),4),MID(SUBSTITUTE(C2356,"'",""),6,2),1),ShadowLedger!$C:$C,"&lt;"&amp;EOMONTH(DATE(LEFT(SUBSTITUTE(C2356,"'",""),4),MID(SUBSTITUTE(C2356,"'",""),6,2),1),0)+1)</f>
        <v>0</v>
      </c>
      <c r="E2356" s="17">
        <f t="shared" si="1"/>
        <v>166</v>
      </c>
      <c r="F2356" s="17">
        <f t="shared" si="2"/>
        <v>0</v>
      </c>
    </row>
    <row r="2357">
      <c r="A2357" s="5" t="s">
        <v>63</v>
      </c>
      <c r="B2357" s="6">
        <v>138.0</v>
      </c>
      <c r="C2357" s="13" t="s">
        <v>350</v>
      </c>
      <c r="D2357" s="17">
        <f>SUMIFS(ShadowLedger!$D:$D,ShadowLedger!$G:$G,A2357,ShadowLedger!$C:$C,"&gt;="&amp;DATE(LEFT(SUBSTITUTE(C2357,"'",""),4),MID(SUBSTITUTE(C2357,"'",""),6,2),1),ShadowLedger!$C:$C,"&lt;"&amp;EOMONTH(DATE(LEFT(SUBSTITUTE(C2357,"'",""),4),MID(SUBSTITUTE(C2357,"'",""),6,2),1),0)+1)</f>
        <v>0</v>
      </c>
      <c r="E2357" s="17">
        <f t="shared" si="1"/>
        <v>138</v>
      </c>
      <c r="F2357" s="17">
        <f t="shared" si="2"/>
        <v>0</v>
      </c>
    </row>
    <row r="2358">
      <c r="A2358" s="5" t="s">
        <v>64</v>
      </c>
      <c r="B2358" s="6">
        <v>138.0</v>
      </c>
      <c r="C2358" s="13" t="s">
        <v>350</v>
      </c>
      <c r="D2358" s="17">
        <f>SUMIFS(ShadowLedger!$D:$D,ShadowLedger!$G:$G,A2358,ShadowLedger!$C:$C,"&gt;="&amp;DATE(LEFT(SUBSTITUTE(C2358,"'",""),4),MID(SUBSTITUTE(C2358,"'",""),6,2),1),ShadowLedger!$C:$C,"&lt;"&amp;EOMONTH(DATE(LEFT(SUBSTITUTE(C2358,"'",""),4),MID(SUBSTITUTE(C2358,"'",""),6,2),1),0)+1)</f>
        <v>0</v>
      </c>
      <c r="E2358" s="17">
        <f t="shared" si="1"/>
        <v>138</v>
      </c>
      <c r="F2358" s="17">
        <f t="shared" si="2"/>
        <v>0</v>
      </c>
    </row>
    <row r="2359">
      <c r="A2359" s="5" t="s">
        <v>70</v>
      </c>
      <c r="B2359" s="6">
        <v>138.0</v>
      </c>
      <c r="C2359" s="13" t="s">
        <v>350</v>
      </c>
      <c r="D2359" s="17">
        <f>SUMIFS(ShadowLedger!$D:$D,ShadowLedger!$G:$G,A2359,ShadowLedger!$C:$C,"&gt;="&amp;DATE(LEFT(SUBSTITUTE(C2359,"'",""),4),MID(SUBSTITUTE(C2359,"'",""),6,2),1),ShadowLedger!$C:$C,"&lt;"&amp;EOMONTH(DATE(LEFT(SUBSTITUTE(C2359,"'",""),4),MID(SUBSTITUTE(C2359,"'",""),6,2),1),0)+1)</f>
        <v>0</v>
      </c>
      <c r="E2359" s="17">
        <f t="shared" si="1"/>
        <v>138</v>
      </c>
      <c r="F2359" s="17">
        <f t="shared" si="2"/>
        <v>0</v>
      </c>
    </row>
    <row r="2360">
      <c r="A2360" s="5" t="s">
        <v>65</v>
      </c>
      <c r="B2360" s="6">
        <v>69.0</v>
      </c>
      <c r="C2360" s="13" t="s">
        <v>350</v>
      </c>
      <c r="D2360" s="17">
        <f>SUMIFS(ShadowLedger!$D:$D,ShadowLedger!$G:$G,A2360,ShadowLedger!$C:$C,"&gt;="&amp;DATE(LEFT(SUBSTITUTE(C2360,"'",""),4),MID(SUBSTITUTE(C2360,"'",""),6,2),1),ShadowLedger!$C:$C,"&lt;"&amp;EOMONTH(DATE(LEFT(SUBSTITUTE(C2360,"'",""),4),MID(SUBSTITUTE(C2360,"'",""),6,2),1),0)+1)</f>
        <v>0</v>
      </c>
      <c r="E2360" s="17">
        <f t="shared" si="1"/>
        <v>69</v>
      </c>
      <c r="F2360" s="17">
        <f t="shared" si="2"/>
        <v>0</v>
      </c>
    </row>
    <row r="2361">
      <c r="A2361" s="5" t="s">
        <v>66</v>
      </c>
      <c r="B2361" s="6">
        <v>69.0</v>
      </c>
      <c r="C2361" s="13" t="s">
        <v>350</v>
      </c>
      <c r="D2361" s="17">
        <f>SUMIFS(ShadowLedger!$D:$D,ShadowLedger!$G:$G,A2361,ShadowLedger!$C:$C,"&gt;="&amp;DATE(LEFT(SUBSTITUTE(C2361,"'",""),4),MID(SUBSTITUTE(C2361,"'",""),6,2),1),ShadowLedger!$C:$C,"&lt;"&amp;EOMONTH(DATE(LEFT(SUBSTITUTE(C2361,"'",""),4),MID(SUBSTITUTE(C2361,"'",""),6,2),1),0)+1)</f>
        <v>0</v>
      </c>
      <c r="E2361" s="17">
        <f t="shared" si="1"/>
        <v>69</v>
      </c>
      <c r="F2361" s="17">
        <f t="shared" si="2"/>
        <v>0</v>
      </c>
    </row>
    <row r="2362">
      <c r="A2362" s="5" t="s">
        <v>67</v>
      </c>
      <c r="B2362" s="6">
        <v>69.0</v>
      </c>
      <c r="C2362" s="13" t="s">
        <v>350</v>
      </c>
      <c r="D2362" s="17">
        <f>SUMIFS(ShadowLedger!$D:$D,ShadowLedger!$G:$G,A2362,ShadowLedger!$C:$C,"&gt;="&amp;DATE(LEFT(SUBSTITUTE(C2362,"'",""),4),MID(SUBSTITUTE(C2362,"'",""),6,2),1),ShadowLedger!$C:$C,"&lt;"&amp;EOMONTH(DATE(LEFT(SUBSTITUTE(C2362,"'",""),4),MID(SUBSTITUTE(C2362,"'",""),6,2),1),0)+1)</f>
        <v>0</v>
      </c>
      <c r="E2362" s="17">
        <f t="shared" si="1"/>
        <v>69</v>
      </c>
      <c r="F2362" s="17">
        <f t="shared" si="2"/>
        <v>0</v>
      </c>
    </row>
    <row r="2363">
      <c r="A2363" s="5" t="s">
        <v>68</v>
      </c>
      <c r="B2363" s="6">
        <v>69.0</v>
      </c>
      <c r="C2363" s="13" t="s">
        <v>350</v>
      </c>
      <c r="D2363" s="17">
        <f>SUMIFS(ShadowLedger!$D:$D,ShadowLedger!$G:$G,A2363,ShadowLedger!$C:$C,"&gt;="&amp;DATE(LEFT(SUBSTITUTE(C2363,"'",""),4),MID(SUBSTITUTE(C2363,"'",""),6,2),1),ShadowLedger!$C:$C,"&lt;"&amp;EOMONTH(DATE(LEFT(SUBSTITUTE(C2363,"'",""),4),MID(SUBSTITUTE(C2363,"'",""),6,2),1),0)+1)</f>
        <v>0</v>
      </c>
      <c r="E2363" s="17">
        <f t="shared" si="1"/>
        <v>69</v>
      </c>
      <c r="F2363" s="17">
        <f t="shared" si="2"/>
        <v>0</v>
      </c>
    </row>
    <row r="2364">
      <c r="A2364" s="5" t="s">
        <v>69</v>
      </c>
      <c r="B2364" s="6">
        <v>0.0</v>
      </c>
      <c r="C2364" s="13" t="s">
        <v>350</v>
      </c>
      <c r="D2364" s="17">
        <f>SUMIFS(ShadowLedger!$D:$D,ShadowLedger!$G:$G,A2364,ShadowLedger!$C:$C,"&gt;="&amp;DATE(LEFT(SUBSTITUTE(C2364,"'",""),4),MID(SUBSTITUTE(C2364,"'",""),6,2),1),ShadowLedger!$C:$C,"&lt;"&amp;EOMONTH(DATE(LEFT(SUBSTITUTE(C2364,"'",""),4),MID(SUBSTITUTE(C2364,"'",""),6,2),1),0)+1)</f>
        <v>0</v>
      </c>
      <c r="E2364" s="17">
        <f t="shared" si="1"/>
        <v>0</v>
      </c>
      <c r="F2364" s="17">
        <f t="shared" si="2"/>
        <v>0</v>
      </c>
    </row>
    <row r="2365">
      <c r="A2365" s="5" t="s">
        <v>54</v>
      </c>
      <c r="B2365" s="6">
        <v>1273.0</v>
      </c>
      <c r="C2365" s="13" t="s">
        <v>351</v>
      </c>
      <c r="D2365" s="17">
        <f>SUMIFS(ShadowLedger!$D:$D,ShadowLedger!$G:$G,A2365,ShadowLedger!$C:$C,"&gt;="&amp;DATE(LEFT(SUBSTITUTE(C2365,"'",""),4),MID(SUBSTITUTE(C2365,"'",""),6,2),1),ShadowLedger!$C:$C,"&lt;"&amp;EOMONTH(DATE(LEFT(SUBSTITUTE(C2365,"'",""),4),MID(SUBSTITUTE(C2365,"'",""),6,2),1),0)+1)</f>
        <v>0</v>
      </c>
      <c r="E2365" s="17">
        <f t="shared" si="1"/>
        <v>1273</v>
      </c>
      <c r="F2365" s="17">
        <f t="shared" si="2"/>
        <v>0</v>
      </c>
    </row>
    <row r="2366">
      <c r="A2366" s="5" t="s">
        <v>55</v>
      </c>
      <c r="B2366" s="6">
        <v>969.0</v>
      </c>
      <c r="C2366" s="13" t="s">
        <v>351</v>
      </c>
      <c r="D2366" s="17">
        <f>SUMIFS(ShadowLedger!$D:$D,ShadowLedger!$G:$G,A2366,ShadowLedger!$C:$C,"&gt;="&amp;DATE(LEFT(SUBSTITUTE(C2366,"'",""),4),MID(SUBSTITUTE(C2366,"'",""),6,2),1),ShadowLedger!$C:$C,"&lt;"&amp;EOMONTH(DATE(LEFT(SUBSTITUTE(C2366,"'",""),4),MID(SUBSTITUTE(C2366,"'",""),6,2),1),0)+1)</f>
        <v>0</v>
      </c>
      <c r="E2366" s="17">
        <f t="shared" si="1"/>
        <v>969</v>
      </c>
      <c r="F2366" s="17">
        <f t="shared" si="2"/>
        <v>0</v>
      </c>
    </row>
    <row r="2367">
      <c r="A2367" s="5" t="s">
        <v>56</v>
      </c>
      <c r="B2367" s="6">
        <v>692.0</v>
      </c>
      <c r="C2367" s="13" t="s">
        <v>351</v>
      </c>
      <c r="D2367" s="17">
        <f>SUMIFS(ShadowLedger!$D:$D,ShadowLedger!$G:$G,A2367,ShadowLedger!$C:$C,"&gt;="&amp;DATE(LEFT(SUBSTITUTE(C2367,"'",""),4),MID(SUBSTITUTE(C2367,"'",""),6,2),1),ShadowLedger!$C:$C,"&lt;"&amp;EOMONTH(DATE(LEFT(SUBSTITUTE(C2367,"'",""),4),MID(SUBSTITUTE(C2367,"'",""),6,2),1),0)+1)</f>
        <v>0</v>
      </c>
      <c r="E2367" s="17">
        <f t="shared" si="1"/>
        <v>692</v>
      </c>
      <c r="F2367" s="17">
        <f t="shared" si="2"/>
        <v>0</v>
      </c>
    </row>
    <row r="2368">
      <c r="A2368" s="5" t="s">
        <v>57</v>
      </c>
      <c r="B2368" s="6">
        <v>692.0</v>
      </c>
      <c r="C2368" s="13" t="s">
        <v>351</v>
      </c>
      <c r="D2368" s="17">
        <f>SUMIFS(ShadowLedger!$D:$D,ShadowLedger!$G:$G,A2368,ShadowLedger!$C:$C,"&gt;="&amp;DATE(LEFT(SUBSTITUTE(C2368,"'",""),4),MID(SUBSTITUTE(C2368,"'",""),6,2),1),ShadowLedger!$C:$C,"&lt;"&amp;EOMONTH(DATE(LEFT(SUBSTITUTE(C2368,"'",""),4),MID(SUBSTITUTE(C2368,"'",""),6,2),1),0)+1)</f>
        <v>0</v>
      </c>
      <c r="E2368" s="17">
        <f t="shared" si="1"/>
        <v>692</v>
      </c>
      <c r="F2368" s="17">
        <f t="shared" si="2"/>
        <v>0</v>
      </c>
    </row>
    <row r="2369">
      <c r="A2369" s="5" t="s">
        <v>58</v>
      </c>
      <c r="B2369" s="6">
        <v>554.0</v>
      </c>
      <c r="C2369" s="13" t="s">
        <v>351</v>
      </c>
      <c r="D2369" s="17">
        <f>SUMIFS(ShadowLedger!$D:$D,ShadowLedger!$G:$G,A2369,ShadowLedger!$C:$C,"&gt;="&amp;DATE(LEFT(SUBSTITUTE(C2369,"'",""),4),MID(SUBSTITUTE(C2369,"'",""),6,2),1),ShadowLedger!$C:$C,"&lt;"&amp;EOMONTH(DATE(LEFT(SUBSTITUTE(C2369,"'",""),4),MID(SUBSTITUTE(C2369,"'",""),6,2),1),0)+1)</f>
        <v>0</v>
      </c>
      <c r="E2369" s="17">
        <f t="shared" si="1"/>
        <v>554</v>
      </c>
      <c r="F2369" s="17">
        <f t="shared" si="2"/>
        <v>0</v>
      </c>
    </row>
    <row r="2370">
      <c r="A2370" s="5" t="s">
        <v>59</v>
      </c>
      <c r="B2370" s="6">
        <v>277.0</v>
      </c>
      <c r="C2370" s="13" t="s">
        <v>351</v>
      </c>
      <c r="D2370" s="17">
        <f>SUMIFS(ShadowLedger!$D:$D,ShadowLedger!$G:$G,A2370,ShadowLedger!$C:$C,"&gt;="&amp;DATE(LEFT(SUBSTITUTE(C2370,"'",""),4),MID(SUBSTITUTE(C2370,"'",""),6,2),1),ShadowLedger!$C:$C,"&lt;"&amp;EOMONTH(DATE(LEFT(SUBSTITUTE(C2370,"'",""),4),MID(SUBSTITUTE(C2370,"'",""),6,2),1),0)+1)</f>
        <v>0</v>
      </c>
      <c r="E2370" s="17">
        <f t="shared" si="1"/>
        <v>277</v>
      </c>
      <c r="F2370" s="17">
        <f t="shared" si="2"/>
        <v>0</v>
      </c>
    </row>
    <row r="2371">
      <c r="A2371" s="5" t="s">
        <v>60</v>
      </c>
      <c r="B2371" s="6">
        <v>208.0</v>
      </c>
      <c r="C2371" s="13" t="s">
        <v>351</v>
      </c>
      <c r="D2371" s="17">
        <f>SUMIFS(ShadowLedger!$D:$D,ShadowLedger!$G:$G,A2371,ShadowLedger!$C:$C,"&gt;="&amp;DATE(LEFT(SUBSTITUTE(C2371,"'",""),4),MID(SUBSTITUTE(C2371,"'",""),6,2),1),ShadowLedger!$C:$C,"&lt;"&amp;EOMONTH(DATE(LEFT(SUBSTITUTE(C2371,"'",""),4),MID(SUBSTITUTE(C2371,"'",""),6,2),1),0)+1)</f>
        <v>0</v>
      </c>
      <c r="E2371" s="17">
        <f t="shared" si="1"/>
        <v>208</v>
      </c>
      <c r="F2371" s="17">
        <f t="shared" si="2"/>
        <v>0</v>
      </c>
    </row>
    <row r="2372">
      <c r="A2372" s="5" t="s">
        <v>61</v>
      </c>
      <c r="B2372" s="6">
        <v>166.0</v>
      </c>
      <c r="C2372" s="13" t="s">
        <v>351</v>
      </c>
      <c r="D2372" s="17">
        <f>SUMIFS(ShadowLedger!$D:$D,ShadowLedger!$G:$G,A2372,ShadowLedger!$C:$C,"&gt;="&amp;DATE(LEFT(SUBSTITUTE(C2372,"'",""),4),MID(SUBSTITUTE(C2372,"'",""),6,2),1),ShadowLedger!$C:$C,"&lt;"&amp;EOMONTH(DATE(LEFT(SUBSTITUTE(C2372,"'",""),4),MID(SUBSTITUTE(C2372,"'",""),6,2),1),0)+1)</f>
        <v>0</v>
      </c>
      <c r="E2372" s="17">
        <f t="shared" si="1"/>
        <v>166</v>
      </c>
      <c r="F2372" s="17">
        <f t="shared" si="2"/>
        <v>0</v>
      </c>
    </row>
    <row r="2373">
      <c r="A2373" s="5" t="s">
        <v>62</v>
      </c>
      <c r="B2373" s="6">
        <v>166.0</v>
      </c>
      <c r="C2373" s="13" t="s">
        <v>351</v>
      </c>
      <c r="D2373" s="17">
        <f>SUMIFS(ShadowLedger!$D:$D,ShadowLedger!$G:$G,A2373,ShadowLedger!$C:$C,"&gt;="&amp;DATE(LEFT(SUBSTITUTE(C2373,"'",""),4),MID(SUBSTITUTE(C2373,"'",""),6,2),1),ShadowLedger!$C:$C,"&lt;"&amp;EOMONTH(DATE(LEFT(SUBSTITUTE(C2373,"'",""),4),MID(SUBSTITUTE(C2373,"'",""),6,2),1),0)+1)</f>
        <v>0</v>
      </c>
      <c r="E2373" s="17">
        <f t="shared" si="1"/>
        <v>166</v>
      </c>
      <c r="F2373" s="17">
        <f t="shared" si="2"/>
        <v>0</v>
      </c>
    </row>
    <row r="2374">
      <c r="A2374" s="5" t="s">
        <v>63</v>
      </c>
      <c r="B2374" s="6">
        <v>138.0</v>
      </c>
      <c r="C2374" s="13" t="s">
        <v>351</v>
      </c>
      <c r="D2374" s="17">
        <f>SUMIFS(ShadowLedger!$D:$D,ShadowLedger!$G:$G,A2374,ShadowLedger!$C:$C,"&gt;="&amp;DATE(LEFT(SUBSTITUTE(C2374,"'",""),4),MID(SUBSTITUTE(C2374,"'",""),6,2),1),ShadowLedger!$C:$C,"&lt;"&amp;EOMONTH(DATE(LEFT(SUBSTITUTE(C2374,"'",""),4),MID(SUBSTITUTE(C2374,"'",""),6,2),1),0)+1)</f>
        <v>0</v>
      </c>
      <c r="E2374" s="17">
        <f t="shared" si="1"/>
        <v>138</v>
      </c>
      <c r="F2374" s="17">
        <f t="shared" si="2"/>
        <v>0</v>
      </c>
    </row>
    <row r="2375">
      <c r="A2375" s="5" t="s">
        <v>64</v>
      </c>
      <c r="B2375" s="6">
        <v>138.0</v>
      </c>
      <c r="C2375" s="13" t="s">
        <v>351</v>
      </c>
      <c r="D2375" s="17">
        <f>SUMIFS(ShadowLedger!$D:$D,ShadowLedger!$G:$G,A2375,ShadowLedger!$C:$C,"&gt;="&amp;DATE(LEFT(SUBSTITUTE(C2375,"'",""),4),MID(SUBSTITUTE(C2375,"'",""),6,2),1),ShadowLedger!$C:$C,"&lt;"&amp;EOMONTH(DATE(LEFT(SUBSTITUTE(C2375,"'",""),4),MID(SUBSTITUTE(C2375,"'",""),6,2),1),0)+1)</f>
        <v>0</v>
      </c>
      <c r="E2375" s="17">
        <f t="shared" si="1"/>
        <v>138</v>
      </c>
      <c r="F2375" s="17">
        <f t="shared" si="2"/>
        <v>0</v>
      </c>
    </row>
    <row r="2376">
      <c r="A2376" s="5" t="s">
        <v>70</v>
      </c>
      <c r="B2376" s="6">
        <v>138.0</v>
      </c>
      <c r="C2376" s="13" t="s">
        <v>351</v>
      </c>
      <c r="D2376" s="17">
        <f>SUMIFS(ShadowLedger!$D:$D,ShadowLedger!$G:$G,A2376,ShadowLedger!$C:$C,"&gt;="&amp;DATE(LEFT(SUBSTITUTE(C2376,"'",""),4),MID(SUBSTITUTE(C2376,"'",""),6,2),1),ShadowLedger!$C:$C,"&lt;"&amp;EOMONTH(DATE(LEFT(SUBSTITUTE(C2376,"'",""),4),MID(SUBSTITUTE(C2376,"'",""),6,2),1),0)+1)</f>
        <v>0</v>
      </c>
      <c r="E2376" s="17">
        <f t="shared" si="1"/>
        <v>138</v>
      </c>
      <c r="F2376" s="17">
        <f t="shared" si="2"/>
        <v>0</v>
      </c>
    </row>
    <row r="2377">
      <c r="A2377" s="5" t="s">
        <v>65</v>
      </c>
      <c r="B2377" s="6">
        <v>69.0</v>
      </c>
      <c r="C2377" s="13" t="s">
        <v>351</v>
      </c>
      <c r="D2377" s="17">
        <f>SUMIFS(ShadowLedger!$D:$D,ShadowLedger!$G:$G,A2377,ShadowLedger!$C:$C,"&gt;="&amp;DATE(LEFT(SUBSTITUTE(C2377,"'",""),4),MID(SUBSTITUTE(C2377,"'",""),6,2),1),ShadowLedger!$C:$C,"&lt;"&amp;EOMONTH(DATE(LEFT(SUBSTITUTE(C2377,"'",""),4),MID(SUBSTITUTE(C2377,"'",""),6,2),1),0)+1)</f>
        <v>0</v>
      </c>
      <c r="E2377" s="17">
        <f t="shared" si="1"/>
        <v>69</v>
      </c>
      <c r="F2377" s="17">
        <f t="shared" si="2"/>
        <v>0</v>
      </c>
    </row>
    <row r="2378">
      <c r="A2378" s="5" t="s">
        <v>66</v>
      </c>
      <c r="B2378" s="6">
        <v>69.0</v>
      </c>
      <c r="C2378" s="13" t="s">
        <v>351</v>
      </c>
      <c r="D2378" s="17">
        <f>SUMIFS(ShadowLedger!$D:$D,ShadowLedger!$G:$G,A2378,ShadowLedger!$C:$C,"&gt;="&amp;DATE(LEFT(SUBSTITUTE(C2378,"'",""),4),MID(SUBSTITUTE(C2378,"'",""),6,2),1),ShadowLedger!$C:$C,"&lt;"&amp;EOMONTH(DATE(LEFT(SUBSTITUTE(C2378,"'",""),4),MID(SUBSTITUTE(C2378,"'",""),6,2),1),0)+1)</f>
        <v>0</v>
      </c>
      <c r="E2378" s="17">
        <f t="shared" si="1"/>
        <v>69</v>
      </c>
      <c r="F2378" s="17">
        <f t="shared" si="2"/>
        <v>0</v>
      </c>
    </row>
    <row r="2379">
      <c r="A2379" s="5" t="s">
        <v>67</v>
      </c>
      <c r="B2379" s="6">
        <v>69.0</v>
      </c>
      <c r="C2379" s="13" t="s">
        <v>351</v>
      </c>
      <c r="D2379" s="17">
        <f>SUMIFS(ShadowLedger!$D:$D,ShadowLedger!$G:$G,A2379,ShadowLedger!$C:$C,"&gt;="&amp;DATE(LEFT(SUBSTITUTE(C2379,"'",""),4),MID(SUBSTITUTE(C2379,"'",""),6,2),1),ShadowLedger!$C:$C,"&lt;"&amp;EOMONTH(DATE(LEFT(SUBSTITUTE(C2379,"'",""),4),MID(SUBSTITUTE(C2379,"'",""),6,2),1),0)+1)</f>
        <v>0</v>
      </c>
      <c r="E2379" s="17">
        <f t="shared" si="1"/>
        <v>69</v>
      </c>
      <c r="F2379" s="17">
        <f t="shared" si="2"/>
        <v>0</v>
      </c>
    </row>
    <row r="2380">
      <c r="A2380" s="5" t="s">
        <v>68</v>
      </c>
      <c r="B2380" s="6">
        <v>69.0</v>
      </c>
      <c r="C2380" s="13" t="s">
        <v>351</v>
      </c>
      <c r="D2380" s="17">
        <f>SUMIFS(ShadowLedger!$D:$D,ShadowLedger!$G:$G,A2380,ShadowLedger!$C:$C,"&gt;="&amp;DATE(LEFT(SUBSTITUTE(C2380,"'",""),4),MID(SUBSTITUTE(C2380,"'",""),6,2),1),ShadowLedger!$C:$C,"&lt;"&amp;EOMONTH(DATE(LEFT(SUBSTITUTE(C2380,"'",""),4),MID(SUBSTITUTE(C2380,"'",""),6,2),1),0)+1)</f>
        <v>0</v>
      </c>
      <c r="E2380" s="17">
        <f t="shared" si="1"/>
        <v>69</v>
      </c>
      <c r="F2380" s="17">
        <f t="shared" si="2"/>
        <v>0</v>
      </c>
    </row>
    <row r="2381">
      <c r="A2381" s="5" t="s">
        <v>69</v>
      </c>
      <c r="B2381" s="6">
        <v>0.0</v>
      </c>
      <c r="C2381" s="13" t="s">
        <v>351</v>
      </c>
      <c r="D2381" s="17">
        <f>SUMIFS(ShadowLedger!$D:$D,ShadowLedger!$G:$G,A2381,ShadowLedger!$C:$C,"&gt;="&amp;DATE(LEFT(SUBSTITUTE(C2381,"'",""),4),MID(SUBSTITUTE(C2381,"'",""),6,2),1),ShadowLedger!$C:$C,"&lt;"&amp;EOMONTH(DATE(LEFT(SUBSTITUTE(C2381,"'",""),4),MID(SUBSTITUTE(C2381,"'",""),6,2),1),0)+1)</f>
        <v>0</v>
      </c>
      <c r="E2381" s="17">
        <f t="shared" si="1"/>
        <v>0</v>
      </c>
      <c r="F2381" s="17">
        <f t="shared" si="2"/>
        <v>0</v>
      </c>
    </row>
    <row r="2382">
      <c r="A2382" s="5" t="s">
        <v>54</v>
      </c>
      <c r="B2382" s="6">
        <v>1273.0</v>
      </c>
      <c r="C2382" s="13" t="s">
        <v>352</v>
      </c>
      <c r="D2382" s="17">
        <f>SUMIFS(ShadowLedger!$D:$D,ShadowLedger!$G:$G,A2382,ShadowLedger!$C:$C,"&gt;="&amp;DATE(LEFT(SUBSTITUTE(C2382,"'",""),4),MID(SUBSTITUTE(C2382,"'",""),6,2),1),ShadowLedger!$C:$C,"&lt;"&amp;EOMONTH(DATE(LEFT(SUBSTITUTE(C2382,"'",""),4),MID(SUBSTITUTE(C2382,"'",""),6,2),1),0)+1)</f>
        <v>0</v>
      </c>
      <c r="E2382" s="17">
        <f t="shared" si="1"/>
        <v>1273</v>
      </c>
      <c r="F2382" s="17">
        <f t="shared" si="2"/>
        <v>0</v>
      </c>
    </row>
    <row r="2383">
      <c r="A2383" s="5" t="s">
        <v>55</v>
      </c>
      <c r="B2383" s="6">
        <v>969.0</v>
      </c>
      <c r="C2383" s="13" t="s">
        <v>352</v>
      </c>
      <c r="D2383" s="17">
        <f>SUMIFS(ShadowLedger!$D:$D,ShadowLedger!$G:$G,A2383,ShadowLedger!$C:$C,"&gt;="&amp;DATE(LEFT(SUBSTITUTE(C2383,"'",""),4),MID(SUBSTITUTE(C2383,"'",""),6,2),1),ShadowLedger!$C:$C,"&lt;"&amp;EOMONTH(DATE(LEFT(SUBSTITUTE(C2383,"'",""),4),MID(SUBSTITUTE(C2383,"'",""),6,2),1),0)+1)</f>
        <v>0</v>
      </c>
      <c r="E2383" s="17">
        <f t="shared" si="1"/>
        <v>969</v>
      </c>
      <c r="F2383" s="17">
        <f t="shared" si="2"/>
        <v>0</v>
      </c>
    </row>
    <row r="2384">
      <c r="A2384" s="5" t="s">
        <v>56</v>
      </c>
      <c r="B2384" s="6">
        <v>692.0</v>
      </c>
      <c r="C2384" s="13" t="s">
        <v>352</v>
      </c>
      <c r="D2384" s="17">
        <f>SUMIFS(ShadowLedger!$D:$D,ShadowLedger!$G:$G,A2384,ShadowLedger!$C:$C,"&gt;="&amp;DATE(LEFT(SUBSTITUTE(C2384,"'",""),4),MID(SUBSTITUTE(C2384,"'",""),6,2),1),ShadowLedger!$C:$C,"&lt;"&amp;EOMONTH(DATE(LEFT(SUBSTITUTE(C2384,"'",""),4),MID(SUBSTITUTE(C2384,"'",""),6,2),1),0)+1)</f>
        <v>0</v>
      </c>
      <c r="E2384" s="17">
        <f t="shared" si="1"/>
        <v>692</v>
      </c>
      <c r="F2384" s="17">
        <f t="shared" si="2"/>
        <v>0</v>
      </c>
    </row>
    <row r="2385">
      <c r="A2385" s="5" t="s">
        <v>57</v>
      </c>
      <c r="B2385" s="6">
        <v>692.0</v>
      </c>
      <c r="C2385" s="13" t="s">
        <v>352</v>
      </c>
      <c r="D2385" s="17">
        <f>SUMIFS(ShadowLedger!$D:$D,ShadowLedger!$G:$G,A2385,ShadowLedger!$C:$C,"&gt;="&amp;DATE(LEFT(SUBSTITUTE(C2385,"'",""),4),MID(SUBSTITUTE(C2385,"'",""),6,2),1),ShadowLedger!$C:$C,"&lt;"&amp;EOMONTH(DATE(LEFT(SUBSTITUTE(C2385,"'",""),4),MID(SUBSTITUTE(C2385,"'",""),6,2),1),0)+1)</f>
        <v>0</v>
      </c>
      <c r="E2385" s="17">
        <f t="shared" si="1"/>
        <v>692</v>
      </c>
      <c r="F2385" s="17">
        <f t="shared" si="2"/>
        <v>0</v>
      </c>
    </row>
    <row r="2386">
      <c r="A2386" s="5" t="s">
        <v>58</v>
      </c>
      <c r="B2386" s="6">
        <v>554.0</v>
      </c>
      <c r="C2386" s="13" t="s">
        <v>352</v>
      </c>
      <c r="D2386" s="17">
        <f>SUMIFS(ShadowLedger!$D:$D,ShadowLedger!$G:$G,A2386,ShadowLedger!$C:$C,"&gt;="&amp;DATE(LEFT(SUBSTITUTE(C2386,"'",""),4),MID(SUBSTITUTE(C2386,"'",""),6,2),1),ShadowLedger!$C:$C,"&lt;"&amp;EOMONTH(DATE(LEFT(SUBSTITUTE(C2386,"'",""),4),MID(SUBSTITUTE(C2386,"'",""),6,2),1),0)+1)</f>
        <v>0</v>
      </c>
      <c r="E2386" s="17">
        <f t="shared" si="1"/>
        <v>554</v>
      </c>
      <c r="F2386" s="17">
        <f t="shared" si="2"/>
        <v>0</v>
      </c>
    </row>
    <row r="2387">
      <c r="A2387" s="5" t="s">
        <v>59</v>
      </c>
      <c r="B2387" s="6">
        <v>277.0</v>
      </c>
      <c r="C2387" s="13" t="s">
        <v>352</v>
      </c>
      <c r="D2387" s="17">
        <f>SUMIFS(ShadowLedger!$D:$D,ShadowLedger!$G:$G,A2387,ShadowLedger!$C:$C,"&gt;="&amp;DATE(LEFT(SUBSTITUTE(C2387,"'",""),4),MID(SUBSTITUTE(C2387,"'",""),6,2),1),ShadowLedger!$C:$C,"&lt;"&amp;EOMONTH(DATE(LEFT(SUBSTITUTE(C2387,"'",""),4),MID(SUBSTITUTE(C2387,"'",""),6,2),1),0)+1)</f>
        <v>0</v>
      </c>
      <c r="E2387" s="17">
        <f t="shared" si="1"/>
        <v>277</v>
      </c>
      <c r="F2387" s="17">
        <f t="shared" si="2"/>
        <v>0</v>
      </c>
    </row>
    <row r="2388">
      <c r="A2388" s="5" t="s">
        <v>60</v>
      </c>
      <c r="B2388" s="6">
        <v>208.0</v>
      </c>
      <c r="C2388" s="13" t="s">
        <v>352</v>
      </c>
      <c r="D2388" s="17">
        <f>SUMIFS(ShadowLedger!$D:$D,ShadowLedger!$G:$G,A2388,ShadowLedger!$C:$C,"&gt;="&amp;DATE(LEFT(SUBSTITUTE(C2388,"'",""),4),MID(SUBSTITUTE(C2388,"'",""),6,2),1),ShadowLedger!$C:$C,"&lt;"&amp;EOMONTH(DATE(LEFT(SUBSTITUTE(C2388,"'",""),4),MID(SUBSTITUTE(C2388,"'",""),6,2),1),0)+1)</f>
        <v>0</v>
      </c>
      <c r="E2388" s="17">
        <f t="shared" si="1"/>
        <v>208</v>
      </c>
      <c r="F2388" s="17">
        <f t="shared" si="2"/>
        <v>0</v>
      </c>
    </row>
    <row r="2389">
      <c r="A2389" s="5" t="s">
        <v>61</v>
      </c>
      <c r="B2389" s="6">
        <v>166.0</v>
      </c>
      <c r="C2389" s="13" t="s">
        <v>352</v>
      </c>
      <c r="D2389" s="17">
        <f>SUMIFS(ShadowLedger!$D:$D,ShadowLedger!$G:$G,A2389,ShadowLedger!$C:$C,"&gt;="&amp;DATE(LEFT(SUBSTITUTE(C2389,"'",""),4),MID(SUBSTITUTE(C2389,"'",""),6,2),1),ShadowLedger!$C:$C,"&lt;"&amp;EOMONTH(DATE(LEFT(SUBSTITUTE(C2389,"'",""),4),MID(SUBSTITUTE(C2389,"'",""),6,2),1),0)+1)</f>
        <v>0</v>
      </c>
      <c r="E2389" s="17">
        <f t="shared" si="1"/>
        <v>166</v>
      </c>
      <c r="F2389" s="17">
        <f t="shared" si="2"/>
        <v>0</v>
      </c>
    </row>
    <row r="2390">
      <c r="A2390" s="5" t="s">
        <v>62</v>
      </c>
      <c r="B2390" s="6">
        <v>166.0</v>
      </c>
      <c r="C2390" s="13" t="s">
        <v>352</v>
      </c>
      <c r="D2390" s="17">
        <f>SUMIFS(ShadowLedger!$D:$D,ShadowLedger!$G:$G,A2390,ShadowLedger!$C:$C,"&gt;="&amp;DATE(LEFT(SUBSTITUTE(C2390,"'",""),4),MID(SUBSTITUTE(C2390,"'",""),6,2),1),ShadowLedger!$C:$C,"&lt;"&amp;EOMONTH(DATE(LEFT(SUBSTITUTE(C2390,"'",""),4),MID(SUBSTITUTE(C2390,"'",""),6,2),1),0)+1)</f>
        <v>0</v>
      </c>
      <c r="E2390" s="17">
        <f t="shared" si="1"/>
        <v>166</v>
      </c>
      <c r="F2390" s="17">
        <f t="shared" si="2"/>
        <v>0</v>
      </c>
    </row>
    <row r="2391">
      <c r="A2391" s="5" t="s">
        <v>63</v>
      </c>
      <c r="B2391" s="6">
        <v>138.0</v>
      </c>
      <c r="C2391" s="13" t="s">
        <v>352</v>
      </c>
      <c r="D2391" s="17">
        <f>SUMIFS(ShadowLedger!$D:$D,ShadowLedger!$G:$G,A2391,ShadowLedger!$C:$C,"&gt;="&amp;DATE(LEFT(SUBSTITUTE(C2391,"'",""),4),MID(SUBSTITUTE(C2391,"'",""),6,2),1),ShadowLedger!$C:$C,"&lt;"&amp;EOMONTH(DATE(LEFT(SUBSTITUTE(C2391,"'",""),4),MID(SUBSTITUTE(C2391,"'",""),6,2),1),0)+1)</f>
        <v>0</v>
      </c>
      <c r="E2391" s="17">
        <f t="shared" si="1"/>
        <v>138</v>
      </c>
      <c r="F2391" s="17">
        <f t="shared" si="2"/>
        <v>0</v>
      </c>
    </row>
    <row r="2392">
      <c r="A2392" s="5" t="s">
        <v>64</v>
      </c>
      <c r="B2392" s="6">
        <v>138.0</v>
      </c>
      <c r="C2392" s="13" t="s">
        <v>352</v>
      </c>
      <c r="D2392" s="17">
        <f>SUMIFS(ShadowLedger!$D:$D,ShadowLedger!$G:$G,A2392,ShadowLedger!$C:$C,"&gt;="&amp;DATE(LEFT(SUBSTITUTE(C2392,"'",""),4),MID(SUBSTITUTE(C2392,"'",""),6,2),1),ShadowLedger!$C:$C,"&lt;"&amp;EOMONTH(DATE(LEFT(SUBSTITUTE(C2392,"'",""),4),MID(SUBSTITUTE(C2392,"'",""),6,2),1),0)+1)</f>
        <v>0</v>
      </c>
      <c r="E2392" s="17">
        <f t="shared" si="1"/>
        <v>138</v>
      </c>
      <c r="F2392" s="17">
        <f t="shared" si="2"/>
        <v>0</v>
      </c>
    </row>
    <row r="2393">
      <c r="A2393" s="5" t="s">
        <v>70</v>
      </c>
      <c r="B2393" s="6">
        <v>138.0</v>
      </c>
      <c r="C2393" s="13" t="s">
        <v>352</v>
      </c>
      <c r="D2393" s="17">
        <f>SUMIFS(ShadowLedger!$D:$D,ShadowLedger!$G:$G,A2393,ShadowLedger!$C:$C,"&gt;="&amp;DATE(LEFT(SUBSTITUTE(C2393,"'",""),4),MID(SUBSTITUTE(C2393,"'",""),6,2),1),ShadowLedger!$C:$C,"&lt;"&amp;EOMONTH(DATE(LEFT(SUBSTITUTE(C2393,"'",""),4),MID(SUBSTITUTE(C2393,"'",""),6,2),1),0)+1)</f>
        <v>0</v>
      </c>
      <c r="E2393" s="17">
        <f t="shared" si="1"/>
        <v>138</v>
      </c>
      <c r="F2393" s="17">
        <f t="shared" si="2"/>
        <v>0</v>
      </c>
    </row>
    <row r="2394">
      <c r="A2394" s="5" t="s">
        <v>65</v>
      </c>
      <c r="B2394" s="6">
        <v>69.0</v>
      </c>
      <c r="C2394" s="13" t="s">
        <v>352</v>
      </c>
      <c r="D2394" s="17">
        <f>SUMIFS(ShadowLedger!$D:$D,ShadowLedger!$G:$G,A2394,ShadowLedger!$C:$C,"&gt;="&amp;DATE(LEFT(SUBSTITUTE(C2394,"'",""),4),MID(SUBSTITUTE(C2394,"'",""),6,2),1),ShadowLedger!$C:$C,"&lt;"&amp;EOMONTH(DATE(LEFT(SUBSTITUTE(C2394,"'",""),4),MID(SUBSTITUTE(C2394,"'",""),6,2),1),0)+1)</f>
        <v>0</v>
      </c>
      <c r="E2394" s="17">
        <f t="shared" si="1"/>
        <v>69</v>
      </c>
      <c r="F2394" s="17">
        <f t="shared" si="2"/>
        <v>0</v>
      </c>
    </row>
    <row r="2395">
      <c r="A2395" s="5" t="s">
        <v>66</v>
      </c>
      <c r="B2395" s="6">
        <v>69.0</v>
      </c>
      <c r="C2395" s="13" t="s">
        <v>352</v>
      </c>
      <c r="D2395" s="17">
        <f>SUMIFS(ShadowLedger!$D:$D,ShadowLedger!$G:$G,A2395,ShadowLedger!$C:$C,"&gt;="&amp;DATE(LEFT(SUBSTITUTE(C2395,"'",""),4),MID(SUBSTITUTE(C2395,"'",""),6,2),1),ShadowLedger!$C:$C,"&lt;"&amp;EOMONTH(DATE(LEFT(SUBSTITUTE(C2395,"'",""),4),MID(SUBSTITUTE(C2395,"'",""),6,2),1),0)+1)</f>
        <v>0</v>
      </c>
      <c r="E2395" s="17">
        <f t="shared" si="1"/>
        <v>69</v>
      </c>
      <c r="F2395" s="17">
        <f t="shared" si="2"/>
        <v>0</v>
      </c>
    </row>
    <row r="2396">
      <c r="A2396" s="5" t="s">
        <v>67</v>
      </c>
      <c r="B2396" s="6">
        <v>69.0</v>
      </c>
      <c r="C2396" s="13" t="s">
        <v>352</v>
      </c>
      <c r="D2396" s="17">
        <f>SUMIFS(ShadowLedger!$D:$D,ShadowLedger!$G:$G,A2396,ShadowLedger!$C:$C,"&gt;="&amp;DATE(LEFT(SUBSTITUTE(C2396,"'",""),4),MID(SUBSTITUTE(C2396,"'",""),6,2),1),ShadowLedger!$C:$C,"&lt;"&amp;EOMONTH(DATE(LEFT(SUBSTITUTE(C2396,"'",""),4),MID(SUBSTITUTE(C2396,"'",""),6,2),1),0)+1)</f>
        <v>0</v>
      </c>
      <c r="E2396" s="17">
        <f t="shared" si="1"/>
        <v>69</v>
      </c>
      <c r="F2396" s="17">
        <f t="shared" si="2"/>
        <v>0</v>
      </c>
    </row>
    <row r="2397">
      <c r="A2397" s="5" t="s">
        <v>68</v>
      </c>
      <c r="B2397" s="6">
        <v>69.0</v>
      </c>
      <c r="C2397" s="13" t="s">
        <v>352</v>
      </c>
      <c r="D2397" s="17">
        <f>SUMIFS(ShadowLedger!$D:$D,ShadowLedger!$G:$G,A2397,ShadowLedger!$C:$C,"&gt;="&amp;DATE(LEFT(SUBSTITUTE(C2397,"'",""),4),MID(SUBSTITUTE(C2397,"'",""),6,2),1),ShadowLedger!$C:$C,"&lt;"&amp;EOMONTH(DATE(LEFT(SUBSTITUTE(C2397,"'",""),4),MID(SUBSTITUTE(C2397,"'",""),6,2),1),0)+1)</f>
        <v>0</v>
      </c>
      <c r="E2397" s="17">
        <f t="shared" si="1"/>
        <v>69</v>
      </c>
      <c r="F2397" s="17">
        <f t="shared" si="2"/>
        <v>0</v>
      </c>
    </row>
    <row r="2398">
      <c r="A2398" s="5" t="s">
        <v>69</v>
      </c>
      <c r="B2398" s="6">
        <v>0.0</v>
      </c>
      <c r="C2398" s="13" t="s">
        <v>352</v>
      </c>
      <c r="D2398" s="17">
        <f>SUMIFS(ShadowLedger!$D:$D,ShadowLedger!$G:$G,A2398,ShadowLedger!$C:$C,"&gt;="&amp;DATE(LEFT(SUBSTITUTE(C2398,"'",""),4),MID(SUBSTITUTE(C2398,"'",""),6,2),1),ShadowLedger!$C:$C,"&lt;"&amp;EOMONTH(DATE(LEFT(SUBSTITUTE(C2398,"'",""),4),MID(SUBSTITUTE(C2398,"'",""),6,2),1),0)+1)</f>
        <v>0</v>
      </c>
      <c r="E2398" s="17">
        <f t="shared" si="1"/>
        <v>0</v>
      </c>
      <c r="F2398" s="17">
        <f t="shared" si="2"/>
        <v>0</v>
      </c>
    </row>
    <row r="2399">
      <c r="A2399" s="5" t="s">
        <v>54</v>
      </c>
      <c r="B2399" s="6">
        <v>1273.0</v>
      </c>
      <c r="C2399" s="13" t="s">
        <v>353</v>
      </c>
      <c r="D2399" s="17">
        <f>SUMIFS(ShadowLedger!$D:$D,ShadowLedger!$G:$G,A2399,ShadowLedger!$C:$C,"&gt;="&amp;DATE(LEFT(SUBSTITUTE(C2399,"'",""),4),MID(SUBSTITUTE(C2399,"'",""),6,2),1),ShadowLedger!$C:$C,"&lt;"&amp;EOMONTH(DATE(LEFT(SUBSTITUTE(C2399,"'",""),4),MID(SUBSTITUTE(C2399,"'",""),6,2),1),0)+1)</f>
        <v>0</v>
      </c>
      <c r="E2399" s="17">
        <f t="shared" si="1"/>
        <v>1273</v>
      </c>
      <c r="F2399" s="17">
        <f t="shared" si="2"/>
        <v>0</v>
      </c>
    </row>
    <row r="2400">
      <c r="A2400" s="5" t="s">
        <v>55</v>
      </c>
      <c r="B2400" s="6">
        <v>969.0</v>
      </c>
      <c r="C2400" s="13" t="s">
        <v>353</v>
      </c>
      <c r="D2400" s="17">
        <f>SUMIFS(ShadowLedger!$D:$D,ShadowLedger!$G:$G,A2400,ShadowLedger!$C:$C,"&gt;="&amp;DATE(LEFT(SUBSTITUTE(C2400,"'",""),4),MID(SUBSTITUTE(C2400,"'",""),6,2),1),ShadowLedger!$C:$C,"&lt;"&amp;EOMONTH(DATE(LEFT(SUBSTITUTE(C2400,"'",""),4),MID(SUBSTITUTE(C2400,"'",""),6,2),1),0)+1)</f>
        <v>0</v>
      </c>
      <c r="E2400" s="17">
        <f t="shared" si="1"/>
        <v>969</v>
      </c>
      <c r="F2400" s="17">
        <f t="shared" si="2"/>
        <v>0</v>
      </c>
    </row>
    <row r="2401">
      <c r="A2401" s="5" t="s">
        <v>56</v>
      </c>
      <c r="B2401" s="6">
        <v>692.0</v>
      </c>
      <c r="C2401" s="13" t="s">
        <v>353</v>
      </c>
      <c r="D2401" s="17">
        <f>SUMIFS(ShadowLedger!$D:$D,ShadowLedger!$G:$G,A2401,ShadowLedger!$C:$C,"&gt;="&amp;DATE(LEFT(SUBSTITUTE(C2401,"'",""),4),MID(SUBSTITUTE(C2401,"'",""),6,2),1),ShadowLedger!$C:$C,"&lt;"&amp;EOMONTH(DATE(LEFT(SUBSTITUTE(C2401,"'",""),4),MID(SUBSTITUTE(C2401,"'",""),6,2),1),0)+1)</f>
        <v>0</v>
      </c>
      <c r="E2401" s="17">
        <f t="shared" si="1"/>
        <v>692</v>
      </c>
      <c r="F2401" s="17">
        <f t="shared" si="2"/>
        <v>0</v>
      </c>
    </row>
    <row r="2402">
      <c r="A2402" s="5" t="s">
        <v>57</v>
      </c>
      <c r="B2402" s="6">
        <v>692.0</v>
      </c>
      <c r="C2402" s="13" t="s">
        <v>353</v>
      </c>
      <c r="D2402" s="17">
        <f>SUMIFS(ShadowLedger!$D:$D,ShadowLedger!$G:$G,A2402,ShadowLedger!$C:$C,"&gt;="&amp;DATE(LEFT(SUBSTITUTE(C2402,"'",""),4),MID(SUBSTITUTE(C2402,"'",""),6,2),1),ShadowLedger!$C:$C,"&lt;"&amp;EOMONTH(DATE(LEFT(SUBSTITUTE(C2402,"'",""),4),MID(SUBSTITUTE(C2402,"'",""),6,2),1),0)+1)</f>
        <v>0</v>
      </c>
      <c r="E2402" s="17">
        <f t="shared" si="1"/>
        <v>692</v>
      </c>
      <c r="F2402" s="17">
        <f t="shared" si="2"/>
        <v>0</v>
      </c>
    </row>
    <row r="2403">
      <c r="A2403" s="5" t="s">
        <v>58</v>
      </c>
      <c r="B2403" s="6">
        <v>554.0</v>
      </c>
      <c r="C2403" s="13" t="s">
        <v>353</v>
      </c>
      <c r="D2403" s="17">
        <f>SUMIFS(ShadowLedger!$D:$D,ShadowLedger!$G:$G,A2403,ShadowLedger!$C:$C,"&gt;="&amp;DATE(LEFT(SUBSTITUTE(C2403,"'",""),4),MID(SUBSTITUTE(C2403,"'",""),6,2),1),ShadowLedger!$C:$C,"&lt;"&amp;EOMONTH(DATE(LEFT(SUBSTITUTE(C2403,"'",""),4),MID(SUBSTITUTE(C2403,"'",""),6,2),1),0)+1)</f>
        <v>0</v>
      </c>
      <c r="E2403" s="17">
        <f t="shared" si="1"/>
        <v>554</v>
      </c>
      <c r="F2403" s="17">
        <f t="shared" si="2"/>
        <v>0</v>
      </c>
    </row>
    <row r="2404">
      <c r="A2404" s="5" t="s">
        <v>59</v>
      </c>
      <c r="B2404" s="6">
        <v>277.0</v>
      </c>
      <c r="C2404" s="13" t="s">
        <v>353</v>
      </c>
      <c r="D2404" s="17">
        <f>SUMIFS(ShadowLedger!$D:$D,ShadowLedger!$G:$G,A2404,ShadowLedger!$C:$C,"&gt;="&amp;DATE(LEFT(SUBSTITUTE(C2404,"'",""),4),MID(SUBSTITUTE(C2404,"'",""),6,2),1),ShadowLedger!$C:$C,"&lt;"&amp;EOMONTH(DATE(LEFT(SUBSTITUTE(C2404,"'",""),4),MID(SUBSTITUTE(C2404,"'",""),6,2),1),0)+1)</f>
        <v>0</v>
      </c>
      <c r="E2404" s="17">
        <f t="shared" si="1"/>
        <v>277</v>
      </c>
      <c r="F2404" s="17">
        <f t="shared" si="2"/>
        <v>0</v>
      </c>
    </row>
    <row r="2405">
      <c r="A2405" s="5" t="s">
        <v>60</v>
      </c>
      <c r="B2405" s="6">
        <v>208.0</v>
      </c>
      <c r="C2405" s="13" t="s">
        <v>353</v>
      </c>
      <c r="D2405" s="17">
        <f>SUMIFS(ShadowLedger!$D:$D,ShadowLedger!$G:$G,A2405,ShadowLedger!$C:$C,"&gt;="&amp;DATE(LEFT(SUBSTITUTE(C2405,"'",""),4),MID(SUBSTITUTE(C2405,"'",""),6,2),1),ShadowLedger!$C:$C,"&lt;"&amp;EOMONTH(DATE(LEFT(SUBSTITUTE(C2405,"'",""),4),MID(SUBSTITUTE(C2405,"'",""),6,2),1),0)+1)</f>
        <v>0</v>
      </c>
      <c r="E2405" s="17">
        <f t="shared" si="1"/>
        <v>208</v>
      </c>
      <c r="F2405" s="17">
        <f t="shared" si="2"/>
        <v>0</v>
      </c>
    </row>
    <row r="2406">
      <c r="A2406" s="5" t="s">
        <v>61</v>
      </c>
      <c r="B2406" s="6">
        <v>166.0</v>
      </c>
      <c r="C2406" s="13" t="s">
        <v>353</v>
      </c>
      <c r="D2406" s="17">
        <f>SUMIFS(ShadowLedger!$D:$D,ShadowLedger!$G:$G,A2406,ShadowLedger!$C:$C,"&gt;="&amp;DATE(LEFT(SUBSTITUTE(C2406,"'",""),4),MID(SUBSTITUTE(C2406,"'",""),6,2),1),ShadowLedger!$C:$C,"&lt;"&amp;EOMONTH(DATE(LEFT(SUBSTITUTE(C2406,"'",""),4),MID(SUBSTITUTE(C2406,"'",""),6,2),1),0)+1)</f>
        <v>0</v>
      </c>
      <c r="E2406" s="17">
        <f t="shared" si="1"/>
        <v>166</v>
      </c>
      <c r="F2406" s="17">
        <f t="shared" si="2"/>
        <v>0</v>
      </c>
    </row>
    <row r="2407">
      <c r="A2407" s="5" t="s">
        <v>62</v>
      </c>
      <c r="B2407" s="6">
        <v>166.0</v>
      </c>
      <c r="C2407" s="13" t="s">
        <v>353</v>
      </c>
      <c r="D2407" s="17">
        <f>SUMIFS(ShadowLedger!$D:$D,ShadowLedger!$G:$G,A2407,ShadowLedger!$C:$C,"&gt;="&amp;DATE(LEFT(SUBSTITUTE(C2407,"'",""),4),MID(SUBSTITUTE(C2407,"'",""),6,2),1),ShadowLedger!$C:$C,"&lt;"&amp;EOMONTH(DATE(LEFT(SUBSTITUTE(C2407,"'",""),4),MID(SUBSTITUTE(C2407,"'",""),6,2),1),0)+1)</f>
        <v>0</v>
      </c>
      <c r="E2407" s="17">
        <f t="shared" si="1"/>
        <v>166</v>
      </c>
      <c r="F2407" s="17">
        <f t="shared" si="2"/>
        <v>0</v>
      </c>
    </row>
    <row r="2408">
      <c r="A2408" s="5" t="s">
        <v>63</v>
      </c>
      <c r="B2408" s="6">
        <v>138.0</v>
      </c>
      <c r="C2408" s="13" t="s">
        <v>353</v>
      </c>
      <c r="D2408" s="17">
        <f>SUMIFS(ShadowLedger!$D:$D,ShadowLedger!$G:$G,A2408,ShadowLedger!$C:$C,"&gt;="&amp;DATE(LEFT(SUBSTITUTE(C2408,"'",""),4),MID(SUBSTITUTE(C2408,"'",""),6,2),1),ShadowLedger!$C:$C,"&lt;"&amp;EOMONTH(DATE(LEFT(SUBSTITUTE(C2408,"'",""),4),MID(SUBSTITUTE(C2408,"'",""),6,2),1),0)+1)</f>
        <v>0</v>
      </c>
      <c r="E2408" s="17">
        <f t="shared" si="1"/>
        <v>138</v>
      </c>
      <c r="F2408" s="17">
        <f t="shared" si="2"/>
        <v>0</v>
      </c>
    </row>
    <row r="2409">
      <c r="A2409" s="5" t="s">
        <v>64</v>
      </c>
      <c r="B2409" s="6">
        <v>138.0</v>
      </c>
      <c r="C2409" s="13" t="s">
        <v>353</v>
      </c>
      <c r="D2409" s="17">
        <f>SUMIFS(ShadowLedger!$D:$D,ShadowLedger!$G:$G,A2409,ShadowLedger!$C:$C,"&gt;="&amp;DATE(LEFT(SUBSTITUTE(C2409,"'",""),4),MID(SUBSTITUTE(C2409,"'",""),6,2),1),ShadowLedger!$C:$C,"&lt;"&amp;EOMONTH(DATE(LEFT(SUBSTITUTE(C2409,"'",""),4),MID(SUBSTITUTE(C2409,"'",""),6,2),1),0)+1)</f>
        <v>0</v>
      </c>
      <c r="E2409" s="17">
        <f t="shared" si="1"/>
        <v>138</v>
      </c>
      <c r="F2409" s="17">
        <f t="shared" si="2"/>
        <v>0</v>
      </c>
    </row>
    <row r="2410">
      <c r="A2410" s="5" t="s">
        <v>70</v>
      </c>
      <c r="B2410" s="6">
        <v>138.0</v>
      </c>
      <c r="C2410" s="13" t="s">
        <v>353</v>
      </c>
      <c r="D2410" s="17">
        <f>SUMIFS(ShadowLedger!$D:$D,ShadowLedger!$G:$G,A2410,ShadowLedger!$C:$C,"&gt;="&amp;DATE(LEFT(SUBSTITUTE(C2410,"'",""),4),MID(SUBSTITUTE(C2410,"'",""),6,2),1),ShadowLedger!$C:$C,"&lt;"&amp;EOMONTH(DATE(LEFT(SUBSTITUTE(C2410,"'",""),4),MID(SUBSTITUTE(C2410,"'",""),6,2),1),0)+1)</f>
        <v>0</v>
      </c>
      <c r="E2410" s="17">
        <f t="shared" si="1"/>
        <v>138</v>
      </c>
      <c r="F2410" s="17">
        <f t="shared" si="2"/>
        <v>0</v>
      </c>
    </row>
    <row r="2411">
      <c r="A2411" s="5" t="s">
        <v>65</v>
      </c>
      <c r="B2411" s="6">
        <v>69.0</v>
      </c>
      <c r="C2411" s="13" t="s">
        <v>353</v>
      </c>
      <c r="D2411" s="17">
        <f>SUMIFS(ShadowLedger!$D:$D,ShadowLedger!$G:$G,A2411,ShadowLedger!$C:$C,"&gt;="&amp;DATE(LEFT(SUBSTITUTE(C2411,"'",""),4),MID(SUBSTITUTE(C2411,"'",""),6,2),1),ShadowLedger!$C:$C,"&lt;"&amp;EOMONTH(DATE(LEFT(SUBSTITUTE(C2411,"'",""),4),MID(SUBSTITUTE(C2411,"'",""),6,2),1),0)+1)</f>
        <v>0</v>
      </c>
      <c r="E2411" s="17">
        <f t="shared" si="1"/>
        <v>69</v>
      </c>
      <c r="F2411" s="17">
        <f t="shared" si="2"/>
        <v>0</v>
      </c>
    </row>
    <row r="2412">
      <c r="A2412" s="5" t="s">
        <v>66</v>
      </c>
      <c r="B2412" s="6">
        <v>69.0</v>
      </c>
      <c r="C2412" s="13" t="s">
        <v>353</v>
      </c>
      <c r="D2412" s="17">
        <f>SUMIFS(ShadowLedger!$D:$D,ShadowLedger!$G:$G,A2412,ShadowLedger!$C:$C,"&gt;="&amp;DATE(LEFT(SUBSTITUTE(C2412,"'",""),4),MID(SUBSTITUTE(C2412,"'",""),6,2),1),ShadowLedger!$C:$C,"&lt;"&amp;EOMONTH(DATE(LEFT(SUBSTITUTE(C2412,"'",""),4),MID(SUBSTITUTE(C2412,"'",""),6,2),1),0)+1)</f>
        <v>0</v>
      </c>
      <c r="E2412" s="17">
        <f t="shared" si="1"/>
        <v>69</v>
      </c>
      <c r="F2412" s="17">
        <f t="shared" si="2"/>
        <v>0</v>
      </c>
    </row>
    <row r="2413">
      <c r="A2413" s="5" t="s">
        <v>67</v>
      </c>
      <c r="B2413" s="6">
        <v>69.0</v>
      </c>
      <c r="C2413" s="13" t="s">
        <v>353</v>
      </c>
      <c r="D2413" s="17">
        <f>SUMIFS(ShadowLedger!$D:$D,ShadowLedger!$G:$G,A2413,ShadowLedger!$C:$C,"&gt;="&amp;DATE(LEFT(SUBSTITUTE(C2413,"'",""),4),MID(SUBSTITUTE(C2413,"'",""),6,2),1),ShadowLedger!$C:$C,"&lt;"&amp;EOMONTH(DATE(LEFT(SUBSTITUTE(C2413,"'",""),4),MID(SUBSTITUTE(C2413,"'",""),6,2),1),0)+1)</f>
        <v>0</v>
      </c>
      <c r="E2413" s="17">
        <f t="shared" si="1"/>
        <v>69</v>
      </c>
      <c r="F2413" s="17">
        <f t="shared" si="2"/>
        <v>0</v>
      </c>
    </row>
    <row r="2414">
      <c r="A2414" s="5" t="s">
        <v>68</v>
      </c>
      <c r="B2414" s="6">
        <v>69.0</v>
      </c>
      <c r="C2414" s="13" t="s">
        <v>353</v>
      </c>
      <c r="D2414" s="17">
        <f>SUMIFS(ShadowLedger!$D:$D,ShadowLedger!$G:$G,A2414,ShadowLedger!$C:$C,"&gt;="&amp;DATE(LEFT(SUBSTITUTE(C2414,"'",""),4),MID(SUBSTITUTE(C2414,"'",""),6,2),1),ShadowLedger!$C:$C,"&lt;"&amp;EOMONTH(DATE(LEFT(SUBSTITUTE(C2414,"'",""),4),MID(SUBSTITUTE(C2414,"'",""),6,2),1),0)+1)</f>
        <v>0</v>
      </c>
      <c r="E2414" s="17">
        <f t="shared" si="1"/>
        <v>69</v>
      </c>
      <c r="F2414" s="17">
        <f t="shared" si="2"/>
        <v>0</v>
      </c>
    </row>
    <row r="2415">
      <c r="A2415" s="5" t="s">
        <v>69</v>
      </c>
      <c r="B2415" s="6">
        <v>0.0</v>
      </c>
      <c r="C2415" s="13" t="s">
        <v>353</v>
      </c>
      <c r="D2415" s="17">
        <f>SUMIFS(ShadowLedger!$D:$D,ShadowLedger!$G:$G,A2415,ShadowLedger!$C:$C,"&gt;="&amp;DATE(LEFT(SUBSTITUTE(C2415,"'",""),4),MID(SUBSTITUTE(C2415,"'",""),6,2),1),ShadowLedger!$C:$C,"&lt;"&amp;EOMONTH(DATE(LEFT(SUBSTITUTE(C2415,"'",""),4),MID(SUBSTITUTE(C2415,"'",""),6,2),1),0)+1)</f>
        <v>0</v>
      </c>
      <c r="E2415" s="17">
        <f t="shared" si="1"/>
        <v>0</v>
      </c>
      <c r="F2415" s="17">
        <f t="shared" si="2"/>
        <v>0</v>
      </c>
    </row>
    <row r="2416">
      <c r="A2416" s="5" t="s">
        <v>54</v>
      </c>
      <c r="B2416" s="6">
        <v>1273.0</v>
      </c>
      <c r="C2416" s="13" t="s">
        <v>354</v>
      </c>
      <c r="D2416" s="17">
        <f>SUMIFS(ShadowLedger!$D:$D,ShadowLedger!$G:$G,A2416,ShadowLedger!$C:$C,"&gt;="&amp;DATE(LEFT(SUBSTITUTE(C2416,"'",""),4),MID(SUBSTITUTE(C2416,"'",""),6,2),1),ShadowLedger!$C:$C,"&lt;"&amp;EOMONTH(DATE(LEFT(SUBSTITUTE(C2416,"'",""),4),MID(SUBSTITUTE(C2416,"'",""),6,2),1),0)+1)</f>
        <v>0</v>
      </c>
      <c r="E2416" s="17">
        <f t="shared" si="1"/>
        <v>1273</v>
      </c>
      <c r="F2416" s="17">
        <f t="shared" si="2"/>
        <v>0</v>
      </c>
    </row>
    <row r="2417">
      <c r="A2417" s="5" t="s">
        <v>55</v>
      </c>
      <c r="B2417" s="6">
        <v>969.0</v>
      </c>
      <c r="C2417" s="13" t="s">
        <v>354</v>
      </c>
      <c r="D2417" s="17">
        <f>SUMIFS(ShadowLedger!$D:$D,ShadowLedger!$G:$G,A2417,ShadowLedger!$C:$C,"&gt;="&amp;DATE(LEFT(SUBSTITUTE(C2417,"'",""),4),MID(SUBSTITUTE(C2417,"'",""),6,2),1),ShadowLedger!$C:$C,"&lt;"&amp;EOMONTH(DATE(LEFT(SUBSTITUTE(C2417,"'",""),4),MID(SUBSTITUTE(C2417,"'",""),6,2),1),0)+1)</f>
        <v>0</v>
      </c>
      <c r="E2417" s="17">
        <f t="shared" si="1"/>
        <v>969</v>
      </c>
      <c r="F2417" s="17">
        <f t="shared" si="2"/>
        <v>0</v>
      </c>
    </row>
    <row r="2418">
      <c r="A2418" s="5" t="s">
        <v>56</v>
      </c>
      <c r="B2418" s="6">
        <v>692.0</v>
      </c>
      <c r="C2418" s="13" t="s">
        <v>354</v>
      </c>
      <c r="D2418" s="17">
        <f>SUMIFS(ShadowLedger!$D:$D,ShadowLedger!$G:$G,A2418,ShadowLedger!$C:$C,"&gt;="&amp;DATE(LEFT(SUBSTITUTE(C2418,"'",""),4),MID(SUBSTITUTE(C2418,"'",""),6,2),1),ShadowLedger!$C:$C,"&lt;"&amp;EOMONTH(DATE(LEFT(SUBSTITUTE(C2418,"'",""),4),MID(SUBSTITUTE(C2418,"'",""),6,2),1),0)+1)</f>
        <v>0</v>
      </c>
      <c r="E2418" s="17">
        <f t="shared" si="1"/>
        <v>692</v>
      </c>
      <c r="F2418" s="17">
        <f t="shared" si="2"/>
        <v>0</v>
      </c>
    </row>
    <row r="2419">
      <c r="A2419" s="5" t="s">
        <v>57</v>
      </c>
      <c r="B2419" s="6">
        <v>692.0</v>
      </c>
      <c r="C2419" s="13" t="s">
        <v>354</v>
      </c>
      <c r="D2419" s="17">
        <f>SUMIFS(ShadowLedger!$D:$D,ShadowLedger!$G:$G,A2419,ShadowLedger!$C:$C,"&gt;="&amp;DATE(LEFT(SUBSTITUTE(C2419,"'",""),4),MID(SUBSTITUTE(C2419,"'",""),6,2),1),ShadowLedger!$C:$C,"&lt;"&amp;EOMONTH(DATE(LEFT(SUBSTITUTE(C2419,"'",""),4),MID(SUBSTITUTE(C2419,"'",""),6,2),1),0)+1)</f>
        <v>0</v>
      </c>
      <c r="E2419" s="17">
        <f t="shared" si="1"/>
        <v>692</v>
      </c>
      <c r="F2419" s="17">
        <f t="shared" si="2"/>
        <v>0</v>
      </c>
    </row>
    <row r="2420">
      <c r="A2420" s="5" t="s">
        <v>58</v>
      </c>
      <c r="B2420" s="6">
        <v>554.0</v>
      </c>
      <c r="C2420" s="13" t="s">
        <v>354</v>
      </c>
      <c r="D2420" s="17">
        <f>SUMIFS(ShadowLedger!$D:$D,ShadowLedger!$G:$G,A2420,ShadowLedger!$C:$C,"&gt;="&amp;DATE(LEFT(SUBSTITUTE(C2420,"'",""),4),MID(SUBSTITUTE(C2420,"'",""),6,2),1),ShadowLedger!$C:$C,"&lt;"&amp;EOMONTH(DATE(LEFT(SUBSTITUTE(C2420,"'",""),4),MID(SUBSTITUTE(C2420,"'",""),6,2),1),0)+1)</f>
        <v>0</v>
      </c>
      <c r="E2420" s="17">
        <f t="shared" si="1"/>
        <v>554</v>
      </c>
      <c r="F2420" s="17">
        <f t="shared" si="2"/>
        <v>0</v>
      </c>
    </row>
    <row r="2421">
      <c r="A2421" s="5" t="s">
        <v>59</v>
      </c>
      <c r="B2421" s="6">
        <v>277.0</v>
      </c>
      <c r="C2421" s="13" t="s">
        <v>354</v>
      </c>
      <c r="D2421" s="17">
        <f>SUMIFS(ShadowLedger!$D:$D,ShadowLedger!$G:$G,A2421,ShadowLedger!$C:$C,"&gt;="&amp;DATE(LEFT(SUBSTITUTE(C2421,"'",""),4),MID(SUBSTITUTE(C2421,"'",""),6,2),1),ShadowLedger!$C:$C,"&lt;"&amp;EOMONTH(DATE(LEFT(SUBSTITUTE(C2421,"'",""),4),MID(SUBSTITUTE(C2421,"'",""),6,2),1),0)+1)</f>
        <v>0</v>
      </c>
      <c r="E2421" s="17">
        <f t="shared" si="1"/>
        <v>277</v>
      </c>
      <c r="F2421" s="17">
        <f t="shared" si="2"/>
        <v>0</v>
      </c>
    </row>
    <row r="2422">
      <c r="A2422" s="5" t="s">
        <v>60</v>
      </c>
      <c r="B2422" s="6">
        <v>208.0</v>
      </c>
      <c r="C2422" s="13" t="s">
        <v>354</v>
      </c>
      <c r="D2422" s="17">
        <f>SUMIFS(ShadowLedger!$D:$D,ShadowLedger!$G:$G,A2422,ShadowLedger!$C:$C,"&gt;="&amp;DATE(LEFT(SUBSTITUTE(C2422,"'",""),4),MID(SUBSTITUTE(C2422,"'",""),6,2),1),ShadowLedger!$C:$C,"&lt;"&amp;EOMONTH(DATE(LEFT(SUBSTITUTE(C2422,"'",""),4),MID(SUBSTITUTE(C2422,"'",""),6,2),1),0)+1)</f>
        <v>0</v>
      </c>
      <c r="E2422" s="17">
        <f t="shared" si="1"/>
        <v>208</v>
      </c>
      <c r="F2422" s="17">
        <f t="shared" si="2"/>
        <v>0</v>
      </c>
    </row>
    <row r="2423">
      <c r="A2423" s="5" t="s">
        <v>61</v>
      </c>
      <c r="B2423" s="6">
        <v>166.0</v>
      </c>
      <c r="C2423" s="13" t="s">
        <v>354</v>
      </c>
      <c r="D2423" s="17">
        <f>SUMIFS(ShadowLedger!$D:$D,ShadowLedger!$G:$G,A2423,ShadowLedger!$C:$C,"&gt;="&amp;DATE(LEFT(SUBSTITUTE(C2423,"'",""),4),MID(SUBSTITUTE(C2423,"'",""),6,2),1),ShadowLedger!$C:$C,"&lt;"&amp;EOMONTH(DATE(LEFT(SUBSTITUTE(C2423,"'",""),4),MID(SUBSTITUTE(C2423,"'",""),6,2),1),0)+1)</f>
        <v>0</v>
      </c>
      <c r="E2423" s="17">
        <f t="shared" si="1"/>
        <v>166</v>
      </c>
      <c r="F2423" s="17">
        <f t="shared" si="2"/>
        <v>0</v>
      </c>
    </row>
    <row r="2424">
      <c r="A2424" s="5" t="s">
        <v>62</v>
      </c>
      <c r="B2424" s="6">
        <v>166.0</v>
      </c>
      <c r="C2424" s="13" t="s">
        <v>354</v>
      </c>
      <c r="D2424" s="17">
        <f>SUMIFS(ShadowLedger!$D:$D,ShadowLedger!$G:$G,A2424,ShadowLedger!$C:$C,"&gt;="&amp;DATE(LEFT(SUBSTITUTE(C2424,"'",""),4),MID(SUBSTITUTE(C2424,"'",""),6,2),1),ShadowLedger!$C:$C,"&lt;"&amp;EOMONTH(DATE(LEFT(SUBSTITUTE(C2424,"'",""),4),MID(SUBSTITUTE(C2424,"'",""),6,2),1),0)+1)</f>
        <v>0</v>
      </c>
      <c r="E2424" s="17">
        <f t="shared" si="1"/>
        <v>166</v>
      </c>
      <c r="F2424" s="17">
        <f t="shared" si="2"/>
        <v>0</v>
      </c>
    </row>
    <row r="2425">
      <c r="A2425" s="5" t="s">
        <v>63</v>
      </c>
      <c r="B2425" s="6">
        <v>138.0</v>
      </c>
      <c r="C2425" s="13" t="s">
        <v>354</v>
      </c>
      <c r="D2425" s="17">
        <f>SUMIFS(ShadowLedger!$D:$D,ShadowLedger!$G:$G,A2425,ShadowLedger!$C:$C,"&gt;="&amp;DATE(LEFT(SUBSTITUTE(C2425,"'",""),4),MID(SUBSTITUTE(C2425,"'",""),6,2),1),ShadowLedger!$C:$C,"&lt;"&amp;EOMONTH(DATE(LEFT(SUBSTITUTE(C2425,"'",""),4),MID(SUBSTITUTE(C2425,"'",""),6,2),1),0)+1)</f>
        <v>0</v>
      </c>
      <c r="E2425" s="17">
        <f t="shared" si="1"/>
        <v>138</v>
      </c>
      <c r="F2425" s="17">
        <f t="shared" si="2"/>
        <v>0</v>
      </c>
    </row>
    <row r="2426">
      <c r="A2426" s="5" t="s">
        <v>64</v>
      </c>
      <c r="B2426" s="6">
        <v>138.0</v>
      </c>
      <c r="C2426" s="13" t="s">
        <v>354</v>
      </c>
      <c r="D2426" s="17">
        <f>SUMIFS(ShadowLedger!$D:$D,ShadowLedger!$G:$G,A2426,ShadowLedger!$C:$C,"&gt;="&amp;DATE(LEFT(SUBSTITUTE(C2426,"'",""),4),MID(SUBSTITUTE(C2426,"'",""),6,2),1),ShadowLedger!$C:$C,"&lt;"&amp;EOMONTH(DATE(LEFT(SUBSTITUTE(C2426,"'",""),4),MID(SUBSTITUTE(C2426,"'",""),6,2),1),0)+1)</f>
        <v>0</v>
      </c>
      <c r="E2426" s="17">
        <f t="shared" si="1"/>
        <v>138</v>
      </c>
      <c r="F2426" s="17">
        <f t="shared" si="2"/>
        <v>0</v>
      </c>
    </row>
    <row r="2427">
      <c r="A2427" s="5" t="s">
        <v>70</v>
      </c>
      <c r="B2427" s="6">
        <v>138.0</v>
      </c>
      <c r="C2427" s="13" t="s">
        <v>354</v>
      </c>
      <c r="D2427" s="17">
        <f>SUMIFS(ShadowLedger!$D:$D,ShadowLedger!$G:$G,A2427,ShadowLedger!$C:$C,"&gt;="&amp;DATE(LEFT(SUBSTITUTE(C2427,"'",""),4),MID(SUBSTITUTE(C2427,"'",""),6,2),1),ShadowLedger!$C:$C,"&lt;"&amp;EOMONTH(DATE(LEFT(SUBSTITUTE(C2427,"'",""),4),MID(SUBSTITUTE(C2427,"'",""),6,2),1),0)+1)</f>
        <v>0</v>
      </c>
      <c r="E2427" s="17">
        <f t="shared" si="1"/>
        <v>138</v>
      </c>
      <c r="F2427" s="17">
        <f t="shared" si="2"/>
        <v>0</v>
      </c>
    </row>
    <row r="2428">
      <c r="A2428" s="5" t="s">
        <v>65</v>
      </c>
      <c r="B2428" s="6">
        <v>69.0</v>
      </c>
      <c r="C2428" s="13" t="s">
        <v>354</v>
      </c>
      <c r="D2428" s="17">
        <f>SUMIFS(ShadowLedger!$D:$D,ShadowLedger!$G:$G,A2428,ShadowLedger!$C:$C,"&gt;="&amp;DATE(LEFT(SUBSTITUTE(C2428,"'",""),4),MID(SUBSTITUTE(C2428,"'",""),6,2),1),ShadowLedger!$C:$C,"&lt;"&amp;EOMONTH(DATE(LEFT(SUBSTITUTE(C2428,"'",""),4),MID(SUBSTITUTE(C2428,"'",""),6,2),1),0)+1)</f>
        <v>0</v>
      </c>
      <c r="E2428" s="17">
        <f t="shared" si="1"/>
        <v>69</v>
      </c>
      <c r="F2428" s="17">
        <f t="shared" si="2"/>
        <v>0</v>
      </c>
    </row>
    <row r="2429">
      <c r="A2429" s="5" t="s">
        <v>66</v>
      </c>
      <c r="B2429" s="6">
        <v>69.0</v>
      </c>
      <c r="C2429" s="13" t="s">
        <v>354</v>
      </c>
      <c r="D2429" s="17">
        <f>SUMIFS(ShadowLedger!$D:$D,ShadowLedger!$G:$G,A2429,ShadowLedger!$C:$C,"&gt;="&amp;DATE(LEFT(SUBSTITUTE(C2429,"'",""),4),MID(SUBSTITUTE(C2429,"'",""),6,2),1),ShadowLedger!$C:$C,"&lt;"&amp;EOMONTH(DATE(LEFT(SUBSTITUTE(C2429,"'",""),4),MID(SUBSTITUTE(C2429,"'",""),6,2),1),0)+1)</f>
        <v>0</v>
      </c>
      <c r="E2429" s="17">
        <f t="shared" si="1"/>
        <v>69</v>
      </c>
      <c r="F2429" s="17">
        <f t="shared" si="2"/>
        <v>0</v>
      </c>
    </row>
    <row r="2430">
      <c r="A2430" s="5" t="s">
        <v>67</v>
      </c>
      <c r="B2430" s="6">
        <v>69.0</v>
      </c>
      <c r="C2430" s="13" t="s">
        <v>354</v>
      </c>
      <c r="D2430" s="17">
        <f>SUMIFS(ShadowLedger!$D:$D,ShadowLedger!$G:$G,A2430,ShadowLedger!$C:$C,"&gt;="&amp;DATE(LEFT(SUBSTITUTE(C2430,"'",""),4),MID(SUBSTITUTE(C2430,"'",""),6,2),1),ShadowLedger!$C:$C,"&lt;"&amp;EOMONTH(DATE(LEFT(SUBSTITUTE(C2430,"'",""),4),MID(SUBSTITUTE(C2430,"'",""),6,2),1),0)+1)</f>
        <v>0</v>
      </c>
      <c r="E2430" s="17">
        <f t="shared" si="1"/>
        <v>69</v>
      </c>
      <c r="F2430" s="17">
        <f t="shared" si="2"/>
        <v>0</v>
      </c>
    </row>
    <row r="2431">
      <c r="A2431" s="5" t="s">
        <v>68</v>
      </c>
      <c r="B2431" s="6">
        <v>69.0</v>
      </c>
      <c r="C2431" s="13" t="s">
        <v>354</v>
      </c>
      <c r="D2431" s="17">
        <f>SUMIFS(ShadowLedger!$D:$D,ShadowLedger!$G:$G,A2431,ShadowLedger!$C:$C,"&gt;="&amp;DATE(LEFT(SUBSTITUTE(C2431,"'",""),4),MID(SUBSTITUTE(C2431,"'",""),6,2),1),ShadowLedger!$C:$C,"&lt;"&amp;EOMONTH(DATE(LEFT(SUBSTITUTE(C2431,"'",""),4),MID(SUBSTITUTE(C2431,"'",""),6,2),1),0)+1)</f>
        <v>0</v>
      </c>
      <c r="E2431" s="17">
        <f t="shared" si="1"/>
        <v>69</v>
      </c>
      <c r="F2431" s="17">
        <f t="shared" si="2"/>
        <v>0</v>
      </c>
    </row>
    <row r="2432">
      <c r="A2432" s="5" t="s">
        <v>69</v>
      </c>
      <c r="B2432" s="6">
        <v>0.0</v>
      </c>
      <c r="C2432" s="13" t="s">
        <v>354</v>
      </c>
      <c r="D2432" s="17">
        <f>SUMIFS(ShadowLedger!$D:$D,ShadowLedger!$G:$G,A2432,ShadowLedger!$C:$C,"&gt;="&amp;DATE(LEFT(SUBSTITUTE(C2432,"'",""),4),MID(SUBSTITUTE(C2432,"'",""),6,2),1),ShadowLedger!$C:$C,"&lt;"&amp;EOMONTH(DATE(LEFT(SUBSTITUTE(C2432,"'",""),4),MID(SUBSTITUTE(C2432,"'",""),6,2),1),0)+1)</f>
        <v>0</v>
      </c>
      <c r="E2432" s="17">
        <f t="shared" si="1"/>
        <v>0</v>
      </c>
      <c r="F2432" s="17">
        <f t="shared" si="2"/>
        <v>0</v>
      </c>
    </row>
    <row r="2433">
      <c r="A2433" s="5" t="s">
        <v>54</v>
      </c>
      <c r="B2433" s="6">
        <v>1273.0</v>
      </c>
      <c r="C2433" s="13" t="s">
        <v>355</v>
      </c>
      <c r="D2433" s="17">
        <f>SUMIFS(ShadowLedger!$D:$D,ShadowLedger!$G:$G,A2433,ShadowLedger!$C:$C,"&gt;="&amp;DATE(LEFT(SUBSTITUTE(C2433,"'",""),4),MID(SUBSTITUTE(C2433,"'",""),6,2),1),ShadowLedger!$C:$C,"&lt;"&amp;EOMONTH(DATE(LEFT(SUBSTITUTE(C2433,"'",""),4),MID(SUBSTITUTE(C2433,"'",""),6,2),1),0)+1)</f>
        <v>0</v>
      </c>
      <c r="E2433" s="17">
        <f t="shared" si="1"/>
        <v>1273</v>
      </c>
      <c r="F2433" s="17">
        <f t="shared" si="2"/>
        <v>0</v>
      </c>
    </row>
    <row r="2434">
      <c r="A2434" s="5" t="s">
        <v>55</v>
      </c>
      <c r="B2434" s="6">
        <v>969.0</v>
      </c>
      <c r="C2434" s="13" t="s">
        <v>355</v>
      </c>
      <c r="D2434" s="17">
        <f>SUMIFS(ShadowLedger!$D:$D,ShadowLedger!$G:$G,A2434,ShadowLedger!$C:$C,"&gt;="&amp;DATE(LEFT(SUBSTITUTE(C2434,"'",""),4),MID(SUBSTITUTE(C2434,"'",""),6,2),1),ShadowLedger!$C:$C,"&lt;"&amp;EOMONTH(DATE(LEFT(SUBSTITUTE(C2434,"'",""),4),MID(SUBSTITUTE(C2434,"'",""),6,2),1),0)+1)</f>
        <v>0</v>
      </c>
      <c r="E2434" s="17">
        <f t="shared" si="1"/>
        <v>969</v>
      </c>
      <c r="F2434" s="17">
        <f t="shared" si="2"/>
        <v>0</v>
      </c>
    </row>
    <row r="2435">
      <c r="A2435" s="5" t="s">
        <v>56</v>
      </c>
      <c r="B2435" s="6">
        <v>692.0</v>
      </c>
      <c r="C2435" s="13" t="s">
        <v>355</v>
      </c>
      <c r="D2435" s="17">
        <f>SUMIFS(ShadowLedger!$D:$D,ShadowLedger!$G:$G,A2435,ShadowLedger!$C:$C,"&gt;="&amp;DATE(LEFT(SUBSTITUTE(C2435,"'",""),4),MID(SUBSTITUTE(C2435,"'",""),6,2),1),ShadowLedger!$C:$C,"&lt;"&amp;EOMONTH(DATE(LEFT(SUBSTITUTE(C2435,"'",""),4),MID(SUBSTITUTE(C2435,"'",""),6,2),1),0)+1)</f>
        <v>0</v>
      </c>
      <c r="E2435" s="17">
        <f t="shared" si="1"/>
        <v>692</v>
      </c>
      <c r="F2435" s="17">
        <f t="shared" si="2"/>
        <v>0</v>
      </c>
    </row>
    <row r="2436">
      <c r="A2436" s="5" t="s">
        <v>57</v>
      </c>
      <c r="B2436" s="6">
        <v>692.0</v>
      </c>
      <c r="C2436" s="13" t="s">
        <v>355</v>
      </c>
      <c r="D2436" s="17">
        <f>SUMIFS(ShadowLedger!$D:$D,ShadowLedger!$G:$G,A2436,ShadowLedger!$C:$C,"&gt;="&amp;DATE(LEFT(SUBSTITUTE(C2436,"'",""),4),MID(SUBSTITUTE(C2436,"'",""),6,2),1),ShadowLedger!$C:$C,"&lt;"&amp;EOMONTH(DATE(LEFT(SUBSTITUTE(C2436,"'",""),4),MID(SUBSTITUTE(C2436,"'",""),6,2),1),0)+1)</f>
        <v>0</v>
      </c>
      <c r="E2436" s="17">
        <f t="shared" si="1"/>
        <v>692</v>
      </c>
      <c r="F2436" s="17">
        <f t="shared" si="2"/>
        <v>0</v>
      </c>
    </row>
    <row r="2437">
      <c r="A2437" s="5" t="s">
        <v>58</v>
      </c>
      <c r="B2437" s="6">
        <v>554.0</v>
      </c>
      <c r="C2437" s="13" t="s">
        <v>355</v>
      </c>
      <c r="D2437" s="17">
        <f>SUMIFS(ShadowLedger!$D:$D,ShadowLedger!$G:$G,A2437,ShadowLedger!$C:$C,"&gt;="&amp;DATE(LEFT(SUBSTITUTE(C2437,"'",""),4),MID(SUBSTITUTE(C2437,"'",""),6,2),1),ShadowLedger!$C:$C,"&lt;"&amp;EOMONTH(DATE(LEFT(SUBSTITUTE(C2437,"'",""),4),MID(SUBSTITUTE(C2437,"'",""),6,2),1),0)+1)</f>
        <v>0</v>
      </c>
      <c r="E2437" s="17">
        <f t="shared" si="1"/>
        <v>554</v>
      </c>
      <c r="F2437" s="17">
        <f t="shared" si="2"/>
        <v>0</v>
      </c>
    </row>
    <row r="2438">
      <c r="A2438" s="5" t="s">
        <v>59</v>
      </c>
      <c r="B2438" s="6">
        <v>277.0</v>
      </c>
      <c r="C2438" s="13" t="s">
        <v>355</v>
      </c>
      <c r="D2438" s="17">
        <f>SUMIFS(ShadowLedger!$D:$D,ShadowLedger!$G:$G,A2438,ShadowLedger!$C:$C,"&gt;="&amp;DATE(LEFT(SUBSTITUTE(C2438,"'",""),4),MID(SUBSTITUTE(C2438,"'",""),6,2),1),ShadowLedger!$C:$C,"&lt;"&amp;EOMONTH(DATE(LEFT(SUBSTITUTE(C2438,"'",""),4),MID(SUBSTITUTE(C2438,"'",""),6,2),1),0)+1)</f>
        <v>0</v>
      </c>
      <c r="E2438" s="17">
        <f t="shared" si="1"/>
        <v>277</v>
      </c>
      <c r="F2438" s="17">
        <f t="shared" si="2"/>
        <v>0</v>
      </c>
    </row>
    <row r="2439">
      <c r="A2439" s="5" t="s">
        <v>60</v>
      </c>
      <c r="B2439" s="6">
        <v>208.0</v>
      </c>
      <c r="C2439" s="13" t="s">
        <v>355</v>
      </c>
      <c r="D2439" s="17">
        <f>SUMIFS(ShadowLedger!$D:$D,ShadowLedger!$G:$G,A2439,ShadowLedger!$C:$C,"&gt;="&amp;DATE(LEFT(SUBSTITUTE(C2439,"'",""),4),MID(SUBSTITUTE(C2439,"'",""),6,2),1),ShadowLedger!$C:$C,"&lt;"&amp;EOMONTH(DATE(LEFT(SUBSTITUTE(C2439,"'",""),4),MID(SUBSTITUTE(C2439,"'",""),6,2),1),0)+1)</f>
        <v>0</v>
      </c>
      <c r="E2439" s="17">
        <f t="shared" si="1"/>
        <v>208</v>
      </c>
      <c r="F2439" s="17">
        <f t="shared" si="2"/>
        <v>0</v>
      </c>
    </row>
    <row r="2440">
      <c r="A2440" s="5" t="s">
        <v>61</v>
      </c>
      <c r="B2440" s="6">
        <v>166.0</v>
      </c>
      <c r="C2440" s="13" t="s">
        <v>355</v>
      </c>
      <c r="D2440" s="17">
        <f>SUMIFS(ShadowLedger!$D:$D,ShadowLedger!$G:$G,A2440,ShadowLedger!$C:$C,"&gt;="&amp;DATE(LEFT(SUBSTITUTE(C2440,"'",""),4),MID(SUBSTITUTE(C2440,"'",""),6,2),1),ShadowLedger!$C:$C,"&lt;"&amp;EOMONTH(DATE(LEFT(SUBSTITUTE(C2440,"'",""),4),MID(SUBSTITUTE(C2440,"'",""),6,2),1),0)+1)</f>
        <v>0</v>
      </c>
      <c r="E2440" s="17">
        <f t="shared" si="1"/>
        <v>166</v>
      </c>
      <c r="F2440" s="17">
        <f t="shared" si="2"/>
        <v>0</v>
      </c>
    </row>
    <row r="2441">
      <c r="A2441" s="5" t="s">
        <v>62</v>
      </c>
      <c r="B2441" s="6">
        <v>166.0</v>
      </c>
      <c r="C2441" s="13" t="s">
        <v>355</v>
      </c>
      <c r="D2441" s="17">
        <f>SUMIFS(ShadowLedger!$D:$D,ShadowLedger!$G:$G,A2441,ShadowLedger!$C:$C,"&gt;="&amp;DATE(LEFT(SUBSTITUTE(C2441,"'",""),4),MID(SUBSTITUTE(C2441,"'",""),6,2),1),ShadowLedger!$C:$C,"&lt;"&amp;EOMONTH(DATE(LEFT(SUBSTITUTE(C2441,"'",""),4),MID(SUBSTITUTE(C2441,"'",""),6,2),1),0)+1)</f>
        <v>0</v>
      </c>
      <c r="E2441" s="17">
        <f t="shared" si="1"/>
        <v>166</v>
      </c>
      <c r="F2441" s="17">
        <f t="shared" si="2"/>
        <v>0</v>
      </c>
    </row>
    <row r="2442">
      <c r="A2442" s="5" t="s">
        <v>63</v>
      </c>
      <c r="B2442" s="6">
        <v>138.0</v>
      </c>
      <c r="C2442" s="13" t="s">
        <v>355</v>
      </c>
      <c r="D2442" s="17">
        <f>SUMIFS(ShadowLedger!$D:$D,ShadowLedger!$G:$G,A2442,ShadowLedger!$C:$C,"&gt;="&amp;DATE(LEFT(SUBSTITUTE(C2442,"'",""),4),MID(SUBSTITUTE(C2442,"'",""),6,2),1),ShadowLedger!$C:$C,"&lt;"&amp;EOMONTH(DATE(LEFT(SUBSTITUTE(C2442,"'",""),4),MID(SUBSTITUTE(C2442,"'",""),6,2),1),0)+1)</f>
        <v>0</v>
      </c>
      <c r="E2442" s="17">
        <f t="shared" si="1"/>
        <v>138</v>
      </c>
      <c r="F2442" s="17">
        <f t="shared" si="2"/>
        <v>0</v>
      </c>
    </row>
    <row r="2443">
      <c r="A2443" s="5" t="s">
        <v>64</v>
      </c>
      <c r="B2443" s="6">
        <v>138.0</v>
      </c>
      <c r="C2443" s="13" t="s">
        <v>355</v>
      </c>
      <c r="D2443" s="17">
        <f>SUMIFS(ShadowLedger!$D:$D,ShadowLedger!$G:$G,A2443,ShadowLedger!$C:$C,"&gt;="&amp;DATE(LEFT(SUBSTITUTE(C2443,"'",""),4),MID(SUBSTITUTE(C2443,"'",""),6,2),1),ShadowLedger!$C:$C,"&lt;"&amp;EOMONTH(DATE(LEFT(SUBSTITUTE(C2443,"'",""),4),MID(SUBSTITUTE(C2443,"'",""),6,2),1),0)+1)</f>
        <v>0</v>
      </c>
      <c r="E2443" s="17">
        <f t="shared" si="1"/>
        <v>138</v>
      </c>
      <c r="F2443" s="17">
        <f t="shared" si="2"/>
        <v>0</v>
      </c>
    </row>
    <row r="2444">
      <c r="A2444" s="5" t="s">
        <v>70</v>
      </c>
      <c r="B2444" s="6">
        <v>138.0</v>
      </c>
      <c r="C2444" s="13" t="s">
        <v>355</v>
      </c>
      <c r="D2444" s="17">
        <f>SUMIFS(ShadowLedger!$D:$D,ShadowLedger!$G:$G,A2444,ShadowLedger!$C:$C,"&gt;="&amp;DATE(LEFT(SUBSTITUTE(C2444,"'",""),4),MID(SUBSTITUTE(C2444,"'",""),6,2),1),ShadowLedger!$C:$C,"&lt;"&amp;EOMONTH(DATE(LEFT(SUBSTITUTE(C2444,"'",""),4),MID(SUBSTITUTE(C2444,"'",""),6,2),1),0)+1)</f>
        <v>0</v>
      </c>
      <c r="E2444" s="17">
        <f t="shared" si="1"/>
        <v>138</v>
      </c>
      <c r="F2444" s="17">
        <f t="shared" si="2"/>
        <v>0</v>
      </c>
    </row>
    <row r="2445">
      <c r="A2445" s="5" t="s">
        <v>65</v>
      </c>
      <c r="B2445" s="6">
        <v>69.0</v>
      </c>
      <c r="C2445" s="13" t="s">
        <v>355</v>
      </c>
      <c r="D2445" s="17">
        <f>SUMIFS(ShadowLedger!$D:$D,ShadowLedger!$G:$G,A2445,ShadowLedger!$C:$C,"&gt;="&amp;DATE(LEFT(SUBSTITUTE(C2445,"'",""),4),MID(SUBSTITUTE(C2445,"'",""),6,2),1),ShadowLedger!$C:$C,"&lt;"&amp;EOMONTH(DATE(LEFT(SUBSTITUTE(C2445,"'",""),4),MID(SUBSTITUTE(C2445,"'",""),6,2),1),0)+1)</f>
        <v>0</v>
      </c>
      <c r="E2445" s="17">
        <f t="shared" si="1"/>
        <v>69</v>
      </c>
      <c r="F2445" s="17">
        <f t="shared" si="2"/>
        <v>0</v>
      </c>
    </row>
    <row r="2446">
      <c r="A2446" s="5" t="s">
        <v>66</v>
      </c>
      <c r="B2446" s="6">
        <v>69.0</v>
      </c>
      <c r="C2446" s="13" t="s">
        <v>355</v>
      </c>
      <c r="D2446" s="17">
        <f>SUMIFS(ShadowLedger!$D:$D,ShadowLedger!$G:$G,A2446,ShadowLedger!$C:$C,"&gt;="&amp;DATE(LEFT(SUBSTITUTE(C2446,"'",""),4),MID(SUBSTITUTE(C2446,"'",""),6,2),1),ShadowLedger!$C:$C,"&lt;"&amp;EOMONTH(DATE(LEFT(SUBSTITUTE(C2446,"'",""),4),MID(SUBSTITUTE(C2446,"'",""),6,2),1),0)+1)</f>
        <v>0</v>
      </c>
      <c r="E2446" s="17">
        <f t="shared" si="1"/>
        <v>69</v>
      </c>
      <c r="F2446" s="17">
        <f t="shared" si="2"/>
        <v>0</v>
      </c>
    </row>
    <row r="2447">
      <c r="A2447" s="5" t="s">
        <v>67</v>
      </c>
      <c r="B2447" s="6">
        <v>69.0</v>
      </c>
      <c r="C2447" s="13" t="s">
        <v>355</v>
      </c>
      <c r="D2447" s="17">
        <f>SUMIFS(ShadowLedger!$D:$D,ShadowLedger!$G:$G,A2447,ShadowLedger!$C:$C,"&gt;="&amp;DATE(LEFT(SUBSTITUTE(C2447,"'",""),4),MID(SUBSTITUTE(C2447,"'",""),6,2),1),ShadowLedger!$C:$C,"&lt;"&amp;EOMONTH(DATE(LEFT(SUBSTITUTE(C2447,"'",""),4),MID(SUBSTITUTE(C2447,"'",""),6,2),1),0)+1)</f>
        <v>0</v>
      </c>
      <c r="E2447" s="17">
        <f t="shared" si="1"/>
        <v>69</v>
      </c>
      <c r="F2447" s="17">
        <f t="shared" si="2"/>
        <v>0</v>
      </c>
    </row>
    <row r="2448">
      <c r="A2448" s="5" t="s">
        <v>68</v>
      </c>
      <c r="B2448" s="6">
        <v>69.0</v>
      </c>
      <c r="C2448" s="13" t="s">
        <v>355</v>
      </c>
      <c r="D2448" s="17">
        <f>SUMIFS(ShadowLedger!$D:$D,ShadowLedger!$G:$G,A2448,ShadowLedger!$C:$C,"&gt;="&amp;DATE(LEFT(SUBSTITUTE(C2448,"'",""),4),MID(SUBSTITUTE(C2448,"'",""),6,2),1),ShadowLedger!$C:$C,"&lt;"&amp;EOMONTH(DATE(LEFT(SUBSTITUTE(C2448,"'",""),4),MID(SUBSTITUTE(C2448,"'",""),6,2),1),0)+1)</f>
        <v>0</v>
      </c>
      <c r="E2448" s="17">
        <f t="shared" si="1"/>
        <v>69</v>
      </c>
      <c r="F2448" s="17">
        <f t="shared" si="2"/>
        <v>0</v>
      </c>
    </row>
    <row r="2449">
      <c r="A2449" s="5" t="s">
        <v>69</v>
      </c>
      <c r="B2449" s="6">
        <v>0.0</v>
      </c>
      <c r="C2449" s="13" t="s">
        <v>355</v>
      </c>
      <c r="D2449" s="17">
        <f>SUMIFS(ShadowLedger!$D:$D,ShadowLedger!$G:$G,A2449,ShadowLedger!$C:$C,"&gt;="&amp;DATE(LEFT(SUBSTITUTE(C2449,"'",""),4),MID(SUBSTITUTE(C2449,"'",""),6,2),1),ShadowLedger!$C:$C,"&lt;"&amp;EOMONTH(DATE(LEFT(SUBSTITUTE(C2449,"'",""),4),MID(SUBSTITUTE(C2449,"'",""),6,2),1),0)+1)</f>
        <v>0</v>
      </c>
      <c r="E2449" s="17">
        <f t="shared" si="1"/>
        <v>0</v>
      </c>
      <c r="F2449" s="17">
        <f t="shared" si="2"/>
        <v>0</v>
      </c>
    </row>
    <row r="2450">
      <c r="A2450" s="5" t="s">
        <v>54</v>
      </c>
      <c r="B2450" s="6">
        <v>1273.0</v>
      </c>
      <c r="C2450" s="13" t="s">
        <v>356</v>
      </c>
      <c r="D2450" s="17">
        <f>SUMIFS(ShadowLedger!$D:$D,ShadowLedger!$G:$G,A2450,ShadowLedger!$C:$C,"&gt;="&amp;DATE(LEFT(SUBSTITUTE(C2450,"'",""),4),MID(SUBSTITUTE(C2450,"'",""),6,2),1),ShadowLedger!$C:$C,"&lt;"&amp;EOMONTH(DATE(LEFT(SUBSTITUTE(C2450,"'",""),4),MID(SUBSTITUTE(C2450,"'",""),6,2),1),0)+1)</f>
        <v>0</v>
      </c>
      <c r="E2450" s="17">
        <f t="shared" si="1"/>
        <v>1273</v>
      </c>
      <c r="F2450" s="17">
        <f t="shared" si="2"/>
        <v>0</v>
      </c>
    </row>
    <row r="2451">
      <c r="A2451" s="5" t="s">
        <v>55</v>
      </c>
      <c r="B2451" s="6">
        <v>969.0</v>
      </c>
      <c r="C2451" s="13" t="s">
        <v>356</v>
      </c>
      <c r="D2451" s="17">
        <f>SUMIFS(ShadowLedger!$D:$D,ShadowLedger!$G:$G,A2451,ShadowLedger!$C:$C,"&gt;="&amp;DATE(LEFT(SUBSTITUTE(C2451,"'",""),4),MID(SUBSTITUTE(C2451,"'",""),6,2),1),ShadowLedger!$C:$C,"&lt;"&amp;EOMONTH(DATE(LEFT(SUBSTITUTE(C2451,"'",""),4),MID(SUBSTITUTE(C2451,"'",""),6,2),1),0)+1)</f>
        <v>0</v>
      </c>
      <c r="E2451" s="17">
        <f t="shared" si="1"/>
        <v>969</v>
      </c>
      <c r="F2451" s="17">
        <f t="shared" si="2"/>
        <v>0</v>
      </c>
    </row>
    <row r="2452">
      <c r="A2452" s="5" t="s">
        <v>56</v>
      </c>
      <c r="B2452" s="6">
        <v>692.0</v>
      </c>
      <c r="C2452" s="13" t="s">
        <v>356</v>
      </c>
      <c r="D2452" s="17">
        <f>SUMIFS(ShadowLedger!$D:$D,ShadowLedger!$G:$G,A2452,ShadowLedger!$C:$C,"&gt;="&amp;DATE(LEFT(SUBSTITUTE(C2452,"'",""),4),MID(SUBSTITUTE(C2452,"'",""),6,2),1),ShadowLedger!$C:$C,"&lt;"&amp;EOMONTH(DATE(LEFT(SUBSTITUTE(C2452,"'",""),4),MID(SUBSTITUTE(C2452,"'",""),6,2),1),0)+1)</f>
        <v>0</v>
      </c>
      <c r="E2452" s="17">
        <f t="shared" si="1"/>
        <v>692</v>
      </c>
      <c r="F2452" s="17">
        <f t="shared" si="2"/>
        <v>0</v>
      </c>
    </row>
    <row r="2453">
      <c r="A2453" s="5" t="s">
        <v>57</v>
      </c>
      <c r="B2453" s="6">
        <v>692.0</v>
      </c>
      <c r="C2453" s="13" t="s">
        <v>356</v>
      </c>
      <c r="D2453" s="17">
        <f>SUMIFS(ShadowLedger!$D:$D,ShadowLedger!$G:$G,A2453,ShadowLedger!$C:$C,"&gt;="&amp;DATE(LEFT(SUBSTITUTE(C2453,"'",""),4),MID(SUBSTITUTE(C2453,"'",""),6,2),1),ShadowLedger!$C:$C,"&lt;"&amp;EOMONTH(DATE(LEFT(SUBSTITUTE(C2453,"'",""),4),MID(SUBSTITUTE(C2453,"'",""),6,2),1),0)+1)</f>
        <v>0</v>
      </c>
      <c r="E2453" s="17">
        <f t="shared" si="1"/>
        <v>692</v>
      </c>
      <c r="F2453" s="17">
        <f t="shared" si="2"/>
        <v>0</v>
      </c>
    </row>
    <row r="2454">
      <c r="A2454" s="5" t="s">
        <v>58</v>
      </c>
      <c r="B2454" s="6">
        <v>554.0</v>
      </c>
      <c r="C2454" s="13" t="s">
        <v>356</v>
      </c>
      <c r="D2454" s="17">
        <f>SUMIFS(ShadowLedger!$D:$D,ShadowLedger!$G:$G,A2454,ShadowLedger!$C:$C,"&gt;="&amp;DATE(LEFT(SUBSTITUTE(C2454,"'",""),4),MID(SUBSTITUTE(C2454,"'",""),6,2),1),ShadowLedger!$C:$C,"&lt;"&amp;EOMONTH(DATE(LEFT(SUBSTITUTE(C2454,"'",""),4),MID(SUBSTITUTE(C2454,"'",""),6,2),1),0)+1)</f>
        <v>0</v>
      </c>
      <c r="E2454" s="17">
        <f t="shared" si="1"/>
        <v>554</v>
      </c>
      <c r="F2454" s="17">
        <f t="shared" si="2"/>
        <v>0</v>
      </c>
    </row>
    <row r="2455">
      <c r="A2455" s="5" t="s">
        <v>59</v>
      </c>
      <c r="B2455" s="6">
        <v>277.0</v>
      </c>
      <c r="C2455" s="13" t="s">
        <v>356</v>
      </c>
      <c r="D2455" s="17">
        <f>SUMIFS(ShadowLedger!$D:$D,ShadowLedger!$G:$G,A2455,ShadowLedger!$C:$C,"&gt;="&amp;DATE(LEFT(SUBSTITUTE(C2455,"'",""),4),MID(SUBSTITUTE(C2455,"'",""),6,2),1),ShadowLedger!$C:$C,"&lt;"&amp;EOMONTH(DATE(LEFT(SUBSTITUTE(C2455,"'",""),4),MID(SUBSTITUTE(C2455,"'",""),6,2),1),0)+1)</f>
        <v>0</v>
      </c>
      <c r="E2455" s="17">
        <f t="shared" si="1"/>
        <v>277</v>
      </c>
      <c r="F2455" s="17">
        <f t="shared" si="2"/>
        <v>0</v>
      </c>
    </row>
    <row r="2456">
      <c r="A2456" s="5" t="s">
        <v>60</v>
      </c>
      <c r="B2456" s="6">
        <v>208.0</v>
      </c>
      <c r="C2456" s="13" t="s">
        <v>356</v>
      </c>
      <c r="D2456" s="17">
        <f>SUMIFS(ShadowLedger!$D:$D,ShadowLedger!$G:$G,A2456,ShadowLedger!$C:$C,"&gt;="&amp;DATE(LEFT(SUBSTITUTE(C2456,"'",""),4),MID(SUBSTITUTE(C2456,"'",""),6,2),1),ShadowLedger!$C:$C,"&lt;"&amp;EOMONTH(DATE(LEFT(SUBSTITUTE(C2456,"'",""),4),MID(SUBSTITUTE(C2456,"'",""),6,2),1),0)+1)</f>
        <v>0</v>
      </c>
      <c r="E2456" s="17">
        <f t="shared" si="1"/>
        <v>208</v>
      </c>
      <c r="F2456" s="17">
        <f t="shared" si="2"/>
        <v>0</v>
      </c>
    </row>
    <row r="2457">
      <c r="A2457" s="5" t="s">
        <v>61</v>
      </c>
      <c r="B2457" s="6">
        <v>166.0</v>
      </c>
      <c r="C2457" s="13" t="s">
        <v>356</v>
      </c>
      <c r="D2457" s="17">
        <f>SUMIFS(ShadowLedger!$D:$D,ShadowLedger!$G:$G,A2457,ShadowLedger!$C:$C,"&gt;="&amp;DATE(LEFT(SUBSTITUTE(C2457,"'",""),4),MID(SUBSTITUTE(C2457,"'",""),6,2),1),ShadowLedger!$C:$C,"&lt;"&amp;EOMONTH(DATE(LEFT(SUBSTITUTE(C2457,"'",""),4),MID(SUBSTITUTE(C2457,"'",""),6,2),1),0)+1)</f>
        <v>0</v>
      </c>
      <c r="E2457" s="17">
        <f t="shared" si="1"/>
        <v>166</v>
      </c>
      <c r="F2457" s="17">
        <f t="shared" si="2"/>
        <v>0</v>
      </c>
    </row>
    <row r="2458">
      <c r="A2458" s="5" t="s">
        <v>62</v>
      </c>
      <c r="B2458" s="6">
        <v>166.0</v>
      </c>
      <c r="C2458" s="13" t="s">
        <v>356</v>
      </c>
      <c r="D2458" s="17">
        <f>SUMIFS(ShadowLedger!$D:$D,ShadowLedger!$G:$G,A2458,ShadowLedger!$C:$C,"&gt;="&amp;DATE(LEFT(SUBSTITUTE(C2458,"'",""),4),MID(SUBSTITUTE(C2458,"'",""),6,2),1),ShadowLedger!$C:$C,"&lt;"&amp;EOMONTH(DATE(LEFT(SUBSTITUTE(C2458,"'",""),4),MID(SUBSTITUTE(C2458,"'",""),6,2),1),0)+1)</f>
        <v>0</v>
      </c>
      <c r="E2458" s="17">
        <f t="shared" si="1"/>
        <v>166</v>
      </c>
      <c r="F2458" s="17">
        <f t="shared" si="2"/>
        <v>0</v>
      </c>
    </row>
    <row r="2459">
      <c r="A2459" s="5" t="s">
        <v>63</v>
      </c>
      <c r="B2459" s="6">
        <v>138.0</v>
      </c>
      <c r="C2459" s="13" t="s">
        <v>356</v>
      </c>
      <c r="D2459" s="17">
        <f>SUMIFS(ShadowLedger!$D:$D,ShadowLedger!$G:$G,A2459,ShadowLedger!$C:$C,"&gt;="&amp;DATE(LEFT(SUBSTITUTE(C2459,"'",""),4),MID(SUBSTITUTE(C2459,"'",""),6,2),1),ShadowLedger!$C:$C,"&lt;"&amp;EOMONTH(DATE(LEFT(SUBSTITUTE(C2459,"'",""),4),MID(SUBSTITUTE(C2459,"'",""),6,2),1),0)+1)</f>
        <v>0</v>
      </c>
      <c r="E2459" s="17">
        <f t="shared" si="1"/>
        <v>138</v>
      </c>
      <c r="F2459" s="17">
        <f t="shared" si="2"/>
        <v>0</v>
      </c>
    </row>
    <row r="2460">
      <c r="A2460" s="5" t="s">
        <v>64</v>
      </c>
      <c r="B2460" s="6">
        <v>138.0</v>
      </c>
      <c r="C2460" s="13" t="s">
        <v>356</v>
      </c>
      <c r="D2460" s="17">
        <f>SUMIFS(ShadowLedger!$D:$D,ShadowLedger!$G:$G,A2460,ShadowLedger!$C:$C,"&gt;="&amp;DATE(LEFT(SUBSTITUTE(C2460,"'",""),4),MID(SUBSTITUTE(C2460,"'",""),6,2),1),ShadowLedger!$C:$C,"&lt;"&amp;EOMONTH(DATE(LEFT(SUBSTITUTE(C2460,"'",""),4),MID(SUBSTITUTE(C2460,"'",""),6,2),1),0)+1)</f>
        <v>0</v>
      </c>
      <c r="E2460" s="17">
        <f t="shared" si="1"/>
        <v>138</v>
      </c>
      <c r="F2460" s="17">
        <f t="shared" si="2"/>
        <v>0</v>
      </c>
    </row>
    <row r="2461">
      <c r="A2461" s="5" t="s">
        <v>70</v>
      </c>
      <c r="B2461" s="6">
        <v>138.0</v>
      </c>
      <c r="C2461" s="13" t="s">
        <v>356</v>
      </c>
      <c r="D2461" s="17">
        <f>SUMIFS(ShadowLedger!$D:$D,ShadowLedger!$G:$G,A2461,ShadowLedger!$C:$C,"&gt;="&amp;DATE(LEFT(SUBSTITUTE(C2461,"'",""),4),MID(SUBSTITUTE(C2461,"'",""),6,2),1),ShadowLedger!$C:$C,"&lt;"&amp;EOMONTH(DATE(LEFT(SUBSTITUTE(C2461,"'",""),4),MID(SUBSTITUTE(C2461,"'",""),6,2),1),0)+1)</f>
        <v>0</v>
      </c>
      <c r="E2461" s="17">
        <f t="shared" si="1"/>
        <v>138</v>
      </c>
      <c r="F2461" s="17">
        <f t="shared" si="2"/>
        <v>0</v>
      </c>
    </row>
    <row r="2462">
      <c r="A2462" s="5" t="s">
        <v>65</v>
      </c>
      <c r="B2462" s="6">
        <v>69.0</v>
      </c>
      <c r="C2462" s="13" t="s">
        <v>356</v>
      </c>
      <c r="D2462" s="17">
        <f>SUMIFS(ShadowLedger!$D:$D,ShadowLedger!$G:$G,A2462,ShadowLedger!$C:$C,"&gt;="&amp;DATE(LEFT(SUBSTITUTE(C2462,"'",""),4),MID(SUBSTITUTE(C2462,"'",""),6,2),1),ShadowLedger!$C:$C,"&lt;"&amp;EOMONTH(DATE(LEFT(SUBSTITUTE(C2462,"'",""),4),MID(SUBSTITUTE(C2462,"'",""),6,2),1),0)+1)</f>
        <v>0</v>
      </c>
      <c r="E2462" s="17">
        <f t="shared" si="1"/>
        <v>69</v>
      </c>
      <c r="F2462" s="17">
        <f t="shared" si="2"/>
        <v>0</v>
      </c>
    </row>
    <row r="2463">
      <c r="A2463" s="5" t="s">
        <v>66</v>
      </c>
      <c r="B2463" s="6">
        <v>69.0</v>
      </c>
      <c r="C2463" s="13" t="s">
        <v>356</v>
      </c>
      <c r="D2463" s="17">
        <f>SUMIFS(ShadowLedger!$D:$D,ShadowLedger!$G:$G,A2463,ShadowLedger!$C:$C,"&gt;="&amp;DATE(LEFT(SUBSTITUTE(C2463,"'",""),4),MID(SUBSTITUTE(C2463,"'",""),6,2),1),ShadowLedger!$C:$C,"&lt;"&amp;EOMONTH(DATE(LEFT(SUBSTITUTE(C2463,"'",""),4),MID(SUBSTITUTE(C2463,"'",""),6,2),1),0)+1)</f>
        <v>0</v>
      </c>
      <c r="E2463" s="17">
        <f t="shared" si="1"/>
        <v>69</v>
      </c>
      <c r="F2463" s="17">
        <f t="shared" si="2"/>
        <v>0</v>
      </c>
    </row>
    <row r="2464">
      <c r="A2464" s="5" t="s">
        <v>67</v>
      </c>
      <c r="B2464" s="6">
        <v>69.0</v>
      </c>
      <c r="C2464" s="13" t="s">
        <v>356</v>
      </c>
      <c r="D2464" s="17">
        <f>SUMIFS(ShadowLedger!$D:$D,ShadowLedger!$G:$G,A2464,ShadowLedger!$C:$C,"&gt;="&amp;DATE(LEFT(SUBSTITUTE(C2464,"'",""),4),MID(SUBSTITUTE(C2464,"'",""),6,2),1),ShadowLedger!$C:$C,"&lt;"&amp;EOMONTH(DATE(LEFT(SUBSTITUTE(C2464,"'",""),4),MID(SUBSTITUTE(C2464,"'",""),6,2),1),0)+1)</f>
        <v>0</v>
      </c>
      <c r="E2464" s="17">
        <f t="shared" si="1"/>
        <v>69</v>
      </c>
      <c r="F2464" s="17">
        <f t="shared" si="2"/>
        <v>0</v>
      </c>
    </row>
    <row r="2465">
      <c r="A2465" s="5" t="s">
        <v>68</v>
      </c>
      <c r="B2465" s="6">
        <v>69.0</v>
      </c>
      <c r="C2465" s="13" t="s">
        <v>356</v>
      </c>
      <c r="D2465" s="17">
        <f>SUMIFS(ShadowLedger!$D:$D,ShadowLedger!$G:$G,A2465,ShadowLedger!$C:$C,"&gt;="&amp;DATE(LEFT(SUBSTITUTE(C2465,"'",""),4),MID(SUBSTITUTE(C2465,"'",""),6,2),1),ShadowLedger!$C:$C,"&lt;"&amp;EOMONTH(DATE(LEFT(SUBSTITUTE(C2465,"'",""),4),MID(SUBSTITUTE(C2465,"'",""),6,2),1),0)+1)</f>
        <v>0</v>
      </c>
      <c r="E2465" s="17">
        <f t="shared" si="1"/>
        <v>69</v>
      </c>
      <c r="F2465" s="17">
        <f t="shared" si="2"/>
        <v>0</v>
      </c>
    </row>
    <row r="2466">
      <c r="A2466" s="5" t="s">
        <v>69</v>
      </c>
      <c r="B2466" s="6">
        <v>0.0</v>
      </c>
      <c r="C2466" s="13" t="s">
        <v>356</v>
      </c>
      <c r="D2466" s="17">
        <f>SUMIFS(ShadowLedger!$D:$D,ShadowLedger!$G:$G,A2466,ShadowLedger!$C:$C,"&gt;="&amp;DATE(LEFT(SUBSTITUTE(C2466,"'",""),4),MID(SUBSTITUTE(C2466,"'",""),6,2),1),ShadowLedger!$C:$C,"&lt;"&amp;EOMONTH(DATE(LEFT(SUBSTITUTE(C2466,"'",""),4),MID(SUBSTITUTE(C2466,"'",""),6,2),1),0)+1)</f>
        <v>0</v>
      </c>
      <c r="E2466" s="17">
        <f t="shared" si="1"/>
        <v>0</v>
      </c>
      <c r="F2466" s="17">
        <f t="shared" si="2"/>
        <v>0</v>
      </c>
    </row>
    <row r="2467">
      <c r="A2467" s="5" t="s">
        <v>54</v>
      </c>
      <c r="B2467" s="6">
        <v>1312.0</v>
      </c>
      <c r="C2467" s="13" t="s">
        <v>357</v>
      </c>
      <c r="D2467" s="17">
        <f>SUMIFS(ShadowLedger!$D:$D,ShadowLedger!$G:$G,A2467,ShadowLedger!$C:$C,"&gt;="&amp;DATE(LEFT(SUBSTITUTE(C2467,"'",""),4),MID(SUBSTITUTE(C2467,"'",""),6,2),1),ShadowLedger!$C:$C,"&lt;"&amp;EOMONTH(DATE(LEFT(SUBSTITUTE(C2467,"'",""),4),MID(SUBSTITUTE(C2467,"'",""),6,2),1),0)+1)</f>
        <v>0</v>
      </c>
      <c r="E2467" s="17">
        <f t="shared" si="1"/>
        <v>1312</v>
      </c>
      <c r="F2467" s="17">
        <f t="shared" si="2"/>
        <v>0</v>
      </c>
    </row>
    <row r="2468">
      <c r="A2468" s="5" t="s">
        <v>55</v>
      </c>
      <c r="B2468" s="6">
        <v>998.0</v>
      </c>
      <c r="C2468" s="13" t="s">
        <v>357</v>
      </c>
      <c r="D2468" s="17">
        <f>SUMIFS(ShadowLedger!$D:$D,ShadowLedger!$G:$G,A2468,ShadowLedger!$C:$C,"&gt;="&amp;DATE(LEFT(SUBSTITUTE(C2468,"'",""),4),MID(SUBSTITUTE(C2468,"'",""),6,2),1),ShadowLedger!$C:$C,"&lt;"&amp;EOMONTH(DATE(LEFT(SUBSTITUTE(C2468,"'",""),4),MID(SUBSTITUTE(C2468,"'",""),6,2),1),0)+1)</f>
        <v>0</v>
      </c>
      <c r="E2468" s="17">
        <f t="shared" si="1"/>
        <v>998</v>
      </c>
      <c r="F2468" s="17">
        <f t="shared" si="2"/>
        <v>0</v>
      </c>
    </row>
    <row r="2469">
      <c r="A2469" s="5" t="s">
        <v>56</v>
      </c>
      <c r="B2469" s="6">
        <v>713.0</v>
      </c>
      <c r="C2469" s="13" t="s">
        <v>357</v>
      </c>
      <c r="D2469" s="17">
        <f>SUMIFS(ShadowLedger!$D:$D,ShadowLedger!$G:$G,A2469,ShadowLedger!$C:$C,"&gt;="&amp;DATE(LEFT(SUBSTITUTE(C2469,"'",""),4),MID(SUBSTITUTE(C2469,"'",""),6,2),1),ShadowLedger!$C:$C,"&lt;"&amp;EOMONTH(DATE(LEFT(SUBSTITUTE(C2469,"'",""),4),MID(SUBSTITUTE(C2469,"'",""),6,2),1),0)+1)</f>
        <v>0</v>
      </c>
      <c r="E2469" s="17">
        <f t="shared" si="1"/>
        <v>713</v>
      </c>
      <c r="F2469" s="17">
        <f t="shared" si="2"/>
        <v>0</v>
      </c>
    </row>
    <row r="2470">
      <c r="A2470" s="5" t="s">
        <v>57</v>
      </c>
      <c r="B2470" s="6">
        <v>713.0</v>
      </c>
      <c r="C2470" s="13" t="s">
        <v>357</v>
      </c>
      <c r="D2470" s="17">
        <f>SUMIFS(ShadowLedger!$D:$D,ShadowLedger!$G:$G,A2470,ShadowLedger!$C:$C,"&gt;="&amp;DATE(LEFT(SUBSTITUTE(C2470,"'",""),4),MID(SUBSTITUTE(C2470,"'",""),6,2),1),ShadowLedger!$C:$C,"&lt;"&amp;EOMONTH(DATE(LEFT(SUBSTITUTE(C2470,"'",""),4),MID(SUBSTITUTE(C2470,"'",""),6,2),1),0)+1)</f>
        <v>0</v>
      </c>
      <c r="E2470" s="17">
        <f t="shared" si="1"/>
        <v>713</v>
      </c>
      <c r="F2470" s="17">
        <f t="shared" si="2"/>
        <v>0</v>
      </c>
    </row>
    <row r="2471">
      <c r="A2471" s="5" t="s">
        <v>58</v>
      </c>
      <c r="B2471" s="6">
        <v>570.0</v>
      </c>
      <c r="C2471" s="13" t="s">
        <v>357</v>
      </c>
      <c r="D2471" s="17">
        <f>SUMIFS(ShadowLedger!$D:$D,ShadowLedger!$G:$G,A2471,ShadowLedger!$C:$C,"&gt;="&amp;DATE(LEFT(SUBSTITUTE(C2471,"'",""),4),MID(SUBSTITUTE(C2471,"'",""),6,2),1),ShadowLedger!$C:$C,"&lt;"&amp;EOMONTH(DATE(LEFT(SUBSTITUTE(C2471,"'",""),4),MID(SUBSTITUTE(C2471,"'",""),6,2),1),0)+1)</f>
        <v>0</v>
      </c>
      <c r="E2471" s="17">
        <f t="shared" si="1"/>
        <v>570</v>
      </c>
      <c r="F2471" s="17">
        <f t="shared" si="2"/>
        <v>0</v>
      </c>
    </row>
    <row r="2472">
      <c r="A2472" s="5" t="s">
        <v>59</v>
      </c>
      <c r="B2472" s="6">
        <v>285.0</v>
      </c>
      <c r="C2472" s="13" t="s">
        <v>357</v>
      </c>
      <c r="D2472" s="17">
        <f>SUMIFS(ShadowLedger!$D:$D,ShadowLedger!$G:$G,A2472,ShadowLedger!$C:$C,"&gt;="&amp;DATE(LEFT(SUBSTITUTE(C2472,"'",""),4),MID(SUBSTITUTE(C2472,"'",""),6,2),1),ShadowLedger!$C:$C,"&lt;"&amp;EOMONTH(DATE(LEFT(SUBSTITUTE(C2472,"'",""),4),MID(SUBSTITUTE(C2472,"'",""),6,2),1),0)+1)</f>
        <v>0</v>
      </c>
      <c r="E2472" s="17">
        <f t="shared" si="1"/>
        <v>285</v>
      </c>
      <c r="F2472" s="17">
        <f t="shared" si="2"/>
        <v>0</v>
      </c>
    </row>
    <row r="2473">
      <c r="A2473" s="5" t="s">
        <v>60</v>
      </c>
      <c r="B2473" s="6">
        <v>214.0</v>
      </c>
      <c r="C2473" s="13" t="s">
        <v>357</v>
      </c>
      <c r="D2473" s="17">
        <f>SUMIFS(ShadowLedger!$D:$D,ShadowLedger!$G:$G,A2473,ShadowLedger!$C:$C,"&gt;="&amp;DATE(LEFT(SUBSTITUTE(C2473,"'",""),4),MID(SUBSTITUTE(C2473,"'",""),6,2),1),ShadowLedger!$C:$C,"&lt;"&amp;EOMONTH(DATE(LEFT(SUBSTITUTE(C2473,"'",""),4),MID(SUBSTITUTE(C2473,"'",""),6,2),1),0)+1)</f>
        <v>0</v>
      </c>
      <c r="E2473" s="17">
        <f t="shared" si="1"/>
        <v>214</v>
      </c>
      <c r="F2473" s="17">
        <f t="shared" si="2"/>
        <v>0</v>
      </c>
    </row>
    <row r="2474">
      <c r="A2474" s="5" t="s">
        <v>61</v>
      </c>
      <c r="B2474" s="6">
        <v>171.0</v>
      </c>
      <c r="C2474" s="13" t="s">
        <v>357</v>
      </c>
      <c r="D2474" s="17">
        <f>SUMIFS(ShadowLedger!$D:$D,ShadowLedger!$G:$G,A2474,ShadowLedger!$C:$C,"&gt;="&amp;DATE(LEFT(SUBSTITUTE(C2474,"'",""),4),MID(SUBSTITUTE(C2474,"'",""),6,2),1),ShadowLedger!$C:$C,"&lt;"&amp;EOMONTH(DATE(LEFT(SUBSTITUTE(C2474,"'",""),4),MID(SUBSTITUTE(C2474,"'",""),6,2),1),0)+1)</f>
        <v>0</v>
      </c>
      <c r="E2474" s="17">
        <f t="shared" si="1"/>
        <v>171</v>
      </c>
      <c r="F2474" s="17">
        <f t="shared" si="2"/>
        <v>0</v>
      </c>
    </row>
    <row r="2475">
      <c r="A2475" s="5" t="s">
        <v>62</v>
      </c>
      <c r="B2475" s="6">
        <v>171.0</v>
      </c>
      <c r="C2475" s="13" t="s">
        <v>357</v>
      </c>
      <c r="D2475" s="17">
        <f>SUMIFS(ShadowLedger!$D:$D,ShadowLedger!$G:$G,A2475,ShadowLedger!$C:$C,"&gt;="&amp;DATE(LEFT(SUBSTITUTE(C2475,"'",""),4),MID(SUBSTITUTE(C2475,"'",""),6,2),1),ShadowLedger!$C:$C,"&lt;"&amp;EOMONTH(DATE(LEFT(SUBSTITUTE(C2475,"'",""),4),MID(SUBSTITUTE(C2475,"'",""),6,2),1),0)+1)</f>
        <v>0</v>
      </c>
      <c r="E2475" s="17">
        <f t="shared" si="1"/>
        <v>171</v>
      </c>
      <c r="F2475" s="17">
        <f t="shared" si="2"/>
        <v>0</v>
      </c>
    </row>
    <row r="2476">
      <c r="A2476" s="5" t="s">
        <v>63</v>
      </c>
      <c r="B2476" s="6">
        <v>143.0</v>
      </c>
      <c r="C2476" s="13" t="s">
        <v>357</v>
      </c>
      <c r="D2476" s="17">
        <f>SUMIFS(ShadowLedger!$D:$D,ShadowLedger!$G:$G,A2476,ShadowLedger!$C:$C,"&gt;="&amp;DATE(LEFT(SUBSTITUTE(C2476,"'",""),4),MID(SUBSTITUTE(C2476,"'",""),6,2),1),ShadowLedger!$C:$C,"&lt;"&amp;EOMONTH(DATE(LEFT(SUBSTITUTE(C2476,"'",""),4),MID(SUBSTITUTE(C2476,"'",""),6,2),1),0)+1)</f>
        <v>0</v>
      </c>
      <c r="E2476" s="17">
        <f t="shared" si="1"/>
        <v>143</v>
      </c>
      <c r="F2476" s="17">
        <f t="shared" si="2"/>
        <v>0</v>
      </c>
    </row>
    <row r="2477">
      <c r="A2477" s="5" t="s">
        <v>64</v>
      </c>
      <c r="B2477" s="6">
        <v>143.0</v>
      </c>
      <c r="C2477" s="13" t="s">
        <v>357</v>
      </c>
      <c r="D2477" s="17">
        <f>SUMIFS(ShadowLedger!$D:$D,ShadowLedger!$G:$G,A2477,ShadowLedger!$C:$C,"&gt;="&amp;DATE(LEFT(SUBSTITUTE(C2477,"'",""),4),MID(SUBSTITUTE(C2477,"'",""),6,2),1),ShadowLedger!$C:$C,"&lt;"&amp;EOMONTH(DATE(LEFT(SUBSTITUTE(C2477,"'",""),4),MID(SUBSTITUTE(C2477,"'",""),6,2),1),0)+1)</f>
        <v>0</v>
      </c>
      <c r="E2477" s="17">
        <f t="shared" si="1"/>
        <v>143</v>
      </c>
      <c r="F2477" s="17">
        <f t="shared" si="2"/>
        <v>0</v>
      </c>
    </row>
    <row r="2478">
      <c r="A2478" s="5" t="s">
        <v>70</v>
      </c>
      <c r="B2478" s="6">
        <v>143.0</v>
      </c>
      <c r="C2478" s="13" t="s">
        <v>357</v>
      </c>
      <c r="D2478" s="17">
        <f>SUMIFS(ShadowLedger!$D:$D,ShadowLedger!$G:$G,A2478,ShadowLedger!$C:$C,"&gt;="&amp;DATE(LEFT(SUBSTITUTE(C2478,"'",""),4),MID(SUBSTITUTE(C2478,"'",""),6,2),1),ShadowLedger!$C:$C,"&lt;"&amp;EOMONTH(DATE(LEFT(SUBSTITUTE(C2478,"'",""),4),MID(SUBSTITUTE(C2478,"'",""),6,2),1),0)+1)</f>
        <v>0</v>
      </c>
      <c r="E2478" s="17">
        <f t="shared" si="1"/>
        <v>143</v>
      </c>
      <c r="F2478" s="17">
        <f t="shared" si="2"/>
        <v>0</v>
      </c>
    </row>
    <row r="2479">
      <c r="A2479" s="5" t="s">
        <v>65</v>
      </c>
      <c r="B2479" s="6">
        <v>71.0</v>
      </c>
      <c r="C2479" s="13" t="s">
        <v>357</v>
      </c>
      <c r="D2479" s="17">
        <f>SUMIFS(ShadowLedger!$D:$D,ShadowLedger!$G:$G,A2479,ShadowLedger!$C:$C,"&gt;="&amp;DATE(LEFT(SUBSTITUTE(C2479,"'",""),4),MID(SUBSTITUTE(C2479,"'",""),6,2),1),ShadowLedger!$C:$C,"&lt;"&amp;EOMONTH(DATE(LEFT(SUBSTITUTE(C2479,"'",""),4),MID(SUBSTITUTE(C2479,"'",""),6,2),1),0)+1)</f>
        <v>0</v>
      </c>
      <c r="E2479" s="17">
        <f t="shared" si="1"/>
        <v>71</v>
      </c>
      <c r="F2479" s="17">
        <f t="shared" si="2"/>
        <v>0</v>
      </c>
    </row>
    <row r="2480">
      <c r="A2480" s="5" t="s">
        <v>66</v>
      </c>
      <c r="B2480" s="6">
        <v>71.0</v>
      </c>
      <c r="C2480" s="13" t="s">
        <v>357</v>
      </c>
      <c r="D2480" s="17">
        <f>SUMIFS(ShadowLedger!$D:$D,ShadowLedger!$G:$G,A2480,ShadowLedger!$C:$C,"&gt;="&amp;DATE(LEFT(SUBSTITUTE(C2480,"'",""),4),MID(SUBSTITUTE(C2480,"'",""),6,2),1),ShadowLedger!$C:$C,"&lt;"&amp;EOMONTH(DATE(LEFT(SUBSTITUTE(C2480,"'",""),4),MID(SUBSTITUTE(C2480,"'",""),6,2),1),0)+1)</f>
        <v>0</v>
      </c>
      <c r="E2480" s="17">
        <f t="shared" si="1"/>
        <v>71</v>
      </c>
      <c r="F2480" s="17">
        <f t="shared" si="2"/>
        <v>0</v>
      </c>
    </row>
    <row r="2481">
      <c r="A2481" s="5" t="s">
        <v>67</v>
      </c>
      <c r="B2481" s="6">
        <v>71.0</v>
      </c>
      <c r="C2481" s="13" t="s">
        <v>357</v>
      </c>
      <c r="D2481" s="17">
        <f>SUMIFS(ShadowLedger!$D:$D,ShadowLedger!$G:$G,A2481,ShadowLedger!$C:$C,"&gt;="&amp;DATE(LEFT(SUBSTITUTE(C2481,"'",""),4),MID(SUBSTITUTE(C2481,"'",""),6,2),1),ShadowLedger!$C:$C,"&lt;"&amp;EOMONTH(DATE(LEFT(SUBSTITUTE(C2481,"'",""),4),MID(SUBSTITUTE(C2481,"'",""),6,2),1),0)+1)</f>
        <v>0</v>
      </c>
      <c r="E2481" s="17">
        <f t="shared" si="1"/>
        <v>71</v>
      </c>
      <c r="F2481" s="17">
        <f t="shared" si="2"/>
        <v>0</v>
      </c>
    </row>
    <row r="2482">
      <c r="A2482" s="5" t="s">
        <v>68</v>
      </c>
      <c r="B2482" s="6">
        <v>71.0</v>
      </c>
      <c r="C2482" s="13" t="s">
        <v>357</v>
      </c>
      <c r="D2482" s="17">
        <f>SUMIFS(ShadowLedger!$D:$D,ShadowLedger!$G:$G,A2482,ShadowLedger!$C:$C,"&gt;="&amp;DATE(LEFT(SUBSTITUTE(C2482,"'",""),4),MID(SUBSTITUTE(C2482,"'",""),6,2),1),ShadowLedger!$C:$C,"&lt;"&amp;EOMONTH(DATE(LEFT(SUBSTITUTE(C2482,"'",""),4),MID(SUBSTITUTE(C2482,"'",""),6,2),1),0)+1)</f>
        <v>0</v>
      </c>
      <c r="E2482" s="17">
        <f t="shared" si="1"/>
        <v>71</v>
      </c>
      <c r="F2482" s="17">
        <f t="shared" si="2"/>
        <v>0</v>
      </c>
    </row>
    <row r="2483">
      <c r="A2483" s="5" t="s">
        <v>69</v>
      </c>
      <c r="B2483" s="6">
        <v>0.0</v>
      </c>
      <c r="C2483" s="13" t="s">
        <v>357</v>
      </c>
      <c r="D2483" s="17">
        <f>SUMIFS(ShadowLedger!$D:$D,ShadowLedger!$G:$G,A2483,ShadowLedger!$C:$C,"&gt;="&amp;DATE(LEFT(SUBSTITUTE(C2483,"'",""),4),MID(SUBSTITUTE(C2483,"'",""),6,2),1),ShadowLedger!$C:$C,"&lt;"&amp;EOMONTH(DATE(LEFT(SUBSTITUTE(C2483,"'",""),4),MID(SUBSTITUTE(C2483,"'",""),6,2),1),0)+1)</f>
        <v>0</v>
      </c>
      <c r="E2483" s="17">
        <f t="shared" si="1"/>
        <v>0</v>
      </c>
      <c r="F2483" s="17">
        <f t="shared" si="2"/>
        <v>0</v>
      </c>
    </row>
    <row r="2484">
      <c r="A2484" s="5" t="s">
        <v>54</v>
      </c>
      <c r="B2484" s="6">
        <v>1312.0</v>
      </c>
      <c r="C2484" s="13" t="s">
        <v>358</v>
      </c>
      <c r="D2484" s="17">
        <f>SUMIFS(ShadowLedger!$D:$D,ShadowLedger!$G:$G,A2484,ShadowLedger!$C:$C,"&gt;="&amp;DATE(LEFT(SUBSTITUTE(C2484,"'",""),4),MID(SUBSTITUTE(C2484,"'",""),6,2),1),ShadowLedger!$C:$C,"&lt;"&amp;EOMONTH(DATE(LEFT(SUBSTITUTE(C2484,"'",""),4),MID(SUBSTITUTE(C2484,"'",""),6,2),1),0)+1)</f>
        <v>0</v>
      </c>
      <c r="E2484" s="17">
        <f t="shared" si="1"/>
        <v>1312</v>
      </c>
      <c r="F2484" s="17">
        <f t="shared" si="2"/>
        <v>0</v>
      </c>
    </row>
    <row r="2485">
      <c r="A2485" s="5" t="s">
        <v>55</v>
      </c>
      <c r="B2485" s="6">
        <v>998.0</v>
      </c>
      <c r="C2485" s="13" t="s">
        <v>358</v>
      </c>
      <c r="D2485" s="17">
        <f>SUMIFS(ShadowLedger!$D:$D,ShadowLedger!$G:$G,A2485,ShadowLedger!$C:$C,"&gt;="&amp;DATE(LEFT(SUBSTITUTE(C2485,"'",""),4),MID(SUBSTITUTE(C2485,"'",""),6,2),1),ShadowLedger!$C:$C,"&lt;"&amp;EOMONTH(DATE(LEFT(SUBSTITUTE(C2485,"'",""),4),MID(SUBSTITUTE(C2485,"'",""),6,2),1),0)+1)</f>
        <v>0</v>
      </c>
      <c r="E2485" s="17">
        <f t="shared" si="1"/>
        <v>998</v>
      </c>
      <c r="F2485" s="17">
        <f t="shared" si="2"/>
        <v>0</v>
      </c>
    </row>
    <row r="2486">
      <c r="A2486" s="5" t="s">
        <v>56</v>
      </c>
      <c r="B2486" s="6">
        <v>713.0</v>
      </c>
      <c r="C2486" s="13" t="s">
        <v>358</v>
      </c>
      <c r="D2486" s="17">
        <f>SUMIFS(ShadowLedger!$D:$D,ShadowLedger!$G:$G,A2486,ShadowLedger!$C:$C,"&gt;="&amp;DATE(LEFT(SUBSTITUTE(C2486,"'",""),4),MID(SUBSTITUTE(C2486,"'",""),6,2),1),ShadowLedger!$C:$C,"&lt;"&amp;EOMONTH(DATE(LEFT(SUBSTITUTE(C2486,"'",""),4),MID(SUBSTITUTE(C2486,"'",""),6,2),1),0)+1)</f>
        <v>0</v>
      </c>
      <c r="E2486" s="17">
        <f t="shared" si="1"/>
        <v>713</v>
      </c>
      <c r="F2486" s="17">
        <f t="shared" si="2"/>
        <v>0</v>
      </c>
    </row>
    <row r="2487">
      <c r="A2487" s="5" t="s">
        <v>57</v>
      </c>
      <c r="B2487" s="6">
        <v>713.0</v>
      </c>
      <c r="C2487" s="13" t="s">
        <v>358</v>
      </c>
      <c r="D2487" s="17">
        <f>SUMIFS(ShadowLedger!$D:$D,ShadowLedger!$G:$G,A2487,ShadowLedger!$C:$C,"&gt;="&amp;DATE(LEFT(SUBSTITUTE(C2487,"'",""),4),MID(SUBSTITUTE(C2487,"'",""),6,2),1),ShadowLedger!$C:$C,"&lt;"&amp;EOMONTH(DATE(LEFT(SUBSTITUTE(C2487,"'",""),4),MID(SUBSTITUTE(C2487,"'",""),6,2),1),0)+1)</f>
        <v>0</v>
      </c>
      <c r="E2487" s="17">
        <f t="shared" si="1"/>
        <v>713</v>
      </c>
      <c r="F2487" s="17">
        <f t="shared" si="2"/>
        <v>0</v>
      </c>
    </row>
    <row r="2488">
      <c r="A2488" s="5" t="s">
        <v>58</v>
      </c>
      <c r="B2488" s="6">
        <v>570.0</v>
      </c>
      <c r="C2488" s="13" t="s">
        <v>358</v>
      </c>
      <c r="D2488" s="17">
        <f>SUMIFS(ShadowLedger!$D:$D,ShadowLedger!$G:$G,A2488,ShadowLedger!$C:$C,"&gt;="&amp;DATE(LEFT(SUBSTITUTE(C2488,"'",""),4),MID(SUBSTITUTE(C2488,"'",""),6,2),1),ShadowLedger!$C:$C,"&lt;"&amp;EOMONTH(DATE(LEFT(SUBSTITUTE(C2488,"'",""),4),MID(SUBSTITUTE(C2488,"'",""),6,2),1),0)+1)</f>
        <v>0</v>
      </c>
      <c r="E2488" s="17">
        <f t="shared" si="1"/>
        <v>570</v>
      </c>
      <c r="F2488" s="17">
        <f t="shared" si="2"/>
        <v>0</v>
      </c>
    </row>
    <row r="2489">
      <c r="A2489" s="5" t="s">
        <v>59</v>
      </c>
      <c r="B2489" s="6">
        <v>285.0</v>
      </c>
      <c r="C2489" s="13" t="s">
        <v>358</v>
      </c>
      <c r="D2489" s="17">
        <f>SUMIFS(ShadowLedger!$D:$D,ShadowLedger!$G:$G,A2489,ShadowLedger!$C:$C,"&gt;="&amp;DATE(LEFT(SUBSTITUTE(C2489,"'",""),4),MID(SUBSTITUTE(C2489,"'",""),6,2),1),ShadowLedger!$C:$C,"&lt;"&amp;EOMONTH(DATE(LEFT(SUBSTITUTE(C2489,"'",""),4),MID(SUBSTITUTE(C2489,"'",""),6,2),1),0)+1)</f>
        <v>0</v>
      </c>
      <c r="E2489" s="17">
        <f t="shared" si="1"/>
        <v>285</v>
      </c>
      <c r="F2489" s="17">
        <f t="shared" si="2"/>
        <v>0</v>
      </c>
    </row>
    <row r="2490">
      <c r="A2490" s="5" t="s">
        <v>60</v>
      </c>
      <c r="B2490" s="6">
        <v>214.0</v>
      </c>
      <c r="C2490" s="13" t="s">
        <v>358</v>
      </c>
      <c r="D2490" s="17">
        <f>SUMIFS(ShadowLedger!$D:$D,ShadowLedger!$G:$G,A2490,ShadowLedger!$C:$C,"&gt;="&amp;DATE(LEFT(SUBSTITUTE(C2490,"'",""),4),MID(SUBSTITUTE(C2490,"'",""),6,2),1),ShadowLedger!$C:$C,"&lt;"&amp;EOMONTH(DATE(LEFT(SUBSTITUTE(C2490,"'",""),4),MID(SUBSTITUTE(C2490,"'",""),6,2),1),0)+1)</f>
        <v>0</v>
      </c>
      <c r="E2490" s="17">
        <f t="shared" si="1"/>
        <v>214</v>
      </c>
      <c r="F2490" s="17">
        <f t="shared" si="2"/>
        <v>0</v>
      </c>
    </row>
    <row r="2491">
      <c r="A2491" s="5" t="s">
        <v>61</v>
      </c>
      <c r="B2491" s="6">
        <v>171.0</v>
      </c>
      <c r="C2491" s="13" t="s">
        <v>358</v>
      </c>
      <c r="D2491" s="17">
        <f>SUMIFS(ShadowLedger!$D:$D,ShadowLedger!$G:$G,A2491,ShadowLedger!$C:$C,"&gt;="&amp;DATE(LEFT(SUBSTITUTE(C2491,"'",""),4),MID(SUBSTITUTE(C2491,"'",""),6,2),1),ShadowLedger!$C:$C,"&lt;"&amp;EOMONTH(DATE(LEFT(SUBSTITUTE(C2491,"'",""),4),MID(SUBSTITUTE(C2491,"'",""),6,2),1),0)+1)</f>
        <v>0</v>
      </c>
      <c r="E2491" s="17">
        <f t="shared" si="1"/>
        <v>171</v>
      </c>
      <c r="F2491" s="17">
        <f t="shared" si="2"/>
        <v>0</v>
      </c>
    </row>
    <row r="2492">
      <c r="A2492" s="5" t="s">
        <v>62</v>
      </c>
      <c r="B2492" s="6">
        <v>171.0</v>
      </c>
      <c r="C2492" s="13" t="s">
        <v>358</v>
      </c>
      <c r="D2492" s="17">
        <f>SUMIFS(ShadowLedger!$D:$D,ShadowLedger!$G:$G,A2492,ShadowLedger!$C:$C,"&gt;="&amp;DATE(LEFT(SUBSTITUTE(C2492,"'",""),4),MID(SUBSTITUTE(C2492,"'",""),6,2),1),ShadowLedger!$C:$C,"&lt;"&amp;EOMONTH(DATE(LEFT(SUBSTITUTE(C2492,"'",""),4),MID(SUBSTITUTE(C2492,"'",""),6,2),1),0)+1)</f>
        <v>0</v>
      </c>
      <c r="E2492" s="17">
        <f t="shared" si="1"/>
        <v>171</v>
      </c>
      <c r="F2492" s="17">
        <f t="shared" si="2"/>
        <v>0</v>
      </c>
    </row>
    <row r="2493">
      <c r="A2493" s="5" t="s">
        <v>63</v>
      </c>
      <c r="B2493" s="6">
        <v>143.0</v>
      </c>
      <c r="C2493" s="13" t="s">
        <v>358</v>
      </c>
      <c r="D2493" s="17">
        <f>SUMIFS(ShadowLedger!$D:$D,ShadowLedger!$G:$G,A2493,ShadowLedger!$C:$C,"&gt;="&amp;DATE(LEFT(SUBSTITUTE(C2493,"'",""),4),MID(SUBSTITUTE(C2493,"'",""),6,2),1),ShadowLedger!$C:$C,"&lt;"&amp;EOMONTH(DATE(LEFT(SUBSTITUTE(C2493,"'",""),4),MID(SUBSTITUTE(C2493,"'",""),6,2),1),0)+1)</f>
        <v>0</v>
      </c>
      <c r="E2493" s="17">
        <f t="shared" si="1"/>
        <v>143</v>
      </c>
      <c r="F2493" s="17">
        <f t="shared" si="2"/>
        <v>0</v>
      </c>
    </row>
    <row r="2494">
      <c r="A2494" s="5" t="s">
        <v>64</v>
      </c>
      <c r="B2494" s="6">
        <v>143.0</v>
      </c>
      <c r="C2494" s="13" t="s">
        <v>358</v>
      </c>
      <c r="D2494" s="17">
        <f>SUMIFS(ShadowLedger!$D:$D,ShadowLedger!$G:$G,A2494,ShadowLedger!$C:$C,"&gt;="&amp;DATE(LEFT(SUBSTITUTE(C2494,"'",""),4),MID(SUBSTITUTE(C2494,"'",""),6,2),1),ShadowLedger!$C:$C,"&lt;"&amp;EOMONTH(DATE(LEFT(SUBSTITUTE(C2494,"'",""),4),MID(SUBSTITUTE(C2494,"'",""),6,2),1),0)+1)</f>
        <v>0</v>
      </c>
      <c r="E2494" s="17">
        <f t="shared" si="1"/>
        <v>143</v>
      </c>
      <c r="F2494" s="17">
        <f t="shared" si="2"/>
        <v>0</v>
      </c>
    </row>
    <row r="2495">
      <c r="A2495" s="5" t="s">
        <v>70</v>
      </c>
      <c r="B2495" s="6">
        <v>143.0</v>
      </c>
      <c r="C2495" s="13" t="s">
        <v>358</v>
      </c>
      <c r="D2495" s="17">
        <f>SUMIFS(ShadowLedger!$D:$D,ShadowLedger!$G:$G,A2495,ShadowLedger!$C:$C,"&gt;="&amp;DATE(LEFT(SUBSTITUTE(C2495,"'",""),4),MID(SUBSTITUTE(C2495,"'",""),6,2),1),ShadowLedger!$C:$C,"&lt;"&amp;EOMONTH(DATE(LEFT(SUBSTITUTE(C2495,"'",""),4),MID(SUBSTITUTE(C2495,"'",""),6,2),1),0)+1)</f>
        <v>0</v>
      </c>
      <c r="E2495" s="17">
        <f t="shared" si="1"/>
        <v>143</v>
      </c>
      <c r="F2495" s="17">
        <f t="shared" si="2"/>
        <v>0</v>
      </c>
    </row>
    <row r="2496">
      <c r="A2496" s="5" t="s">
        <v>65</v>
      </c>
      <c r="B2496" s="6">
        <v>71.0</v>
      </c>
      <c r="C2496" s="13" t="s">
        <v>358</v>
      </c>
      <c r="D2496" s="17">
        <f>SUMIFS(ShadowLedger!$D:$D,ShadowLedger!$G:$G,A2496,ShadowLedger!$C:$C,"&gt;="&amp;DATE(LEFT(SUBSTITUTE(C2496,"'",""),4),MID(SUBSTITUTE(C2496,"'",""),6,2),1),ShadowLedger!$C:$C,"&lt;"&amp;EOMONTH(DATE(LEFT(SUBSTITUTE(C2496,"'",""),4),MID(SUBSTITUTE(C2496,"'",""),6,2),1),0)+1)</f>
        <v>0</v>
      </c>
      <c r="E2496" s="17">
        <f t="shared" si="1"/>
        <v>71</v>
      </c>
      <c r="F2496" s="17">
        <f t="shared" si="2"/>
        <v>0</v>
      </c>
    </row>
    <row r="2497">
      <c r="A2497" s="5" t="s">
        <v>66</v>
      </c>
      <c r="B2497" s="6">
        <v>71.0</v>
      </c>
      <c r="C2497" s="13" t="s">
        <v>358</v>
      </c>
      <c r="D2497" s="17">
        <f>SUMIFS(ShadowLedger!$D:$D,ShadowLedger!$G:$G,A2497,ShadowLedger!$C:$C,"&gt;="&amp;DATE(LEFT(SUBSTITUTE(C2497,"'",""),4),MID(SUBSTITUTE(C2497,"'",""),6,2),1),ShadowLedger!$C:$C,"&lt;"&amp;EOMONTH(DATE(LEFT(SUBSTITUTE(C2497,"'",""),4),MID(SUBSTITUTE(C2497,"'",""),6,2),1),0)+1)</f>
        <v>0</v>
      </c>
      <c r="E2497" s="17">
        <f t="shared" si="1"/>
        <v>71</v>
      </c>
      <c r="F2497" s="17">
        <f t="shared" si="2"/>
        <v>0</v>
      </c>
    </row>
    <row r="2498">
      <c r="A2498" s="5" t="s">
        <v>67</v>
      </c>
      <c r="B2498" s="6">
        <v>71.0</v>
      </c>
      <c r="C2498" s="13" t="s">
        <v>358</v>
      </c>
      <c r="D2498" s="17">
        <f>SUMIFS(ShadowLedger!$D:$D,ShadowLedger!$G:$G,A2498,ShadowLedger!$C:$C,"&gt;="&amp;DATE(LEFT(SUBSTITUTE(C2498,"'",""),4),MID(SUBSTITUTE(C2498,"'",""),6,2),1),ShadowLedger!$C:$C,"&lt;"&amp;EOMONTH(DATE(LEFT(SUBSTITUTE(C2498,"'",""),4),MID(SUBSTITUTE(C2498,"'",""),6,2),1),0)+1)</f>
        <v>0</v>
      </c>
      <c r="E2498" s="17">
        <f t="shared" si="1"/>
        <v>71</v>
      </c>
      <c r="F2498" s="17">
        <f t="shared" si="2"/>
        <v>0</v>
      </c>
    </row>
    <row r="2499">
      <c r="A2499" s="5" t="s">
        <v>68</v>
      </c>
      <c r="B2499" s="6">
        <v>71.0</v>
      </c>
      <c r="C2499" s="13" t="s">
        <v>358</v>
      </c>
      <c r="D2499" s="17">
        <f>SUMIFS(ShadowLedger!$D:$D,ShadowLedger!$G:$G,A2499,ShadowLedger!$C:$C,"&gt;="&amp;DATE(LEFT(SUBSTITUTE(C2499,"'",""),4),MID(SUBSTITUTE(C2499,"'",""),6,2),1),ShadowLedger!$C:$C,"&lt;"&amp;EOMONTH(DATE(LEFT(SUBSTITUTE(C2499,"'",""),4),MID(SUBSTITUTE(C2499,"'",""),6,2),1),0)+1)</f>
        <v>0</v>
      </c>
      <c r="E2499" s="17">
        <f t="shared" si="1"/>
        <v>71</v>
      </c>
      <c r="F2499" s="17">
        <f t="shared" si="2"/>
        <v>0</v>
      </c>
    </row>
    <row r="2500">
      <c r="A2500" s="5" t="s">
        <v>69</v>
      </c>
      <c r="B2500" s="6">
        <v>0.0</v>
      </c>
      <c r="C2500" s="13" t="s">
        <v>358</v>
      </c>
      <c r="D2500" s="17">
        <f>SUMIFS(ShadowLedger!$D:$D,ShadowLedger!$G:$G,A2500,ShadowLedger!$C:$C,"&gt;="&amp;DATE(LEFT(SUBSTITUTE(C2500,"'",""),4),MID(SUBSTITUTE(C2500,"'",""),6,2),1),ShadowLedger!$C:$C,"&lt;"&amp;EOMONTH(DATE(LEFT(SUBSTITUTE(C2500,"'",""),4),MID(SUBSTITUTE(C2500,"'",""),6,2),1),0)+1)</f>
        <v>0</v>
      </c>
      <c r="E2500" s="17">
        <f t="shared" si="1"/>
        <v>0</v>
      </c>
      <c r="F2500" s="17">
        <f t="shared" si="2"/>
        <v>0</v>
      </c>
    </row>
    <row r="2501">
      <c r="A2501" s="5" t="s">
        <v>54</v>
      </c>
      <c r="B2501" s="6">
        <v>1312.0</v>
      </c>
      <c r="C2501" s="13" t="s">
        <v>359</v>
      </c>
      <c r="D2501" s="17">
        <f>SUMIFS(ShadowLedger!$D:$D,ShadowLedger!$G:$G,A2501,ShadowLedger!$C:$C,"&gt;="&amp;DATE(LEFT(SUBSTITUTE(C2501,"'",""),4),MID(SUBSTITUTE(C2501,"'",""),6,2),1),ShadowLedger!$C:$C,"&lt;"&amp;EOMONTH(DATE(LEFT(SUBSTITUTE(C2501,"'",""),4),MID(SUBSTITUTE(C2501,"'",""),6,2),1),0)+1)</f>
        <v>0</v>
      </c>
      <c r="E2501" s="17">
        <f t="shared" si="1"/>
        <v>1312</v>
      </c>
      <c r="F2501" s="17">
        <f t="shared" si="2"/>
        <v>0</v>
      </c>
    </row>
    <row r="2502">
      <c r="A2502" s="5" t="s">
        <v>55</v>
      </c>
      <c r="B2502" s="6">
        <v>998.0</v>
      </c>
      <c r="C2502" s="13" t="s">
        <v>359</v>
      </c>
      <c r="D2502" s="17">
        <f>SUMIFS(ShadowLedger!$D:$D,ShadowLedger!$G:$G,A2502,ShadowLedger!$C:$C,"&gt;="&amp;DATE(LEFT(SUBSTITUTE(C2502,"'",""),4),MID(SUBSTITUTE(C2502,"'",""),6,2),1),ShadowLedger!$C:$C,"&lt;"&amp;EOMONTH(DATE(LEFT(SUBSTITUTE(C2502,"'",""),4),MID(SUBSTITUTE(C2502,"'",""),6,2),1),0)+1)</f>
        <v>0</v>
      </c>
      <c r="E2502" s="17">
        <f t="shared" si="1"/>
        <v>998</v>
      </c>
      <c r="F2502" s="17">
        <f t="shared" si="2"/>
        <v>0</v>
      </c>
    </row>
    <row r="2503">
      <c r="A2503" s="5" t="s">
        <v>56</v>
      </c>
      <c r="B2503" s="6">
        <v>713.0</v>
      </c>
      <c r="C2503" s="13" t="s">
        <v>359</v>
      </c>
      <c r="D2503" s="17">
        <f>SUMIFS(ShadowLedger!$D:$D,ShadowLedger!$G:$G,A2503,ShadowLedger!$C:$C,"&gt;="&amp;DATE(LEFT(SUBSTITUTE(C2503,"'",""),4),MID(SUBSTITUTE(C2503,"'",""),6,2),1),ShadowLedger!$C:$C,"&lt;"&amp;EOMONTH(DATE(LEFT(SUBSTITUTE(C2503,"'",""),4),MID(SUBSTITUTE(C2503,"'",""),6,2),1),0)+1)</f>
        <v>0</v>
      </c>
      <c r="E2503" s="17">
        <f t="shared" si="1"/>
        <v>713</v>
      </c>
      <c r="F2503" s="17">
        <f t="shared" si="2"/>
        <v>0</v>
      </c>
    </row>
    <row r="2504">
      <c r="A2504" s="5" t="s">
        <v>57</v>
      </c>
      <c r="B2504" s="6">
        <v>713.0</v>
      </c>
      <c r="C2504" s="13" t="s">
        <v>359</v>
      </c>
      <c r="D2504" s="17">
        <f>SUMIFS(ShadowLedger!$D:$D,ShadowLedger!$G:$G,A2504,ShadowLedger!$C:$C,"&gt;="&amp;DATE(LEFT(SUBSTITUTE(C2504,"'",""),4),MID(SUBSTITUTE(C2504,"'",""),6,2),1),ShadowLedger!$C:$C,"&lt;"&amp;EOMONTH(DATE(LEFT(SUBSTITUTE(C2504,"'",""),4),MID(SUBSTITUTE(C2504,"'",""),6,2),1),0)+1)</f>
        <v>0</v>
      </c>
      <c r="E2504" s="17">
        <f t="shared" si="1"/>
        <v>713</v>
      </c>
      <c r="F2504" s="17">
        <f t="shared" si="2"/>
        <v>0</v>
      </c>
    </row>
    <row r="2505">
      <c r="A2505" s="5" t="s">
        <v>58</v>
      </c>
      <c r="B2505" s="6">
        <v>570.0</v>
      </c>
      <c r="C2505" s="13" t="s">
        <v>359</v>
      </c>
      <c r="D2505" s="17">
        <f>SUMIFS(ShadowLedger!$D:$D,ShadowLedger!$G:$G,A2505,ShadowLedger!$C:$C,"&gt;="&amp;DATE(LEFT(SUBSTITUTE(C2505,"'",""),4),MID(SUBSTITUTE(C2505,"'",""),6,2),1),ShadowLedger!$C:$C,"&lt;"&amp;EOMONTH(DATE(LEFT(SUBSTITUTE(C2505,"'",""),4),MID(SUBSTITUTE(C2505,"'",""),6,2),1),0)+1)</f>
        <v>0</v>
      </c>
      <c r="E2505" s="17">
        <f t="shared" si="1"/>
        <v>570</v>
      </c>
      <c r="F2505" s="17">
        <f t="shared" si="2"/>
        <v>0</v>
      </c>
    </row>
    <row r="2506">
      <c r="A2506" s="5" t="s">
        <v>59</v>
      </c>
      <c r="B2506" s="6">
        <v>285.0</v>
      </c>
      <c r="C2506" s="13" t="s">
        <v>359</v>
      </c>
      <c r="D2506" s="17">
        <f>SUMIFS(ShadowLedger!$D:$D,ShadowLedger!$G:$G,A2506,ShadowLedger!$C:$C,"&gt;="&amp;DATE(LEFT(SUBSTITUTE(C2506,"'",""),4),MID(SUBSTITUTE(C2506,"'",""),6,2),1),ShadowLedger!$C:$C,"&lt;"&amp;EOMONTH(DATE(LEFT(SUBSTITUTE(C2506,"'",""),4),MID(SUBSTITUTE(C2506,"'",""),6,2),1),0)+1)</f>
        <v>0</v>
      </c>
      <c r="E2506" s="17">
        <f t="shared" si="1"/>
        <v>285</v>
      </c>
      <c r="F2506" s="17">
        <f t="shared" si="2"/>
        <v>0</v>
      </c>
    </row>
    <row r="2507">
      <c r="A2507" s="5" t="s">
        <v>60</v>
      </c>
      <c r="B2507" s="6">
        <v>214.0</v>
      </c>
      <c r="C2507" s="13" t="s">
        <v>359</v>
      </c>
      <c r="D2507" s="17">
        <f>SUMIFS(ShadowLedger!$D:$D,ShadowLedger!$G:$G,A2507,ShadowLedger!$C:$C,"&gt;="&amp;DATE(LEFT(SUBSTITUTE(C2507,"'",""),4),MID(SUBSTITUTE(C2507,"'",""),6,2),1),ShadowLedger!$C:$C,"&lt;"&amp;EOMONTH(DATE(LEFT(SUBSTITUTE(C2507,"'",""),4),MID(SUBSTITUTE(C2507,"'",""),6,2),1),0)+1)</f>
        <v>0</v>
      </c>
      <c r="E2507" s="17">
        <f t="shared" si="1"/>
        <v>214</v>
      </c>
      <c r="F2507" s="17">
        <f t="shared" si="2"/>
        <v>0</v>
      </c>
    </row>
    <row r="2508">
      <c r="A2508" s="5" t="s">
        <v>61</v>
      </c>
      <c r="B2508" s="6">
        <v>171.0</v>
      </c>
      <c r="C2508" s="13" t="s">
        <v>359</v>
      </c>
      <c r="D2508" s="17">
        <f>SUMIFS(ShadowLedger!$D:$D,ShadowLedger!$G:$G,A2508,ShadowLedger!$C:$C,"&gt;="&amp;DATE(LEFT(SUBSTITUTE(C2508,"'",""),4),MID(SUBSTITUTE(C2508,"'",""),6,2),1),ShadowLedger!$C:$C,"&lt;"&amp;EOMONTH(DATE(LEFT(SUBSTITUTE(C2508,"'",""),4),MID(SUBSTITUTE(C2508,"'",""),6,2),1),0)+1)</f>
        <v>0</v>
      </c>
      <c r="E2508" s="17">
        <f t="shared" si="1"/>
        <v>171</v>
      </c>
      <c r="F2508" s="17">
        <f t="shared" si="2"/>
        <v>0</v>
      </c>
    </row>
    <row r="2509">
      <c r="A2509" s="5" t="s">
        <v>62</v>
      </c>
      <c r="B2509" s="6">
        <v>171.0</v>
      </c>
      <c r="C2509" s="13" t="s">
        <v>359</v>
      </c>
      <c r="D2509" s="17">
        <f>SUMIFS(ShadowLedger!$D:$D,ShadowLedger!$G:$G,A2509,ShadowLedger!$C:$C,"&gt;="&amp;DATE(LEFT(SUBSTITUTE(C2509,"'",""),4),MID(SUBSTITUTE(C2509,"'",""),6,2),1),ShadowLedger!$C:$C,"&lt;"&amp;EOMONTH(DATE(LEFT(SUBSTITUTE(C2509,"'",""),4),MID(SUBSTITUTE(C2509,"'",""),6,2),1),0)+1)</f>
        <v>0</v>
      </c>
      <c r="E2509" s="17">
        <f t="shared" si="1"/>
        <v>171</v>
      </c>
      <c r="F2509" s="17">
        <f t="shared" si="2"/>
        <v>0</v>
      </c>
    </row>
    <row r="2510">
      <c r="A2510" s="5" t="s">
        <v>63</v>
      </c>
      <c r="B2510" s="6">
        <v>143.0</v>
      </c>
      <c r="C2510" s="13" t="s">
        <v>359</v>
      </c>
      <c r="D2510" s="17">
        <f>SUMIFS(ShadowLedger!$D:$D,ShadowLedger!$G:$G,A2510,ShadowLedger!$C:$C,"&gt;="&amp;DATE(LEFT(SUBSTITUTE(C2510,"'",""),4),MID(SUBSTITUTE(C2510,"'",""),6,2),1),ShadowLedger!$C:$C,"&lt;"&amp;EOMONTH(DATE(LEFT(SUBSTITUTE(C2510,"'",""),4),MID(SUBSTITUTE(C2510,"'",""),6,2),1),0)+1)</f>
        <v>0</v>
      </c>
      <c r="E2510" s="17">
        <f t="shared" si="1"/>
        <v>143</v>
      </c>
      <c r="F2510" s="17">
        <f t="shared" si="2"/>
        <v>0</v>
      </c>
    </row>
    <row r="2511">
      <c r="A2511" s="5" t="s">
        <v>64</v>
      </c>
      <c r="B2511" s="6">
        <v>143.0</v>
      </c>
      <c r="C2511" s="13" t="s">
        <v>359</v>
      </c>
      <c r="D2511" s="17">
        <f>SUMIFS(ShadowLedger!$D:$D,ShadowLedger!$G:$G,A2511,ShadowLedger!$C:$C,"&gt;="&amp;DATE(LEFT(SUBSTITUTE(C2511,"'",""),4),MID(SUBSTITUTE(C2511,"'",""),6,2),1),ShadowLedger!$C:$C,"&lt;"&amp;EOMONTH(DATE(LEFT(SUBSTITUTE(C2511,"'",""),4),MID(SUBSTITUTE(C2511,"'",""),6,2),1),0)+1)</f>
        <v>0</v>
      </c>
      <c r="E2511" s="17">
        <f t="shared" si="1"/>
        <v>143</v>
      </c>
      <c r="F2511" s="17">
        <f t="shared" si="2"/>
        <v>0</v>
      </c>
    </row>
    <row r="2512">
      <c r="A2512" s="5" t="s">
        <v>70</v>
      </c>
      <c r="B2512" s="6">
        <v>143.0</v>
      </c>
      <c r="C2512" s="13" t="s">
        <v>359</v>
      </c>
      <c r="D2512" s="17">
        <f>SUMIFS(ShadowLedger!$D:$D,ShadowLedger!$G:$G,A2512,ShadowLedger!$C:$C,"&gt;="&amp;DATE(LEFT(SUBSTITUTE(C2512,"'",""),4),MID(SUBSTITUTE(C2512,"'",""),6,2),1),ShadowLedger!$C:$C,"&lt;"&amp;EOMONTH(DATE(LEFT(SUBSTITUTE(C2512,"'",""),4),MID(SUBSTITUTE(C2512,"'",""),6,2),1),0)+1)</f>
        <v>0</v>
      </c>
      <c r="E2512" s="17">
        <f t="shared" si="1"/>
        <v>143</v>
      </c>
      <c r="F2512" s="17">
        <f t="shared" si="2"/>
        <v>0</v>
      </c>
    </row>
    <row r="2513">
      <c r="A2513" s="5" t="s">
        <v>65</v>
      </c>
      <c r="B2513" s="6">
        <v>71.0</v>
      </c>
      <c r="C2513" s="13" t="s">
        <v>359</v>
      </c>
      <c r="D2513" s="17">
        <f>SUMIFS(ShadowLedger!$D:$D,ShadowLedger!$G:$G,A2513,ShadowLedger!$C:$C,"&gt;="&amp;DATE(LEFT(SUBSTITUTE(C2513,"'",""),4),MID(SUBSTITUTE(C2513,"'",""),6,2),1),ShadowLedger!$C:$C,"&lt;"&amp;EOMONTH(DATE(LEFT(SUBSTITUTE(C2513,"'",""),4),MID(SUBSTITUTE(C2513,"'",""),6,2),1),0)+1)</f>
        <v>0</v>
      </c>
      <c r="E2513" s="17">
        <f t="shared" si="1"/>
        <v>71</v>
      </c>
      <c r="F2513" s="17">
        <f t="shared" si="2"/>
        <v>0</v>
      </c>
    </row>
    <row r="2514">
      <c r="A2514" s="5" t="s">
        <v>66</v>
      </c>
      <c r="B2514" s="6">
        <v>71.0</v>
      </c>
      <c r="C2514" s="13" t="s">
        <v>359</v>
      </c>
      <c r="D2514" s="17">
        <f>SUMIFS(ShadowLedger!$D:$D,ShadowLedger!$G:$G,A2514,ShadowLedger!$C:$C,"&gt;="&amp;DATE(LEFT(SUBSTITUTE(C2514,"'",""),4),MID(SUBSTITUTE(C2514,"'",""),6,2),1),ShadowLedger!$C:$C,"&lt;"&amp;EOMONTH(DATE(LEFT(SUBSTITUTE(C2514,"'",""),4),MID(SUBSTITUTE(C2514,"'",""),6,2),1),0)+1)</f>
        <v>0</v>
      </c>
      <c r="E2514" s="17">
        <f t="shared" si="1"/>
        <v>71</v>
      </c>
      <c r="F2514" s="17">
        <f t="shared" si="2"/>
        <v>0</v>
      </c>
    </row>
    <row r="2515">
      <c r="A2515" s="5" t="s">
        <v>67</v>
      </c>
      <c r="B2515" s="6">
        <v>71.0</v>
      </c>
      <c r="C2515" s="13" t="s">
        <v>359</v>
      </c>
      <c r="D2515" s="17">
        <f>SUMIFS(ShadowLedger!$D:$D,ShadowLedger!$G:$G,A2515,ShadowLedger!$C:$C,"&gt;="&amp;DATE(LEFT(SUBSTITUTE(C2515,"'",""),4),MID(SUBSTITUTE(C2515,"'",""),6,2),1),ShadowLedger!$C:$C,"&lt;"&amp;EOMONTH(DATE(LEFT(SUBSTITUTE(C2515,"'",""),4),MID(SUBSTITUTE(C2515,"'",""),6,2),1),0)+1)</f>
        <v>0</v>
      </c>
      <c r="E2515" s="17">
        <f t="shared" si="1"/>
        <v>71</v>
      </c>
      <c r="F2515" s="17">
        <f t="shared" si="2"/>
        <v>0</v>
      </c>
    </row>
    <row r="2516">
      <c r="A2516" s="5" t="s">
        <v>68</v>
      </c>
      <c r="B2516" s="6">
        <v>71.0</v>
      </c>
      <c r="C2516" s="13" t="s">
        <v>359</v>
      </c>
      <c r="D2516" s="17">
        <f>SUMIFS(ShadowLedger!$D:$D,ShadowLedger!$G:$G,A2516,ShadowLedger!$C:$C,"&gt;="&amp;DATE(LEFT(SUBSTITUTE(C2516,"'",""),4),MID(SUBSTITUTE(C2516,"'",""),6,2),1),ShadowLedger!$C:$C,"&lt;"&amp;EOMONTH(DATE(LEFT(SUBSTITUTE(C2516,"'",""),4),MID(SUBSTITUTE(C2516,"'",""),6,2),1),0)+1)</f>
        <v>0</v>
      </c>
      <c r="E2516" s="17">
        <f t="shared" si="1"/>
        <v>71</v>
      </c>
      <c r="F2516" s="17">
        <f t="shared" si="2"/>
        <v>0</v>
      </c>
    </row>
    <row r="2517">
      <c r="A2517" s="5" t="s">
        <v>69</v>
      </c>
      <c r="B2517" s="6">
        <v>0.0</v>
      </c>
      <c r="C2517" s="13" t="s">
        <v>359</v>
      </c>
      <c r="D2517" s="17">
        <f>SUMIFS(ShadowLedger!$D:$D,ShadowLedger!$G:$G,A2517,ShadowLedger!$C:$C,"&gt;="&amp;DATE(LEFT(SUBSTITUTE(C2517,"'",""),4),MID(SUBSTITUTE(C2517,"'",""),6,2),1),ShadowLedger!$C:$C,"&lt;"&amp;EOMONTH(DATE(LEFT(SUBSTITUTE(C2517,"'",""),4),MID(SUBSTITUTE(C2517,"'",""),6,2),1),0)+1)</f>
        <v>0</v>
      </c>
      <c r="E2517" s="17">
        <f t="shared" si="1"/>
        <v>0</v>
      </c>
      <c r="F2517" s="17">
        <f t="shared" si="2"/>
        <v>0</v>
      </c>
    </row>
    <row r="2518">
      <c r="A2518" s="5" t="s">
        <v>54</v>
      </c>
      <c r="B2518" s="6">
        <v>1312.0</v>
      </c>
      <c r="C2518" s="13" t="s">
        <v>360</v>
      </c>
      <c r="D2518" s="17">
        <f>SUMIFS(ShadowLedger!$D:$D,ShadowLedger!$G:$G,A2518,ShadowLedger!$C:$C,"&gt;="&amp;DATE(LEFT(SUBSTITUTE(C2518,"'",""),4),MID(SUBSTITUTE(C2518,"'",""),6,2),1),ShadowLedger!$C:$C,"&lt;"&amp;EOMONTH(DATE(LEFT(SUBSTITUTE(C2518,"'",""),4),MID(SUBSTITUTE(C2518,"'",""),6,2),1),0)+1)</f>
        <v>0</v>
      </c>
      <c r="E2518" s="17">
        <f t="shared" si="1"/>
        <v>1312</v>
      </c>
      <c r="F2518" s="17">
        <f t="shared" si="2"/>
        <v>0</v>
      </c>
    </row>
    <row r="2519">
      <c r="A2519" s="5" t="s">
        <v>55</v>
      </c>
      <c r="B2519" s="6">
        <v>998.0</v>
      </c>
      <c r="C2519" s="13" t="s">
        <v>360</v>
      </c>
      <c r="D2519" s="17">
        <f>SUMIFS(ShadowLedger!$D:$D,ShadowLedger!$G:$G,A2519,ShadowLedger!$C:$C,"&gt;="&amp;DATE(LEFT(SUBSTITUTE(C2519,"'",""),4),MID(SUBSTITUTE(C2519,"'",""),6,2),1),ShadowLedger!$C:$C,"&lt;"&amp;EOMONTH(DATE(LEFT(SUBSTITUTE(C2519,"'",""),4),MID(SUBSTITUTE(C2519,"'",""),6,2),1),0)+1)</f>
        <v>0</v>
      </c>
      <c r="E2519" s="17">
        <f t="shared" si="1"/>
        <v>998</v>
      </c>
      <c r="F2519" s="17">
        <f t="shared" si="2"/>
        <v>0</v>
      </c>
    </row>
    <row r="2520">
      <c r="A2520" s="5" t="s">
        <v>56</v>
      </c>
      <c r="B2520" s="6">
        <v>713.0</v>
      </c>
      <c r="C2520" s="13" t="s">
        <v>360</v>
      </c>
      <c r="D2520" s="17">
        <f>SUMIFS(ShadowLedger!$D:$D,ShadowLedger!$G:$G,A2520,ShadowLedger!$C:$C,"&gt;="&amp;DATE(LEFT(SUBSTITUTE(C2520,"'",""),4),MID(SUBSTITUTE(C2520,"'",""),6,2),1),ShadowLedger!$C:$C,"&lt;"&amp;EOMONTH(DATE(LEFT(SUBSTITUTE(C2520,"'",""),4),MID(SUBSTITUTE(C2520,"'",""),6,2),1),0)+1)</f>
        <v>0</v>
      </c>
      <c r="E2520" s="17">
        <f t="shared" si="1"/>
        <v>713</v>
      </c>
      <c r="F2520" s="17">
        <f t="shared" si="2"/>
        <v>0</v>
      </c>
    </row>
    <row r="2521">
      <c r="A2521" s="5" t="s">
        <v>57</v>
      </c>
      <c r="B2521" s="6">
        <v>713.0</v>
      </c>
      <c r="C2521" s="13" t="s">
        <v>360</v>
      </c>
      <c r="D2521" s="17">
        <f>SUMIFS(ShadowLedger!$D:$D,ShadowLedger!$G:$G,A2521,ShadowLedger!$C:$C,"&gt;="&amp;DATE(LEFT(SUBSTITUTE(C2521,"'",""),4),MID(SUBSTITUTE(C2521,"'",""),6,2),1),ShadowLedger!$C:$C,"&lt;"&amp;EOMONTH(DATE(LEFT(SUBSTITUTE(C2521,"'",""),4),MID(SUBSTITUTE(C2521,"'",""),6,2),1),0)+1)</f>
        <v>0</v>
      </c>
      <c r="E2521" s="17">
        <f t="shared" si="1"/>
        <v>713</v>
      </c>
      <c r="F2521" s="17">
        <f t="shared" si="2"/>
        <v>0</v>
      </c>
    </row>
    <row r="2522">
      <c r="A2522" s="5" t="s">
        <v>58</v>
      </c>
      <c r="B2522" s="6">
        <v>570.0</v>
      </c>
      <c r="C2522" s="13" t="s">
        <v>360</v>
      </c>
      <c r="D2522" s="17">
        <f>SUMIFS(ShadowLedger!$D:$D,ShadowLedger!$G:$G,A2522,ShadowLedger!$C:$C,"&gt;="&amp;DATE(LEFT(SUBSTITUTE(C2522,"'",""),4),MID(SUBSTITUTE(C2522,"'",""),6,2),1),ShadowLedger!$C:$C,"&lt;"&amp;EOMONTH(DATE(LEFT(SUBSTITUTE(C2522,"'",""),4),MID(SUBSTITUTE(C2522,"'",""),6,2),1),0)+1)</f>
        <v>0</v>
      </c>
      <c r="E2522" s="17">
        <f t="shared" si="1"/>
        <v>570</v>
      </c>
      <c r="F2522" s="17">
        <f t="shared" si="2"/>
        <v>0</v>
      </c>
    </row>
    <row r="2523">
      <c r="A2523" s="5" t="s">
        <v>59</v>
      </c>
      <c r="B2523" s="6">
        <v>285.0</v>
      </c>
      <c r="C2523" s="13" t="s">
        <v>360</v>
      </c>
      <c r="D2523" s="17">
        <f>SUMIFS(ShadowLedger!$D:$D,ShadowLedger!$G:$G,A2523,ShadowLedger!$C:$C,"&gt;="&amp;DATE(LEFT(SUBSTITUTE(C2523,"'",""),4),MID(SUBSTITUTE(C2523,"'",""),6,2),1),ShadowLedger!$C:$C,"&lt;"&amp;EOMONTH(DATE(LEFT(SUBSTITUTE(C2523,"'",""),4),MID(SUBSTITUTE(C2523,"'",""),6,2),1),0)+1)</f>
        <v>0</v>
      </c>
      <c r="E2523" s="17">
        <f t="shared" si="1"/>
        <v>285</v>
      </c>
      <c r="F2523" s="17">
        <f t="shared" si="2"/>
        <v>0</v>
      </c>
    </row>
    <row r="2524">
      <c r="A2524" s="5" t="s">
        <v>60</v>
      </c>
      <c r="B2524" s="6">
        <v>214.0</v>
      </c>
      <c r="C2524" s="13" t="s">
        <v>360</v>
      </c>
      <c r="D2524" s="17">
        <f>SUMIFS(ShadowLedger!$D:$D,ShadowLedger!$G:$G,A2524,ShadowLedger!$C:$C,"&gt;="&amp;DATE(LEFT(SUBSTITUTE(C2524,"'",""),4),MID(SUBSTITUTE(C2524,"'",""),6,2),1),ShadowLedger!$C:$C,"&lt;"&amp;EOMONTH(DATE(LEFT(SUBSTITUTE(C2524,"'",""),4),MID(SUBSTITUTE(C2524,"'",""),6,2),1),0)+1)</f>
        <v>0</v>
      </c>
      <c r="E2524" s="17">
        <f t="shared" si="1"/>
        <v>214</v>
      </c>
      <c r="F2524" s="17">
        <f t="shared" si="2"/>
        <v>0</v>
      </c>
    </row>
    <row r="2525">
      <c r="A2525" s="5" t="s">
        <v>61</v>
      </c>
      <c r="B2525" s="6">
        <v>171.0</v>
      </c>
      <c r="C2525" s="13" t="s">
        <v>360</v>
      </c>
      <c r="D2525" s="17">
        <f>SUMIFS(ShadowLedger!$D:$D,ShadowLedger!$G:$G,A2525,ShadowLedger!$C:$C,"&gt;="&amp;DATE(LEFT(SUBSTITUTE(C2525,"'",""),4),MID(SUBSTITUTE(C2525,"'",""),6,2),1),ShadowLedger!$C:$C,"&lt;"&amp;EOMONTH(DATE(LEFT(SUBSTITUTE(C2525,"'",""),4),MID(SUBSTITUTE(C2525,"'",""),6,2),1),0)+1)</f>
        <v>0</v>
      </c>
      <c r="E2525" s="17">
        <f t="shared" si="1"/>
        <v>171</v>
      </c>
      <c r="F2525" s="17">
        <f t="shared" si="2"/>
        <v>0</v>
      </c>
    </row>
    <row r="2526">
      <c r="A2526" s="5" t="s">
        <v>62</v>
      </c>
      <c r="B2526" s="6">
        <v>171.0</v>
      </c>
      <c r="C2526" s="13" t="s">
        <v>360</v>
      </c>
      <c r="D2526" s="17">
        <f>SUMIFS(ShadowLedger!$D:$D,ShadowLedger!$G:$G,A2526,ShadowLedger!$C:$C,"&gt;="&amp;DATE(LEFT(SUBSTITUTE(C2526,"'",""),4),MID(SUBSTITUTE(C2526,"'",""),6,2),1),ShadowLedger!$C:$C,"&lt;"&amp;EOMONTH(DATE(LEFT(SUBSTITUTE(C2526,"'",""),4),MID(SUBSTITUTE(C2526,"'",""),6,2),1),0)+1)</f>
        <v>0</v>
      </c>
      <c r="E2526" s="17">
        <f t="shared" si="1"/>
        <v>171</v>
      </c>
      <c r="F2526" s="17">
        <f t="shared" si="2"/>
        <v>0</v>
      </c>
    </row>
    <row r="2527">
      <c r="A2527" s="5" t="s">
        <v>63</v>
      </c>
      <c r="B2527" s="6">
        <v>143.0</v>
      </c>
      <c r="C2527" s="13" t="s">
        <v>360</v>
      </c>
      <c r="D2527" s="17">
        <f>SUMIFS(ShadowLedger!$D:$D,ShadowLedger!$G:$G,A2527,ShadowLedger!$C:$C,"&gt;="&amp;DATE(LEFT(SUBSTITUTE(C2527,"'",""),4),MID(SUBSTITUTE(C2527,"'",""),6,2),1),ShadowLedger!$C:$C,"&lt;"&amp;EOMONTH(DATE(LEFT(SUBSTITUTE(C2527,"'",""),4),MID(SUBSTITUTE(C2527,"'",""),6,2),1),0)+1)</f>
        <v>0</v>
      </c>
      <c r="E2527" s="17">
        <f t="shared" si="1"/>
        <v>143</v>
      </c>
      <c r="F2527" s="17">
        <f t="shared" si="2"/>
        <v>0</v>
      </c>
    </row>
    <row r="2528">
      <c r="A2528" s="5" t="s">
        <v>64</v>
      </c>
      <c r="B2528" s="6">
        <v>143.0</v>
      </c>
      <c r="C2528" s="13" t="s">
        <v>360</v>
      </c>
      <c r="D2528" s="17">
        <f>SUMIFS(ShadowLedger!$D:$D,ShadowLedger!$G:$G,A2528,ShadowLedger!$C:$C,"&gt;="&amp;DATE(LEFT(SUBSTITUTE(C2528,"'",""),4),MID(SUBSTITUTE(C2528,"'",""),6,2),1),ShadowLedger!$C:$C,"&lt;"&amp;EOMONTH(DATE(LEFT(SUBSTITUTE(C2528,"'",""),4),MID(SUBSTITUTE(C2528,"'",""),6,2),1),0)+1)</f>
        <v>0</v>
      </c>
      <c r="E2528" s="17">
        <f t="shared" si="1"/>
        <v>143</v>
      </c>
      <c r="F2528" s="17">
        <f t="shared" si="2"/>
        <v>0</v>
      </c>
    </row>
    <row r="2529">
      <c r="A2529" s="5" t="s">
        <v>70</v>
      </c>
      <c r="B2529" s="6">
        <v>143.0</v>
      </c>
      <c r="C2529" s="13" t="s">
        <v>360</v>
      </c>
      <c r="D2529" s="17">
        <f>SUMIFS(ShadowLedger!$D:$D,ShadowLedger!$G:$G,A2529,ShadowLedger!$C:$C,"&gt;="&amp;DATE(LEFT(SUBSTITUTE(C2529,"'",""),4),MID(SUBSTITUTE(C2529,"'",""),6,2),1),ShadowLedger!$C:$C,"&lt;"&amp;EOMONTH(DATE(LEFT(SUBSTITUTE(C2529,"'",""),4),MID(SUBSTITUTE(C2529,"'",""),6,2),1),0)+1)</f>
        <v>0</v>
      </c>
      <c r="E2529" s="17">
        <f t="shared" si="1"/>
        <v>143</v>
      </c>
      <c r="F2529" s="17">
        <f t="shared" si="2"/>
        <v>0</v>
      </c>
    </row>
    <row r="2530">
      <c r="A2530" s="5" t="s">
        <v>65</v>
      </c>
      <c r="B2530" s="6">
        <v>71.0</v>
      </c>
      <c r="C2530" s="13" t="s">
        <v>360</v>
      </c>
      <c r="D2530" s="17">
        <f>SUMIFS(ShadowLedger!$D:$D,ShadowLedger!$G:$G,A2530,ShadowLedger!$C:$C,"&gt;="&amp;DATE(LEFT(SUBSTITUTE(C2530,"'",""),4),MID(SUBSTITUTE(C2530,"'",""),6,2),1),ShadowLedger!$C:$C,"&lt;"&amp;EOMONTH(DATE(LEFT(SUBSTITUTE(C2530,"'",""),4),MID(SUBSTITUTE(C2530,"'",""),6,2),1),0)+1)</f>
        <v>0</v>
      </c>
      <c r="E2530" s="17">
        <f t="shared" si="1"/>
        <v>71</v>
      </c>
      <c r="F2530" s="17">
        <f t="shared" si="2"/>
        <v>0</v>
      </c>
    </row>
    <row r="2531">
      <c r="A2531" s="5" t="s">
        <v>66</v>
      </c>
      <c r="B2531" s="6">
        <v>71.0</v>
      </c>
      <c r="C2531" s="13" t="s">
        <v>360</v>
      </c>
      <c r="D2531" s="17">
        <f>SUMIFS(ShadowLedger!$D:$D,ShadowLedger!$G:$G,A2531,ShadowLedger!$C:$C,"&gt;="&amp;DATE(LEFT(SUBSTITUTE(C2531,"'",""),4),MID(SUBSTITUTE(C2531,"'",""),6,2),1),ShadowLedger!$C:$C,"&lt;"&amp;EOMONTH(DATE(LEFT(SUBSTITUTE(C2531,"'",""),4),MID(SUBSTITUTE(C2531,"'",""),6,2),1),0)+1)</f>
        <v>0</v>
      </c>
      <c r="E2531" s="17">
        <f t="shared" si="1"/>
        <v>71</v>
      </c>
      <c r="F2531" s="17">
        <f t="shared" si="2"/>
        <v>0</v>
      </c>
    </row>
    <row r="2532">
      <c r="A2532" s="5" t="s">
        <v>67</v>
      </c>
      <c r="B2532" s="6">
        <v>71.0</v>
      </c>
      <c r="C2532" s="13" t="s">
        <v>360</v>
      </c>
      <c r="D2532" s="17">
        <f>SUMIFS(ShadowLedger!$D:$D,ShadowLedger!$G:$G,A2532,ShadowLedger!$C:$C,"&gt;="&amp;DATE(LEFT(SUBSTITUTE(C2532,"'",""),4),MID(SUBSTITUTE(C2532,"'",""),6,2),1),ShadowLedger!$C:$C,"&lt;"&amp;EOMONTH(DATE(LEFT(SUBSTITUTE(C2532,"'",""),4),MID(SUBSTITUTE(C2532,"'",""),6,2),1),0)+1)</f>
        <v>0</v>
      </c>
      <c r="E2532" s="17">
        <f t="shared" si="1"/>
        <v>71</v>
      </c>
      <c r="F2532" s="17">
        <f t="shared" si="2"/>
        <v>0</v>
      </c>
    </row>
    <row r="2533">
      <c r="A2533" s="5" t="s">
        <v>68</v>
      </c>
      <c r="B2533" s="6">
        <v>71.0</v>
      </c>
      <c r="C2533" s="13" t="s">
        <v>360</v>
      </c>
      <c r="D2533" s="17">
        <f>SUMIFS(ShadowLedger!$D:$D,ShadowLedger!$G:$G,A2533,ShadowLedger!$C:$C,"&gt;="&amp;DATE(LEFT(SUBSTITUTE(C2533,"'",""),4),MID(SUBSTITUTE(C2533,"'",""),6,2),1),ShadowLedger!$C:$C,"&lt;"&amp;EOMONTH(DATE(LEFT(SUBSTITUTE(C2533,"'",""),4),MID(SUBSTITUTE(C2533,"'",""),6,2),1),0)+1)</f>
        <v>0</v>
      </c>
      <c r="E2533" s="17">
        <f t="shared" si="1"/>
        <v>71</v>
      </c>
      <c r="F2533" s="17">
        <f t="shared" si="2"/>
        <v>0</v>
      </c>
    </row>
    <row r="2534">
      <c r="A2534" s="5" t="s">
        <v>69</v>
      </c>
      <c r="B2534" s="6">
        <v>0.0</v>
      </c>
      <c r="C2534" s="13" t="s">
        <v>360</v>
      </c>
      <c r="D2534" s="17">
        <f>SUMIFS(ShadowLedger!$D:$D,ShadowLedger!$G:$G,A2534,ShadowLedger!$C:$C,"&gt;="&amp;DATE(LEFT(SUBSTITUTE(C2534,"'",""),4),MID(SUBSTITUTE(C2534,"'",""),6,2),1),ShadowLedger!$C:$C,"&lt;"&amp;EOMONTH(DATE(LEFT(SUBSTITUTE(C2534,"'",""),4),MID(SUBSTITUTE(C2534,"'",""),6,2),1),0)+1)</f>
        <v>0</v>
      </c>
      <c r="E2534" s="17">
        <f t="shared" si="1"/>
        <v>0</v>
      </c>
      <c r="F2534" s="17">
        <f t="shared" si="2"/>
        <v>0</v>
      </c>
    </row>
    <row r="2535">
      <c r="A2535" s="5" t="s">
        <v>54</v>
      </c>
      <c r="B2535" s="6">
        <v>1312.0</v>
      </c>
      <c r="C2535" s="13" t="s">
        <v>361</v>
      </c>
      <c r="D2535" s="17">
        <f>SUMIFS(ShadowLedger!$D:$D,ShadowLedger!$G:$G,A2535,ShadowLedger!$C:$C,"&gt;="&amp;DATE(LEFT(SUBSTITUTE(C2535,"'",""),4),MID(SUBSTITUTE(C2535,"'",""),6,2),1),ShadowLedger!$C:$C,"&lt;"&amp;EOMONTH(DATE(LEFT(SUBSTITUTE(C2535,"'",""),4),MID(SUBSTITUTE(C2535,"'",""),6,2),1),0)+1)</f>
        <v>0</v>
      </c>
      <c r="E2535" s="17">
        <f t="shared" si="1"/>
        <v>1312</v>
      </c>
      <c r="F2535" s="17">
        <f t="shared" si="2"/>
        <v>0</v>
      </c>
    </row>
    <row r="2536">
      <c r="A2536" s="5" t="s">
        <v>55</v>
      </c>
      <c r="B2536" s="6">
        <v>998.0</v>
      </c>
      <c r="C2536" s="13" t="s">
        <v>361</v>
      </c>
      <c r="D2536" s="17">
        <f>SUMIFS(ShadowLedger!$D:$D,ShadowLedger!$G:$G,A2536,ShadowLedger!$C:$C,"&gt;="&amp;DATE(LEFT(SUBSTITUTE(C2536,"'",""),4),MID(SUBSTITUTE(C2536,"'",""),6,2),1),ShadowLedger!$C:$C,"&lt;"&amp;EOMONTH(DATE(LEFT(SUBSTITUTE(C2536,"'",""),4),MID(SUBSTITUTE(C2536,"'",""),6,2),1),0)+1)</f>
        <v>0</v>
      </c>
      <c r="E2536" s="17">
        <f t="shared" si="1"/>
        <v>998</v>
      </c>
      <c r="F2536" s="17">
        <f t="shared" si="2"/>
        <v>0</v>
      </c>
    </row>
    <row r="2537">
      <c r="A2537" s="5" t="s">
        <v>56</v>
      </c>
      <c r="B2537" s="6">
        <v>713.0</v>
      </c>
      <c r="C2537" s="13" t="s">
        <v>361</v>
      </c>
      <c r="D2537" s="17">
        <f>SUMIFS(ShadowLedger!$D:$D,ShadowLedger!$G:$G,A2537,ShadowLedger!$C:$C,"&gt;="&amp;DATE(LEFT(SUBSTITUTE(C2537,"'",""),4),MID(SUBSTITUTE(C2537,"'",""),6,2),1),ShadowLedger!$C:$C,"&lt;"&amp;EOMONTH(DATE(LEFT(SUBSTITUTE(C2537,"'",""),4),MID(SUBSTITUTE(C2537,"'",""),6,2),1),0)+1)</f>
        <v>0</v>
      </c>
      <c r="E2537" s="17">
        <f t="shared" si="1"/>
        <v>713</v>
      </c>
      <c r="F2537" s="17">
        <f t="shared" si="2"/>
        <v>0</v>
      </c>
    </row>
    <row r="2538">
      <c r="A2538" s="5" t="s">
        <v>57</v>
      </c>
      <c r="B2538" s="6">
        <v>713.0</v>
      </c>
      <c r="C2538" s="13" t="s">
        <v>361</v>
      </c>
      <c r="D2538" s="17">
        <f>SUMIFS(ShadowLedger!$D:$D,ShadowLedger!$G:$G,A2538,ShadowLedger!$C:$C,"&gt;="&amp;DATE(LEFT(SUBSTITUTE(C2538,"'",""),4),MID(SUBSTITUTE(C2538,"'",""),6,2),1),ShadowLedger!$C:$C,"&lt;"&amp;EOMONTH(DATE(LEFT(SUBSTITUTE(C2538,"'",""),4),MID(SUBSTITUTE(C2538,"'",""),6,2),1),0)+1)</f>
        <v>0</v>
      </c>
      <c r="E2538" s="17">
        <f t="shared" si="1"/>
        <v>713</v>
      </c>
      <c r="F2538" s="17">
        <f t="shared" si="2"/>
        <v>0</v>
      </c>
    </row>
    <row r="2539">
      <c r="A2539" s="5" t="s">
        <v>58</v>
      </c>
      <c r="B2539" s="6">
        <v>570.0</v>
      </c>
      <c r="C2539" s="13" t="s">
        <v>361</v>
      </c>
      <c r="D2539" s="17">
        <f>SUMIFS(ShadowLedger!$D:$D,ShadowLedger!$G:$G,A2539,ShadowLedger!$C:$C,"&gt;="&amp;DATE(LEFT(SUBSTITUTE(C2539,"'",""),4),MID(SUBSTITUTE(C2539,"'",""),6,2),1),ShadowLedger!$C:$C,"&lt;"&amp;EOMONTH(DATE(LEFT(SUBSTITUTE(C2539,"'",""),4),MID(SUBSTITUTE(C2539,"'",""),6,2),1),0)+1)</f>
        <v>0</v>
      </c>
      <c r="E2539" s="17">
        <f t="shared" si="1"/>
        <v>570</v>
      </c>
      <c r="F2539" s="17">
        <f t="shared" si="2"/>
        <v>0</v>
      </c>
    </row>
    <row r="2540">
      <c r="A2540" s="5" t="s">
        <v>59</v>
      </c>
      <c r="B2540" s="6">
        <v>285.0</v>
      </c>
      <c r="C2540" s="13" t="s">
        <v>361</v>
      </c>
      <c r="D2540" s="17">
        <f>SUMIFS(ShadowLedger!$D:$D,ShadowLedger!$G:$G,A2540,ShadowLedger!$C:$C,"&gt;="&amp;DATE(LEFT(SUBSTITUTE(C2540,"'",""),4),MID(SUBSTITUTE(C2540,"'",""),6,2),1),ShadowLedger!$C:$C,"&lt;"&amp;EOMONTH(DATE(LEFT(SUBSTITUTE(C2540,"'",""),4),MID(SUBSTITUTE(C2540,"'",""),6,2),1),0)+1)</f>
        <v>0</v>
      </c>
      <c r="E2540" s="17">
        <f t="shared" si="1"/>
        <v>285</v>
      </c>
      <c r="F2540" s="17">
        <f t="shared" si="2"/>
        <v>0</v>
      </c>
    </row>
    <row r="2541">
      <c r="A2541" s="5" t="s">
        <v>60</v>
      </c>
      <c r="B2541" s="6">
        <v>214.0</v>
      </c>
      <c r="C2541" s="13" t="s">
        <v>361</v>
      </c>
      <c r="D2541" s="17">
        <f>SUMIFS(ShadowLedger!$D:$D,ShadowLedger!$G:$G,A2541,ShadowLedger!$C:$C,"&gt;="&amp;DATE(LEFT(SUBSTITUTE(C2541,"'",""),4),MID(SUBSTITUTE(C2541,"'",""),6,2),1),ShadowLedger!$C:$C,"&lt;"&amp;EOMONTH(DATE(LEFT(SUBSTITUTE(C2541,"'",""),4),MID(SUBSTITUTE(C2541,"'",""),6,2),1),0)+1)</f>
        <v>0</v>
      </c>
      <c r="E2541" s="17">
        <f t="shared" si="1"/>
        <v>214</v>
      </c>
      <c r="F2541" s="17">
        <f t="shared" si="2"/>
        <v>0</v>
      </c>
    </row>
    <row r="2542">
      <c r="A2542" s="5" t="s">
        <v>61</v>
      </c>
      <c r="B2542" s="6">
        <v>171.0</v>
      </c>
      <c r="C2542" s="13" t="s">
        <v>361</v>
      </c>
      <c r="D2542" s="17">
        <f>SUMIFS(ShadowLedger!$D:$D,ShadowLedger!$G:$G,A2542,ShadowLedger!$C:$C,"&gt;="&amp;DATE(LEFT(SUBSTITUTE(C2542,"'",""),4),MID(SUBSTITUTE(C2542,"'",""),6,2),1),ShadowLedger!$C:$C,"&lt;"&amp;EOMONTH(DATE(LEFT(SUBSTITUTE(C2542,"'",""),4),MID(SUBSTITUTE(C2542,"'",""),6,2),1),0)+1)</f>
        <v>0</v>
      </c>
      <c r="E2542" s="17">
        <f t="shared" si="1"/>
        <v>171</v>
      </c>
      <c r="F2542" s="17">
        <f t="shared" si="2"/>
        <v>0</v>
      </c>
    </row>
    <row r="2543">
      <c r="A2543" s="5" t="s">
        <v>62</v>
      </c>
      <c r="B2543" s="6">
        <v>171.0</v>
      </c>
      <c r="C2543" s="13" t="s">
        <v>361</v>
      </c>
      <c r="D2543" s="17">
        <f>SUMIFS(ShadowLedger!$D:$D,ShadowLedger!$G:$G,A2543,ShadowLedger!$C:$C,"&gt;="&amp;DATE(LEFT(SUBSTITUTE(C2543,"'",""),4),MID(SUBSTITUTE(C2543,"'",""),6,2),1),ShadowLedger!$C:$C,"&lt;"&amp;EOMONTH(DATE(LEFT(SUBSTITUTE(C2543,"'",""),4),MID(SUBSTITUTE(C2543,"'",""),6,2),1),0)+1)</f>
        <v>0</v>
      </c>
      <c r="E2543" s="17">
        <f t="shared" si="1"/>
        <v>171</v>
      </c>
      <c r="F2543" s="17">
        <f t="shared" si="2"/>
        <v>0</v>
      </c>
    </row>
    <row r="2544">
      <c r="A2544" s="5" t="s">
        <v>63</v>
      </c>
      <c r="B2544" s="6">
        <v>143.0</v>
      </c>
      <c r="C2544" s="13" t="s">
        <v>361</v>
      </c>
      <c r="D2544" s="17">
        <f>SUMIFS(ShadowLedger!$D:$D,ShadowLedger!$G:$G,A2544,ShadowLedger!$C:$C,"&gt;="&amp;DATE(LEFT(SUBSTITUTE(C2544,"'",""),4),MID(SUBSTITUTE(C2544,"'",""),6,2),1),ShadowLedger!$C:$C,"&lt;"&amp;EOMONTH(DATE(LEFT(SUBSTITUTE(C2544,"'",""),4),MID(SUBSTITUTE(C2544,"'",""),6,2),1),0)+1)</f>
        <v>0</v>
      </c>
      <c r="E2544" s="17">
        <f t="shared" si="1"/>
        <v>143</v>
      </c>
      <c r="F2544" s="17">
        <f t="shared" si="2"/>
        <v>0</v>
      </c>
    </row>
    <row r="2545">
      <c r="A2545" s="5" t="s">
        <v>64</v>
      </c>
      <c r="B2545" s="6">
        <v>143.0</v>
      </c>
      <c r="C2545" s="13" t="s">
        <v>361</v>
      </c>
      <c r="D2545" s="17">
        <f>SUMIFS(ShadowLedger!$D:$D,ShadowLedger!$G:$G,A2545,ShadowLedger!$C:$C,"&gt;="&amp;DATE(LEFT(SUBSTITUTE(C2545,"'",""),4),MID(SUBSTITUTE(C2545,"'",""),6,2),1),ShadowLedger!$C:$C,"&lt;"&amp;EOMONTH(DATE(LEFT(SUBSTITUTE(C2545,"'",""),4),MID(SUBSTITUTE(C2545,"'",""),6,2),1),0)+1)</f>
        <v>0</v>
      </c>
      <c r="E2545" s="17">
        <f t="shared" si="1"/>
        <v>143</v>
      </c>
      <c r="F2545" s="17">
        <f t="shared" si="2"/>
        <v>0</v>
      </c>
    </row>
    <row r="2546">
      <c r="A2546" s="5" t="s">
        <v>70</v>
      </c>
      <c r="B2546" s="6">
        <v>143.0</v>
      </c>
      <c r="C2546" s="13" t="s">
        <v>361</v>
      </c>
      <c r="D2546" s="17">
        <f>SUMIFS(ShadowLedger!$D:$D,ShadowLedger!$G:$G,A2546,ShadowLedger!$C:$C,"&gt;="&amp;DATE(LEFT(SUBSTITUTE(C2546,"'",""),4),MID(SUBSTITUTE(C2546,"'",""),6,2),1),ShadowLedger!$C:$C,"&lt;"&amp;EOMONTH(DATE(LEFT(SUBSTITUTE(C2546,"'",""),4),MID(SUBSTITUTE(C2546,"'",""),6,2),1),0)+1)</f>
        <v>0</v>
      </c>
      <c r="E2546" s="17">
        <f t="shared" si="1"/>
        <v>143</v>
      </c>
      <c r="F2546" s="17">
        <f t="shared" si="2"/>
        <v>0</v>
      </c>
    </row>
    <row r="2547">
      <c r="A2547" s="5" t="s">
        <v>65</v>
      </c>
      <c r="B2547" s="6">
        <v>71.0</v>
      </c>
      <c r="C2547" s="13" t="s">
        <v>361</v>
      </c>
      <c r="D2547" s="17">
        <f>SUMIFS(ShadowLedger!$D:$D,ShadowLedger!$G:$G,A2547,ShadowLedger!$C:$C,"&gt;="&amp;DATE(LEFT(SUBSTITUTE(C2547,"'",""),4),MID(SUBSTITUTE(C2547,"'",""),6,2),1),ShadowLedger!$C:$C,"&lt;"&amp;EOMONTH(DATE(LEFT(SUBSTITUTE(C2547,"'",""),4),MID(SUBSTITUTE(C2547,"'",""),6,2),1),0)+1)</f>
        <v>0</v>
      </c>
      <c r="E2547" s="17">
        <f t="shared" si="1"/>
        <v>71</v>
      </c>
      <c r="F2547" s="17">
        <f t="shared" si="2"/>
        <v>0</v>
      </c>
    </row>
    <row r="2548">
      <c r="A2548" s="5" t="s">
        <v>66</v>
      </c>
      <c r="B2548" s="6">
        <v>71.0</v>
      </c>
      <c r="C2548" s="13" t="s">
        <v>361</v>
      </c>
      <c r="D2548" s="17">
        <f>SUMIFS(ShadowLedger!$D:$D,ShadowLedger!$G:$G,A2548,ShadowLedger!$C:$C,"&gt;="&amp;DATE(LEFT(SUBSTITUTE(C2548,"'",""),4),MID(SUBSTITUTE(C2548,"'",""),6,2),1),ShadowLedger!$C:$C,"&lt;"&amp;EOMONTH(DATE(LEFT(SUBSTITUTE(C2548,"'",""),4),MID(SUBSTITUTE(C2548,"'",""),6,2),1),0)+1)</f>
        <v>0</v>
      </c>
      <c r="E2548" s="17">
        <f t="shared" si="1"/>
        <v>71</v>
      </c>
      <c r="F2548" s="17">
        <f t="shared" si="2"/>
        <v>0</v>
      </c>
    </row>
    <row r="2549">
      <c r="A2549" s="5" t="s">
        <v>67</v>
      </c>
      <c r="B2549" s="6">
        <v>71.0</v>
      </c>
      <c r="C2549" s="13" t="s">
        <v>361</v>
      </c>
      <c r="D2549" s="17">
        <f>SUMIFS(ShadowLedger!$D:$D,ShadowLedger!$G:$G,A2549,ShadowLedger!$C:$C,"&gt;="&amp;DATE(LEFT(SUBSTITUTE(C2549,"'",""),4),MID(SUBSTITUTE(C2549,"'",""),6,2),1),ShadowLedger!$C:$C,"&lt;"&amp;EOMONTH(DATE(LEFT(SUBSTITUTE(C2549,"'",""),4),MID(SUBSTITUTE(C2549,"'",""),6,2),1),0)+1)</f>
        <v>0</v>
      </c>
      <c r="E2549" s="17">
        <f t="shared" si="1"/>
        <v>71</v>
      </c>
      <c r="F2549" s="17">
        <f t="shared" si="2"/>
        <v>0</v>
      </c>
    </row>
    <row r="2550">
      <c r="A2550" s="5" t="s">
        <v>68</v>
      </c>
      <c r="B2550" s="6">
        <v>71.0</v>
      </c>
      <c r="C2550" s="13" t="s">
        <v>361</v>
      </c>
      <c r="D2550" s="17">
        <f>SUMIFS(ShadowLedger!$D:$D,ShadowLedger!$G:$G,A2550,ShadowLedger!$C:$C,"&gt;="&amp;DATE(LEFT(SUBSTITUTE(C2550,"'",""),4),MID(SUBSTITUTE(C2550,"'",""),6,2),1),ShadowLedger!$C:$C,"&lt;"&amp;EOMONTH(DATE(LEFT(SUBSTITUTE(C2550,"'",""),4),MID(SUBSTITUTE(C2550,"'",""),6,2),1),0)+1)</f>
        <v>0</v>
      </c>
      <c r="E2550" s="17">
        <f t="shared" si="1"/>
        <v>71</v>
      </c>
      <c r="F2550" s="17">
        <f t="shared" si="2"/>
        <v>0</v>
      </c>
    </row>
    <row r="2551">
      <c r="A2551" s="5" t="s">
        <v>69</v>
      </c>
      <c r="B2551" s="6">
        <v>0.0</v>
      </c>
      <c r="C2551" s="13" t="s">
        <v>361</v>
      </c>
      <c r="D2551" s="17">
        <f>SUMIFS(ShadowLedger!$D:$D,ShadowLedger!$G:$G,A2551,ShadowLedger!$C:$C,"&gt;="&amp;DATE(LEFT(SUBSTITUTE(C2551,"'",""),4),MID(SUBSTITUTE(C2551,"'",""),6,2),1),ShadowLedger!$C:$C,"&lt;"&amp;EOMONTH(DATE(LEFT(SUBSTITUTE(C2551,"'",""),4),MID(SUBSTITUTE(C2551,"'",""),6,2),1),0)+1)</f>
        <v>0</v>
      </c>
      <c r="E2551" s="17">
        <f t="shared" si="1"/>
        <v>0</v>
      </c>
      <c r="F2551" s="17">
        <f t="shared" si="2"/>
        <v>0</v>
      </c>
    </row>
    <row r="2552">
      <c r="A2552" s="5" t="s">
        <v>54</v>
      </c>
      <c r="B2552" s="6">
        <v>1312.0</v>
      </c>
      <c r="C2552" s="13" t="s">
        <v>362</v>
      </c>
      <c r="D2552" s="17">
        <f>SUMIFS(ShadowLedger!$D:$D,ShadowLedger!$G:$G,A2552,ShadowLedger!$C:$C,"&gt;="&amp;DATE(LEFT(SUBSTITUTE(C2552,"'",""),4),MID(SUBSTITUTE(C2552,"'",""),6,2),1),ShadowLedger!$C:$C,"&lt;"&amp;EOMONTH(DATE(LEFT(SUBSTITUTE(C2552,"'",""),4),MID(SUBSTITUTE(C2552,"'",""),6,2),1),0)+1)</f>
        <v>0</v>
      </c>
      <c r="E2552" s="17">
        <f t="shared" si="1"/>
        <v>1312</v>
      </c>
      <c r="F2552" s="17">
        <f t="shared" si="2"/>
        <v>0</v>
      </c>
    </row>
    <row r="2553">
      <c r="A2553" s="5" t="s">
        <v>55</v>
      </c>
      <c r="B2553" s="6">
        <v>998.0</v>
      </c>
      <c r="C2553" s="13" t="s">
        <v>362</v>
      </c>
      <c r="D2553" s="17">
        <f>SUMIFS(ShadowLedger!$D:$D,ShadowLedger!$G:$G,A2553,ShadowLedger!$C:$C,"&gt;="&amp;DATE(LEFT(SUBSTITUTE(C2553,"'",""),4),MID(SUBSTITUTE(C2553,"'",""),6,2),1),ShadowLedger!$C:$C,"&lt;"&amp;EOMONTH(DATE(LEFT(SUBSTITUTE(C2553,"'",""),4),MID(SUBSTITUTE(C2553,"'",""),6,2),1),0)+1)</f>
        <v>0</v>
      </c>
      <c r="E2553" s="17">
        <f t="shared" si="1"/>
        <v>998</v>
      </c>
      <c r="F2553" s="17">
        <f t="shared" si="2"/>
        <v>0</v>
      </c>
    </row>
    <row r="2554">
      <c r="A2554" s="5" t="s">
        <v>56</v>
      </c>
      <c r="B2554" s="6">
        <v>713.0</v>
      </c>
      <c r="C2554" s="13" t="s">
        <v>362</v>
      </c>
      <c r="D2554" s="17">
        <f>SUMIFS(ShadowLedger!$D:$D,ShadowLedger!$G:$G,A2554,ShadowLedger!$C:$C,"&gt;="&amp;DATE(LEFT(SUBSTITUTE(C2554,"'",""),4),MID(SUBSTITUTE(C2554,"'",""),6,2),1),ShadowLedger!$C:$C,"&lt;"&amp;EOMONTH(DATE(LEFT(SUBSTITUTE(C2554,"'",""),4),MID(SUBSTITUTE(C2554,"'",""),6,2),1),0)+1)</f>
        <v>0</v>
      </c>
      <c r="E2554" s="17">
        <f t="shared" si="1"/>
        <v>713</v>
      </c>
      <c r="F2554" s="17">
        <f t="shared" si="2"/>
        <v>0</v>
      </c>
    </row>
    <row r="2555">
      <c r="A2555" s="5" t="s">
        <v>57</v>
      </c>
      <c r="B2555" s="6">
        <v>713.0</v>
      </c>
      <c r="C2555" s="13" t="s">
        <v>362</v>
      </c>
      <c r="D2555" s="17">
        <f>SUMIFS(ShadowLedger!$D:$D,ShadowLedger!$G:$G,A2555,ShadowLedger!$C:$C,"&gt;="&amp;DATE(LEFT(SUBSTITUTE(C2555,"'",""),4),MID(SUBSTITUTE(C2555,"'",""),6,2),1),ShadowLedger!$C:$C,"&lt;"&amp;EOMONTH(DATE(LEFT(SUBSTITUTE(C2555,"'",""),4),MID(SUBSTITUTE(C2555,"'",""),6,2),1),0)+1)</f>
        <v>0</v>
      </c>
      <c r="E2555" s="17">
        <f t="shared" si="1"/>
        <v>713</v>
      </c>
      <c r="F2555" s="17">
        <f t="shared" si="2"/>
        <v>0</v>
      </c>
    </row>
    <row r="2556">
      <c r="A2556" s="5" t="s">
        <v>58</v>
      </c>
      <c r="B2556" s="6">
        <v>570.0</v>
      </c>
      <c r="C2556" s="13" t="s">
        <v>362</v>
      </c>
      <c r="D2556" s="17">
        <f>SUMIFS(ShadowLedger!$D:$D,ShadowLedger!$G:$G,A2556,ShadowLedger!$C:$C,"&gt;="&amp;DATE(LEFT(SUBSTITUTE(C2556,"'",""),4),MID(SUBSTITUTE(C2556,"'",""),6,2),1),ShadowLedger!$C:$C,"&lt;"&amp;EOMONTH(DATE(LEFT(SUBSTITUTE(C2556,"'",""),4),MID(SUBSTITUTE(C2556,"'",""),6,2),1),0)+1)</f>
        <v>0</v>
      </c>
      <c r="E2556" s="17">
        <f t="shared" si="1"/>
        <v>570</v>
      </c>
      <c r="F2556" s="17">
        <f t="shared" si="2"/>
        <v>0</v>
      </c>
    </row>
    <row r="2557">
      <c r="A2557" s="5" t="s">
        <v>59</v>
      </c>
      <c r="B2557" s="6">
        <v>285.0</v>
      </c>
      <c r="C2557" s="13" t="s">
        <v>362</v>
      </c>
      <c r="D2557" s="17">
        <f>SUMIFS(ShadowLedger!$D:$D,ShadowLedger!$G:$G,A2557,ShadowLedger!$C:$C,"&gt;="&amp;DATE(LEFT(SUBSTITUTE(C2557,"'",""),4),MID(SUBSTITUTE(C2557,"'",""),6,2),1),ShadowLedger!$C:$C,"&lt;"&amp;EOMONTH(DATE(LEFT(SUBSTITUTE(C2557,"'",""),4),MID(SUBSTITUTE(C2557,"'",""),6,2),1),0)+1)</f>
        <v>0</v>
      </c>
      <c r="E2557" s="17">
        <f t="shared" si="1"/>
        <v>285</v>
      </c>
      <c r="F2557" s="17">
        <f t="shared" si="2"/>
        <v>0</v>
      </c>
    </row>
    <row r="2558">
      <c r="A2558" s="5" t="s">
        <v>60</v>
      </c>
      <c r="B2558" s="6">
        <v>214.0</v>
      </c>
      <c r="C2558" s="13" t="s">
        <v>362</v>
      </c>
      <c r="D2558" s="17">
        <f>SUMIFS(ShadowLedger!$D:$D,ShadowLedger!$G:$G,A2558,ShadowLedger!$C:$C,"&gt;="&amp;DATE(LEFT(SUBSTITUTE(C2558,"'",""),4),MID(SUBSTITUTE(C2558,"'",""),6,2),1),ShadowLedger!$C:$C,"&lt;"&amp;EOMONTH(DATE(LEFT(SUBSTITUTE(C2558,"'",""),4),MID(SUBSTITUTE(C2558,"'",""),6,2),1),0)+1)</f>
        <v>0</v>
      </c>
      <c r="E2558" s="17">
        <f t="shared" si="1"/>
        <v>214</v>
      </c>
      <c r="F2558" s="17">
        <f t="shared" si="2"/>
        <v>0</v>
      </c>
    </row>
    <row r="2559">
      <c r="A2559" s="5" t="s">
        <v>61</v>
      </c>
      <c r="B2559" s="6">
        <v>171.0</v>
      </c>
      <c r="C2559" s="13" t="s">
        <v>362</v>
      </c>
      <c r="D2559" s="17">
        <f>SUMIFS(ShadowLedger!$D:$D,ShadowLedger!$G:$G,A2559,ShadowLedger!$C:$C,"&gt;="&amp;DATE(LEFT(SUBSTITUTE(C2559,"'",""),4),MID(SUBSTITUTE(C2559,"'",""),6,2),1),ShadowLedger!$C:$C,"&lt;"&amp;EOMONTH(DATE(LEFT(SUBSTITUTE(C2559,"'",""),4),MID(SUBSTITUTE(C2559,"'",""),6,2),1),0)+1)</f>
        <v>0</v>
      </c>
      <c r="E2559" s="17">
        <f t="shared" si="1"/>
        <v>171</v>
      </c>
      <c r="F2559" s="17">
        <f t="shared" si="2"/>
        <v>0</v>
      </c>
    </row>
    <row r="2560">
      <c r="A2560" s="5" t="s">
        <v>62</v>
      </c>
      <c r="B2560" s="6">
        <v>171.0</v>
      </c>
      <c r="C2560" s="13" t="s">
        <v>362</v>
      </c>
      <c r="D2560" s="17">
        <f>SUMIFS(ShadowLedger!$D:$D,ShadowLedger!$G:$G,A2560,ShadowLedger!$C:$C,"&gt;="&amp;DATE(LEFT(SUBSTITUTE(C2560,"'",""),4),MID(SUBSTITUTE(C2560,"'",""),6,2),1),ShadowLedger!$C:$C,"&lt;"&amp;EOMONTH(DATE(LEFT(SUBSTITUTE(C2560,"'",""),4),MID(SUBSTITUTE(C2560,"'",""),6,2),1),0)+1)</f>
        <v>0</v>
      </c>
      <c r="E2560" s="17">
        <f t="shared" si="1"/>
        <v>171</v>
      </c>
      <c r="F2560" s="17">
        <f t="shared" si="2"/>
        <v>0</v>
      </c>
    </row>
    <row r="2561">
      <c r="A2561" s="5" t="s">
        <v>63</v>
      </c>
      <c r="B2561" s="6">
        <v>143.0</v>
      </c>
      <c r="C2561" s="13" t="s">
        <v>362</v>
      </c>
      <c r="D2561" s="17">
        <f>SUMIFS(ShadowLedger!$D:$D,ShadowLedger!$G:$G,A2561,ShadowLedger!$C:$C,"&gt;="&amp;DATE(LEFT(SUBSTITUTE(C2561,"'",""),4),MID(SUBSTITUTE(C2561,"'",""),6,2),1),ShadowLedger!$C:$C,"&lt;"&amp;EOMONTH(DATE(LEFT(SUBSTITUTE(C2561,"'",""),4),MID(SUBSTITUTE(C2561,"'",""),6,2),1),0)+1)</f>
        <v>0</v>
      </c>
      <c r="E2561" s="17">
        <f t="shared" si="1"/>
        <v>143</v>
      </c>
      <c r="F2561" s="17">
        <f t="shared" si="2"/>
        <v>0</v>
      </c>
    </row>
    <row r="2562">
      <c r="A2562" s="5" t="s">
        <v>64</v>
      </c>
      <c r="B2562" s="6">
        <v>143.0</v>
      </c>
      <c r="C2562" s="13" t="s">
        <v>362</v>
      </c>
      <c r="D2562" s="17">
        <f>SUMIFS(ShadowLedger!$D:$D,ShadowLedger!$G:$G,A2562,ShadowLedger!$C:$C,"&gt;="&amp;DATE(LEFT(SUBSTITUTE(C2562,"'",""),4),MID(SUBSTITUTE(C2562,"'",""),6,2),1),ShadowLedger!$C:$C,"&lt;"&amp;EOMONTH(DATE(LEFT(SUBSTITUTE(C2562,"'",""),4),MID(SUBSTITUTE(C2562,"'",""),6,2),1),0)+1)</f>
        <v>0</v>
      </c>
      <c r="E2562" s="17">
        <f t="shared" si="1"/>
        <v>143</v>
      </c>
      <c r="F2562" s="17">
        <f t="shared" si="2"/>
        <v>0</v>
      </c>
    </row>
    <row r="2563">
      <c r="A2563" s="5" t="s">
        <v>70</v>
      </c>
      <c r="B2563" s="6">
        <v>143.0</v>
      </c>
      <c r="C2563" s="13" t="s">
        <v>362</v>
      </c>
      <c r="D2563" s="17">
        <f>SUMIFS(ShadowLedger!$D:$D,ShadowLedger!$G:$G,A2563,ShadowLedger!$C:$C,"&gt;="&amp;DATE(LEFT(SUBSTITUTE(C2563,"'",""),4),MID(SUBSTITUTE(C2563,"'",""),6,2),1),ShadowLedger!$C:$C,"&lt;"&amp;EOMONTH(DATE(LEFT(SUBSTITUTE(C2563,"'",""),4),MID(SUBSTITUTE(C2563,"'",""),6,2),1),0)+1)</f>
        <v>0</v>
      </c>
      <c r="E2563" s="17">
        <f t="shared" si="1"/>
        <v>143</v>
      </c>
      <c r="F2563" s="17">
        <f t="shared" si="2"/>
        <v>0</v>
      </c>
    </row>
    <row r="2564">
      <c r="A2564" s="5" t="s">
        <v>65</v>
      </c>
      <c r="B2564" s="6">
        <v>71.0</v>
      </c>
      <c r="C2564" s="13" t="s">
        <v>362</v>
      </c>
      <c r="D2564" s="17">
        <f>SUMIFS(ShadowLedger!$D:$D,ShadowLedger!$G:$G,A2564,ShadowLedger!$C:$C,"&gt;="&amp;DATE(LEFT(SUBSTITUTE(C2564,"'",""),4),MID(SUBSTITUTE(C2564,"'",""),6,2),1),ShadowLedger!$C:$C,"&lt;"&amp;EOMONTH(DATE(LEFT(SUBSTITUTE(C2564,"'",""),4),MID(SUBSTITUTE(C2564,"'",""),6,2),1),0)+1)</f>
        <v>0</v>
      </c>
      <c r="E2564" s="17">
        <f t="shared" si="1"/>
        <v>71</v>
      </c>
      <c r="F2564" s="17">
        <f t="shared" si="2"/>
        <v>0</v>
      </c>
    </row>
    <row r="2565">
      <c r="A2565" s="5" t="s">
        <v>66</v>
      </c>
      <c r="B2565" s="6">
        <v>71.0</v>
      </c>
      <c r="C2565" s="13" t="s">
        <v>362</v>
      </c>
      <c r="D2565" s="17">
        <f>SUMIFS(ShadowLedger!$D:$D,ShadowLedger!$G:$G,A2565,ShadowLedger!$C:$C,"&gt;="&amp;DATE(LEFT(SUBSTITUTE(C2565,"'",""),4),MID(SUBSTITUTE(C2565,"'",""),6,2),1),ShadowLedger!$C:$C,"&lt;"&amp;EOMONTH(DATE(LEFT(SUBSTITUTE(C2565,"'",""),4),MID(SUBSTITUTE(C2565,"'",""),6,2),1),0)+1)</f>
        <v>0</v>
      </c>
      <c r="E2565" s="17">
        <f t="shared" si="1"/>
        <v>71</v>
      </c>
      <c r="F2565" s="17">
        <f t="shared" si="2"/>
        <v>0</v>
      </c>
    </row>
    <row r="2566">
      <c r="A2566" s="5" t="s">
        <v>67</v>
      </c>
      <c r="B2566" s="6">
        <v>71.0</v>
      </c>
      <c r="C2566" s="13" t="s">
        <v>362</v>
      </c>
      <c r="D2566" s="17">
        <f>SUMIFS(ShadowLedger!$D:$D,ShadowLedger!$G:$G,A2566,ShadowLedger!$C:$C,"&gt;="&amp;DATE(LEFT(SUBSTITUTE(C2566,"'",""),4),MID(SUBSTITUTE(C2566,"'",""),6,2),1),ShadowLedger!$C:$C,"&lt;"&amp;EOMONTH(DATE(LEFT(SUBSTITUTE(C2566,"'",""),4),MID(SUBSTITUTE(C2566,"'",""),6,2),1),0)+1)</f>
        <v>0</v>
      </c>
      <c r="E2566" s="17">
        <f t="shared" si="1"/>
        <v>71</v>
      </c>
      <c r="F2566" s="17">
        <f t="shared" si="2"/>
        <v>0</v>
      </c>
    </row>
    <row r="2567">
      <c r="A2567" s="5" t="s">
        <v>68</v>
      </c>
      <c r="B2567" s="6">
        <v>71.0</v>
      </c>
      <c r="C2567" s="13" t="s">
        <v>362</v>
      </c>
      <c r="D2567" s="17">
        <f>SUMIFS(ShadowLedger!$D:$D,ShadowLedger!$G:$G,A2567,ShadowLedger!$C:$C,"&gt;="&amp;DATE(LEFT(SUBSTITUTE(C2567,"'",""),4),MID(SUBSTITUTE(C2567,"'",""),6,2),1),ShadowLedger!$C:$C,"&lt;"&amp;EOMONTH(DATE(LEFT(SUBSTITUTE(C2567,"'",""),4),MID(SUBSTITUTE(C2567,"'",""),6,2),1),0)+1)</f>
        <v>0</v>
      </c>
      <c r="E2567" s="17">
        <f t="shared" si="1"/>
        <v>71</v>
      </c>
      <c r="F2567" s="17">
        <f t="shared" si="2"/>
        <v>0</v>
      </c>
    </row>
    <row r="2568">
      <c r="A2568" s="5" t="s">
        <v>69</v>
      </c>
      <c r="B2568" s="6">
        <v>0.0</v>
      </c>
      <c r="C2568" s="13" t="s">
        <v>362</v>
      </c>
      <c r="D2568" s="17">
        <f>SUMIFS(ShadowLedger!$D:$D,ShadowLedger!$G:$G,A2568,ShadowLedger!$C:$C,"&gt;="&amp;DATE(LEFT(SUBSTITUTE(C2568,"'",""),4),MID(SUBSTITUTE(C2568,"'",""),6,2),1),ShadowLedger!$C:$C,"&lt;"&amp;EOMONTH(DATE(LEFT(SUBSTITUTE(C2568,"'",""),4),MID(SUBSTITUTE(C2568,"'",""),6,2),1),0)+1)</f>
        <v>0</v>
      </c>
      <c r="E2568" s="17">
        <f t="shared" si="1"/>
        <v>0</v>
      </c>
      <c r="F2568" s="17">
        <f t="shared" si="2"/>
        <v>0</v>
      </c>
    </row>
    <row r="2569">
      <c r="A2569" s="5" t="s">
        <v>54</v>
      </c>
      <c r="B2569" s="6">
        <v>1312.0</v>
      </c>
      <c r="C2569" s="13" t="s">
        <v>363</v>
      </c>
      <c r="D2569" s="17">
        <f>SUMIFS(ShadowLedger!$D:$D,ShadowLedger!$G:$G,A2569,ShadowLedger!$C:$C,"&gt;="&amp;DATE(LEFT(SUBSTITUTE(C2569,"'",""),4),MID(SUBSTITUTE(C2569,"'",""),6,2),1),ShadowLedger!$C:$C,"&lt;"&amp;EOMONTH(DATE(LEFT(SUBSTITUTE(C2569,"'",""),4),MID(SUBSTITUTE(C2569,"'",""),6,2),1),0)+1)</f>
        <v>0</v>
      </c>
      <c r="E2569" s="17">
        <f t="shared" si="1"/>
        <v>1312</v>
      </c>
      <c r="F2569" s="17">
        <f t="shared" si="2"/>
        <v>0</v>
      </c>
    </row>
    <row r="2570">
      <c r="A2570" s="5" t="s">
        <v>55</v>
      </c>
      <c r="B2570" s="6">
        <v>998.0</v>
      </c>
      <c r="C2570" s="13" t="s">
        <v>363</v>
      </c>
      <c r="D2570" s="17">
        <f>SUMIFS(ShadowLedger!$D:$D,ShadowLedger!$G:$G,A2570,ShadowLedger!$C:$C,"&gt;="&amp;DATE(LEFT(SUBSTITUTE(C2570,"'",""),4),MID(SUBSTITUTE(C2570,"'",""),6,2),1),ShadowLedger!$C:$C,"&lt;"&amp;EOMONTH(DATE(LEFT(SUBSTITUTE(C2570,"'",""),4),MID(SUBSTITUTE(C2570,"'",""),6,2),1),0)+1)</f>
        <v>0</v>
      </c>
      <c r="E2570" s="17">
        <f t="shared" si="1"/>
        <v>998</v>
      </c>
      <c r="F2570" s="17">
        <f t="shared" si="2"/>
        <v>0</v>
      </c>
    </row>
    <row r="2571">
      <c r="A2571" s="5" t="s">
        <v>56</v>
      </c>
      <c r="B2571" s="6">
        <v>713.0</v>
      </c>
      <c r="C2571" s="13" t="s">
        <v>363</v>
      </c>
      <c r="D2571" s="17">
        <f>SUMIFS(ShadowLedger!$D:$D,ShadowLedger!$G:$G,A2571,ShadowLedger!$C:$C,"&gt;="&amp;DATE(LEFT(SUBSTITUTE(C2571,"'",""),4),MID(SUBSTITUTE(C2571,"'",""),6,2),1),ShadowLedger!$C:$C,"&lt;"&amp;EOMONTH(DATE(LEFT(SUBSTITUTE(C2571,"'",""),4),MID(SUBSTITUTE(C2571,"'",""),6,2),1),0)+1)</f>
        <v>0</v>
      </c>
      <c r="E2571" s="17">
        <f t="shared" si="1"/>
        <v>713</v>
      </c>
      <c r="F2571" s="17">
        <f t="shared" si="2"/>
        <v>0</v>
      </c>
    </row>
    <row r="2572">
      <c r="A2572" s="5" t="s">
        <v>57</v>
      </c>
      <c r="B2572" s="6">
        <v>713.0</v>
      </c>
      <c r="C2572" s="13" t="s">
        <v>363</v>
      </c>
      <c r="D2572" s="17">
        <f>SUMIFS(ShadowLedger!$D:$D,ShadowLedger!$G:$G,A2572,ShadowLedger!$C:$C,"&gt;="&amp;DATE(LEFT(SUBSTITUTE(C2572,"'",""),4),MID(SUBSTITUTE(C2572,"'",""),6,2),1),ShadowLedger!$C:$C,"&lt;"&amp;EOMONTH(DATE(LEFT(SUBSTITUTE(C2572,"'",""),4),MID(SUBSTITUTE(C2572,"'",""),6,2),1),0)+1)</f>
        <v>0</v>
      </c>
      <c r="E2572" s="17">
        <f t="shared" si="1"/>
        <v>713</v>
      </c>
      <c r="F2572" s="17">
        <f t="shared" si="2"/>
        <v>0</v>
      </c>
    </row>
    <row r="2573">
      <c r="A2573" s="5" t="s">
        <v>58</v>
      </c>
      <c r="B2573" s="6">
        <v>570.0</v>
      </c>
      <c r="C2573" s="13" t="s">
        <v>363</v>
      </c>
      <c r="D2573" s="17">
        <f>SUMIFS(ShadowLedger!$D:$D,ShadowLedger!$G:$G,A2573,ShadowLedger!$C:$C,"&gt;="&amp;DATE(LEFT(SUBSTITUTE(C2573,"'",""),4),MID(SUBSTITUTE(C2573,"'",""),6,2),1),ShadowLedger!$C:$C,"&lt;"&amp;EOMONTH(DATE(LEFT(SUBSTITUTE(C2573,"'",""),4),MID(SUBSTITUTE(C2573,"'",""),6,2),1),0)+1)</f>
        <v>0</v>
      </c>
      <c r="E2573" s="17">
        <f t="shared" si="1"/>
        <v>570</v>
      </c>
      <c r="F2573" s="17">
        <f t="shared" si="2"/>
        <v>0</v>
      </c>
    </row>
    <row r="2574">
      <c r="A2574" s="5" t="s">
        <v>59</v>
      </c>
      <c r="B2574" s="6">
        <v>285.0</v>
      </c>
      <c r="C2574" s="13" t="s">
        <v>363</v>
      </c>
      <c r="D2574" s="17">
        <f>SUMIFS(ShadowLedger!$D:$D,ShadowLedger!$G:$G,A2574,ShadowLedger!$C:$C,"&gt;="&amp;DATE(LEFT(SUBSTITUTE(C2574,"'",""),4),MID(SUBSTITUTE(C2574,"'",""),6,2),1),ShadowLedger!$C:$C,"&lt;"&amp;EOMONTH(DATE(LEFT(SUBSTITUTE(C2574,"'",""),4),MID(SUBSTITUTE(C2574,"'",""),6,2),1),0)+1)</f>
        <v>0</v>
      </c>
      <c r="E2574" s="17">
        <f t="shared" si="1"/>
        <v>285</v>
      </c>
      <c r="F2574" s="17">
        <f t="shared" si="2"/>
        <v>0</v>
      </c>
    </row>
    <row r="2575">
      <c r="A2575" s="5" t="s">
        <v>60</v>
      </c>
      <c r="B2575" s="6">
        <v>214.0</v>
      </c>
      <c r="C2575" s="13" t="s">
        <v>363</v>
      </c>
      <c r="D2575" s="17">
        <f>SUMIFS(ShadowLedger!$D:$D,ShadowLedger!$G:$G,A2575,ShadowLedger!$C:$C,"&gt;="&amp;DATE(LEFT(SUBSTITUTE(C2575,"'",""),4),MID(SUBSTITUTE(C2575,"'",""),6,2),1),ShadowLedger!$C:$C,"&lt;"&amp;EOMONTH(DATE(LEFT(SUBSTITUTE(C2575,"'",""),4),MID(SUBSTITUTE(C2575,"'",""),6,2),1),0)+1)</f>
        <v>0</v>
      </c>
      <c r="E2575" s="17">
        <f t="shared" si="1"/>
        <v>214</v>
      </c>
      <c r="F2575" s="17">
        <f t="shared" si="2"/>
        <v>0</v>
      </c>
    </row>
    <row r="2576">
      <c r="A2576" s="5" t="s">
        <v>61</v>
      </c>
      <c r="B2576" s="6">
        <v>171.0</v>
      </c>
      <c r="C2576" s="13" t="s">
        <v>363</v>
      </c>
      <c r="D2576" s="17">
        <f>SUMIFS(ShadowLedger!$D:$D,ShadowLedger!$G:$G,A2576,ShadowLedger!$C:$C,"&gt;="&amp;DATE(LEFT(SUBSTITUTE(C2576,"'",""),4),MID(SUBSTITUTE(C2576,"'",""),6,2),1),ShadowLedger!$C:$C,"&lt;"&amp;EOMONTH(DATE(LEFT(SUBSTITUTE(C2576,"'",""),4),MID(SUBSTITUTE(C2576,"'",""),6,2),1),0)+1)</f>
        <v>0</v>
      </c>
      <c r="E2576" s="17">
        <f t="shared" si="1"/>
        <v>171</v>
      </c>
      <c r="F2576" s="17">
        <f t="shared" si="2"/>
        <v>0</v>
      </c>
    </row>
    <row r="2577">
      <c r="A2577" s="5" t="s">
        <v>62</v>
      </c>
      <c r="B2577" s="6">
        <v>171.0</v>
      </c>
      <c r="C2577" s="13" t="s">
        <v>363</v>
      </c>
      <c r="D2577" s="17">
        <f>SUMIFS(ShadowLedger!$D:$D,ShadowLedger!$G:$G,A2577,ShadowLedger!$C:$C,"&gt;="&amp;DATE(LEFT(SUBSTITUTE(C2577,"'",""),4),MID(SUBSTITUTE(C2577,"'",""),6,2),1),ShadowLedger!$C:$C,"&lt;"&amp;EOMONTH(DATE(LEFT(SUBSTITUTE(C2577,"'",""),4),MID(SUBSTITUTE(C2577,"'",""),6,2),1),0)+1)</f>
        <v>0</v>
      </c>
      <c r="E2577" s="17">
        <f t="shared" si="1"/>
        <v>171</v>
      </c>
      <c r="F2577" s="17">
        <f t="shared" si="2"/>
        <v>0</v>
      </c>
    </row>
    <row r="2578">
      <c r="A2578" s="5" t="s">
        <v>63</v>
      </c>
      <c r="B2578" s="6">
        <v>143.0</v>
      </c>
      <c r="C2578" s="13" t="s">
        <v>363</v>
      </c>
      <c r="D2578" s="17">
        <f>SUMIFS(ShadowLedger!$D:$D,ShadowLedger!$G:$G,A2578,ShadowLedger!$C:$C,"&gt;="&amp;DATE(LEFT(SUBSTITUTE(C2578,"'",""),4),MID(SUBSTITUTE(C2578,"'",""),6,2),1),ShadowLedger!$C:$C,"&lt;"&amp;EOMONTH(DATE(LEFT(SUBSTITUTE(C2578,"'",""),4),MID(SUBSTITUTE(C2578,"'",""),6,2),1),0)+1)</f>
        <v>0</v>
      </c>
      <c r="E2578" s="17">
        <f t="shared" si="1"/>
        <v>143</v>
      </c>
      <c r="F2578" s="17">
        <f t="shared" si="2"/>
        <v>0</v>
      </c>
    </row>
    <row r="2579">
      <c r="A2579" s="5" t="s">
        <v>64</v>
      </c>
      <c r="B2579" s="6">
        <v>143.0</v>
      </c>
      <c r="C2579" s="13" t="s">
        <v>363</v>
      </c>
      <c r="D2579" s="17">
        <f>SUMIFS(ShadowLedger!$D:$D,ShadowLedger!$G:$G,A2579,ShadowLedger!$C:$C,"&gt;="&amp;DATE(LEFT(SUBSTITUTE(C2579,"'",""),4),MID(SUBSTITUTE(C2579,"'",""),6,2),1),ShadowLedger!$C:$C,"&lt;"&amp;EOMONTH(DATE(LEFT(SUBSTITUTE(C2579,"'",""),4),MID(SUBSTITUTE(C2579,"'",""),6,2),1),0)+1)</f>
        <v>0</v>
      </c>
      <c r="E2579" s="17">
        <f t="shared" si="1"/>
        <v>143</v>
      </c>
      <c r="F2579" s="17">
        <f t="shared" si="2"/>
        <v>0</v>
      </c>
    </row>
    <row r="2580">
      <c r="A2580" s="5" t="s">
        <v>70</v>
      </c>
      <c r="B2580" s="6">
        <v>143.0</v>
      </c>
      <c r="C2580" s="13" t="s">
        <v>363</v>
      </c>
      <c r="D2580" s="17">
        <f>SUMIFS(ShadowLedger!$D:$D,ShadowLedger!$G:$G,A2580,ShadowLedger!$C:$C,"&gt;="&amp;DATE(LEFT(SUBSTITUTE(C2580,"'",""),4),MID(SUBSTITUTE(C2580,"'",""),6,2),1),ShadowLedger!$C:$C,"&lt;"&amp;EOMONTH(DATE(LEFT(SUBSTITUTE(C2580,"'",""),4),MID(SUBSTITUTE(C2580,"'",""),6,2),1),0)+1)</f>
        <v>0</v>
      </c>
      <c r="E2580" s="17">
        <f t="shared" si="1"/>
        <v>143</v>
      </c>
      <c r="F2580" s="17">
        <f t="shared" si="2"/>
        <v>0</v>
      </c>
    </row>
    <row r="2581">
      <c r="A2581" s="5" t="s">
        <v>65</v>
      </c>
      <c r="B2581" s="6">
        <v>71.0</v>
      </c>
      <c r="C2581" s="13" t="s">
        <v>363</v>
      </c>
      <c r="D2581" s="17">
        <f>SUMIFS(ShadowLedger!$D:$D,ShadowLedger!$G:$G,A2581,ShadowLedger!$C:$C,"&gt;="&amp;DATE(LEFT(SUBSTITUTE(C2581,"'",""),4),MID(SUBSTITUTE(C2581,"'",""),6,2),1),ShadowLedger!$C:$C,"&lt;"&amp;EOMONTH(DATE(LEFT(SUBSTITUTE(C2581,"'",""),4),MID(SUBSTITUTE(C2581,"'",""),6,2),1),0)+1)</f>
        <v>0</v>
      </c>
      <c r="E2581" s="17">
        <f t="shared" si="1"/>
        <v>71</v>
      </c>
      <c r="F2581" s="17">
        <f t="shared" si="2"/>
        <v>0</v>
      </c>
    </row>
    <row r="2582">
      <c r="A2582" s="5" t="s">
        <v>66</v>
      </c>
      <c r="B2582" s="6">
        <v>71.0</v>
      </c>
      <c r="C2582" s="13" t="s">
        <v>363</v>
      </c>
      <c r="D2582" s="17">
        <f>SUMIFS(ShadowLedger!$D:$D,ShadowLedger!$G:$G,A2582,ShadowLedger!$C:$C,"&gt;="&amp;DATE(LEFT(SUBSTITUTE(C2582,"'",""),4),MID(SUBSTITUTE(C2582,"'",""),6,2),1),ShadowLedger!$C:$C,"&lt;"&amp;EOMONTH(DATE(LEFT(SUBSTITUTE(C2582,"'",""),4),MID(SUBSTITUTE(C2582,"'",""),6,2),1),0)+1)</f>
        <v>0</v>
      </c>
      <c r="E2582" s="17">
        <f t="shared" si="1"/>
        <v>71</v>
      </c>
      <c r="F2582" s="17">
        <f t="shared" si="2"/>
        <v>0</v>
      </c>
    </row>
    <row r="2583">
      <c r="A2583" s="5" t="s">
        <v>67</v>
      </c>
      <c r="B2583" s="6">
        <v>71.0</v>
      </c>
      <c r="C2583" s="13" t="s">
        <v>363</v>
      </c>
      <c r="D2583" s="17">
        <f>SUMIFS(ShadowLedger!$D:$D,ShadowLedger!$G:$G,A2583,ShadowLedger!$C:$C,"&gt;="&amp;DATE(LEFT(SUBSTITUTE(C2583,"'",""),4),MID(SUBSTITUTE(C2583,"'",""),6,2),1),ShadowLedger!$C:$C,"&lt;"&amp;EOMONTH(DATE(LEFT(SUBSTITUTE(C2583,"'",""),4),MID(SUBSTITUTE(C2583,"'",""),6,2),1),0)+1)</f>
        <v>0</v>
      </c>
      <c r="E2583" s="17">
        <f t="shared" si="1"/>
        <v>71</v>
      </c>
      <c r="F2583" s="17">
        <f t="shared" si="2"/>
        <v>0</v>
      </c>
    </row>
    <row r="2584">
      <c r="A2584" s="5" t="s">
        <v>68</v>
      </c>
      <c r="B2584" s="6">
        <v>71.0</v>
      </c>
      <c r="C2584" s="13" t="s">
        <v>363</v>
      </c>
      <c r="D2584" s="17">
        <f>SUMIFS(ShadowLedger!$D:$D,ShadowLedger!$G:$G,A2584,ShadowLedger!$C:$C,"&gt;="&amp;DATE(LEFT(SUBSTITUTE(C2584,"'",""),4),MID(SUBSTITUTE(C2584,"'",""),6,2),1),ShadowLedger!$C:$C,"&lt;"&amp;EOMONTH(DATE(LEFT(SUBSTITUTE(C2584,"'",""),4),MID(SUBSTITUTE(C2584,"'",""),6,2),1),0)+1)</f>
        <v>0</v>
      </c>
      <c r="E2584" s="17">
        <f t="shared" si="1"/>
        <v>71</v>
      </c>
      <c r="F2584" s="17">
        <f t="shared" si="2"/>
        <v>0</v>
      </c>
    </row>
    <row r="2585">
      <c r="A2585" s="5" t="s">
        <v>69</v>
      </c>
      <c r="B2585" s="6">
        <v>0.0</v>
      </c>
      <c r="C2585" s="13" t="s">
        <v>363</v>
      </c>
      <c r="D2585" s="17">
        <f>SUMIFS(ShadowLedger!$D:$D,ShadowLedger!$G:$G,A2585,ShadowLedger!$C:$C,"&gt;="&amp;DATE(LEFT(SUBSTITUTE(C2585,"'",""),4),MID(SUBSTITUTE(C2585,"'",""),6,2),1),ShadowLedger!$C:$C,"&lt;"&amp;EOMONTH(DATE(LEFT(SUBSTITUTE(C2585,"'",""),4),MID(SUBSTITUTE(C2585,"'",""),6,2),1),0)+1)</f>
        <v>0</v>
      </c>
      <c r="E2585" s="17">
        <f t="shared" si="1"/>
        <v>0</v>
      </c>
      <c r="F2585" s="17">
        <f t="shared" si="2"/>
        <v>0</v>
      </c>
    </row>
    <row r="2586">
      <c r="A2586" s="5" t="s">
        <v>54</v>
      </c>
      <c r="B2586" s="6">
        <v>1312.0</v>
      </c>
      <c r="C2586" s="13" t="s">
        <v>364</v>
      </c>
      <c r="D2586" s="17">
        <f>SUMIFS(ShadowLedger!$D:$D,ShadowLedger!$G:$G,A2586,ShadowLedger!$C:$C,"&gt;="&amp;DATE(LEFT(SUBSTITUTE(C2586,"'",""),4),MID(SUBSTITUTE(C2586,"'",""),6,2),1),ShadowLedger!$C:$C,"&lt;"&amp;EOMONTH(DATE(LEFT(SUBSTITUTE(C2586,"'",""),4),MID(SUBSTITUTE(C2586,"'",""),6,2),1),0)+1)</f>
        <v>0</v>
      </c>
      <c r="E2586" s="17">
        <f t="shared" si="1"/>
        <v>1312</v>
      </c>
      <c r="F2586" s="17">
        <f t="shared" si="2"/>
        <v>0</v>
      </c>
    </row>
    <row r="2587">
      <c r="A2587" s="5" t="s">
        <v>55</v>
      </c>
      <c r="B2587" s="6">
        <v>998.0</v>
      </c>
      <c r="C2587" s="13" t="s">
        <v>364</v>
      </c>
      <c r="D2587" s="17">
        <f>SUMIFS(ShadowLedger!$D:$D,ShadowLedger!$G:$G,A2587,ShadowLedger!$C:$C,"&gt;="&amp;DATE(LEFT(SUBSTITUTE(C2587,"'",""),4),MID(SUBSTITUTE(C2587,"'",""),6,2),1),ShadowLedger!$C:$C,"&lt;"&amp;EOMONTH(DATE(LEFT(SUBSTITUTE(C2587,"'",""),4),MID(SUBSTITUTE(C2587,"'",""),6,2),1),0)+1)</f>
        <v>0</v>
      </c>
      <c r="E2587" s="17">
        <f t="shared" si="1"/>
        <v>998</v>
      </c>
      <c r="F2587" s="17">
        <f t="shared" si="2"/>
        <v>0</v>
      </c>
    </row>
    <row r="2588">
      <c r="A2588" s="5" t="s">
        <v>56</v>
      </c>
      <c r="B2588" s="6">
        <v>713.0</v>
      </c>
      <c r="C2588" s="13" t="s">
        <v>364</v>
      </c>
      <c r="D2588" s="17">
        <f>SUMIFS(ShadowLedger!$D:$D,ShadowLedger!$G:$G,A2588,ShadowLedger!$C:$C,"&gt;="&amp;DATE(LEFT(SUBSTITUTE(C2588,"'",""),4),MID(SUBSTITUTE(C2588,"'",""),6,2),1),ShadowLedger!$C:$C,"&lt;"&amp;EOMONTH(DATE(LEFT(SUBSTITUTE(C2588,"'",""),4),MID(SUBSTITUTE(C2588,"'",""),6,2),1),0)+1)</f>
        <v>0</v>
      </c>
      <c r="E2588" s="17">
        <f t="shared" si="1"/>
        <v>713</v>
      </c>
      <c r="F2588" s="17">
        <f t="shared" si="2"/>
        <v>0</v>
      </c>
    </row>
    <row r="2589">
      <c r="A2589" s="5" t="s">
        <v>57</v>
      </c>
      <c r="B2589" s="6">
        <v>713.0</v>
      </c>
      <c r="C2589" s="13" t="s">
        <v>364</v>
      </c>
      <c r="D2589" s="17">
        <f>SUMIFS(ShadowLedger!$D:$D,ShadowLedger!$G:$G,A2589,ShadowLedger!$C:$C,"&gt;="&amp;DATE(LEFT(SUBSTITUTE(C2589,"'",""),4),MID(SUBSTITUTE(C2589,"'",""),6,2),1),ShadowLedger!$C:$C,"&lt;"&amp;EOMONTH(DATE(LEFT(SUBSTITUTE(C2589,"'",""),4),MID(SUBSTITUTE(C2589,"'",""),6,2),1),0)+1)</f>
        <v>0</v>
      </c>
      <c r="E2589" s="17">
        <f t="shared" si="1"/>
        <v>713</v>
      </c>
      <c r="F2589" s="17">
        <f t="shared" si="2"/>
        <v>0</v>
      </c>
    </row>
    <row r="2590">
      <c r="A2590" s="5" t="s">
        <v>58</v>
      </c>
      <c r="B2590" s="6">
        <v>570.0</v>
      </c>
      <c r="C2590" s="13" t="s">
        <v>364</v>
      </c>
      <c r="D2590" s="17">
        <f>SUMIFS(ShadowLedger!$D:$D,ShadowLedger!$G:$G,A2590,ShadowLedger!$C:$C,"&gt;="&amp;DATE(LEFT(SUBSTITUTE(C2590,"'",""),4),MID(SUBSTITUTE(C2590,"'",""),6,2),1),ShadowLedger!$C:$C,"&lt;"&amp;EOMONTH(DATE(LEFT(SUBSTITUTE(C2590,"'",""),4),MID(SUBSTITUTE(C2590,"'",""),6,2),1),0)+1)</f>
        <v>0</v>
      </c>
      <c r="E2590" s="17">
        <f t="shared" si="1"/>
        <v>570</v>
      </c>
      <c r="F2590" s="17">
        <f t="shared" si="2"/>
        <v>0</v>
      </c>
    </row>
    <row r="2591">
      <c r="A2591" s="5" t="s">
        <v>59</v>
      </c>
      <c r="B2591" s="6">
        <v>285.0</v>
      </c>
      <c r="C2591" s="13" t="s">
        <v>364</v>
      </c>
      <c r="D2591" s="17">
        <f>SUMIFS(ShadowLedger!$D:$D,ShadowLedger!$G:$G,A2591,ShadowLedger!$C:$C,"&gt;="&amp;DATE(LEFT(SUBSTITUTE(C2591,"'",""),4),MID(SUBSTITUTE(C2591,"'",""),6,2),1),ShadowLedger!$C:$C,"&lt;"&amp;EOMONTH(DATE(LEFT(SUBSTITUTE(C2591,"'",""),4),MID(SUBSTITUTE(C2591,"'",""),6,2),1),0)+1)</f>
        <v>0</v>
      </c>
      <c r="E2591" s="17">
        <f t="shared" si="1"/>
        <v>285</v>
      </c>
      <c r="F2591" s="17">
        <f t="shared" si="2"/>
        <v>0</v>
      </c>
    </row>
    <row r="2592">
      <c r="A2592" s="5" t="s">
        <v>60</v>
      </c>
      <c r="B2592" s="6">
        <v>214.0</v>
      </c>
      <c r="C2592" s="13" t="s">
        <v>364</v>
      </c>
      <c r="D2592" s="17">
        <f>SUMIFS(ShadowLedger!$D:$D,ShadowLedger!$G:$G,A2592,ShadowLedger!$C:$C,"&gt;="&amp;DATE(LEFT(SUBSTITUTE(C2592,"'",""),4),MID(SUBSTITUTE(C2592,"'",""),6,2),1),ShadowLedger!$C:$C,"&lt;"&amp;EOMONTH(DATE(LEFT(SUBSTITUTE(C2592,"'",""),4),MID(SUBSTITUTE(C2592,"'",""),6,2),1),0)+1)</f>
        <v>0</v>
      </c>
      <c r="E2592" s="17">
        <f t="shared" si="1"/>
        <v>214</v>
      </c>
      <c r="F2592" s="17">
        <f t="shared" si="2"/>
        <v>0</v>
      </c>
    </row>
    <row r="2593">
      <c r="A2593" s="5" t="s">
        <v>61</v>
      </c>
      <c r="B2593" s="6">
        <v>171.0</v>
      </c>
      <c r="C2593" s="13" t="s">
        <v>364</v>
      </c>
      <c r="D2593" s="17">
        <f>SUMIFS(ShadowLedger!$D:$D,ShadowLedger!$G:$G,A2593,ShadowLedger!$C:$C,"&gt;="&amp;DATE(LEFT(SUBSTITUTE(C2593,"'",""),4),MID(SUBSTITUTE(C2593,"'",""),6,2),1),ShadowLedger!$C:$C,"&lt;"&amp;EOMONTH(DATE(LEFT(SUBSTITUTE(C2593,"'",""),4),MID(SUBSTITUTE(C2593,"'",""),6,2),1),0)+1)</f>
        <v>0</v>
      </c>
      <c r="E2593" s="17">
        <f t="shared" si="1"/>
        <v>171</v>
      </c>
      <c r="F2593" s="17">
        <f t="shared" si="2"/>
        <v>0</v>
      </c>
    </row>
    <row r="2594">
      <c r="A2594" s="5" t="s">
        <v>62</v>
      </c>
      <c r="B2594" s="6">
        <v>171.0</v>
      </c>
      <c r="C2594" s="13" t="s">
        <v>364</v>
      </c>
      <c r="D2594" s="17">
        <f>SUMIFS(ShadowLedger!$D:$D,ShadowLedger!$G:$G,A2594,ShadowLedger!$C:$C,"&gt;="&amp;DATE(LEFT(SUBSTITUTE(C2594,"'",""),4),MID(SUBSTITUTE(C2594,"'",""),6,2),1),ShadowLedger!$C:$C,"&lt;"&amp;EOMONTH(DATE(LEFT(SUBSTITUTE(C2594,"'",""),4),MID(SUBSTITUTE(C2594,"'",""),6,2),1),0)+1)</f>
        <v>0</v>
      </c>
      <c r="E2594" s="17">
        <f t="shared" si="1"/>
        <v>171</v>
      </c>
      <c r="F2594" s="17">
        <f t="shared" si="2"/>
        <v>0</v>
      </c>
    </row>
    <row r="2595">
      <c r="A2595" s="5" t="s">
        <v>63</v>
      </c>
      <c r="B2595" s="6">
        <v>143.0</v>
      </c>
      <c r="C2595" s="13" t="s">
        <v>364</v>
      </c>
      <c r="D2595" s="17">
        <f>SUMIFS(ShadowLedger!$D:$D,ShadowLedger!$G:$G,A2595,ShadowLedger!$C:$C,"&gt;="&amp;DATE(LEFT(SUBSTITUTE(C2595,"'",""),4),MID(SUBSTITUTE(C2595,"'",""),6,2),1),ShadowLedger!$C:$C,"&lt;"&amp;EOMONTH(DATE(LEFT(SUBSTITUTE(C2595,"'",""),4),MID(SUBSTITUTE(C2595,"'",""),6,2),1),0)+1)</f>
        <v>0</v>
      </c>
      <c r="E2595" s="17">
        <f t="shared" si="1"/>
        <v>143</v>
      </c>
      <c r="F2595" s="17">
        <f t="shared" si="2"/>
        <v>0</v>
      </c>
    </row>
    <row r="2596">
      <c r="A2596" s="5" t="s">
        <v>64</v>
      </c>
      <c r="B2596" s="6">
        <v>143.0</v>
      </c>
      <c r="C2596" s="13" t="s">
        <v>364</v>
      </c>
      <c r="D2596" s="17">
        <f>SUMIFS(ShadowLedger!$D:$D,ShadowLedger!$G:$G,A2596,ShadowLedger!$C:$C,"&gt;="&amp;DATE(LEFT(SUBSTITUTE(C2596,"'",""),4),MID(SUBSTITUTE(C2596,"'",""),6,2),1),ShadowLedger!$C:$C,"&lt;"&amp;EOMONTH(DATE(LEFT(SUBSTITUTE(C2596,"'",""),4),MID(SUBSTITUTE(C2596,"'",""),6,2),1),0)+1)</f>
        <v>0</v>
      </c>
      <c r="E2596" s="17">
        <f t="shared" si="1"/>
        <v>143</v>
      </c>
      <c r="F2596" s="17">
        <f t="shared" si="2"/>
        <v>0</v>
      </c>
    </row>
    <row r="2597">
      <c r="A2597" s="5" t="s">
        <v>70</v>
      </c>
      <c r="B2597" s="6">
        <v>143.0</v>
      </c>
      <c r="C2597" s="13" t="s">
        <v>364</v>
      </c>
      <c r="D2597" s="17">
        <f>SUMIFS(ShadowLedger!$D:$D,ShadowLedger!$G:$G,A2597,ShadowLedger!$C:$C,"&gt;="&amp;DATE(LEFT(SUBSTITUTE(C2597,"'",""),4),MID(SUBSTITUTE(C2597,"'",""),6,2),1),ShadowLedger!$C:$C,"&lt;"&amp;EOMONTH(DATE(LEFT(SUBSTITUTE(C2597,"'",""),4),MID(SUBSTITUTE(C2597,"'",""),6,2),1),0)+1)</f>
        <v>0</v>
      </c>
      <c r="E2597" s="17">
        <f t="shared" si="1"/>
        <v>143</v>
      </c>
      <c r="F2597" s="17">
        <f t="shared" si="2"/>
        <v>0</v>
      </c>
    </row>
    <row r="2598">
      <c r="A2598" s="5" t="s">
        <v>65</v>
      </c>
      <c r="B2598" s="6">
        <v>71.0</v>
      </c>
      <c r="C2598" s="13" t="s">
        <v>364</v>
      </c>
      <c r="D2598" s="17">
        <f>SUMIFS(ShadowLedger!$D:$D,ShadowLedger!$G:$G,A2598,ShadowLedger!$C:$C,"&gt;="&amp;DATE(LEFT(SUBSTITUTE(C2598,"'",""),4),MID(SUBSTITUTE(C2598,"'",""),6,2),1),ShadowLedger!$C:$C,"&lt;"&amp;EOMONTH(DATE(LEFT(SUBSTITUTE(C2598,"'",""),4),MID(SUBSTITUTE(C2598,"'",""),6,2),1),0)+1)</f>
        <v>0</v>
      </c>
      <c r="E2598" s="17">
        <f t="shared" si="1"/>
        <v>71</v>
      </c>
      <c r="F2598" s="17">
        <f t="shared" si="2"/>
        <v>0</v>
      </c>
    </row>
    <row r="2599">
      <c r="A2599" s="5" t="s">
        <v>66</v>
      </c>
      <c r="B2599" s="6">
        <v>71.0</v>
      </c>
      <c r="C2599" s="13" t="s">
        <v>364</v>
      </c>
      <c r="D2599" s="17">
        <f>SUMIFS(ShadowLedger!$D:$D,ShadowLedger!$G:$G,A2599,ShadowLedger!$C:$C,"&gt;="&amp;DATE(LEFT(SUBSTITUTE(C2599,"'",""),4),MID(SUBSTITUTE(C2599,"'",""),6,2),1),ShadowLedger!$C:$C,"&lt;"&amp;EOMONTH(DATE(LEFT(SUBSTITUTE(C2599,"'",""),4),MID(SUBSTITUTE(C2599,"'",""),6,2),1),0)+1)</f>
        <v>0</v>
      </c>
      <c r="E2599" s="17">
        <f t="shared" si="1"/>
        <v>71</v>
      </c>
      <c r="F2599" s="17">
        <f t="shared" si="2"/>
        <v>0</v>
      </c>
    </row>
    <row r="2600">
      <c r="A2600" s="5" t="s">
        <v>67</v>
      </c>
      <c r="B2600" s="6">
        <v>71.0</v>
      </c>
      <c r="C2600" s="13" t="s">
        <v>364</v>
      </c>
      <c r="D2600" s="17">
        <f>SUMIFS(ShadowLedger!$D:$D,ShadowLedger!$G:$G,A2600,ShadowLedger!$C:$C,"&gt;="&amp;DATE(LEFT(SUBSTITUTE(C2600,"'",""),4),MID(SUBSTITUTE(C2600,"'",""),6,2),1),ShadowLedger!$C:$C,"&lt;"&amp;EOMONTH(DATE(LEFT(SUBSTITUTE(C2600,"'",""),4),MID(SUBSTITUTE(C2600,"'",""),6,2),1),0)+1)</f>
        <v>0</v>
      </c>
      <c r="E2600" s="17">
        <f t="shared" si="1"/>
        <v>71</v>
      </c>
      <c r="F2600" s="17">
        <f t="shared" si="2"/>
        <v>0</v>
      </c>
    </row>
    <row r="2601">
      <c r="A2601" s="5" t="s">
        <v>68</v>
      </c>
      <c r="B2601" s="6">
        <v>71.0</v>
      </c>
      <c r="C2601" s="13" t="s">
        <v>364</v>
      </c>
      <c r="D2601" s="17">
        <f>SUMIFS(ShadowLedger!$D:$D,ShadowLedger!$G:$G,A2601,ShadowLedger!$C:$C,"&gt;="&amp;DATE(LEFT(SUBSTITUTE(C2601,"'",""),4),MID(SUBSTITUTE(C2601,"'",""),6,2),1),ShadowLedger!$C:$C,"&lt;"&amp;EOMONTH(DATE(LEFT(SUBSTITUTE(C2601,"'",""),4),MID(SUBSTITUTE(C2601,"'",""),6,2),1),0)+1)</f>
        <v>0</v>
      </c>
      <c r="E2601" s="17">
        <f t="shared" si="1"/>
        <v>71</v>
      </c>
      <c r="F2601" s="17">
        <f t="shared" si="2"/>
        <v>0</v>
      </c>
    </row>
    <row r="2602">
      <c r="A2602" s="5" t="s">
        <v>69</v>
      </c>
      <c r="B2602" s="6">
        <v>0.0</v>
      </c>
      <c r="C2602" s="13" t="s">
        <v>364</v>
      </c>
      <c r="D2602" s="17">
        <f>SUMIFS(ShadowLedger!$D:$D,ShadowLedger!$G:$G,A2602,ShadowLedger!$C:$C,"&gt;="&amp;DATE(LEFT(SUBSTITUTE(C2602,"'",""),4),MID(SUBSTITUTE(C2602,"'",""),6,2),1),ShadowLedger!$C:$C,"&lt;"&amp;EOMONTH(DATE(LEFT(SUBSTITUTE(C2602,"'",""),4),MID(SUBSTITUTE(C2602,"'",""),6,2),1),0)+1)</f>
        <v>0</v>
      </c>
      <c r="E2602" s="17">
        <f t="shared" si="1"/>
        <v>0</v>
      </c>
      <c r="F2602" s="17">
        <f t="shared" si="2"/>
        <v>0</v>
      </c>
    </row>
    <row r="2603">
      <c r="A2603" s="5" t="s">
        <v>54</v>
      </c>
      <c r="B2603" s="6">
        <v>1312.0</v>
      </c>
      <c r="C2603" s="13" t="s">
        <v>365</v>
      </c>
      <c r="D2603" s="17">
        <f>SUMIFS(ShadowLedger!$D:$D,ShadowLedger!$G:$G,A2603,ShadowLedger!$C:$C,"&gt;="&amp;DATE(LEFT(SUBSTITUTE(C2603,"'",""),4),MID(SUBSTITUTE(C2603,"'",""),6,2),1),ShadowLedger!$C:$C,"&lt;"&amp;EOMONTH(DATE(LEFT(SUBSTITUTE(C2603,"'",""),4),MID(SUBSTITUTE(C2603,"'",""),6,2),1),0)+1)</f>
        <v>0</v>
      </c>
      <c r="E2603" s="17">
        <f t="shared" si="1"/>
        <v>1312</v>
      </c>
      <c r="F2603" s="17">
        <f t="shared" si="2"/>
        <v>0</v>
      </c>
    </row>
    <row r="2604">
      <c r="A2604" s="5" t="s">
        <v>55</v>
      </c>
      <c r="B2604" s="6">
        <v>998.0</v>
      </c>
      <c r="C2604" s="13" t="s">
        <v>365</v>
      </c>
      <c r="D2604" s="17">
        <f>SUMIFS(ShadowLedger!$D:$D,ShadowLedger!$G:$G,A2604,ShadowLedger!$C:$C,"&gt;="&amp;DATE(LEFT(SUBSTITUTE(C2604,"'",""),4),MID(SUBSTITUTE(C2604,"'",""),6,2),1),ShadowLedger!$C:$C,"&lt;"&amp;EOMONTH(DATE(LEFT(SUBSTITUTE(C2604,"'",""),4),MID(SUBSTITUTE(C2604,"'",""),6,2),1),0)+1)</f>
        <v>0</v>
      </c>
      <c r="E2604" s="17">
        <f t="shared" si="1"/>
        <v>998</v>
      </c>
      <c r="F2604" s="17">
        <f t="shared" si="2"/>
        <v>0</v>
      </c>
    </row>
    <row r="2605">
      <c r="A2605" s="5" t="s">
        <v>56</v>
      </c>
      <c r="B2605" s="6">
        <v>713.0</v>
      </c>
      <c r="C2605" s="13" t="s">
        <v>365</v>
      </c>
      <c r="D2605" s="17">
        <f>SUMIFS(ShadowLedger!$D:$D,ShadowLedger!$G:$G,A2605,ShadowLedger!$C:$C,"&gt;="&amp;DATE(LEFT(SUBSTITUTE(C2605,"'",""),4),MID(SUBSTITUTE(C2605,"'",""),6,2),1),ShadowLedger!$C:$C,"&lt;"&amp;EOMONTH(DATE(LEFT(SUBSTITUTE(C2605,"'",""),4),MID(SUBSTITUTE(C2605,"'",""),6,2),1),0)+1)</f>
        <v>0</v>
      </c>
      <c r="E2605" s="17">
        <f t="shared" si="1"/>
        <v>713</v>
      </c>
      <c r="F2605" s="17">
        <f t="shared" si="2"/>
        <v>0</v>
      </c>
    </row>
    <row r="2606">
      <c r="A2606" s="5" t="s">
        <v>57</v>
      </c>
      <c r="B2606" s="6">
        <v>713.0</v>
      </c>
      <c r="C2606" s="13" t="s">
        <v>365</v>
      </c>
      <c r="D2606" s="17">
        <f>SUMIFS(ShadowLedger!$D:$D,ShadowLedger!$G:$G,A2606,ShadowLedger!$C:$C,"&gt;="&amp;DATE(LEFT(SUBSTITUTE(C2606,"'",""),4),MID(SUBSTITUTE(C2606,"'",""),6,2),1),ShadowLedger!$C:$C,"&lt;"&amp;EOMONTH(DATE(LEFT(SUBSTITUTE(C2606,"'",""),4),MID(SUBSTITUTE(C2606,"'",""),6,2),1),0)+1)</f>
        <v>0</v>
      </c>
      <c r="E2606" s="17">
        <f t="shared" si="1"/>
        <v>713</v>
      </c>
      <c r="F2606" s="17">
        <f t="shared" si="2"/>
        <v>0</v>
      </c>
    </row>
    <row r="2607">
      <c r="A2607" s="5" t="s">
        <v>58</v>
      </c>
      <c r="B2607" s="6">
        <v>570.0</v>
      </c>
      <c r="C2607" s="13" t="s">
        <v>365</v>
      </c>
      <c r="D2607" s="17">
        <f>SUMIFS(ShadowLedger!$D:$D,ShadowLedger!$G:$G,A2607,ShadowLedger!$C:$C,"&gt;="&amp;DATE(LEFT(SUBSTITUTE(C2607,"'",""),4),MID(SUBSTITUTE(C2607,"'",""),6,2),1),ShadowLedger!$C:$C,"&lt;"&amp;EOMONTH(DATE(LEFT(SUBSTITUTE(C2607,"'",""),4),MID(SUBSTITUTE(C2607,"'",""),6,2),1),0)+1)</f>
        <v>0</v>
      </c>
      <c r="E2607" s="17">
        <f t="shared" si="1"/>
        <v>570</v>
      </c>
      <c r="F2607" s="17">
        <f t="shared" si="2"/>
        <v>0</v>
      </c>
    </row>
    <row r="2608">
      <c r="A2608" s="5" t="s">
        <v>59</v>
      </c>
      <c r="B2608" s="6">
        <v>285.0</v>
      </c>
      <c r="C2608" s="13" t="s">
        <v>365</v>
      </c>
      <c r="D2608" s="17">
        <f>SUMIFS(ShadowLedger!$D:$D,ShadowLedger!$G:$G,A2608,ShadowLedger!$C:$C,"&gt;="&amp;DATE(LEFT(SUBSTITUTE(C2608,"'",""),4),MID(SUBSTITUTE(C2608,"'",""),6,2),1),ShadowLedger!$C:$C,"&lt;"&amp;EOMONTH(DATE(LEFT(SUBSTITUTE(C2608,"'",""),4),MID(SUBSTITUTE(C2608,"'",""),6,2),1),0)+1)</f>
        <v>0</v>
      </c>
      <c r="E2608" s="17">
        <f t="shared" si="1"/>
        <v>285</v>
      </c>
      <c r="F2608" s="17">
        <f t="shared" si="2"/>
        <v>0</v>
      </c>
    </row>
    <row r="2609">
      <c r="A2609" s="5" t="s">
        <v>60</v>
      </c>
      <c r="B2609" s="6">
        <v>214.0</v>
      </c>
      <c r="C2609" s="13" t="s">
        <v>365</v>
      </c>
      <c r="D2609" s="17">
        <f>SUMIFS(ShadowLedger!$D:$D,ShadowLedger!$G:$G,A2609,ShadowLedger!$C:$C,"&gt;="&amp;DATE(LEFT(SUBSTITUTE(C2609,"'",""),4),MID(SUBSTITUTE(C2609,"'",""),6,2),1),ShadowLedger!$C:$C,"&lt;"&amp;EOMONTH(DATE(LEFT(SUBSTITUTE(C2609,"'",""),4),MID(SUBSTITUTE(C2609,"'",""),6,2),1),0)+1)</f>
        <v>0</v>
      </c>
      <c r="E2609" s="17">
        <f t="shared" si="1"/>
        <v>214</v>
      </c>
      <c r="F2609" s="17">
        <f t="shared" si="2"/>
        <v>0</v>
      </c>
    </row>
    <row r="2610">
      <c r="A2610" s="5" t="s">
        <v>61</v>
      </c>
      <c r="B2610" s="6">
        <v>171.0</v>
      </c>
      <c r="C2610" s="13" t="s">
        <v>365</v>
      </c>
      <c r="D2610" s="17">
        <f>SUMIFS(ShadowLedger!$D:$D,ShadowLedger!$G:$G,A2610,ShadowLedger!$C:$C,"&gt;="&amp;DATE(LEFT(SUBSTITUTE(C2610,"'",""),4),MID(SUBSTITUTE(C2610,"'",""),6,2),1),ShadowLedger!$C:$C,"&lt;"&amp;EOMONTH(DATE(LEFT(SUBSTITUTE(C2610,"'",""),4),MID(SUBSTITUTE(C2610,"'",""),6,2),1),0)+1)</f>
        <v>0</v>
      </c>
      <c r="E2610" s="17">
        <f t="shared" si="1"/>
        <v>171</v>
      </c>
      <c r="F2610" s="17">
        <f t="shared" si="2"/>
        <v>0</v>
      </c>
    </row>
    <row r="2611">
      <c r="A2611" s="5" t="s">
        <v>62</v>
      </c>
      <c r="B2611" s="6">
        <v>171.0</v>
      </c>
      <c r="C2611" s="13" t="s">
        <v>365</v>
      </c>
      <c r="D2611" s="17">
        <f>SUMIFS(ShadowLedger!$D:$D,ShadowLedger!$G:$G,A2611,ShadowLedger!$C:$C,"&gt;="&amp;DATE(LEFT(SUBSTITUTE(C2611,"'",""),4),MID(SUBSTITUTE(C2611,"'",""),6,2),1),ShadowLedger!$C:$C,"&lt;"&amp;EOMONTH(DATE(LEFT(SUBSTITUTE(C2611,"'",""),4),MID(SUBSTITUTE(C2611,"'",""),6,2),1),0)+1)</f>
        <v>0</v>
      </c>
      <c r="E2611" s="17">
        <f t="shared" si="1"/>
        <v>171</v>
      </c>
      <c r="F2611" s="17">
        <f t="shared" si="2"/>
        <v>0</v>
      </c>
    </row>
    <row r="2612">
      <c r="A2612" s="5" t="s">
        <v>63</v>
      </c>
      <c r="B2612" s="6">
        <v>143.0</v>
      </c>
      <c r="C2612" s="13" t="s">
        <v>365</v>
      </c>
      <c r="D2612" s="17">
        <f>SUMIFS(ShadowLedger!$D:$D,ShadowLedger!$G:$G,A2612,ShadowLedger!$C:$C,"&gt;="&amp;DATE(LEFT(SUBSTITUTE(C2612,"'",""),4),MID(SUBSTITUTE(C2612,"'",""),6,2),1),ShadowLedger!$C:$C,"&lt;"&amp;EOMONTH(DATE(LEFT(SUBSTITUTE(C2612,"'",""),4),MID(SUBSTITUTE(C2612,"'",""),6,2),1),0)+1)</f>
        <v>0</v>
      </c>
      <c r="E2612" s="17">
        <f t="shared" si="1"/>
        <v>143</v>
      </c>
      <c r="F2612" s="17">
        <f t="shared" si="2"/>
        <v>0</v>
      </c>
    </row>
    <row r="2613">
      <c r="A2613" s="5" t="s">
        <v>64</v>
      </c>
      <c r="B2613" s="6">
        <v>143.0</v>
      </c>
      <c r="C2613" s="13" t="s">
        <v>365</v>
      </c>
      <c r="D2613" s="17">
        <f>SUMIFS(ShadowLedger!$D:$D,ShadowLedger!$G:$G,A2613,ShadowLedger!$C:$C,"&gt;="&amp;DATE(LEFT(SUBSTITUTE(C2613,"'",""),4),MID(SUBSTITUTE(C2613,"'",""),6,2),1),ShadowLedger!$C:$C,"&lt;"&amp;EOMONTH(DATE(LEFT(SUBSTITUTE(C2613,"'",""),4),MID(SUBSTITUTE(C2613,"'",""),6,2),1),0)+1)</f>
        <v>0</v>
      </c>
      <c r="E2613" s="17">
        <f t="shared" si="1"/>
        <v>143</v>
      </c>
      <c r="F2613" s="17">
        <f t="shared" si="2"/>
        <v>0</v>
      </c>
    </row>
    <row r="2614">
      <c r="A2614" s="5" t="s">
        <v>70</v>
      </c>
      <c r="B2614" s="6">
        <v>143.0</v>
      </c>
      <c r="C2614" s="13" t="s">
        <v>365</v>
      </c>
      <c r="D2614" s="17">
        <f>SUMIFS(ShadowLedger!$D:$D,ShadowLedger!$G:$G,A2614,ShadowLedger!$C:$C,"&gt;="&amp;DATE(LEFT(SUBSTITUTE(C2614,"'",""),4),MID(SUBSTITUTE(C2614,"'",""),6,2),1),ShadowLedger!$C:$C,"&lt;"&amp;EOMONTH(DATE(LEFT(SUBSTITUTE(C2614,"'",""),4),MID(SUBSTITUTE(C2614,"'",""),6,2),1),0)+1)</f>
        <v>0</v>
      </c>
      <c r="E2614" s="17">
        <f t="shared" si="1"/>
        <v>143</v>
      </c>
      <c r="F2614" s="17">
        <f t="shared" si="2"/>
        <v>0</v>
      </c>
    </row>
    <row r="2615">
      <c r="A2615" s="5" t="s">
        <v>65</v>
      </c>
      <c r="B2615" s="6">
        <v>71.0</v>
      </c>
      <c r="C2615" s="13" t="s">
        <v>365</v>
      </c>
      <c r="D2615" s="17">
        <f>SUMIFS(ShadowLedger!$D:$D,ShadowLedger!$G:$G,A2615,ShadowLedger!$C:$C,"&gt;="&amp;DATE(LEFT(SUBSTITUTE(C2615,"'",""),4),MID(SUBSTITUTE(C2615,"'",""),6,2),1),ShadowLedger!$C:$C,"&lt;"&amp;EOMONTH(DATE(LEFT(SUBSTITUTE(C2615,"'",""),4),MID(SUBSTITUTE(C2615,"'",""),6,2),1),0)+1)</f>
        <v>0</v>
      </c>
      <c r="E2615" s="17">
        <f t="shared" si="1"/>
        <v>71</v>
      </c>
      <c r="F2615" s="17">
        <f t="shared" si="2"/>
        <v>0</v>
      </c>
    </row>
    <row r="2616">
      <c r="A2616" s="5" t="s">
        <v>66</v>
      </c>
      <c r="B2616" s="6">
        <v>71.0</v>
      </c>
      <c r="C2616" s="13" t="s">
        <v>365</v>
      </c>
      <c r="D2616" s="17">
        <f>SUMIFS(ShadowLedger!$D:$D,ShadowLedger!$G:$G,A2616,ShadowLedger!$C:$C,"&gt;="&amp;DATE(LEFT(SUBSTITUTE(C2616,"'",""),4),MID(SUBSTITUTE(C2616,"'",""),6,2),1),ShadowLedger!$C:$C,"&lt;"&amp;EOMONTH(DATE(LEFT(SUBSTITUTE(C2616,"'",""),4),MID(SUBSTITUTE(C2616,"'",""),6,2),1),0)+1)</f>
        <v>0</v>
      </c>
      <c r="E2616" s="17">
        <f t="shared" si="1"/>
        <v>71</v>
      </c>
      <c r="F2616" s="17">
        <f t="shared" si="2"/>
        <v>0</v>
      </c>
    </row>
    <row r="2617">
      <c r="A2617" s="5" t="s">
        <v>67</v>
      </c>
      <c r="B2617" s="6">
        <v>71.0</v>
      </c>
      <c r="C2617" s="13" t="s">
        <v>365</v>
      </c>
      <c r="D2617" s="17">
        <f>SUMIFS(ShadowLedger!$D:$D,ShadowLedger!$G:$G,A2617,ShadowLedger!$C:$C,"&gt;="&amp;DATE(LEFT(SUBSTITUTE(C2617,"'",""),4),MID(SUBSTITUTE(C2617,"'",""),6,2),1),ShadowLedger!$C:$C,"&lt;"&amp;EOMONTH(DATE(LEFT(SUBSTITUTE(C2617,"'",""),4),MID(SUBSTITUTE(C2617,"'",""),6,2),1),0)+1)</f>
        <v>0</v>
      </c>
      <c r="E2617" s="17">
        <f t="shared" si="1"/>
        <v>71</v>
      </c>
      <c r="F2617" s="17">
        <f t="shared" si="2"/>
        <v>0</v>
      </c>
    </row>
    <row r="2618">
      <c r="A2618" s="5" t="s">
        <v>68</v>
      </c>
      <c r="B2618" s="6">
        <v>71.0</v>
      </c>
      <c r="C2618" s="13" t="s">
        <v>365</v>
      </c>
      <c r="D2618" s="17">
        <f>SUMIFS(ShadowLedger!$D:$D,ShadowLedger!$G:$G,A2618,ShadowLedger!$C:$C,"&gt;="&amp;DATE(LEFT(SUBSTITUTE(C2618,"'",""),4),MID(SUBSTITUTE(C2618,"'",""),6,2),1),ShadowLedger!$C:$C,"&lt;"&amp;EOMONTH(DATE(LEFT(SUBSTITUTE(C2618,"'",""),4),MID(SUBSTITUTE(C2618,"'",""),6,2),1),0)+1)</f>
        <v>0</v>
      </c>
      <c r="E2618" s="17">
        <f t="shared" si="1"/>
        <v>71</v>
      </c>
      <c r="F2618" s="17">
        <f t="shared" si="2"/>
        <v>0</v>
      </c>
    </row>
    <row r="2619">
      <c r="A2619" s="5" t="s">
        <v>69</v>
      </c>
      <c r="B2619" s="6">
        <v>0.0</v>
      </c>
      <c r="C2619" s="13" t="s">
        <v>365</v>
      </c>
      <c r="D2619" s="17">
        <f>SUMIFS(ShadowLedger!$D:$D,ShadowLedger!$G:$G,A2619,ShadowLedger!$C:$C,"&gt;="&amp;DATE(LEFT(SUBSTITUTE(C2619,"'",""),4),MID(SUBSTITUTE(C2619,"'",""),6,2),1),ShadowLedger!$C:$C,"&lt;"&amp;EOMONTH(DATE(LEFT(SUBSTITUTE(C2619,"'",""),4),MID(SUBSTITUTE(C2619,"'",""),6,2),1),0)+1)</f>
        <v>0</v>
      </c>
      <c r="E2619" s="17">
        <f t="shared" si="1"/>
        <v>0</v>
      </c>
      <c r="F2619" s="17">
        <f t="shared" si="2"/>
        <v>0</v>
      </c>
    </row>
    <row r="2620">
      <c r="A2620" s="5" t="s">
        <v>54</v>
      </c>
      <c r="B2620" s="6">
        <v>1312.0</v>
      </c>
      <c r="C2620" s="13" t="s">
        <v>366</v>
      </c>
      <c r="D2620" s="17">
        <f>SUMIFS(ShadowLedger!$D:$D,ShadowLedger!$G:$G,A2620,ShadowLedger!$C:$C,"&gt;="&amp;DATE(LEFT(SUBSTITUTE(C2620,"'",""),4),MID(SUBSTITUTE(C2620,"'",""),6,2),1),ShadowLedger!$C:$C,"&lt;"&amp;EOMONTH(DATE(LEFT(SUBSTITUTE(C2620,"'",""),4),MID(SUBSTITUTE(C2620,"'",""),6,2),1),0)+1)</f>
        <v>0</v>
      </c>
      <c r="E2620" s="17">
        <f t="shared" si="1"/>
        <v>1312</v>
      </c>
      <c r="F2620" s="17">
        <f t="shared" si="2"/>
        <v>0</v>
      </c>
    </row>
    <row r="2621">
      <c r="A2621" s="5" t="s">
        <v>55</v>
      </c>
      <c r="B2621" s="6">
        <v>998.0</v>
      </c>
      <c r="C2621" s="13" t="s">
        <v>366</v>
      </c>
      <c r="D2621" s="17">
        <f>SUMIFS(ShadowLedger!$D:$D,ShadowLedger!$G:$G,A2621,ShadowLedger!$C:$C,"&gt;="&amp;DATE(LEFT(SUBSTITUTE(C2621,"'",""),4),MID(SUBSTITUTE(C2621,"'",""),6,2),1),ShadowLedger!$C:$C,"&lt;"&amp;EOMONTH(DATE(LEFT(SUBSTITUTE(C2621,"'",""),4),MID(SUBSTITUTE(C2621,"'",""),6,2),1),0)+1)</f>
        <v>0</v>
      </c>
      <c r="E2621" s="17">
        <f t="shared" si="1"/>
        <v>998</v>
      </c>
      <c r="F2621" s="17">
        <f t="shared" si="2"/>
        <v>0</v>
      </c>
    </row>
    <row r="2622">
      <c r="A2622" s="5" t="s">
        <v>56</v>
      </c>
      <c r="B2622" s="6">
        <v>713.0</v>
      </c>
      <c r="C2622" s="13" t="s">
        <v>366</v>
      </c>
      <c r="D2622" s="17">
        <f>SUMIFS(ShadowLedger!$D:$D,ShadowLedger!$G:$G,A2622,ShadowLedger!$C:$C,"&gt;="&amp;DATE(LEFT(SUBSTITUTE(C2622,"'",""),4),MID(SUBSTITUTE(C2622,"'",""),6,2),1),ShadowLedger!$C:$C,"&lt;"&amp;EOMONTH(DATE(LEFT(SUBSTITUTE(C2622,"'",""),4),MID(SUBSTITUTE(C2622,"'",""),6,2),1),0)+1)</f>
        <v>0</v>
      </c>
      <c r="E2622" s="17">
        <f t="shared" si="1"/>
        <v>713</v>
      </c>
      <c r="F2622" s="17">
        <f t="shared" si="2"/>
        <v>0</v>
      </c>
    </row>
    <row r="2623">
      <c r="A2623" s="5" t="s">
        <v>57</v>
      </c>
      <c r="B2623" s="6">
        <v>713.0</v>
      </c>
      <c r="C2623" s="13" t="s">
        <v>366</v>
      </c>
      <c r="D2623" s="17">
        <f>SUMIFS(ShadowLedger!$D:$D,ShadowLedger!$G:$G,A2623,ShadowLedger!$C:$C,"&gt;="&amp;DATE(LEFT(SUBSTITUTE(C2623,"'",""),4),MID(SUBSTITUTE(C2623,"'",""),6,2),1),ShadowLedger!$C:$C,"&lt;"&amp;EOMONTH(DATE(LEFT(SUBSTITUTE(C2623,"'",""),4),MID(SUBSTITUTE(C2623,"'",""),6,2),1),0)+1)</f>
        <v>0</v>
      </c>
      <c r="E2623" s="17">
        <f t="shared" si="1"/>
        <v>713</v>
      </c>
      <c r="F2623" s="17">
        <f t="shared" si="2"/>
        <v>0</v>
      </c>
    </row>
    <row r="2624">
      <c r="A2624" s="5" t="s">
        <v>58</v>
      </c>
      <c r="B2624" s="6">
        <v>570.0</v>
      </c>
      <c r="C2624" s="13" t="s">
        <v>366</v>
      </c>
      <c r="D2624" s="17">
        <f>SUMIFS(ShadowLedger!$D:$D,ShadowLedger!$G:$G,A2624,ShadowLedger!$C:$C,"&gt;="&amp;DATE(LEFT(SUBSTITUTE(C2624,"'",""),4),MID(SUBSTITUTE(C2624,"'",""),6,2),1),ShadowLedger!$C:$C,"&lt;"&amp;EOMONTH(DATE(LEFT(SUBSTITUTE(C2624,"'",""),4),MID(SUBSTITUTE(C2624,"'",""),6,2),1),0)+1)</f>
        <v>0</v>
      </c>
      <c r="E2624" s="17">
        <f t="shared" si="1"/>
        <v>570</v>
      </c>
      <c r="F2624" s="17">
        <f t="shared" si="2"/>
        <v>0</v>
      </c>
    </row>
    <row r="2625">
      <c r="A2625" s="5" t="s">
        <v>59</v>
      </c>
      <c r="B2625" s="6">
        <v>285.0</v>
      </c>
      <c r="C2625" s="13" t="s">
        <v>366</v>
      </c>
      <c r="D2625" s="17">
        <f>SUMIFS(ShadowLedger!$D:$D,ShadowLedger!$G:$G,A2625,ShadowLedger!$C:$C,"&gt;="&amp;DATE(LEFT(SUBSTITUTE(C2625,"'",""),4),MID(SUBSTITUTE(C2625,"'",""),6,2),1),ShadowLedger!$C:$C,"&lt;"&amp;EOMONTH(DATE(LEFT(SUBSTITUTE(C2625,"'",""),4),MID(SUBSTITUTE(C2625,"'",""),6,2),1),0)+1)</f>
        <v>0</v>
      </c>
      <c r="E2625" s="17">
        <f t="shared" si="1"/>
        <v>285</v>
      </c>
      <c r="F2625" s="17">
        <f t="shared" si="2"/>
        <v>0</v>
      </c>
    </row>
    <row r="2626">
      <c r="A2626" s="5" t="s">
        <v>60</v>
      </c>
      <c r="B2626" s="6">
        <v>214.0</v>
      </c>
      <c r="C2626" s="13" t="s">
        <v>366</v>
      </c>
      <c r="D2626" s="17">
        <f>SUMIFS(ShadowLedger!$D:$D,ShadowLedger!$G:$G,A2626,ShadowLedger!$C:$C,"&gt;="&amp;DATE(LEFT(SUBSTITUTE(C2626,"'",""),4),MID(SUBSTITUTE(C2626,"'",""),6,2),1),ShadowLedger!$C:$C,"&lt;"&amp;EOMONTH(DATE(LEFT(SUBSTITUTE(C2626,"'",""),4),MID(SUBSTITUTE(C2626,"'",""),6,2),1),0)+1)</f>
        <v>0</v>
      </c>
      <c r="E2626" s="17">
        <f t="shared" si="1"/>
        <v>214</v>
      </c>
      <c r="F2626" s="17">
        <f t="shared" si="2"/>
        <v>0</v>
      </c>
    </row>
    <row r="2627">
      <c r="A2627" s="5" t="s">
        <v>61</v>
      </c>
      <c r="B2627" s="6">
        <v>171.0</v>
      </c>
      <c r="C2627" s="13" t="s">
        <v>366</v>
      </c>
      <c r="D2627" s="17">
        <f>SUMIFS(ShadowLedger!$D:$D,ShadowLedger!$G:$G,A2627,ShadowLedger!$C:$C,"&gt;="&amp;DATE(LEFT(SUBSTITUTE(C2627,"'",""),4),MID(SUBSTITUTE(C2627,"'",""),6,2),1),ShadowLedger!$C:$C,"&lt;"&amp;EOMONTH(DATE(LEFT(SUBSTITUTE(C2627,"'",""),4),MID(SUBSTITUTE(C2627,"'",""),6,2),1),0)+1)</f>
        <v>0</v>
      </c>
      <c r="E2627" s="17">
        <f t="shared" si="1"/>
        <v>171</v>
      </c>
      <c r="F2627" s="17">
        <f t="shared" si="2"/>
        <v>0</v>
      </c>
    </row>
    <row r="2628">
      <c r="A2628" s="5" t="s">
        <v>62</v>
      </c>
      <c r="B2628" s="6">
        <v>171.0</v>
      </c>
      <c r="C2628" s="13" t="s">
        <v>366</v>
      </c>
      <c r="D2628" s="17">
        <f>SUMIFS(ShadowLedger!$D:$D,ShadowLedger!$G:$G,A2628,ShadowLedger!$C:$C,"&gt;="&amp;DATE(LEFT(SUBSTITUTE(C2628,"'",""),4),MID(SUBSTITUTE(C2628,"'",""),6,2),1),ShadowLedger!$C:$C,"&lt;"&amp;EOMONTH(DATE(LEFT(SUBSTITUTE(C2628,"'",""),4),MID(SUBSTITUTE(C2628,"'",""),6,2),1),0)+1)</f>
        <v>0</v>
      </c>
      <c r="E2628" s="17">
        <f t="shared" si="1"/>
        <v>171</v>
      </c>
      <c r="F2628" s="17">
        <f t="shared" si="2"/>
        <v>0</v>
      </c>
    </row>
    <row r="2629">
      <c r="A2629" s="5" t="s">
        <v>63</v>
      </c>
      <c r="B2629" s="6">
        <v>143.0</v>
      </c>
      <c r="C2629" s="13" t="s">
        <v>366</v>
      </c>
      <c r="D2629" s="17">
        <f>SUMIFS(ShadowLedger!$D:$D,ShadowLedger!$G:$G,A2629,ShadowLedger!$C:$C,"&gt;="&amp;DATE(LEFT(SUBSTITUTE(C2629,"'",""),4),MID(SUBSTITUTE(C2629,"'",""),6,2),1),ShadowLedger!$C:$C,"&lt;"&amp;EOMONTH(DATE(LEFT(SUBSTITUTE(C2629,"'",""),4),MID(SUBSTITUTE(C2629,"'",""),6,2),1),0)+1)</f>
        <v>0</v>
      </c>
      <c r="E2629" s="17">
        <f t="shared" si="1"/>
        <v>143</v>
      </c>
      <c r="F2629" s="17">
        <f t="shared" si="2"/>
        <v>0</v>
      </c>
    </row>
    <row r="2630">
      <c r="A2630" s="5" t="s">
        <v>64</v>
      </c>
      <c r="B2630" s="6">
        <v>143.0</v>
      </c>
      <c r="C2630" s="13" t="s">
        <v>366</v>
      </c>
      <c r="D2630" s="17">
        <f>SUMIFS(ShadowLedger!$D:$D,ShadowLedger!$G:$G,A2630,ShadowLedger!$C:$C,"&gt;="&amp;DATE(LEFT(SUBSTITUTE(C2630,"'",""),4),MID(SUBSTITUTE(C2630,"'",""),6,2),1),ShadowLedger!$C:$C,"&lt;"&amp;EOMONTH(DATE(LEFT(SUBSTITUTE(C2630,"'",""),4),MID(SUBSTITUTE(C2630,"'",""),6,2),1),0)+1)</f>
        <v>0</v>
      </c>
      <c r="E2630" s="17">
        <f t="shared" si="1"/>
        <v>143</v>
      </c>
      <c r="F2630" s="17">
        <f t="shared" si="2"/>
        <v>0</v>
      </c>
    </row>
    <row r="2631">
      <c r="A2631" s="5" t="s">
        <v>70</v>
      </c>
      <c r="B2631" s="6">
        <v>143.0</v>
      </c>
      <c r="C2631" s="13" t="s">
        <v>366</v>
      </c>
      <c r="D2631" s="17">
        <f>SUMIFS(ShadowLedger!$D:$D,ShadowLedger!$G:$G,A2631,ShadowLedger!$C:$C,"&gt;="&amp;DATE(LEFT(SUBSTITUTE(C2631,"'",""),4),MID(SUBSTITUTE(C2631,"'",""),6,2),1),ShadowLedger!$C:$C,"&lt;"&amp;EOMONTH(DATE(LEFT(SUBSTITUTE(C2631,"'",""),4),MID(SUBSTITUTE(C2631,"'",""),6,2),1),0)+1)</f>
        <v>0</v>
      </c>
      <c r="E2631" s="17">
        <f t="shared" si="1"/>
        <v>143</v>
      </c>
      <c r="F2631" s="17">
        <f t="shared" si="2"/>
        <v>0</v>
      </c>
    </row>
    <row r="2632">
      <c r="A2632" s="5" t="s">
        <v>65</v>
      </c>
      <c r="B2632" s="6">
        <v>71.0</v>
      </c>
      <c r="C2632" s="13" t="s">
        <v>366</v>
      </c>
      <c r="D2632" s="17">
        <f>SUMIFS(ShadowLedger!$D:$D,ShadowLedger!$G:$G,A2632,ShadowLedger!$C:$C,"&gt;="&amp;DATE(LEFT(SUBSTITUTE(C2632,"'",""),4),MID(SUBSTITUTE(C2632,"'",""),6,2),1),ShadowLedger!$C:$C,"&lt;"&amp;EOMONTH(DATE(LEFT(SUBSTITUTE(C2632,"'",""),4),MID(SUBSTITUTE(C2632,"'",""),6,2),1),0)+1)</f>
        <v>0</v>
      </c>
      <c r="E2632" s="17">
        <f t="shared" si="1"/>
        <v>71</v>
      </c>
      <c r="F2632" s="17">
        <f t="shared" si="2"/>
        <v>0</v>
      </c>
    </row>
    <row r="2633">
      <c r="A2633" s="5" t="s">
        <v>66</v>
      </c>
      <c r="B2633" s="6">
        <v>71.0</v>
      </c>
      <c r="C2633" s="13" t="s">
        <v>366</v>
      </c>
      <c r="D2633" s="17">
        <f>SUMIFS(ShadowLedger!$D:$D,ShadowLedger!$G:$G,A2633,ShadowLedger!$C:$C,"&gt;="&amp;DATE(LEFT(SUBSTITUTE(C2633,"'",""),4),MID(SUBSTITUTE(C2633,"'",""),6,2),1),ShadowLedger!$C:$C,"&lt;"&amp;EOMONTH(DATE(LEFT(SUBSTITUTE(C2633,"'",""),4),MID(SUBSTITUTE(C2633,"'",""),6,2),1),0)+1)</f>
        <v>0</v>
      </c>
      <c r="E2633" s="17">
        <f t="shared" si="1"/>
        <v>71</v>
      </c>
      <c r="F2633" s="17">
        <f t="shared" si="2"/>
        <v>0</v>
      </c>
    </row>
    <row r="2634">
      <c r="A2634" s="5" t="s">
        <v>67</v>
      </c>
      <c r="B2634" s="6">
        <v>71.0</v>
      </c>
      <c r="C2634" s="13" t="s">
        <v>366</v>
      </c>
      <c r="D2634" s="17">
        <f>SUMIFS(ShadowLedger!$D:$D,ShadowLedger!$G:$G,A2634,ShadowLedger!$C:$C,"&gt;="&amp;DATE(LEFT(SUBSTITUTE(C2634,"'",""),4),MID(SUBSTITUTE(C2634,"'",""),6,2),1),ShadowLedger!$C:$C,"&lt;"&amp;EOMONTH(DATE(LEFT(SUBSTITUTE(C2634,"'",""),4),MID(SUBSTITUTE(C2634,"'",""),6,2),1),0)+1)</f>
        <v>0</v>
      </c>
      <c r="E2634" s="17">
        <f t="shared" si="1"/>
        <v>71</v>
      </c>
      <c r="F2634" s="17">
        <f t="shared" si="2"/>
        <v>0</v>
      </c>
    </row>
    <row r="2635">
      <c r="A2635" s="5" t="s">
        <v>68</v>
      </c>
      <c r="B2635" s="6">
        <v>71.0</v>
      </c>
      <c r="C2635" s="13" t="s">
        <v>366</v>
      </c>
      <c r="D2635" s="17">
        <f>SUMIFS(ShadowLedger!$D:$D,ShadowLedger!$G:$G,A2635,ShadowLedger!$C:$C,"&gt;="&amp;DATE(LEFT(SUBSTITUTE(C2635,"'",""),4),MID(SUBSTITUTE(C2635,"'",""),6,2),1),ShadowLedger!$C:$C,"&lt;"&amp;EOMONTH(DATE(LEFT(SUBSTITUTE(C2635,"'",""),4),MID(SUBSTITUTE(C2635,"'",""),6,2),1),0)+1)</f>
        <v>0</v>
      </c>
      <c r="E2635" s="17">
        <f t="shared" si="1"/>
        <v>71</v>
      </c>
      <c r="F2635" s="17">
        <f t="shared" si="2"/>
        <v>0</v>
      </c>
    </row>
    <row r="2636">
      <c r="A2636" s="5" t="s">
        <v>69</v>
      </c>
      <c r="B2636" s="6">
        <v>0.0</v>
      </c>
      <c r="C2636" s="13" t="s">
        <v>366</v>
      </c>
      <c r="D2636" s="17">
        <f>SUMIFS(ShadowLedger!$D:$D,ShadowLedger!$G:$G,A2636,ShadowLedger!$C:$C,"&gt;="&amp;DATE(LEFT(SUBSTITUTE(C2636,"'",""),4),MID(SUBSTITUTE(C2636,"'",""),6,2),1),ShadowLedger!$C:$C,"&lt;"&amp;EOMONTH(DATE(LEFT(SUBSTITUTE(C2636,"'",""),4),MID(SUBSTITUTE(C2636,"'",""),6,2),1),0)+1)</f>
        <v>0</v>
      </c>
      <c r="E2636" s="17">
        <f t="shared" si="1"/>
        <v>0</v>
      </c>
      <c r="F2636" s="17">
        <f t="shared" si="2"/>
        <v>0</v>
      </c>
    </row>
    <row r="2637">
      <c r="A2637" s="5" t="s">
        <v>54</v>
      </c>
      <c r="B2637" s="6">
        <v>1312.0</v>
      </c>
      <c r="C2637" s="13" t="s">
        <v>367</v>
      </c>
      <c r="D2637" s="17">
        <f>SUMIFS(ShadowLedger!$D:$D,ShadowLedger!$G:$G,A2637,ShadowLedger!$C:$C,"&gt;="&amp;DATE(LEFT(SUBSTITUTE(C2637,"'",""),4),MID(SUBSTITUTE(C2637,"'",""),6,2),1),ShadowLedger!$C:$C,"&lt;"&amp;EOMONTH(DATE(LEFT(SUBSTITUTE(C2637,"'",""),4),MID(SUBSTITUTE(C2637,"'",""),6,2),1),0)+1)</f>
        <v>0</v>
      </c>
      <c r="E2637" s="17">
        <f t="shared" si="1"/>
        <v>1312</v>
      </c>
      <c r="F2637" s="17">
        <f t="shared" si="2"/>
        <v>0</v>
      </c>
    </row>
    <row r="2638">
      <c r="A2638" s="5" t="s">
        <v>55</v>
      </c>
      <c r="B2638" s="6">
        <v>998.0</v>
      </c>
      <c r="C2638" s="13" t="s">
        <v>367</v>
      </c>
      <c r="D2638" s="17">
        <f>SUMIFS(ShadowLedger!$D:$D,ShadowLedger!$G:$G,A2638,ShadowLedger!$C:$C,"&gt;="&amp;DATE(LEFT(SUBSTITUTE(C2638,"'",""),4),MID(SUBSTITUTE(C2638,"'",""),6,2),1),ShadowLedger!$C:$C,"&lt;"&amp;EOMONTH(DATE(LEFT(SUBSTITUTE(C2638,"'",""),4),MID(SUBSTITUTE(C2638,"'",""),6,2),1),0)+1)</f>
        <v>0</v>
      </c>
      <c r="E2638" s="17">
        <f t="shared" si="1"/>
        <v>998</v>
      </c>
      <c r="F2638" s="17">
        <f t="shared" si="2"/>
        <v>0</v>
      </c>
    </row>
    <row r="2639">
      <c r="A2639" s="5" t="s">
        <v>56</v>
      </c>
      <c r="B2639" s="6">
        <v>713.0</v>
      </c>
      <c r="C2639" s="13" t="s">
        <v>367</v>
      </c>
      <c r="D2639" s="17">
        <f>SUMIFS(ShadowLedger!$D:$D,ShadowLedger!$G:$G,A2639,ShadowLedger!$C:$C,"&gt;="&amp;DATE(LEFT(SUBSTITUTE(C2639,"'",""),4),MID(SUBSTITUTE(C2639,"'",""),6,2),1),ShadowLedger!$C:$C,"&lt;"&amp;EOMONTH(DATE(LEFT(SUBSTITUTE(C2639,"'",""),4),MID(SUBSTITUTE(C2639,"'",""),6,2),1),0)+1)</f>
        <v>0</v>
      </c>
      <c r="E2639" s="17">
        <f t="shared" si="1"/>
        <v>713</v>
      </c>
      <c r="F2639" s="17">
        <f t="shared" si="2"/>
        <v>0</v>
      </c>
    </row>
    <row r="2640">
      <c r="A2640" s="5" t="s">
        <v>57</v>
      </c>
      <c r="B2640" s="6">
        <v>713.0</v>
      </c>
      <c r="C2640" s="13" t="s">
        <v>367</v>
      </c>
      <c r="D2640" s="17">
        <f>SUMIFS(ShadowLedger!$D:$D,ShadowLedger!$G:$G,A2640,ShadowLedger!$C:$C,"&gt;="&amp;DATE(LEFT(SUBSTITUTE(C2640,"'",""),4),MID(SUBSTITUTE(C2640,"'",""),6,2),1),ShadowLedger!$C:$C,"&lt;"&amp;EOMONTH(DATE(LEFT(SUBSTITUTE(C2640,"'",""),4),MID(SUBSTITUTE(C2640,"'",""),6,2),1),0)+1)</f>
        <v>0</v>
      </c>
      <c r="E2640" s="17">
        <f t="shared" si="1"/>
        <v>713</v>
      </c>
      <c r="F2640" s="17">
        <f t="shared" si="2"/>
        <v>0</v>
      </c>
    </row>
    <row r="2641">
      <c r="A2641" s="5" t="s">
        <v>58</v>
      </c>
      <c r="B2641" s="6">
        <v>570.0</v>
      </c>
      <c r="C2641" s="13" t="s">
        <v>367</v>
      </c>
      <c r="D2641" s="17">
        <f>SUMIFS(ShadowLedger!$D:$D,ShadowLedger!$G:$G,A2641,ShadowLedger!$C:$C,"&gt;="&amp;DATE(LEFT(SUBSTITUTE(C2641,"'",""),4),MID(SUBSTITUTE(C2641,"'",""),6,2),1),ShadowLedger!$C:$C,"&lt;"&amp;EOMONTH(DATE(LEFT(SUBSTITUTE(C2641,"'",""),4),MID(SUBSTITUTE(C2641,"'",""),6,2),1),0)+1)</f>
        <v>0</v>
      </c>
      <c r="E2641" s="17">
        <f t="shared" si="1"/>
        <v>570</v>
      </c>
      <c r="F2641" s="17">
        <f t="shared" si="2"/>
        <v>0</v>
      </c>
    </row>
    <row r="2642">
      <c r="A2642" s="5" t="s">
        <v>59</v>
      </c>
      <c r="B2642" s="6">
        <v>285.0</v>
      </c>
      <c r="C2642" s="13" t="s">
        <v>367</v>
      </c>
      <c r="D2642" s="17">
        <f>SUMIFS(ShadowLedger!$D:$D,ShadowLedger!$G:$G,A2642,ShadowLedger!$C:$C,"&gt;="&amp;DATE(LEFT(SUBSTITUTE(C2642,"'",""),4),MID(SUBSTITUTE(C2642,"'",""),6,2),1),ShadowLedger!$C:$C,"&lt;"&amp;EOMONTH(DATE(LEFT(SUBSTITUTE(C2642,"'",""),4),MID(SUBSTITUTE(C2642,"'",""),6,2),1),0)+1)</f>
        <v>0</v>
      </c>
      <c r="E2642" s="17">
        <f t="shared" si="1"/>
        <v>285</v>
      </c>
      <c r="F2642" s="17">
        <f t="shared" si="2"/>
        <v>0</v>
      </c>
    </row>
    <row r="2643">
      <c r="A2643" s="5" t="s">
        <v>60</v>
      </c>
      <c r="B2643" s="6">
        <v>214.0</v>
      </c>
      <c r="C2643" s="13" t="s">
        <v>367</v>
      </c>
      <c r="D2643" s="17">
        <f>SUMIFS(ShadowLedger!$D:$D,ShadowLedger!$G:$G,A2643,ShadowLedger!$C:$C,"&gt;="&amp;DATE(LEFT(SUBSTITUTE(C2643,"'",""),4),MID(SUBSTITUTE(C2643,"'",""),6,2),1),ShadowLedger!$C:$C,"&lt;"&amp;EOMONTH(DATE(LEFT(SUBSTITUTE(C2643,"'",""),4),MID(SUBSTITUTE(C2643,"'",""),6,2),1),0)+1)</f>
        <v>0</v>
      </c>
      <c r="E2643" s="17">
        <f t="shared" si="1"/>
        <v>214</v>
      </c>
      <c r="F2643" s="17">
        <f t="shared" si="2"/>
        <v>0</v>
      </c>
    </row>
    <row r="2644">
      <c r="A2644" s="5" t="s">
        <v>61</v>
      </c>
      <c r="B2644" s="6">
        <v>171.0</v>
      </c>
      <c r="C2644" s="13" t="s">
        <v>367</v>
      </c>
      <c r="D2644" s="17">
        <f>SUMIFS(ShadowLedger!$D:$D,ShadowLedger!$G:$G,A2644,ShadowLedger!$C:$C,"&gt;="&amp;DATE(LEFT(SUBSTITUTE(C2644,"'",""),4),MID(SUBSTITUTE(C2644,"'",""),6,2),1),ShadowLedger!$C:$C,"&lt;"&amp;EOMONTH(DATE(LEFT(SUBSTITUTE(C2644,"'",""),4),MID(SUBSTITUTE(C2644,"'",""),6,2),1),0)+1)</f>
        <v>0</v>
      </c>
      <c r="E2644" s="17">
        <f t="shared" si="1"/>
        <v>171</v>
      </c>
      <c r="F2644" s="17">
        <f t="shared" si="2"/>
        <v>0</v>
      </c>
    </row>
    <row r="2645">
      <c r="A2645" s="5" t="s">
        <v>62</v>
      </c>
      <c r="B2645" s="6">
        <v>171.0</v>
      </c>
      <c r="C2645" s="13" t="s">
        <v>367</v>
      </c>
      <c r="D2645" s="17">
        <f>SUMIFS(ShadowLedger!$D:$D,ShadowLedger!$G:$G,A2645,ShadowLedger!$C:$C,"&gt;="&amp;DATE(LEFT(SUBSTITUTE(C2645,"'",""),4),MID(SUBSTITUTE(C2645,"'",""),6,2),1),ShadowLedger!$C:$C,"&lt;"&amp;EOMONTH(DATE(LEFT(SUBSTITUTE(C2645,"'",""),4),MID(SUBSTITUTE(C2645,"'",""),6,2),1),0)+1)</f>
        <v>0</v>
      </c>
      <c r="E2645" s="17">
        <f t="shared" si="1"/>
        <v>171</v>
      </c>
      <c r="F2645" s="17">
        <f t="shared" si="2"/>
        <v>0</v>
      </c>
    </row>
    <row r="2646">
      <c r="A2646" s="5" t="s">
        <v>63</v>
      </c>
      <c r="B2646" s="6">
        <v>143.0</v>
      </c>
      <c r="C2646" s="13" t="s">
        <v>367</v>
      </c>
      <c r="D2646" s="17">
        <f>SUMIFS(ShadowLedger!$D:$D,ShadowLedger!$G:$G,A2646,ShadowLedger!$C:$C,"&gt;="&amp;DATE(LEFT(SUBSTITUTE(C2646,"'",""),4),MID(SUBSTITUTE(C2646,"'",""),6,2),1),ShadowLedger!$C:$C,"&lt;"&amp;EOMONTH(DATE(LEFT(SUBSTITUTE(C2646,"'",""),4),MID(SUBSTITUTE(C2646,"'",""),6,2),1),0)+1)</f>
        <v>0</v>
      </c>
      <c r="E2646" s="17">
        <f t="shared" si="1"/>
        <v>143</v>
      </c>
      <c r="F2646" s="17">
        <f t="shared" si="2"/>
        <v>0</v>
      </c>
    </row>
    <row r="2647">
      <c r="A2647" s="5" t="s">
        <v>64</v>
      </c>
      <c r="B2647" s="6">
        <v>143.0</v>
      </c>
      <c r="C2647" s="13" t="s">
        <v>367</v>
      </c>
      <c r="D2647" s="17">
        <f>SUMIFS(ShadowLedger!$D:$D,ShadowLedger!$G:$G,A2647,ShadowLedger!$C:$C,"&gt;="&amp;DATE(LEFT(SUBSTITUTE(C2647,"'",""),4),MID(SUBSTITUTE(C2647,"'",""),6,2),1),ShadowLedger!$C:$C,"&lt;"&amp;EOMONTH(DATE(LEFT(SUBSTITUTE(C2647,"'",""),4),MID(SUBSTITUTE(C2647,"'",""),6,2),1),0)+1)</f>
        <v>0</v>
      </c>
      <c r="E2647" s="17">
        <f t="shared" si="1"/>
        <v>143</v>
      </c>
      <c r="F2647" s="17">
        <f t="shared" si="2"/>
        <v>0</v>
      </c>
    </row>
    <row r="2648">
      <c r="A2648" s="5" t="s">
        <v>70</v>
      </c>
      <c r="B2648" s="6">
        <v>143.0</v>
      </c>
      <c r="C2648" s="13" t="s">
        <v>367</v>
      </c>
      <c r="D2648" s="17">
        <f>SUMIFS(ShadowLedger!$D:$D,ShadowLedger!$G:$G,A2648,ShadowLedger!$C:$C,"&gt;="&amp;DATE(LEFT(SUBSTITUTE(C2648,"'",""),4),MID(SUBSTITUTE(C2648,"'",""),6,2),1),ShadowLedger!$C:$C,"&lt;"&amp;EOMONTH(DATE(LEFT(SUBSTITUTE(C2648,"'",""),4),MID(SUBSTITUTE(C2648,"'",""),6,2),1),0)+1)</f>
        <v>0</v>
      </c>
      <c r="E2648" s="17">
        <f t="shared" si="1"/>
        <v>143</v>
      </c>
      <c r="F2648" s="17">
        <f t="shared" si="2"/>
        <v>0</v>
      </c>
    </row>
    <row r="2649">
      <c r="A2649" s="5" t="s">
        <v>65</v>
      </c>
      <c r="B2649" s="6">
        <v>71.0</v>
      </c>
      <c r="C2649" s="13" t="s">
        <v>367</v>
      </c>
      <c r="D2649" s="17">
        <f>SUMIFS(ShadowLedger!$D:$D,ShadowLedger!$G:$G,A2649,ShadowLedger!$C:$C,"&gt;="&amp;DATE(LEFT(SUBSTITUTE(C2649,"'",""),4),MID(SUBSTITUTE(C2649,"'",""),6,2),1),ShadowLedger!$C:$C,"&lt;"&amp;EOMONTH(DATE(LEFT(SUBSTITUTE(C2649,"'",""),4),MID(SUBSTITUTE(C2649,"'",""),6,2),1),0)+1)</f>
        <v>0</v>
      </c>
      <c r="E2649" s="17">
        <f t="shared" si="1"/>
        <v>71</v>
      </c>
      <c r="F2649" s="17">
        <f t="shared" si="2"/>
        <v>0</v>
      </c>
    </row>
    <row r="2650">
      <c r="A2650" s="5" t="s">
        <v>66</v>
      </c>
      <c r="B2650" s="6">
        <v>71.0</v>
      </c>
      <c r="C2650" s="13" t="s">
        <v>367</v>
      </c>
      <c r="D2650" s="17">
        <f>SUMIFS(ShadowLedger!$D:$D,ShadowLedger!$G:$G,A2650,ShadowLedger!$C:$C,"&gt;="&amp;DATE(LEFT(SUBSTITUTE(C2650,"'",""),4),MID(SUBSTITUTE(C2650,"'",""),6,2),1),ShadowLedger!$C:$C,"&lt;"&amp;EOMONTH(DATE(LEFT(SUBSTITUTE(C2650,"'",""),4),MID(SUBSTITUTE(C2650,"'",""),6,2),1),0)+1)</f>
        <v>0</v>
      </c>
      <c r="E2650" s="17">
        <f t="shared" si="1"/>
        <v>71</v>
      </c>
      <c r="F2650" s="17">
        <f t="shared" si="2"/>
        <v>0</v>
      </c>
    </row>
    <row r="2651">
      <c r="A2651" s="5" t="s">
        <v>67</v>
      </c>
      <c r="B2651" s="6">
        <v>71.0</v>
      </c>
      <c r="C2651" s="13" t="s">
        <v>367</v>
      </c>
      <c r="D2651" s="17">
        <f>SUMIFS(ShadowLedger!$D:$D,ShadowLedger!$G:$G,A2651,ShadowLedger!$C:$C,"&gt;="&amp;DATE(LEFT(SUBSTITUTE(C2651,"'",""),4),MID(SUBSTITUTE(C2651,"'",""),6,2),1),ShadowLedger!$C:$C,"&lt;"&amp;EOMONTH(DATE(LEFT(SUBSTITUTE(C2651,"'",""),4),MID(SUBSTITUTE(C2651,"'",""),6,2),1),0)+1)</f>
        <v>0</v>
      </c>
      <c r="E2651" s="17">
        <f t="shared" si="1"/>
        <v>71</v>
      </c>
      <c r="F2651" s="17">
        <f t="shared" si="2"/>
        <v>0</v>
      </c>
    </row>
    <row r="2652">
      <c r="A2652" s="5" t="s">
        <v>68</v>
      </c>
      <c r="B2652" s="6">
        <v>71.0</v>
      </c>
      <c r="C2652" s="13" t="s">
        <v>367</v>
      </c>
      <c r="D2652" s="17">
        <f>SUMIFS(ShadowLedger!$D:$D,ShadowLedger!$G:$G,A2652,ShadowLedger!$C:$C,"&gt;="&amp;DATE(LEFT(SUBSTITUTE(C2652,"'",""),4),MID(SUBSTITUTE(C2652,"'",""),6,2),1),ShadowLedger!$C:$C,"&lt;"&amp;EOMONTH(DATE(LEFT(SUBSTITUTE(C2652,"'",""),4),MID(SUBSTITUTE(C2652,"'",""),6,2),1),0)+1)</f>
        <v>0</v>
      </c>
      <c r="E2652" s="17">
        <f t="shared" si="1"/>
        <v>71</v>
      </c>
      <c r="F2652" s="17">
        <f t="shared" si="2"/>
        <v>0</v>
      </c>
    </row>
    <row r="2653">
      <c r="A2653" s="5" t="s">
        <v>69</v>
      </c>
      <c r="B2653" s="6">
        <v>0.0</v>
      </c>
      <c r="C2653" s="13" t="s">
        <v>367</v>
      </c>
      <c r="D2653" s="17">
        <f>SUMIFS(ShadowLedger!$D:$D,ShadowLedger!$G:$G,A2653,ShadowLedger!$C:$C,"&gt;="&amp;DATE(LEFT(SUBSTITUTE(C2653,"'",""),4),MID(SUBSTITUTE(C2653,"'",""),6,2),1),ShadowLedger!$C:$C,"&lt;"&amp;EOMONTH(DATE(LEFT(SUBSTITUTE(C2653,"'",""),4),MID(SUBSTITUTE(C2653,"'",""),6,2),1),0)+1)</f>
        <v>0</v>
      </c>
      <c r="E2653" s="17">
        <f t="shared" si="1"/>
        <v>0</v>
      </c>
      <c r="F2653" s="17">
        <f t="shared" si="2"/>
        <v>0</v>
      </c>
    </row>
    <row r="2654">
      <c r="A2654" s="5" t="s">
        <v>54</v>
      </c>
      <c r="B2654" s="6">
        <v>1312.0</v>
      </c>
      <c r="C2654" s="13" t="s">
        <v>368</v>
      </c>
      <c r="D2654" s="17">
        <f>SUMIFS(ShadowLedger!$D:$D,ShadowLedger!$G:$G,A2654,ShadowLedger!$C:$C,"&gt;="&amp;DATE(LEFT(SUBSTITUTE(C2654,"'",""),4),MID(SUBSTITUTE(C2654,"'",""),6,2),1),ShadowLedger!$C:$C,"&lt;"&amp;EOMONTH(DATE(LEFT(SUBSTITUTE(C2654,"'",""),4),MID(SUBSTITUTE(C2654,"'",""),6,2),1),0)+1)</f>
        <v>0</v>
      </c>
      <c r="E2654" s="17">
        <f t="shared" si="1"/>
        <v>1312</v>
      </c>
      <c r="F2654" s="17">
        <f t="shared" si="2"/>
        <v>0</v>
      </c>
    </row>
    <row r="2655">
      <c r="A2655" s="5" t="s">
        <v>55</v>
      </c>
      <c r="B2655" s="6">
        <v>998.0</v>
      </c>
      <c r="C2655" s="13" t="s">
        <v>368</v>
      </c>
      <c r="D2655" s="17">
        <f>SUMIFS(ShadowLedger!$D:$D,ShadowLedger!$G:$G,A2655,ShadowLedger!$C:$C,"&gt;="&amp;DATE(LEFT(SUBSTITUTE(C2655,"'",""),4),MID(SUBSTITUTE(C2655,"'",""),6,2),1),ShadowLedger!$C:$C,"&lt;"&amp;EOMONTH(DATE(LEFT(SUBSTITUTE(C2655,"'",""),4),MID(SUBSTITUTE(C2655,"'",""),6,2),1),0)+1)</f>
        <v>0</v>
      </c>
      <c r="E2655" s="17">
        <f t="shared" si="1"/>
        <v>998</v>
      </c>
      <c r="F2655" s="17">
        <f t="shared" si="2"/>
        <v>0</v>
      </c>
    </row>
    <row r="2656">
      <c r="A2656" s="5" t="s">
        <v>56</v>
      </c>
      <c r="B2656" s="6">
        <v>713.0</v>
      </c>
      <c r="C2656" s="13" t="s">
        <v>368</v>
      </c>
      <c r="D2656" s="17">
        <f>SUMIFS(ShadowLedger!$D:$D,ShadowLedger!$G:$G,A2656,ShadowLedger!$C:$C,"&gt;="&amp;DATE(LEFT(SUBSTITUTE(C2656,"'",""),4),MID(SUBSTITUTE(C2656,"'",""),6,2),1),ShadowLedger!$C:$C,"&lt;"&amp;EOMONTH(DATE(LEFT(SUBSTITUTE(C2656,"'",""),4),MID(SUBSTITUTE(C2656,"'",""),6,2),1),0)+1)</f>
        <v>0</v>
      </c>
      <c r="E2656" s="17">
        <f t="shared" si="1"/>
        <v>713</v>
      </c>
      <c r="F2656" s="17">
        <f t="shared" si="2"/>
        <v>0</v>
      </c>
    </row>
    <row r="2657">
      <c r="A2657" s="5" t="s">
        <v>57</v>
      </c>
      <c r="B2657" s="6">
        <v>713.0</v>
      </c>
      <c r="C2657" s="13" t="s">
        <v>368</v>
      </c>
      <c r="D2657" s="17">
        <f>SUMIFS(ShadowLedger!$D:$D,ShadowLedger!$G:$G,A2657,ShadowLedger!$C:$C,"&gt;="&amp;DATE(LEFT(SUBSTITUTE(C2657,"'",""),4),MID(SUBSTITUTE(C2657,"'",""),6,2),1),ShadowLedger!$C:$C,"&lt;"&amp;EOMONTH(DATE(LEFT(SUBSTITUTE(C2657,"'",""),4),MID(SUBSTITUTE(C2657,"'",""),6,2),1),0)+1)</f>
        <v>0</v>
      </c>
      <c r="E2657" s="17">
        <f t="shared" si="1"/>
        <v>713</v>
      </c>
      <c r="F2657" s="17">
        <f t="shared" si="2"/>
        <v>0</v>
      </c>
    </row>
    <row r="2658">
      <c r="A2658" s="5" t="s">
        <v>58</v>
      </c>
      <c r="B2658" s="6">
        <v>570.0</v>
      </c>
      <c r="C2658" s="13" t="s">
        <v>368</v>
      </c>
      <c r="D2658" s="17">
        <f>SUMIFS(ShadowLedger!$D:$D,ShadowLedger!$G:$G,A2658,ShadowLedger!$C:$C,"&gt;="&amp;DATE(LEFT(SUBSTITUTE(C2658,"'",""),4),MID(SUBSTITUTE(C2658,"'",""),6,2),1),ShadowLedger!$C:$C,"&lt;"&amp;EOMONTH(DATE(LEFT(SUBSTITUTE(C2658,"'",""),4),MID(SUBSTITUTE(C2658,"'",""),6,2),1),0)+1)</f>
        <v>0</v>
      </c>
      <c r="E2658" s="17">
        <f t="shared" si="1"/>
        <v>570</v>
      </c>
      <c r="F2658" s="17">
        <f t="shared" si="2"/>
        <v>0</v>
      </c>
    </row>
    <row r="2659">
      <c r="A2659" s="5" t="s">
        <v>59</v>
      </c>
      <c r="B2659" s="6">
        <v>285.0</v>
      </c>
      <c r="C2659" s="13" t="s">
        <v>368</v>
      </c>
      <c r="D2659" s="17">
        <f>SUMIFS(ShadowLedger!$D:$D,ShadowLedger!$G:$G,A2659,ShadowLedger!$C:$C,"&gt;="&amp;DATE(LEFT(SUBSTITUTE(C2659,"'",""),4),MID(SUBSTITUTE(C2659,"'",""),6,2),1),ShadowLedger!$C:$C,"&lt;"&amp;EOMONTH(DATE(LEFT(SUBSTITUTE(C2659,"'",""),4),MID(SUBSTITUTE(C2659,"'",""),6,2),1),0)+1)</f>
        <v>0</v>
      </c>
      <c r="E2659" s="17">
        <f t="shared" si="1"/>
        <v>285</v>
      </c>
      <c r="F2659" s="17">
        <f t="shared" si="2"/>
        <v>0</v>
      </c>
    </row>
    <row r="2660">
      <c r="A2660" s="5" t="s">
        <v>60</v>
      </c>
      <c r="B2660" s="6">
        <v>214.0</v>
      </c>
      <c r="C2660" s="13" t="s">
        <v>368</v>
      </c>
      <c r="D2660" s="17">
        <f>SUMIFS(ShadowLedger!$D:$D,ShadowLedger!$G:$G,A2660,ShadowLedger!$C:$C,"&gt;="&amp;DATE(LEFT(SUBSTITUTE(C2660,"'",""),4),MID(SUBSTITUTE(C2660,"'",""),6,2),1),ShadowLedger!$C:$C,"&lt;"&amp;EOMONTH(DATE(LEFT(SUBSTITUTE(C2660,"'",""),4),MID(SUBSTITUTE(C2660,"'",""),6,2),1),0)+1)</f>
        <v>0</v>
      </c>
      <c r="E2660" s="17">
        <f t="shared" si="1"/>
        <v>214</v>
      </c>
      <c r="F2660" s="17">
        <f t="shared" si="2"/>
        <v>0</v>
      </c>
    </row>
    <row r="2661">
      <c r="A2661" s="5" t="s">
        <v>61</v>
      </c>
      <c r="B2661" s="6">
        <v>171.0</v>
      </c>
      <c r="C2661" s="13" t="s">
        <v>368</v>
      </c>
      <c r="D2661" s="17">
        <f>SUMIFS(ShadowLedger!$D:$D,ShadowLedger!$G:$G,A2661,ShadowLedger!$C:$C,"&gt;="&amp;DATE(LEFT(SUBSTITUTE(C2661,"'",""),4),MID(SUBSTITUTE(C2661,"'",""),6,2),1),ShadowLedger!$C:$C,"&lt;"&amp;EOMONTH(DATE(LEFT(SUBSTITUTE(C2661,"'",""),4),MID(SUBSTITUTE(C2661,"'",""),6,2),1),0)+1)</f>
        <v>0</v>
      </c>
      <c r="E2661" s="17">
        <f t="shared" si="1"/>
        <v>171</v>
      </c>
      <c r="F2661" s="17">
        <f t="shared" si="2"/>
        <v>0</v>
      </c>
    </row>
    <row r="2662">
      <c r="A2662" s="5" t="s">
        <v>62</v>
      </c>
      <c r="B2662" s="6">
        <v>171.0</v>
      </c>
      <c r="C2662" s="13" t="s">
        <v>368</v>
      </c>
      <c r="D2662" s="17">
        <f>SUMIFS(ShadowLedger!$D:$D,ShadowLedger!$G:$G,A2662,ShadowLedger!$C:$C,"&gt;="&amp;DATE(LEFT(SUBSTITUTE(C2662,"'",""),4),MID(SUBSTITUTE(C2662,"'",""),6,2),1),ShadowLedger!$C:$C,"&lt;"&amp;EOMONTH(DATE(LEFT(SUBSTITUTE(C2662,"'",""),4),MID(SUBSTITUTE(C2662,"'",""),6,2),1),0)+1)</f>
        <v>0</v>
      </c>
      <c r="E2662" s="17">
        <f t="shared" si="1"/>
        <v>171</v>
      </c>
      <c r="F2662" s="17">
        <f t="shared" si="2"/>
        <v>0</v>
      </c>
    </row>
    <row r="2663">
      <c r="A2663" s="5" t="s">
        <v>63</v>
      </c>
      <c r="B2663" s="6">
        <v>143.0</v>
      </c>
      <c r="C2663" s="13" t="s">
        <v>368</v>
      </c>
      <c r="D2663" s="17">
        <f>SUMIFS(ShadowLedger!$D:$D,ShadowLedger!$G:$G,A2663,ShadowLedger!$C:$C,"&gt;="&amp;DATE(LEFT(SUBSTITUTE(C2663,"'",""),4),MID(SUBSTITUTE(C2663,"'",""),6,2),1),ShadowLedger!$C:$C,"&lt;"&amp;EOMONTH(DATE(LEFT(SUBSTITUTE(C2663,"'",""),4),MID(SUBSTITUTE(C2663,"'",""),6,2),1),0)+1)</f>
        <v>0</v>
      </c>
      <c r="E2663" s="17">
        <f t="shared" si="1"/>
        <v>143</v>
      </c>
      <c r="F2663" s="17">
        <f t="shared" si="2"/>
        <v>0</v>
      </c>
    </row>
    <row r="2664">
      <c r="A2664" s="5" t="s">
        <v>64</v>
      </c>
      <c r="B2664" s="6">
        <v>143.0</v>
      </c>
      <c r="C2664" s="13" t="s">
        <v>368</v>
      </c>
      <c r="D2664" s="17">
        <f>SUMIFS(ShadowLedger!$D:$D,ShadowLedger!$G:$G,A2664,ShadowLedger!$C:$C,"&gt;="&amp;DATE(LEFT(SUBSTITUTE(C2664,"'",""),4),MID(SUBSTITUTE(C2664,"'",""),6,2),1),ShadowLedger!$C:$C,"&lt;"&amp;EOMONTH(DATE(LEFT(SUBSTITUTE(C2664,"'",""),4),MID(SUBSTITUTE(C2664,"'",""),6,2),1),0)+1)</f>
        <v>0</v>
      </c>
      <c r="E2664" s="17">
        <f t="shared" si="1"/>
        <v>143</v>
      </c>
      <c r="F2664" s="17">
        <f t="shared" si="2"/>
        <v>0</v>
      </c>
    </row>
    <row r="2665">
      <c r="A2665" s="5" t="s">
        <v>70</v>
      </c>
      <c r="B2665" s="6">
        <v>143.0</v>
      </c>
      <c r="C2665" s="13" t="s">
        <v>368</v>
      </c>
      <c r="D2665" s="17">
        <f>SUMIFS(ShadowLedger!$D:$D,ShadowLedger!$G:$G,A2665,ShadowLedger!$C:$C,"&gt;="&amp;DATE(LEFT(SUBSTITUTE(C2665,"'",""),4),MID(SUBSTITUTE(C2665,"'",""),6,2),1),ShadowLedger!$C:$C,"&lt;"&amp;EOMONTH(DATE(LEFT(SUBSTITUTE(C2665,"'",""),4),MID(SUBSTITUTE(C2665,"'",""),6,2),1),0)+1)</f>
        <v>0</v>
      </c>
      <c r="E2665" s="17">
        <f t="shared" si="1"/>
        <v>143</v>
      </c>
      <c r="F2665" s="17">
        <f t="shared" si="2"/>
        <v>0</v>
      </c>
    </row>
    <row r="2666">
      <c r="A2666" s="5" t="s">
        <v>65</v>
      </c>
      <c r="B2666" s="6">
        <v>71.0</v>
      </c>
      <c r="C2666" s="13" t="s">
        <v>368</v>
      </c>
      <c r="D2666" s="17">
        <f>SUMIFS(ShadowLedger!$D:$D,ShadowLedger!$G:$G,A2666,ShadowLedger!$C:$C,"&gt;="&amp;DATE(LEFT(SUBSTITUTE(C2666,"'",""),4),MID(SUBSTITUTE(C2666,"'",""),6,2),1),ShadowLedger!$C:$C,"&lt;"&amp;EOMONTH(DATE(LEFT(SUBSTITUTE(C2666,"'",""),4),MID(SUBSTITUTE(C2666,"'",""),6,2),1),0)+1)</f>
        <v>0</v>
      </c>
      <c r="E2666" s="17">
        <f t="shared" si="1"/>
        <v>71</v>
      </c>
      <c r="F2666" s="17">
        <f t="shared" si="2"/>
        <v>0</v>
      </c>
    </row>
    <row r="2667">
      <c r="A2667" s="5" t="s">
        <v>66</v>
      </c>
      <c r="B2667" s="6">
        <v>71.0</v>
      </c>
      <c r="C2667" s="13" t="s">
        <v>368</v>
      </c>
      <c r="D2667" s="17">
        <f>SUMIFS(ShadowLedger!$D:$D,ShadowLedger!$G:$G,A2667,ShadowLedger!$C:$C,"&gt;="&amp;DATE(LEFT(SUBSTITUTE(C2667,"'",""),4),MID(SUBSTITUTE(C2667,"'",""),6,2),1),ShadowLedger!$C:$C,"&lt;"&amp;EOMONTH(DATE(LEFT(SUBSTITUTE(C2667,"'",""),4),MID(SUBSTITUTE(C2667,"'",""),6,2),1),0)+1)</f>
        <v>0</v>
      </c>
      <c r="E2667" s="17">
        <f t="shared" si="1"/>
        <v>71</v>
      </c>
      <c r="F2667" s="17">
        <f t="shared" si="2"/>
        <v>0</v>
      </c>
    </row>
    <row r="2668">
      <c r="A2668" s="5" t="s">
        <v>67</v>
      </c>
      <c r="B2668" s="6">
        <v>71.0</v>
      </c>
      <c r="C2668" s="13" t="s">
        <v>368</v>
      </c>
      <c r="D2668" s="17">
        <f>SUMIFS(ShadowLedger!$D:$D,ShadowLedger!$G:$G,A2668,ShadowLedger!$C:$C,"&gt;="&amp;DATE(LEFT(SUBSTITUTE(C2668,"'",""),4),MID(SUBSTITUTE(C2668,"'",""),6,2),1),ShadowLedger!$C:$C,"&lt;"&amp;EOMONTH(DATE(LEFT(SUBSTITUTE(C2668,"'",""),4),MID(SUBSTITUTE(C2668,"'",""),6,2),1),0)+1)</f>
        <v>0</v>
      </c>
      <c r="E2668" s="17">
        <f t="shared" si="1"/>
        <v>71</v>
      </c>
      <c r="F2668" s="17">
        <f t="shared" si="2"/>
        <v>0</v>
      </c>
    </row>
    <row r="2669">
      <c r="A2669" s="5" t="s">
        <v>68</v>
      </c>
      <c r="B2669" s="6">
        <v>71.0</v>
      </c>
      <c r="C2669" s="13" t="s">
        <v>368</v>
      </c>
      <c r="D2669" s="17">
        <f>SUMIFS(ShadowLedger!$D:$D,ShadowLedger!$G:$G,A2669,ShadowLedger!$C:$C,"&gt;="&amp;DATE(LEFT(SUBSTITUTE(C2669,"'",""),4),MID(SUBSTITUTE(C2669,"'",""),6,2),1),ShadowLedger!$C:$C,"&lt;"&amp;EOMONTH(DATE(LEFT(SUBSTITUTE(C2669,"'",""),4),MID(SUBSTITUTE(C2669,"'",""),6,2),1),0)+1)</f>
        <v>0</v>
      </c>
      <c r="E2669" s="17">
        <f t="shared" si="1"/>
        <v>71</v>
      </c>
      <c r="F2669" s="17">
        <f t="shared" si="2"/>
        <v>0</v>
      </c>
    </row>
    <row r="2670">
      <c r="A2670" s="5" t="s">
        <v>69</v>
      </c>
      <c r="B2670" s="6">
        <v>0.0</v>
      </c>
      <c r="C2670" s="13" t="s">
        <v>368</v>
      </c>
      <c r="D2670" s="17">
        <f>SUMIFS(ShadowLedger!$D:$D,ShadowLedger!$G:$G,A2670,ShadowLedger!$C:$C,"&gt;="&amp;DATE(LEFT(SUBSTITUTE(C2670,"'",""),4),MID(SUBSTITUTE(C2670,"'",""),6,2),1),ShadowLedger!$C:$C,"&lt;"&amp;EOMONTH(DATE(LEFT(SUBSTITUTE(C2670,"'",""),4),MID(SUBSTITUTE(C2670,"'",""),6,2),1),0)+1)</f>
        <v>0</v>
      </c>
      <c r="E2670" s="17">
        <f t="shared" si="1"/>
        <v>0</v>
      </c>
      <c r="F2670" s="17">
        <f t="shared" si="2"/>
        <v>0</v>
      </c>
    </row>
    <row r="2671">
      <c r="A2671" s="5" t="s">
        <v>54</v>
      </c>
      <c r="B2671" s="6">
        <v>1351.0</v>
      </c>
      <c r="C2671" s="13" t="s">
        <v>369</v>
      </c>
      <c r="D2671" s="17">
        <f>SUMIFS(ShadowLedger!$D:$D,ShadowLedger!$G:$G,A2671,ShadowLedger!$C:$C,"&gt;="&amp;DATE(LEFT(SUBSTITUTE(C2671,"'",""),4),MID(SUBSTITUTE(C2671,"'",""),6,2),1),ShadowLedger!$C:$C,"&lt;"&amp;EOMONTH(DATE(LEFT(SUBSTITUTE(C2671,"'",""),4),MID(SUBSTITUTE(C2671,"'",""),6,2),1),0)+1)</f>
        <v>0</v>
      </c>
      <c r="E2671" s="17">
        <f t="shared" si="1"/>
        <v>1351</v>
      </c>
      <c r="F2671" s="17">
        <f t="shared" si="2"/>
        <v>0</v>
      </c>
    </row>
    <row r="2672">
      <c r="A2672" s="5" t="s">
        <v>55</v>
      </c>
      <c r="B2672" s="6">
        <v>1028.0</v>
      </c>
      <c r="C2672" s="13" t="s">
        <v>369</v>
      </c>
      <c r="D2672" s="17">
        <f>SUMIFS(ShadowLedger!$D:$D,ShadowLedger!$G:$G,A2672,ShadowLedger!$C:$C,"&gt;="&amp;DATE(LEFT(SUBSTITUTE(C2672,"'",""),4),MID(SUBSTITUTE(C2672,"'",""),6,2),1),ShadowLedger!$C:$C,"&lt;"&amp;EOMONTH(DATE(LEFT(SUBSTITUTE(C2672,"'",""),4),MID(SUBSTITUTE(C2672,"'",""),6,2),1),0)+1)</f>
        <v>0</v>
      </c>
      <c r="E2672" s="17">
        <f t="shared" si="1"/>
        <v>1028</v>
      </c>
      <c r="F2672" s="17">
        <f t="shared" si="2"/>
        <v>0</v>
      </c>
    </row>
    <row r="2673">
      <c r="A2673" s="5" t="s">
        <v>56</v>
      </c>
      <c r="B2673" s="6">
        <v>734.0</v>
      </c>
      <c r="C2673" s="13" t="s">
        <v>369</v>
      </c>
      <c r="D2673" s="17">
        <f>SUMIFS(ShadowLedger!$D:$D,ShadowLedger!$G:$G,A2673,ShadowLedger!$C:$C,"&gt;="&amp;DATE(LEFT(SUBSTITUTE(C2673,"'",""),4),MID(SUBSTITUTE(C2673,"'",""),6,2),1),ShadowLedger!$C:$C,"&lt;"&amp;EOMONTH(DATE(LEFT(SUBSTITUTE(C2673,"'",""),4),MID(SUBSTITUTE(C2673,"'",""),6,2),1),0)+1)</f>
        <v>0</v>
      </c>
      <c r="E2673" s="17">
        <f t="shared" si="1"/>
        <v>734</v>
      </c>
      <c r="F2673" s="17">
        <f t="shared" si="2"/>
        <v>0</v>
      </c>
    </row>
    <row r="2674">
      <c r="A2674" s="5" t="s">
        <v>57</v>
      </c>
      <c r="B2674" s="6">
        <v>734.0</v>
      </c>
      <c r="C2674" s="13" t="s">
        <v>369</v>
      </c>
      <c r="D2674" s="17">
        <f>SUMIFS(ShadowLedger!$D:$D,ShadowLedger!$G:$G,A2674,ShadowLedger!$C:$C,"&gt;="&amp;DATE(LEFT(SUBSTITUTE(C2674,"'",""),4),MID(SUBSTITUTE(C2674,"'",""),6,2),1),ShadowLedger!$C:$C,"&lt;"&amp;EOMONTH(DATE(LEFT(SUBSTITUTE(C2674,"'",""),4),MID(SUBSTITUTE(C2674,"'",""),6,2),1),0)+1)</f>
        <v>0</v>
      </c>
      <c r="E2674" s="17">
        <f t="shared" si="1"/>
        <v>734</v>
      </c>
      <c r="F2674" s="17">
        <f t="shared" si="2"/>
        <v>0</v>
      </c>
    </row>
    <row r="2675">
      <c r="A2675" s="5" t="s">
        <v>58</v>
      </c>
      <c r="B2675" s="6">
        <v>587.0</v>
      </c>
      <c r="C2675" s="13" t="s">
        <v>369</v>
      </c>
      <c r="D2675" s="17">
        <f>SUMIFS(ShadowLedger!$D:$D,ShadowLedger!$G:$G,A2675,ShadowLedger!$C:$C,"&gt;="&amp;DATE(LEFT(SUBSTITUTE(C2675,"'",""),4),MID(SUBSTITUTE(C2675,"'",""),6,2),1),ShadowLedger!$C:$C,"&lt;"&amp;EOMONTH(DATE(LEFT(SUBSTITUTE(C2675,"'",""),4),MID(SUBSTITUTE(C2675,"'",""),6,2),1),0)+1)</f>
        <v>0</v>
      </c>
      <c r="E2675" s="17">
        <f t="shared" si="1"/>
        <v>587</v>
      </c>
      <c r="F2675" s="17">
        <f t="shared" si="2"/>
        <v>0</v>
      </c>
    </row>
    <row r="2676">
      <c r="A2676" s="5" t="s">
        <v>59</v>
      </c>
      <c r="B2676" s="6">
        <v>294.0</v>
      </c>
      <c r="C2676" s="13" t="s">
        <v>369</v>
      </c>
      <c r="D2676" s="17">
        <f>SUMIFS(ShadowLedger!$D:$D,ShadowLedger!$G:$G,A2676,ShadowLedger!$C:$C,"&gt;="&amp;DATE(LEFT(SUBSTITUTE(C2676,"'",""),4),MID(SUBSTITUTE(C2676,"'",""),6,2),1),ShadowLedger!$C:$C,"&lt;"&amp;EOMONTH(DATE(LEFT(SUBSTITUTE(C2676,"'",""),4),MID(SUBSTITUTE(C2676,"'",""),6,2),1),0)+1)</f>
        <v>0</v>
      </c>
      <c r="E2676" s="17">
        <f t="shared" si="1"/>
        <v>294</v>
      </c>
      <c r="F2676" s="17">
        <f t="shared" si="2"/>
        <v>0</v>
      </c>
    </row>
    <row r="2677">
      <c r="A2677" s="5" t="s">
        <v>60</v>
      </c>
      <c r="B2677" s="6">
        <v>220.0</v>
      </c>
      <c r="C2677" s="13" t="s">
        <v>369</v>
      </c>
      <c r="D2677" s="17">
        <f>SUMIFS(ShadowLedger!$D:$D,ShadowLedger!$G:$G,A2677,ShadowLedger!$C:$C,"&gt;="&amp;DATE(LEFT(SUBSTITUTE(C2677,"'",""),4),MID(SUBSTITUTE(C2677,"'",""),6,2),1),ShadowLedger!$C:$C,"&lt;"&amp;EOMONTH(DATE(LEFT(SUBSTITUTE(C2677,"'",""),4),MID(SUBSTITUTE(C2677,"'",""),6,2),1),0)+1)</f>
        <v>0</v>
      </c>
      <c r="E2677" s="17">
        <f t="shared" si="1"/>
        <v>220</v>
      </c>
      <c r="F2677" s="17">
        <f t="shared" si="2"/>
        <v>0</v>
      </c>
    </row>
    <row r="2678">
      <c r="A2678" s="5" t="s">
        <v>61</v>
      </c>
      <c r="B2678" s="6">
        <v>176.0</v>
      </c>
      <c r="C2678" s="13" t="s">
        <v>369</v>
      </c>
      <c r="D2678" s="17">
        <f>SUMIFS(ShadowLedger!$D:$D,ShadowLedger!$G:$G,A2678,ShadowLedger!$C:$C,"&gt;="&amp;DATE(LEFT(SUBSTITUTE(C2678,"'",""),4),MID(SUBSTITUTE(C2678,"'",""),6,2),1),ShadowLedger!$C:$C,"&lt;"&amp;EOMONTH(DATE(LEFT(SUBSTITUTE(C2678,"'",""),4),MID(SUBSTITUTE(C2678,"'",""),6,2),1),0)+1)</f>
        <v>0</v>
      </c>
      <c r="E2678" s="17">
        <f t="shared" si="1"/>
        <v>176</v>
      </c>
      <c r="F2678" s="17">
        <f t="shared" si="2"/>
        <v>0</v>
      </c>
    </row>
    <row r="2679">
      <c r="A2679" s="5" t="s">
        <v>62</v>
      </c>
      <c r="B2679" s="6">
        <v>176.0</v>
      </c>
      <c r="C2679" s="13" t="s">
        <v>369</v>
      </c>
      <c r="D2679" s="17">
        <f>SUMIFS(ShadowLedger!$D:$D,ShadowLedger!$G:$G,A2679,ShadowLedger!$C:$C,"&gt;="&amp;DATE(LEFT(SUBSTITUTE(C2679,"'",""),4),MID(SUBSTITUTE(C2679,"'",""),6,2),1),ShadowLedger!$C:$C,"&lt;"&amp;EOMONTH(DATE(LEFT(SUBSTITUTE(C2679,"'",""),4),MID(SUBSTITUTE(C2679,"'",""),6,2),1),0)+1)</f>
        <v>0</v>
      </c>
      <c r="E2679" s="17">
        <f t="shared" si="1"/>
        <v>176</v>
      </c>
      <c r="F2679" s="17">
        <f t="shared" si="2"/>
        <v>0</v>
      </c>
    </row>
    <row r="2680">
      <c r="A2680" s="5" t="s">
        <v>63</v>
      </c>
      <c r="B2680" s="6">
        <v>147.0</v>
      </c>
      <c r="C2680" s="13" t="s">
        <v>369</v>
      </c>
      <c r="D2680" s="17">
        <f>SUMIFS(ShadowLedger!$D:$D,ShadowLedger!$G:$G,A2680,ShadowLedger!$C:$C,"&gt;="&amp;DATE(LEFT(SUBSTITUTE(C2680,"'",""),4),MID(SUBSTITUTE(C2680,"'",""),6,2),1),ShadowLedger!$C:$C,"&lt;"&amp;EOMONTH(DATE(LEFT(SUBSTITUTE(C2680,"'",""),4),MID(SUBSTITUTE(C2680,"'",""),6,2),1),0)+1)</f>
        <v>0</v>
      </c>
      <c r="E2680" s="17">
        <f t="shared" si="1"/>
        <v>147</v>
      </c>
      <c r="F2680" s="17">
        <f t="shared" si="2"/>
        <v>0</v>
      </c>
    </row>
    <row r="2681">
      <c r="A2681" s="5" t="s">
        <v>64</v>
      </c>
      <c r="B2681" s="6">
        <v>147.0</v>
      </c>
      <c r="C2681" s="13" t="s">
        <v>369</v>
      </c>
      <c r="D2681" s="17">
        <f>SUMIFS(ShadowLedger!$D:$D,ShadowLedger!$G:$G,A2681,ShadowLedger!$C:$C,"&gt;="&amp;DATE(LEFT(SUBSTITUTE(C2681,"'",""),4),MID(SUBSTITUTE(C2681,"'",""),6,2),1),ShadowLedger!$C:$C,"&lt;"&amp;EOMONTH(DATE(LEFT(SUBSTITUTE(C2681,"'",""),4),MID(SUBSTITUTE(C2681,"'",""),6,2),1),0)+1)</f>
        <v>0</v>
      </c>
      <c r="E2681" s="17">
        <f t="shared" si="1"/>
        <v>147</v>
      </c>
      <c r="F2681" s="17">
        <f t="shared" si="2"/>
        <v>0</v>
      </c>
    </row>
    <row r="2682">
      <c r="A2682" s="5" t="s">
        <v>70</v>
      </c>
      <c r="B2682" s="6">
        <v>147.0</v>
      </c>
      <c r="C2682" s="13" t="s">
        <v>369</v>
      </c>
      <c r="D2682" s="17">
        <f>SUMIFS(ShadowLedger!$D:$D,ShadowLedger!$G:$G,A2682,ShadowLedger!$C:$C,"&gt;="&amp;DATE(LEFT(SUBSTITUTE(C2682,"'",""),4),MID(SUBSTITUTE(C2682,"'",""),6,2),1),ShadowLedger!$C:$C,"&lt;"&amp;EOMONTH(DATE(LEFT(SUBSTITUTE(C2682,"'",""),4),MID(SUBSTITUTE(C2682,"'",""),6,2),1),0)+1)</f>
        <v>0</v>
      </c>
      <c r="E2682" s="17">
        <f t="shared" si="1"/>
        <v>147</v>
      </c>
      <c r="F2682" s="17">
        <f t="shared" si="2"/>
        <v>0</v>
      </c>
    </row>
    <row r="2683">
      <c r="A2683" s="5" t="s">
        <v>65</v>
      </c>
      <c r="B2683" s="6">
        <v>73.0</v>
      </c>
      <c r="C2683" s="13" t="s">
        <v>369</v>
      </c>
      <c r="D2683" s="17">
        <f>SUMIFS(ShadowLedger!$D:$D,ShadowLedger!$G:$G,A2683,ShadowLedger!$C:$C,"&gt;="&amp;DATE(LEFT(SUBSTITUTE(C2683,"'",""),4),MID(SUBSTITUTE(C2683,"'",""),6,2),1),ShadowLedger!$C:$C,"&lt;"&amp;EOMONTH(DATE(LEFT(SUBSTITUTE(C2683,"'",""),4),MID(SUBSTITUTE(C2683,"'",""),6,2),1),0)+1)</f>
        <v>0</v>
      </c>
      <c r="E2683" s="17">
        <f t="shared" si="1"/>
        <v>73</v>
      </c>
      <c r="F2683" s="17">
        <f t="shared" si="2"/>
        <v>0</v>
      </c>
    </row>
    <row r="2684">
      <c r="A2684" s="5" t="s">
        <v>66</v>
      </c>
      <c r="B2684" s="6">
        <v>73.0</v>
      </c>
      <c r="C2684" s="13" t="s">
        <v>369</v>
      </c>
      <c r="D2684" s="17">
        <f>SUMIFS(ShadowLedger!$D:$D,ShadowLedger!$G:$G,A2684,ShadowLedger!$C:$C,"&gt;="&amp;DATE(LEFT(SUBSTITUTE(C2684,"'",""),4),MID(SUBSTITUTE(C2684,"'",""),6,2),1),ShadowLedger!$C:$C,"&lt;"&amp;EOMONTH(DATE(LEFT(SUBSTITUTE(C2684,"'",""),4),MID(SUBSTITUTE(C2684,"'",""),6,2),1),0)+1)</f>
        <v>0</v>
      </c>
      <c r="E2684" s="17">
        <f t="shared" si="1"/>
        <v>73</v>
      </c>
      <c r="F2684" s="17">
        <f t="shared" si="2"/>
        <v>0</v>
      </c>
    </row>
    <row r="2685">
      <c r="A2685" s="5" t="s">
        <v>67</v>
      </c>
      <c r="B2685" s="6">
        <v>73.0</v>
      </c>
      <c r="C2685" s="13" t="s">
        <v>369</v>
      </c>
      <c r="D2685" s="17">
        <f>SUMIFS(ShadowLedger!$D:$D,ShadowLedger!$G:$G,A2685,ShadowLedger!$C:$C,"&gt;="&amp;DATE(LEFT(SUBSTITUTE(C2685,"'",""),4),MID(SUBSTITUTE(C2685,"'",""),6,2),1),ShadowLedger!$C:$C,"&lt;"&amp;EOMONTH(DATE(LEFT(SUBSTITUTE(C2685,"'",""),4),MID(SUBSTITUTE(C2685,"'",""),6,2),1),0)+1)</f>
        <v>0</v>
      </c>
      <c r="E2685" s="17">
        <f t="shared" si="1"/>
        <v>73</v>
      </c>
      <c r="F2685" s="17">
        <f t="shared" si="2"/>
        <v>0</v>
      </c>
    </row>
    <row r="2686">
      <c r="A2686" s="5" t="s">
        <v>68</v>
      </c>
      <c r="B2686" s="6">
        <v>73.0</v>
      </c>
      <c r="C2686" s="13" t="s">
        <v>369</v>
      </c>
      <c r="D2686" s="17">
        <f>SUMIFS(ShadowLedger!$D:$D,ShadowLedger!$G:$G,A2686,ShadowLedger!$C:$C,"&gt;="&amp;DATE(LEFT(SUBSTITUTE(C2686,"'",""),4),MID(SUBSTITUTE(C2686,"'",""),6,2),1),ShadowLedger!$C:$C,"&lt;"&amp;EOMONTH(DATE(LEFT(SUBSTITUTE(C2686,"'",""),4),MID(SUBSTITUTE(C2686,"'",""),6,2),1),0)+1)</f>
        <v>0</v>
      </c>
      <c r="E2686" s="17">
        <f t="shared" si="1"/>
        <v>73</v>
      </c>
      <c r="F2686" s="17">
        <f t="shared" si="2"/>
        <v>0</v>
      </c>
    </row>
    <row r="2687">
      <c r="A2687" s="5" t="s">
        <v>69</v>
      </c>
      <c r="B2687" s="6">
        <v>0.0</v>
      </c>
      <c r="C2687" s="13" t="s">
        <v>369</v>
      </c>
      <c r="D2687" s="17">
        <f>SUMIFS(ShadowLedger!$D:$D,ShadowLedger!$G:$G,A2687,ShadowLedger!$C:$C,"&gt;="&amp;DATE(LEFT(SUBSTITUTE(C2687,"'",""),4),MID(SUBSTITUTE(C2687,"'",""),6,2),1),ShadowLedger!$C:$C,"&lt;"&amp;EOMONTH(DATE(LEFT(SUBSTITUTE(C2687,"'",""),4),MID(SUBSTITUTE(C2687,"'",""),6,2),1),0)+1)</f>
        <v>0</v>
      </c>
      <c r="E2687" s="17">
        <f t="shared" si="1"/>
        <v>0</v>
      </c>
      <c r="F2687" s="17">
        <f t="shared" si="2"/>
        <v>0</v>
      </c>
    </row>
    <row r="2688">
      <c r="A2688" s="5" t="s">
        <v>54</v>
      </c>
      <c r="B2688" s="6">
        <v>1351.0</v>
      </c>
      <c r="C2688" s="13" t="s">
        <v>370</v>
      </c>
      <c r="D2688" s="17">
        <f>SUMIFS(ShadowLedger!$D:$D,ShadowLedger!$G:$G,A2688,ShadowLedger!$C:$C,"&gt;="&amp;DATE(LEFT(SUBSTITUTE(C2688,"'",""),4),MID(SUBSTITUTE(C2688,"'",""),6,2),1),ShadowLedger!$C:$C,"&lt;"&amp;EOMONTH(DATE(LEFT(SUBSTITUTE(C2688,"'",""),4),MID(SUBSTITUTE(C2688,"'",""),6,2),1),0)+1)</f>
        <v>0</v>
      </c>
      <c r="E2688" s="17">
        <f t="shared" si="1"/>
        <v>1351</v>
      </c>
      <c r="F2688" s="17">
        <f t="shared" si="2"/>
        <v>0</v>
      </c>
    </row>
    <row r="2689">
      <c r="A2689" s="5" t="s">
        <v>55</v>
      </c>
      <c r="B2689" s="6">
        <v>1028.0</v>
      </c>
      <c r="C2689" s="13" t="s">
        <v>370</v>
      </c>
      <c r="D2689" s="17">
        <f>SUMIFS(ShadowLedger!$D:$D,ShadowLedger!$G:$G,A2689,ShadowLedger!$C:$C,"&gt;="&amp;DATE(LEFT(SUBSTITUTE(C2689,"'",""),4),MID(SUBSTITUTE(C2689,"'",""),6,2),1),ShadowLedger!$C:$C,"&lt;"&amp;EOMONTH(DATE(LEFT(SUBSTITUTE(C2689,"'",""),4),MID(SUBSTITUTE(C2689,"'",""),6,2),1),0)+1)</f>
        <v>0</v>
      </c>
      <c r="E2689" s="17">
        <f t="shared" si="1"/>
        <v>1028</v>
      </c>
      <c r="F2689" s="17">
        <f t="shared" si="2"/>
        <v>0</v>
      </c>
    </row>
    <row r="2690">
      <c r="A2690" s="5" t="s">
        <v>56</v>
      </c>
      <c r="B2690" s="6">
        <v>734.0</v>
      </c>
      <c r="C2690" s="13" t="s">
        <v>370</v>
      </c>
      <c r="D2690" s="17">
        <f>SUMIFS(ShadowLedger!$D:$D,ShadowLedger!$G:$G,A2690,ShadowLedger!$C:$C,"&gt;="&amp;DATE(LEFT(SUBSTITUTE(C2690,"'",""),4),MID(SUBSTITUTE(C2690,"'",""),6,2),1),ShadowLedger!$C:$C,"&lt;"&amp;EOMONTH(DATE(LEFT(SUBSTITUTE(C2690,"'",""),4),MID(SUBSTITUTE(C2690,"'",""),6,2),1),0)+1)</f>
        <v>0</v>
      </c>
      <c r="E2690" s="17">
        <f t="shared" si="1"/>
        <v>734</v>
      </c>
      <c r="F2690" s="17">
        <f t="shared" si="2"/>
        <v>0</v>
      </c>
    </row>
    <row r="2691">
      <c r="A2691" s="5" t="s">
        <v>57</v>
      </c>
      <c r="B2691" s="6">
        <v>734.0</v>
      </c>
      <c r="C2691" s="13" t="s">
        <v>370</v>
      </c>
      <c r="D2691" s="17">
        <f>SUMIFS(ShadowLedger!$D:$D,ShadowLedger!$G:$G,A2691,ShadowLedger!$C:$C,"&gt;="&amp;DATE(LEFT(SUBSTITUTE(C2691,"'",""),4),MID(SUBSTITUTE(C2691,"'",""),6,2),1),ShadowLedger!$C:$C,"&lt;"&amp;EOMONTH(DATE(LEFT(SUBSTITUTE(C2691,"'",""),4),MID(SUBSTITUTE(C2691,"'",""),6,2),1),0)+1)</f>
        <v>0</v>
      </c>
      <c r="E2691" s="17">
        <f t="shared" si="1"/>
        <v>734</v>
      </c>
      <c r="F2691" s="17">
        <f t="shared" si="2"/>
        <v>0</v>
      </c>
    </row>
    <row r="2692">
      <c r="A2692" s="5" t="s">
        <v>58</v>
      </c>
      <c r="B2692" s="6">
        <v>587.0</v>
      </c>
      <c r="C2692" s="13" t="s">
        <v>370</v>
      </c>
      <c r="D2692" s="17">
        <f>SUMIFS(ShadowLedger!$D:$D,ShadowLedger!$G:$G,A2692,ShadowLedger!$C:$C,"&gt;="&amp;DATE(LEFT(SUBSTITUTE(C2692,"'",""),4),MID(SUBSTITUTE(C2692,"'",""),6,2),1),ShadowLedger!$C:$C,"&lt;"&amp;EOMONTH(DATE(LEFT(SUBSTITUTE(C2692,"'",""),4),MID(SUBSTITUTE(C2692,"'",""),6,2),1),0)+1)</f>
        <v>0</v>
      </c>
      <c r="E2692" s="17">
        <f t="shared" si="1"/>
        <v>587</v>
      </c>
      <c r="F2692" s="17">
        <f t="shared" si="2"/>
        <v>0</v>
      </c>
    </row>
    <row r="2693">
      <c r="A2693" s="5" t="s">
        <v>59</v>
      </c>
      <c r="B2693" s="6">
        <v>294.0</v>
      </c>
      <c r="C2693" s="13" t="s">
        <v>370</v>
      </c>
      <c r="D2693" s="17">
        <f>SUMIFS(ShadowLedger!$D:$D,ShadowLedger!$G:$G,A2693,ShadowLedger!$C:$C,"&gt;="&amp;DATE(LEFT(SUBSTITUTE(C2693,"'",""),4),MID(SUBSTITUTE(C2693,"'",""),6,2),1),ShadowLedger!$C:$C,"&lt;"&amp;EOMONTH(DATE(LEFT(SUBSTITUTE(C2693,"'",""),4),MID(SUBSTITUTE(C2693,"'",""),6,2),1),0)+1)</f>
        <v>0</v>
      </c>
      <c r="E2693" s="17">
        <f t="shared" si="1"/>
        <v>294</v>
      </c>
      <c r="F2693" s="17">
        <f t="shared" si="2"/>
        <v>0</v>
      </c>
    </row>
    <row r="2694">
      <c r="A2694" s="5" t="s">
        <v>60</v>
      </c>
      <c r="B2694" s="6">
        <v>220.0</v>
      </c>
      <c r="C2694" s="13" t="s">
        <v>370</v>
      </c>
      <c r="D2694" s="17">
        <f>SUMIFS(ShadowLedger!$D:$D,ShadowLedger!$G:$G,A2694,ShadowLedger!$C:$C,"&gt;="&amp;DATE(LEFT(SUBSTITUTE(C2694,"'",""),4),MID(SUBSTITUTE(C2694,"'",""),6,2),1),ShadowLedger!$C:$C,"&lt;"&amp;EOMONTH(DATE(LEFT(SUBSTITUTE(C2694,"'",""),4),MID(SUBSTITUTE(C2694,"'",""),6,2),1),0)+1)</f>
        <v>0</v>
      </c>
      <c r="E2694" s="17">
        <f t="shared" si="1"/>
        <v>220</v>
      </c>
      <c r="F2694" s="17">
        <f t="shared" si="2"/>
        <v>0</v>
      </c>
    </row>
    <row r="2695">
      <c r="A2695" s="5" t="s">
        <v>61</v>
      </c>
      <c r="B2695" s="6">
        <v>176.0</v>
      </c>
      <c r="C2695" s="13" t="s">
        <v>370</v>
      </c>
      <c r="D2695" s="17">
        <f>SUMIFS(ShadowLedger!$D:$D,ShadowLedger!$G:$G,A2695,ShadowLedger!$C:$C,"&gt;="&amp;DATE(LEFT(SUBSTITUTE(C2695,"'",""),4),MID(SUBSTITUTE(C2695,"'",""),6,2),1),ShadowLedger!$C:$C,"&lt;"&amp;EOMONTH(DATE(LEFT(SUBSTITUTE(C2695,"'",""),4),MID(SUBSTITUTE(C2695,"'",""),6,2),1),0)+1)</f>
        <v>0</v>
      </c>
      <c r="E2695" s="17">
        <f t="shared" si="1"/>
        <v>176</v>
      </c>
      <c r="F2695" s="17">
        <f t="shared" si="2"/>
        <v>0</v>
      </c>
    </row>
    <row r="2696">
      <c r="A2696" s="5" t="s">
        <v>62</v>
      </c>
      <c r="B2696" s="6">
        <v>176.0</v>
      </c>
      <c r="C2696" s="13" t="s">
        <v>370</v>
      </c>
      <c r="D2696" s="17">
        <f>SUMIFS(ShadowLedger!$D:$D,ShadowLedger!$G:$G,A2696,ShadowLedger!$C:$C,"&gt;="&amp;DATE(LEFT(SUBSTITUTE(C2696,"'",""),4),MID(SUBSTITUTE(C2696,"'",""),6,2),1),ShadowLedger!$C:$C,"&lt;"&amp;EOMONTH(DATE(LEFT(SUBSTITUTE(C2696,"'",""),4),MID(SUBSTITUTE(C2696,"'",""),6,2),1),0)+1)</f>
        <v>0</v>
      </c>
      <c r="E2696" s="17">
        <f t="shared" si="1"/>
        <v>176</v>
      </c>
      <c r="F2696" s="17">
        <f t="shared" si="2"/>
        <v>0</v>
      </c>
    </row>
    <row r="2697">
      <c r="A2697" s="5" t="s">
        <v>63</v>
      </c>
      <c r="B2697" s="6">
        <v>147.0</v>
      </c>
      <c r="C2697" s="13" t="s">
        <v>370</v>
      </c>
      <c r="D2697" s="17">
        <f>SUMIFS(ShadowLedger!$D:$D,ShadowLedger!$G:$G,A2697,ShadowLedger!$C:$C,"&gt;="&amp;DATE(LEFT(SUBSTITUTE(C2697,"'",""),4),MID(SUBSTITUTE(C2697,"'",""),6,2),1),ShadowLedger!$C:$C,"&lt;"&amp;EOMONTH(DATE(LEFT(SUBSTITUTE(C2697,"'",""),4),MID(SUBSTITUTE(C2697,"'",""),6,2),1),0)+1)</f>
        <v>0</v>
      </c>
      <c r="E2697" s="17">
        <f t="shared" si="1"/>
        <v>147</v>
      </c>
      <c r="F2697" s="17">
        <f t="shared" si="2"/>
        <v>0</v>
      </c>
    </row>
    <row r="2698">
      <c r="A2698" s="5" t="s">
        <v>64</v>
      </c>
      <c r="B2698" s="6">
        <v>147.0</v>
      </c>
      <c r="C2698" s="13" t="s">
        <v>370</v>
      </c>
      <c r="D2698" s="17">
        <f>SUMIFS(ShadowLedger!$D:$D,ShadowLedger!$G:$G,A2698,ShadowLedger!$C:$C,"&gt;="&amp;DATE(LEFT(SUBSTITUTE(C2698,"'",""),4),MID(SUBSTITUTE(C2698,"'",""),6,2),1),ShadowLedger!$C:$C,"&lt;"&amp;EOMONTH(DATE(LEFT(SUBSTITUTE(C2698,"'",""),4),MID(SUBSTITUTE(C2698,"'",""),6,2),1),0)+1)</f>
        <v>0</v>
      </c>
      <c r="E2698" s="17">
        <f t="shared" si="1"/>
        <v>147</v>
      </c>
      <c r="F2698" s="17">
        <f t="shared" si="2"/>
        <v>0</v>
      </c>
    </row>
    <row r="2699">
      <c r="A2699" s="5" t="s">
        <v>70</v>
      </c>
      <c r="B2699" s="6">
        <v>147.0</v>
      </c>
      <c r="C2699" s="13" t="s">
        <v>370</v>
      </c>
      <c r="D2699" s="17">
        <f>SUMIFS(ShadowLedger!$D:$D,ShadowLedger!$G:$G,A2699,ShadowLedger!$C:$C,"&gt;="&amp;DATE(LEFT(SUBSTITUTE(C2699,"'",""),4),MID(SUBSTITUTE(C2699,"'",""),6,2),1),ShadowLedger!$C:$C,"&lt;"&amp;EOMONTH(DATE(LEFT(SUBSTITUTE(C2699,"'",""),4),MID(SUBSTITUTE(C2699,"'",""),6,2),1),0)+1)</f>
        <v>0</v>
      </c>
      <c r="E2699" s="17">
        <f t="shared" si="1"/>
        <v>147</v>
      </c>
      <c r="F2699" s="17">
        <f t="shared" si="2"/>
        <v>0</v>
      </c>
    </row>
    <row r="2700">
      <c r="A2700" s="5" t="s">
        <v>65</v>
      </c>
      <c r="B2700" s="6">
        <v>73.0</v>
      </c>
      <c r="C2700" s="13" t="s">
        <v>370</v>
      </c>
      <c r="D2700" s="17">
        <f>SUMIFS(ShadowLedger!$D:$D,ShadowLedger!$G:$G,A2700,ShadowLedger!$C:$C,"&gt;="&amp;DATE(LEFT(SUBSTITUTE(C2700,"'",""),4),MID(SUBSTITUTE(C2700,"'",""),6,2),1),ShadowLedger!$C:$C,"&lt;"&amp;EOMONTH(DATE(LEFT(SUBSTITUTE(C2700,"'",""),4),MID(SUBSTITUTE(C2700,"'",""),6,2),1),0)+1)</f>
        <v>0</v>
      </c>
      <c r="E2700" s="17">
        <f t="shared" si="1"/>
        <v>73</v>
      </c>
      <c r="F2700" s="17">
        <f t="shared" si="2"/>
        <v>0</v>
      </c>
    </row>
    <row r="2701">
      <c r="A2701" s="5" t="s">
        <v>66</v>
      </c>
      <c r="B2701" s="6">
        <v>73.0</v>
      </c>
      <c r="C2701" s="13" t="s">
        <v>370</v>
      </c>
      <c r="D2701" s="17">
        <f>SUMIFS(ShadowLedger!$D:$D,ShadowLedger!$G:$G,A2701,ShadowLedger!$C:$C,"&gt;="&amp;DATE(LEFT(SUBSTITUTE(C2701,"'",""),4),MID(SUBSTITUTE(C2701,"'",""),6,2),1),ShadowLedger!$C:$C,"&lt;"&amp;EOMONTH(DATE(LEFT(SUBSTITUTE(C2701,"'",""),4),MID(SUBSTITUTE(C2701,"'",""),6,2),1),0)+1)</f>
        <v>0</v>
      </c>
      <c r="E2701" s="17">
        <f t="shared" si="1"/>
        <v>73</v>
      </c>
      <c r="F2701" s="17">
        <f t="shared" si="2"/>
        <v>0</v>
      </c>
    </row>
    <row r="2702">
      <c r="A2702" s="5" t="s">
        <v>67</v>
      </c>
      <c r="B2702" s="6">
        <v>73.0</v>
      </c>
      <c r="C2702" s="13" t="s">
        <v>370</v>
      </c>
      <c r="D2702" s="17">
        <f>SUMIFS(ShadowLedger!$D:$D,ShadowLedger!$G:$G,A2702,ShadowLedger!$C:$C,"&gt;="&amp;DATE(LEFT(SUBSTITUTE(C2702,"'",""),4),MID(SUBSTITUTE(C2702,"'",""),6,2),1),ShadowLedger!$C:$C,"&lt;"&amp;EOMONTH(DATE(LEFT(SUBSTITUTE(C2702,"'",""),4),MID(SUBSTITUTE(C2702,"'",""),6,2),1),0)+1)</f>
        <v>0</v>
      </c>
      <c r="E2702" s="17">
        <f t="shared" si="1"/>
        <v>73</v>
      </c>
      <c r="F2702" s="17">
        <f t="shared" si="2"/>
        <v>0</v>
      </c>
    </row>
    <row r="2703">
      <c r="A2703" s="5" t="s">
        <v>68</v>
      </c>
      <c r="B2703" s="6">
        <v>73.0</v>
      </c>
      <c r="C2703" s="13" t="s">
        <v>370</v>
      </c>
      <c r="D2703" s="17">
        <f>SUMIFS(ShadowLedger!$D:$D,ShadowLedger!$G:$G,A2703,ShadowLedger!$C:$C,"&gt;="&amp;DATE(LEFT(SUBSTITUTE(C2703,"'",""),4),MID(SUBSTITUTE(C2703,"'",""),6,2),1),ShadowLedger!$C:$C,"&lt;"&amp;EOMONTH(DATE(LEFT(SUBSTITUTE(C2703,"'",""),4),MID(SUBSTITUTE(C2703,"'",""),6,2),1),0)+1)</f>
        <v>0</v>
      </c>
      <c r="E2703" s="17">
        <f t="shared" si="1"/>
        <v>73</v>
      </c>
      <c r="F2703" s="17">
        <f t="shared" si="2"/>
        <v>0</v>
      </c>
    </row>
    <row r="2704">
      <c r="A2704" s="5" t="s">
        <v>69</v>
      </c>
      <c r="B2704" s="6">
        <v>0.0</v>
      </c>
      <c r="C2704" s="13" t="s">
        <v>370</v>
      </c>
      <c r="D2704" s="17">
        <f>SUMIFS(ShadowLedger!$D:$D,ShadowLedger!$G:$G,A2704,ShadowLedger!$C:$C,"&gt;="&amp;DATE(LEFT(SUBSTITUTE(C2704,"'",""),4),MID(SUBSTITUTE(C2704,"'",""),6,2),1),ShadowLedger!$C:$C,"&lt;"&amp;EOMONTH(DATE(LEFT(SUBSTITUTE(C2704,"'",""),4),MID(SUBSTITUTE(C2704,"'",""),6,2),1),0)+1)</f>
        <v>0</v>
      </c>
      <c r="E2704" s="17">
        <f t="shared" si="1"/>
        <v>0</v>
      </c>
      <c r="F2704" s="17">
        <f t="shared" si="2"/>
        <v>0</v>
      </c>
    </row>
    <row r="2705">
      <c r="A2705" s="5" t="s">
        <v>54</v>
      </c>
      <c r="B2705" s="6">
        <v>1351.0</v>
      </c>
      <c r="C2705" s="13" t="s">
        <v>371</v>
      </c>
      <c r="D2705" s="17">
        <f>SUMIFS(ShadowLedger!$D:$D,ShadowLedger!$G:$G,A2705,ShadowLedger!$C:$C,"&gt;="&amp;DATE(LEFT(SUBSTITUTE(C2705,"'",""),4),MID(SUBSTITUTE(C2705,"'",""),6,2),1),ShadowLedger!$C:$C,"&lt;"&amp;EOMONTH(DATE(LEFT(SUBSTITUTE(C2705,"'",""),4),MID(SUBSTITUTE(C2705,"'",""),6,2),1),0)+1)</f>
        <v>0</v>
      </c>
      <c r="E2705" s="17">
        <f t="shared" si="1"/>
        <v>1351</v>
      </c>
      <c r="F2705" s="17">
        <f t="shared" si="2"/>
        <v>0</v>
      </c>
    </row>
    <row r="2706">
      <c r="A2706" s="5" t="s">
        <v>55</v>
      </c>
      <c r="B2706" s="6">
        <v>1028.0</v>
      </c>
      <c r="C2706" s="13" t="s">
        <v>371</v>
      </c>
      <c r="D2706" s="17">
        <f>SUMIFS(ShadowLedger!$D:$D,ShadowLedger!$G:$G,A2706,ShadowLedger!$C:$C,"&gt;="&amp;DATE(LEFT(SUBSTITUTE(C2706,"'",""),4),MID(SUBSTITUTE(C2706,"'",""),6,2),1),ShadowLedger!$C:$C,"&lt;"&amp;EOMONTH(DATE(LEFT(SUBSTITUTE(C2706,"'",""),4),MID(SUBSTITUTE(C2706,"'",""),6,2),1),0)+1)</f>
        <v>0</v>
      </c>
      <c r="E2706" s="17">
        <f t="shared" si="1"/>
        <v>1028</v>
      </c>
      <c r="F2706" s="17">
        <f t="shared" si="2"/>
        <v>0</v>
      </c>
    </row>
    <row r="2707">
      <c r="A2707" s="5" t="s">
        <v>56</v>
      </c>
      <c r="B2707" s="6">
        <v>734.0</v>
      </c>
      <c r="C2707" s="13" t="s">
        <v>371</v>
      </c>
      <c r="D2707" s="17">
        <f>SUMIFS(ShadowLedger!$D:$D,ShadowLedger!$G:$G,A2707,ShadowLedger!$C:$C,"&gt;="&amp;DATE(LEFT(SUBSTITUTE(C2707,"'",""),4),MID(SUBSTITUTE(C2707,"'",""),6,2),1),ShadowLedger!$C:$C,"&lt;"&amp;EOMONTH(DATE(LEFT(SUBSTITUTE(C2707,"'",""),4),MID(SUBSTITUTE(C2707,"'",""),6,2),1),0)+1)</f>
        <v>0</v>
      </c>
      <c r="E2707" s="17">
        <f t="shared" si="1"/>
        <v>734</v>
      </c>
      <c r="F2707" s="17">
        <f t="shared" si="2"/>
        <v>0</v>
      </c>
    </row>
    <row r="2708">
      <c r="A2708" s="5" t="s">
        <v>57</v>
      </c>
      <c r="B2708" s="6">
        <v>734.0</v>
      </c>
      <c r="C2708" s="13" t="s">
        <v>371</v>
      </c>
      <c r="D2708" s="17">
        <f>SUMIFS(ShadowLedger!$D:$D,ShadowLedger!$G:$G,A2708,ShadowLedger!$C:$C,"&gt;="&amp;DATE(LEFT(SUBSTITUTE(C2708,"'",""),4),MID(SUBSTITUTE(C2708,"'",""),6,2),1),ShadowLedger!$C:$C,"&lt;"&amp;EOMONTH(DATE(LEFT(SUBSTITUTE(C2708,"'",""),4),MID(SUBSTITUTE(C2708,"'",""),6,2),1),0)+1)</f>
        <v>0</v>
      </c>
      <c r="E2708" s="17">
        <f t="shared" si="1"/>
        <v>734</v>
      </c>
      <c r="F2708" s="17">
        <f t="shared" si="2"/>
        <v>0</v>
      </c>
    </row>
    <row r="2709">
      <c r="A2709" s="5" t="s">
        <v>58</v>
      </c>
      <c r="B2709" s="6">
        <v>587.0</v>
      </c>
      <c r="C2709" s="13" t="s">
        <v>371</v>
      </c>
      <c r="D2709" s="17">
        <f>SUMIFS(ShadowLedger!$D:$D,ShadowLedger!$G:$G,A2709,ShadowLedger!$C:$C,"&gt;="&amp;DATE(LEFT(SUBSTITUTE(C2709,"'",""),4),MID(SUBSTITUTE(C2709,"'",""),6,2),1),ShadowLedger!$C:$C,"&lt;"&amp;EOMONTH(DATE(LEFT(SUBSTITUTE(C2709,"'",""),4),MID(SUBSTITUTE(C2709,"'",""),6,2),1),0)+1)</f>
        <v>0</v>
      </c>
      <c r="E2709" s="17">
        <f t="shared" si="1"/>
        <v>587</v>
      </c>
      <c r="F2709" s="17">
        <f t="shared" si="2"/>
        <v>0</v>
      </c>
    </row>
    <row r="2710">
      <c r="A2710" s="5" t="s">
        <v>59</v>
      </c>
      <c r="B2710" s="6">
        <v>294.0</v>
      </c>
      <c r="C2710" s="13" t="s">
        <v>371</v>
      </c>
      <c r="D2710" s="17">
        <f>SUMIFS(ShadowLedger!$D:$D,ShadowLedger!$G:$G,A2710,ShadowLedger!$C:$C,"&gt;="&amp;DATE(LEFT(SUBSTITUTE(C2710,"'",""),4),MID(SUBSTITUTE(C2710,"'",""),6,2),1),ShadowLedger!$C:$C,"&lt;"&amp;EOMONTH(DATE(LEFT(SUBSTITUTE(C2710,"'",""),4),MID(SUBSTITUTE(C2710,"'",""),6,2),1),0)+1)</f>
        <v>0</v>
      </c>
      <c r="E2710" s="17">
        <f t="shared" si="1"/>
        <v>294</v>
      </c>
      <c r="F2710" s="17">
        <f t="shared" si="2"/>
        <v>0</v>
      </c>
    </row>
    <row r="2711">
      <c r="A2711" s="5" t="s">
        <v>60</v>
      </c>
      <c r="B2711" s="6">
        <v>220.0</v>
      </c>
      <c r="C2711" s="13" t="s">
        <v>371</v>
      </c>
      <c r="D2711" s="17">
        <f>SUMIFS(ShadowLedger!$D:$D,ShadowLedger!$G:$G,A2711,ShadowLedger!$C:$C,"&gt;="&amp;DATE(LEFT(SUBSTITUTE(C2711,"'",""),4),MID(SUBSTITUTE(C2711,"'",""),6,2),1),ShadowLedger!$C:$C,"&lt;"&amp;EOMONTH(DATE(LEFT(SUBSTITUTE(C2711,"'",""),4),MID(SUBSTITUTE(C2711,"'",""),6,2),1),0)+1)</f>
        <v>0</v>
      </c>
      <c r="E2711" s="17">
        <f t="shared" si="1"/>
        <v>220</v>
      </c>
      <c r="F2711" s="17">
        <f t="shared" si="2"/>
        <v>0</v>
      </c>
    </row>
    <row r="2712">
      <c r="A2712" s="5" t="s">
        <v>61</v>
      </c>
      <c r="B2712" s="6">
        <v>176.0</v>
      </c>
      <c r="C2712" s="13" t="s">
        <v>371</v>
      </c>
      <c r="D2712" s="17">
        <f>SUMIFS(ShadowLedger!$D:$D,ShadowLedger!$G:$G,A2712,ShadowLedger!$C:$C,"&gt;="&amp;DATE(LEFT(SUBSTITUTE(C2712,"'",""),4),MID(SUBSTITUTE(C2712,"'",""),6,2),1),ShadowLedger!$C:$C,"&lt;"&amp;EOMONTH(DATE(LEFT(SUBSTITUTE(C2712,"'",""),4),MID(SUBSTITUTE(C2712,"'",""),6,2),1),0)+1)</f>
        <v>0</v>
      </c>
      <c r="E2712" s="17">
        <f t="shared" si="1"/>
        <v>176</v>
      </c>
      <c r="F2712" s="17">
        <f t="shared" si="2"/>
        <v>0</v>
      </c>
    </row>
    <row r="2713">
      <c r="A2713" s="5" t="s">
        <v>62</v>
      </c>
      <c r="B2713" s="6">
        <v>176.0</v>
      </c>
      <c r="C2713" s="13" t="s">
        <v>371</v>
      </c>
      <c r="D2713" s="17">
        <f>SUMIFS(ShadowLedger!$D:$D,ShadowLedger!$G:$G,A2713,ShadowLedger!$C:$C,"&gt;="&amp;DATE(LEFT(SUBSTITUTE(C2713,"'",""),4),MID(SUBSTITUTE(C2713,"'",""),6,2),1),ShadowLedger!$C:$C,"&lt;"&amp;EOMONTH(DATE(LEFT(SUBSTITUTE(C2713,"'",""),4),MID(SUBSTITUTE(C2713,"'",""),6,2),1),0)+1)</f>
        <v>0</v>
      </c>
      <c r="E2713" s="17">
        <f t="shared" si="1"/>
        <v>176</v>
      </c>
      <c r="F2713" s="17">
        <f t="shared" si="2"/>
        <v>0</v>
      </c>
    </row>
    <row r="2714">
      <c r="A2714" s="5" t="s">
        <v>63</v>
      </c>
      <c r="B2714" s="6">
        <v>147.0</v>
      </c>
      <c r="C2714" s="13" t="s">
        <v>371</v>
      </c>
      <c r="D2714" s="17">
        <f>SUMIFS(ShadowLedger!$D:$D,ShadowLedger!$G:$G,A2714,ShadowLedger!$C:$C,"&gt;="&amp;DATE(LEFT(SUBSTITUTE(C2714,"'",""),4),MID(SUBSTITUTE(C2714,"'",""),6,2),1),ShadowLedger!$C:$C,"&lt;"&amp;EOMONTH(DATE(LEFT(SUBSTITUTE(C2714,"'",""),4),MID(SUBSTITUTE(C2714,"'",""),6,2),1),0)+1)</f>
        <v>0</v>
      </c>
      <c r="E2714" s="17">
        <f t="shared" si="1"/>
        <v>147</v>
      </c>
      <c r="F2714" s="17">
        <f t="shared" si="2"/>
        <v>0</v>
      </c>
    </row>
    <row r="2715">
      <c r="A2715" s="5" t="s">
        <v>64</v>
      </c>
      <c r="B2715" s="6">
        <v>147.0</v>
      </c>
      <c r="C2715" s="13" t="s">
        <v>371</v>
      </c>
      <c r="D2715" s="17">
        <f>SUMIFS(ShadowLedger!$D:$D,ShadowLedger!$G:$G,A2715,ShadowLedger!$C:$C,"&gt;="&amp;DATE(LEFT(SUBSTITUTE(C2715,"'",""),4),MID(SUBSTITUTE(C2715,"'",""),6,2),1),ShadowLedger!$C:$C,"&lt;"&amp;EOMONTH(DATE(LEFT(SUBSTITUTE(C2715,"'",""),4),MID(SUBSTITUTE(C2715,"'",""),6,2),1),0)+1)</f>
        <v>0</v>
      </c>
      <c r="E2715" s="17">
        <f t="shared" si="1"/>
        <v>147</v>
      </c>
      <c r="F2715" s="17">
        <f t="shared" si="2"/>
        <v>0</v>
      </c>
    </row>
    <row r="2716">
      <c r="A2716" s="5" t="s">
        <v>70</v>
      </c>
      <c r="B2716" s="6">
        <v>147.0</v>
      </c>
      <c r="C2716" s="13" t="s">
        <v>371</v>
      </c>
      <c r="D2716" s="17">
        <f>SUMIFS(ShadowLedger!$D:$D,ShadowLedger!$G:$G,A2716,ShadowLedger!$C:$C,"&gt;="&amp;DATE(LEFT(SUBSTITUTE(C2716,"'",""),4),MID(SUBSTITUTE(C2716,"'",""),6,2),1),ShadowLedger!$C:$C,"&lt;"&amp;EOMONTH(DATE(LEFT(SUBSTITUTE(C2716,"'",""),4),MID(SUBSTITUTE(C2716,"'",""),6,2),1),0)+1)</f>
        <v>0</v>
      </c>
      <c r="E2716" s="17">
        <f t="shared" si="1"/>
        <v>147</v>
      </c>
      <c r="F2716" s="17">
        <f t="shared" si="2"/>
        <v>0</v>
      </c>
    </row>
    <row r="2717">
      <c r="A2717" s="5" t="s">
        <v>65</v>
      </c>
      <c r="B2717" s="6">
        <v>73.0</v>
      </c>
      <c r="C2717" s="13" t="s">
        <v>371</v>
      </c>
      <c r="D2717" s="17">
        <f>SUMIFS(ShadowLedger!$D:$D,ShadowLedger!$G:$G,A2717,ShadowLedger!$C:$C,"&gt;="&amp;DATE(LEFT(SUBSTITUTE(C2717,"'",""),4),MID(SUBSTITUTE(C2717,"'",""),6,2),1),ShadowLedger!$C:$C,"&lt;"&amp;EOMONTH(DATE(LEFT(SUBSTITUTE(C2717,"'",""),4),MID(SUBSTITUTE(C2717,"'",""),6,2),1),0)+1)</f>
        <v>0</v>
      </c>
      <c r="E2717" s="17">
        <f t="shared" si="1"/>
        <v>73</v>
      </c>
      <c r="F2717" s="17">
        <f t="shared" si="2"/>
        <v>0</v>
      </c>
    </row>
    <row r="2718">
      <c r="A2718" s="5" t="s">
        <v>66</v>
      </c>
      <c r="B2718" s="6">
        <v>73.0</v>
      </c>
      <c r="C2718" s="13" t="s">
        <v>371</v>
      </c>
      <c r="D2718" s="17">
        <f>SUMIFS(ShadowLedger!$D:$D,ShadowLedger!$G:$G,A2718,ShadowLedger!$C:$C,"&gt;="&amp;DATE(LEFT(SUBSTITUTE(C2718,"'",""),4),MID(SUBSTITUTE(C2718,"'",""),6,2),1),ShadowLedger!$C:$C,"&lt;"&amp;EOMONTH(DATE(LEFT(SUBSTITUTE(C2718,"'",""),4),MID(SUBSTITUTE(C2718,"'",""),6,2),1),0)+1)</f>
        <v>0</v>
      </c>
      <c r="E2718" s="17">
        <f t="shared" si="1"/>
        <v>73</v>
      </c>
      <c r="F2718" s="17">
        <f t="shared" si="2"/>
        <v>0</v>
      </c>
    </row>
    <row r="2719">
      <c r="A2719" s="5" t="s">
        <v>67</v>
      </c>
      <c r="B2719" s="6">
        <v>73.0</v>
      </c>
      <c r="C2719" s="13" t="s">
        <v>371</v>
      </c>
      <c r="D2719" s="17">
        <f>SUMIFS(ShadowLedger!$D:$D,ShadowLedger!$G:$G,A2719,ShadowLedger!$C:$C,"&gt;="&amp;DATE(LEFT(SUBSTITUTE(C2719,"'",""),4),MID(SUBSTITUTE(C2719,"'",""),6,2),1),ShadowLedger!$C:$C,"&lt;"&amp;EOMONTH(DATE(LEFT(SUBSTITUTE(C2719,"'",""),4),MID(SUBSTITUTE(C2719,"'",""),6,2),1),0)+1)</f>
        <v>0</v>
      </c>
      <c r="E2719" s="17">
        <f t="shared" si="1"/>
        <v>73</v>
      </c>
      <c r="F2719" s="17">
        <f t="shared" si="2"/>
        <v>0</v>
      </c>
    </row>
    <row r="2720">
      <c r="A2720" s="5" t="s">
        <v>68</v>
      </c>
      <c r="B2720" s="6">
        <v>73.0</v>
      </c>
      <c r="C2720" s="13" t="s">
        <v>371</v>
      </c>
      <c r="D2720" s="17">
        <f>SUMIFS(ShadowLedger!$D:$D,ShadowLedger!$G:$G,A2720,ShadowLedger!$C:$C,"&gt;="&amp;DATE(LEFT(SUBSTITUTE(C2720,"'",""),4),MID(SUBSTITUTE(C2720,"'",""),6,2),1),ShadowLedger!$C:$C,"&lt;"&amp;EOMONTH(DATE(LEFT(SUBSTITUTE(C2720,"'",""),4),MID(SUBSTITUTE(C2720,"'",""),6,2),1),0)+1)</f>
        <v>0</v>
      </c>
      <c r="E2720" s="17">
        <f t="shared" si="1"/>
        <v>73</v>
      </c>
      <c r="F2720" s="17">
        <f t="shared" si="2"/>
        <v>0</v>
      </c>
    </row>
    <row r="2721">
      <c r="A2721" s="5" t="s">
        <v>69</v>
      </c>
      <c r="B2721" s="6">
        <v>0.0</v>
      </c>
      <c r="C2721" s="13" t="s">
        <v>371</v>
      </c>
      <c r="D2721" s="17">
        <f>SUMIFS(ShadowLedger!$D:$D,ShadowLedger!$G:$G,A2721,ShadowLedger!$C:$C,"&gt;="&amp;DATE(LEFT(SUBSTITUTE(C2721,"'",""),4),MID(SUBSTITUTE(C2721,"'",""),6,2),1),ShadowLedger!$C:$C,"&lt;"&amp;EOMONTH(DATE(LEFT(SUBSTITUTE(C2721,"'",""),4),MID(SUBSTITUTE(C2721,"'",""),6,2),1),0)+1)</f>
        <v>0</v>
      </c>
      <c r="E2721" s="17">
        <f t="shared" si="1"/>
        <v>0</v>
      </c>
      <c r="F2721" s="17">
        <f t="shared" si="2"/>
        <v>0</v>
      </c>
    </row>
    <row r="2722">
      <c r="A2722" s="5" t="s">
        <v>54</v>
      </c>
      <c r="B2722" s="6">
        <v>1351.0</v>
      </c>
      <c r="C2722" s="13" t="s">
        <v>372</v>
      </c>
      <c r="D2722" s="17">
        <f>SUMIFS(ShadowLedger!$D:$D,ShadowLedger!$G:$G,A2722,ShadowLedger!$C:$C,"&gt;="&amp;DATE(LEFT(SUBSTITUTE(C2722,"'",""),4),MID(SUBSTITUTE(C2722,"'",""),6,2),1),ShadowLedger!$C:$C,"&lt;"&amp;EOMONTH(DATE(LEFT(SUBSTITUTE(C2722,"'",""),4),MID(SUBSTITUTE(C2722,"'",""),6,2),1),0)+1)</f>
        <v>0</v>
      </c>
      <c r="E2722" s="17">
        <f t="shared" si="1"/>
        <v>1351</v>
      </c>
      <c r="F2722" s="17">
        <f t="shared" si="2"/>
        <v>0</v>
      </c>
    </row>
    <row r="2723">
      <c r="A2723" s="5" t="s">
        <v>55</v>
      </c>
      <c r="B2723" s="6">
        <v>1028.0</v>
      </c>
      <c r="C2723" s="13" t="s">
        <v>372</v>
      </c>
      <c r="D2723" s="17">
        <f>SUMIFS(ShadowLedger!$D:$D,ShadowLedger!$G:$G,A2723,ShadowLedger!$C:$C,"&gt;="&amp;DATE(LEFT(SUBSTITUTE(C2723,"'",""),4),MID(SUBSTITUTE(C2723,"'",""),6,2),1),ShadowLedger!$C:$C,"&lt;"&amp;EOMONTH(DATE(LEFT(SUBSTITUTE(C2723,"'",""),4),MID(SUBSTITUTE(C2723,"'",""),6,2),1),0)+1)</f>
        <v>0</v>
      </c>
      <c r="E2723" s="17">
        <f t="shared" si="1"/>
        <v>1028</v>
      </c>
      <c r="F2723" s="17">
        <f t="shared" si="2"/>
        <v>0</v>
      </c>
    </row>
    <row r="2724">
      <c r="A2724" s="5" t="s">
        <v>56</v>
      </c>
      <c r="B2724" s="6">
        <v>734.0</v>
      </c>
      <c r="C2724" s="13" t="s">
        <v>372</v>
      </c>
      <c r="D2724" s="17">
        <f>SUMIFS(ShadowLedger!$D:$D,ShadowLedger!$G:$G,A2724,ShadowLedger!$C:$C,"&gt;="&amp;DATE(LEFT(SUBSTITUTE(C2724,"'",""),4),MID(SUBSTITUTE(C2724,"'",""),6,2),1),ShadowLedger!$C:$C,"&lt;"&amp;EOMONTH(DATE(LEFT(SUBSTITUTE(C2724,"'",""),4),MID(SUBSTITUTE(C2724,"'",""),6,2),1),0)+1)</f>
        <v>0</v>
      </c>
      <c r="E2724" s="17">
        <f t="shared" si="1"/>
        <v>734</v>
      </c>
      <c r="F2724" s="17">
        <f t="shared" si="2"/>
        <v>0</v>
      </c>
    </row>
    <row r="2725">
      <c r="A2725" s="5" t="s">
        <v>57</v>
      </c>
      <c r="B2725" s="6">
        <v>734.0</v>
      </c>
      <c r="C2725" s="13" t="s">
        <v>372</v>
      </c>
      <c r="D2725" s="17">
        <f>SUMIFS(ShadowLedger!$D:$D,ShadowLedger!$G:$G,A2725,ShadowLedger!$C:$C,"&gt;="&amp;DATE(LEFT(SUBSTITUTE(C2725,"'",""),4),MID(SUBSTITUTE(C2725,"'",""),6,2),1),ShadowLedger!$C:$C,"&lt;"&amp;EOMONTH(DATE(LEFT(SUBSTITUTE(C2725,"'",""),4),MID(SUBSTITUTE(C2725,"'",""),6,2),1),0)+1)</f>
        <v>0</v>
      </c>
      <c r="E2725" s="17">
        <f t="shared" si="1"/>
        <v>734</v>
      </c>
      <c r="F2725" s="17">
        <f t="shared" si="2"/>
        <v>0</v>
      </c>
    </row>
    <row r="2726">
      <c r="A2726" s="5" t="s">
        <v>58</v>
      </c>
      <c r="B2726" s="6">
        <v>587.0</v>
      </c>
      <c r="C2726" s="13" t="s">
        <v>372</v>
      </c>
      <c r="D2726" s="17">
        <f>SUMIFS(ShadowLedger!$D:$D,ShadowLedger!$G:$G,A2726,ShadowLedger!$C:$C,"&gt;="&amp;DATE(LEFT(SUBSTITUTE(C2726,"'",""),4),MID(SUBSTITUTE(C2726,"'",""),6,2),1),ShadowLedger!$C:$C,"&lt;"&amp;EOMONTH(DATE(LEFT(SUBSTITUTE(C2726,"'",""),4),MID(SUBSTITUTE(C2726,"'",""),6,2),1),0)+1)</f>
        <v>0</v>
      </c>
      <c r="E2726" s="17">
        <f t="shared" si="1"/>
        <v>587</v>
      </c>
      <c r="F2726" s="17">
        <f t="shared" si="2"/>
        <v>0</v>
      </c>
    </row>
    <row r="2727">
      <c r="A2727" s="5" t="s">
        <v>59</v>
      </c>
      <c r="B2727" s="6">
        <v>294.0</v>
      </c>
      <c r="C2727" s="13" t="s">
        <v>372</v>
      </c>
      <c r="D2727" s="17">
        <f>SUMIFS(ShadowLedger!$D:$D,ShadowLedger!$G:$G,A2727,ShadowLedger!$C:$C,"&gt;="&amp;DATE(LEFT(SUBSTITUTE(C2727,"'",""),4),MID(SUBSTITUTE(C2727,"'",""),6,2),1),ShadowLedger!$C:$C,"&lt;"&amp;EOMONTH(DATE(LEFT(SUBSTITUTE(C2727,"'",""),4),MID(SUBSTITUTE(C2727,"'",""),6,2),1),0)+1)</f>
        <v>0</v>
      </c>
      <c r="E2727" s="17">
        <f t="shared" si="1"/>
        <v>294</v>
      </c>
      <c r="F2727" s="17">
        <f t="shared" si="2"/>
        <v>0</v>
      </c>
    </row>
    <row r="2728">
      <c r="A2728" s="5" t="s">
        <v>60</v>
      </c>
      <c r="B2728" s="6">
        <v>220.0</v>
      </c>
      <c r="C2728" s="13" t="s">
        <v>372</v>
      </c>
      <c r="D2728" s="17">
        <f>SUMIFS(ShadowLedger!$D:$D,ShadowLedger!$G:$G,A2728,ShadowLedger!$C:$C,"&gt;="&amp;DATE(LEFT(SUBSTITUTE(C2728,"'",""),4),MID(SUBSTITUTE(C2728,"'",""),6,2),1),ShadowLedger!$C:$C,"&lt;"&amp;EOMONTH(DATE(LEFT(SUBSTITUTE(C2728,"'",""),4),MID(SUBSTITUTE(C2728,"'",""),6,2),1),0)+1)</f>
        <v>0</v>
      </c>
      <c r="E2728" s="17">
        <f t="shared" si="1"/>
        <v>220</v>
      </c>
      <c r="F2728" s="17">
        <f t="shared" si="2"/>
        <v>0</v>
      </c>
    </row>
    <row r="2729">
      <c r="A2729" s="5" t="s">
        <v>61</v>
      </c>
      <c r="B2729" s="6">
        <v>176.0</v>
      </c>
      <c r="C2729" s="13" t="s">
        <v>372</v>
      </c>
      <c r="D2729" s="17">
        <f>SUMIFS(ShadowLedger!$D:$D,ShadowLedger!$G:$G,A2729,ShadowLedger!$C:$C,"&gt;="&amp;DATE(LEFT(SUBSTITUTE(C2729,"'",""),4),MID(SUBSTITUTE(C2729,"'",""),6,2),1),ShadowLedger!$C:$C,"&lt;"&amp;EOMONTH(DATE(LEFT(SUBSTITUTE(C2729,"'",""),4),MID(SUBSTITUTE(C2729,"'",""),6,2),1),0)+1)</f>
        <v>0</v>
      </c>
      <c r="E2729" s="17">
        <f t="shared" si="1"/>
        <v>176</v>
      </c>
      <c r="F2729" s="17">
        <f t="shared" si="2"/>
        <v>0</v>
      </c>
    </row>
    <row r="2730">
      <c r="A2730" s="5" t="s">
        <v>62</v>
      </c>
      <c r="B2730" s="6">
        <v>176.0</v>
      </c>
      <c r="C2730" s="13" t="s">
        <v>372</v>
      </c>
      <c r="D2730" s="17">
        <f>SUMIFS(ShadowLedger!$D:$D,ShadowLedger!$G:$G,A2730,ShadowLedger!$C:$C,"&gt;="&amp;DATE(LEFT(SUBSTITUTE(C2730,"'",""),4),MID(SUBSTITUTE(C2730,"'",""),6,2),1),ShadowLedger!$C:$C,"&lt;"&amp;EOMONTH(DATE(LEFT(SUBSTITUTE(C2730,"'",""),4),MID(SUBSTITUTE(C2730,"'",""),6,2),1),0)+1)</f>
        <v>0</v>
      </c>
      <c r="E2730" s="17">
        <f t="shared" si="1"/>
        <v>176</v>
      </c>
      <c r="F2730" s="17">
        <f t="shared" si="2"/>
        <v>0</v>
      </c>
    </row>
    <row r="2731">
      <c r="A2731" s="5" t="s">
        <v>63</v>
      </c>
      <c r="B2731" s="6">
        <v>147.0</v>
      </c>
      <c r="C2731" s="13" t="s">
        <v>372</v>
      </c>
      <c r="D2731" s="17">
        <f>SUMIFS(ShadowLedger!$D:$D,ShadowLedger!$G:$G,A2731,ShadowLedger!$C:$C,"&gt;="&amp;DATE(LEFT(SUBSTITUTE(C2731,"'",""),4),MID(SUBSTITUTE(C2731,"'",""),6,2),1),ShadowLedger!$C:$C,"&lt;"&amp;EOMONTH(DATE(LEFT(SUBSTITUTE(C2731,"'",""),4),MID(SUBSTITUTE(C2731,"'",""),6,2),1),0)+1)</f>
        <v>0</v>
      </c>
      <c r="E2731" s="17">
        <f t="shared" si="1"/>
        <v>147</v>
      </c>
      <c r="F2731" s="17">
        <f t="shared" si="2"/>
        <v>0</v>
      </c>
    </row>
    <row r="2732">
      <c r="A2732" s="5" t="s">
        <v>64</v>
      </c>
      <c r="B2732" s="6">
        <v>147.0</v>
      </c>
      <c r="C2732" s="13" t="s">
        <v>372</v>
      </c>
      <c r="D2732" s="17">
        <f>SUMIFS(ShadowLedger!$D:$D,ShadowLedger!$G:$G,A2732,ShadowLedger!$C:$C,"&gt;="&amp;DATE(LEFT(SUBSTITUTE(C2732,"'",""),4),MID(SUBSTITUTE(C2732,"'",""),6,2),1),ShadowLedger!$C:$C,"&lt;"&amp;EOMONTH(DATE(LEFT(SUBSTITUTE(C2732,"'",""),4),MID(SUBSTITUTE(C2732,"'",""),6,2),1),0)+1)</f>
        <v>0</v>
      </c>
      <c r="E2732" s="17">
        <f t="shared" si="1"/>
        <v>147</v>
      </c>
      <c r="F2732" s="17">
        <f t="shared" si="2"/>
        <v>0</v>
      </c>
    </row>
    <row r="2733">
      <c r="A2733" s="5" t="s">
        <v>70</v>
      </c>
      <c r="B2733" s="6">
        <v>147.0</v>
      </c>
      <c r="C2733" s="13" t="s">
        <v>372</v>
      </c>
      <c r="D2733" s="17">
        <f>SUMIFS(ShadowLedger!$D:$D,ShadowLedger!$G:$G,A2733,ShadowLedger!$C:$C,"&gt;="&amp;DATE(LEFT(SUBSTITUTE(C2733,"'",""),4),MID(SUBSTITUTE(C2733,"'",""),6,2),1),ShadowLedger!$C:$C,"&lt;"&amp;EOMONTH(DATE(LEFT(SUBSTITUTE(C2733,"'",""),4),MID(SUBSTITUTE(C2733,"'",""),6,2),1),0)+1)</f>
        <v>0</v>
      </c>
      <c r="E2733" s="17">
        <f t="shared" si="1"/>
        <v>147</v>
      </c>
      <c r="F2733" s="17">
        <f t="shared" si="2"/>
        <v>0</v>
      </c>
    </row>
    <row r="2734">
      <c r="A2734" s="5" t="s">
        <v>65</v>
      </c>
      <c r="B2734" s="6">
        <v>73.0</v>
      </c>
      <c r="C2734" s="13" t="s">
        <v>372</v>
      </c>
      <c r="D2734" s="17">
        <f>SUMIFS(ShadowLedger!$D:$D,ShadowLedger!$G:$G,A2734,ShadowLedger!$C:$C,"&gt;="&amp;DATE(LEFT(SUBSTITUTE(C2734,"'",""),4),MID(SUBSTITUTE(C2734,"'",""),6,2),1),ShadowLedger!$C:$C,"&lt;"&amp;EOMONTH(DATE(LEFT(SUBSTITUTE(C2734,"'",""),4),MID(SUBSTITUTE(C2734,"'",""),6,2),1),0)+1)</f>
        <v>0</v>
      </c>
      <c r="E2734" s="17">
        <f t="shared" si="1"/>
        <v>73</v>
      </c>
      <c r="F2734" s="17">
        <f t="shared" si="2"/>
        <v>0</v>
      </c>
    </row>
    <row r="2735">
      <c r="A2735" s="5" t="s">
        <v>66</v>
      </c>
      <c r="B2735" s="6">
        <v>73.0</v>
      </c>
      <c r="C2735" s="13" t="s">
        <v>372</v>
      </c>
      <c r="D2735" s="17">
        <f>SUMIFS(ShadowLedger!$D:$D,ShadowLedger!$G:$G,A2735,ShadowLedger!$C:$C,"&gt;="&amp;DATE(LEFT(SUBSTITUTE(C2735,"'",""),4),MID(SUBSTITUTE(C2735,"'",""),6,2),1),ShadowLedger!$C:$C,"&lt;"&amp;EOMONTH(DATE(LEFT(SUBSTITUTE(C2735,"'",""),4),MID(SUBSTITUTE(C2735,"'",""),6,2),1),0)+1)</f>
        <v>0</v>
      </c>
      <c r="E2735" s="17">
        <f t="shared" si="1"/>
        <v>73</v>
      </c>
      <c r="F2735" s="17">
        <f t="shared" si="2"/>
        <v>0</v>
      </c>
    </row>
    <row r="2736">
      <c r="A2736" s="5" t="s">
        <v>67</v>
      </c>
      <c r="B2736" s="6">
        <v>73.0</v>
      </c>
      <c r="C2736" s="13" t="s">
        <v>372</v>
      </c>
      <c r="D2736" s="17">
        <f>SUMIFS(ShadowLedger!$D:$D,ShadowLedger!$G:$G,A2736,ShadowLedger!$C:$C,"&gt;="&amp;DATE(LEFT(SUBSTITUTE(C2736,"'",""),4),MID(SUBSTITUTE(C2736,"'",""),6,2),1),ShadowLedger!$C:$C,"&lt;"&amp;EOMONTH(DATE(LEFT(SUBSTITUTE(C2736,"'",""),4),MID(SUBSTITUTE(C2736,"'",""),6,2),1),0)+1)</f>
        <v>0</v>
      </c>
      <c r="E2736" s="17">
        <f t="shared" si="1"/>
        <v>73</v>
      </c>
      <c r="F2736" s="17">
        <f t="shared" si="2"/>
        <v>0</v>
      </c>
    </row>
    <row r="2737">
      <c r="A2737" s="5" t="s">
        <v>68</v>
      </c>
      <c r="B2737" s="6">
        <v>73.0</v>
      </c>
      <c r="C2737" s="13" t="s">
        <v>372</v>
      </c>
      <c r="D2737" s="17">
        <f>SUMIFS(ShadowLedger!$D:$D,ShadowLedger!$G:$G,A2737,ShadowLedger!$C:$C,"&gt;="&amp;DATE(LEFT(SUBSTITUTE(C2737,"'",""),4),MID(SUBSTITUTE(C2737,"'",""),6,2),1),ShadowLedger!$C:$C,"&lt;"&amp;EOMONTH(DATE(LEFT(SUBSTITUTE(C2737,"'",""),4),MID(SUBSTITUTE(C2737,"'",""),6,2),1),0)+1)</f>
        <v>0</v>
      </c>
      <c r="E2737" s="17">
        <f t="shared" si="1"/>
        <v>73</v>
      </c>
      <c r="F2737" s="17">
        <f t="shared" si="2"/>
        <v>0</v>
      </c>
    </row>
    <row r="2738">
      <c r="A2738" s="5" t="s">
        <v>69</v>
      </c>
      <c r="B2738" s="6">
        <v>0.0</v>
      </c>
      <c r="C2738" s="13" t="s">
        <v>372</v>
      </c>
      <c r="D2738" s="17">
        <f>SUMIFS(ShadowLedger!$D:$D,ShadowLedger!$G:$G,A2738,ShadowLedger!$C:$C,"&gt;="&amp;DATE(LEFT(SUBSTITUTE(C2738,"'",""),4),MID(SUBSTITUTE(C2738,"'",""),6,2),1),ShadowLedger!$C:$C,"&lt;"&amp;EOMONTH(DATE(LEFT(SUBSTITUTE(C2738,"'",""),4),MID(SUBSTITUTE(C2738,"'",""),6,2),1),0)+1)</f>
        <v>0</v>
      </c>
      <c r="E2738" s="17">
        <f t="shared" si="1"/>
        <v>0</v>
      </c>
      <c r="F2738" s="17">
        <f t="shared" si="2"/>
        <v>0</v>
      </c>
    </row>
    <row r="2739">
      <c r="A2739" s="5" t="s">
        <v>54</v>
      </c>
      <c r="B2739" s="6">
        <v>1351.0</v>
      </c>
      <c r="C2739" s="13" t="s">
        <v>373</v>
      </c>
      <c r="D2739" s="17">
        <f>SUMIFS(ShadowLedger!$D:$D,ShadowLedger!$G:$G,A2739,ShadowLedger!$C:$C,"&gt;="&amp;DATE(LEFT(SUBSTITUTE(C2739,"'",""),4),MID(SUBSTITUTE(C2739,"'",""),6,2),1),ShadowLedger!$C:$C,"&lt;"&amp;EOMONTH(DATE(LEFT(SUBSTITUTE(C2739,"'",""),4),MID(SUBSTITUTE(C2739,"'",""),6,2),1),0)+1)</f>
        <v>0</v>
      </c>
      <c r="E2739" s="17">
        <f t="shared" si="1"/>
        <v>1351</v>
      </c>
      <c r="F2739" s="17">
        <f t="shared" si="2"/>
        <v>0</v>
      </c>
    </row>
    <row r="2740">
      <c r="A2740" s="5" t="s">
        <v>55</v>
      </c>
      <c r="B2740" s="6">
        <v>1028.0</v>
      </c>
      <c r="C2740" s="13" t="s">
        <v>373</v>
      </c>
      <c r="D2740" s="17">
        <f>SUMIFS(ShadowLedger!$D:$D,ShadowLedger!$G:$G,A2740,ShadowLedger!$C:$C,"&gt;="&amp;DATE(LEFT(SUBSTITUTE(C2740,"'",""),4),MID(SUBSTITUTE(C2740,"'",""),6,2),1),ShadowLedger!$C:$C,"&lt;"&amp;EOMONTH(DATE(LEFT(SUBSTITUTE(C2740,"'",""),4),MID(SUBSTITUTE(C2740,"'",""),6,2),1),0)+1)</f>
        <v>0</v>
      </c>
      <c r="E2740" s="17">
        <f t="shared" si="1"/>
        <v>1028</v>
      </c>
      <c r="F2740" s="17">
        <f t="shared" si="2"/>
        <v>0</v>
      </c>
    </row>
    <row r="2741">
      <c r="A2741" s="5" t="s">
        <v>56</v>
      </c>
      <c r="B2741" s="6">
        <v>734.0</v>
      </c>
      <c r="C2741" s="13" t="s">
        <v>373</v>
      </c>
      <c r="D2741" s="17">
        <f>SUMIFS(ShadowLedger!$D:$D,ShadowLedger!$G:$G,A2741,ShadowLedger!$C:$C,"&gt;="&amp;DATE(LEFT(SUBSTITUTE(C2741,"'",""),4),MID(SUBSTITUTE(C2741,"'",""),6,2),1),ShadowLedger!$C:$C,"&lt;"&amp;EOMONTH(DATE(LEFT(SUBSTITUTE(C2741,"'",""),4),MID(SUBSTITUTE(C2741,"'",""),6,2),1),0)+1)</f>
        <v>0</v>
      </c>
      <c r="E2741" s="17">
        <f t="shared" si="1"/>
        <v>734</v>
      </c>
      <c r="F2741" s="17">
        <f t="shared" si="2"/>
        <v>0</v>
      </c>
    </row>
    <row r="2742">
      <c r="A2742" s="5" t="s">
        <v>57</v>
      </c>
      <c r="B2742" s="6">
        <v>734.0</v>
      </c>
      <c r="C2742" s="13" t="s">
        <v>373</v>
      </c>
      <c r="D2742" s="17">
        <f>SUMIFS(ShadowLedger!$D:$D,ShadowLedger!$G:$G,A2742,ShadowLedger!$C:$C,"&gt;="&amp;DATE(LEFT(SUBSTITUTE(C2742,"'",""),4),MID(SUBSTITUTE(C2742,"'",""),6,2),1),ShadowLedger!$C:$C,"&lt;"&amp;EOMONTH(DATE(LEFT(SUBSTITUTE(C2742,"'",""),4),MID(SUBSTITUTE(C2742,"'",""),6,2),1),0)+1)</f>
        <v>0</v>
      </c>
      <c r="E2742" s="17">
        <f t="shared" si="1"/>
        <v>734</v>
      </c>
      <c r="F2742" s="17">
        <f t="shared" si="2"/>
        <v>0</v>
      </c>
    </row>
    <row r="2743">
      <c r="A2743" s="5" t="s">
        <v>58</v>
      </c>
      <c r="B2743" s="6">
        <v>587.0</v>
      </c>
      <c r="C2743" s="13" t="s">
        <v>373</v>
      </c>
      <c r="D2743" s="17">
        <f>SUMIFS(ShadowLedger!$D:$D,ShadowLedger!$G:$G,A2743,ShadowLedger!$C:$C,"&gt;="&amp;DATE(LEFT(SUBSTITUTE(C2743,"'",""),4),MID(SUBSTITUTE(C2743,"'",""),6,2),1),ShadowLedger!$C:$C,"&lt;"&amp;EOMONTH(DATE(LEFT(SUBSTITUTE(C2743,"'",""),4),MID(SUBSTITUTE(C2743,"'",""),6,2),1),0)+1)</f>
        <v>0</v>
      </c>
      <c r="E2743" s="17">
        <f t="shared" si="1"/>
        <v>587</v>
      </c>
      <c r="F2743" s="17">
        <f t="shared" si="2"/>
        <v>0</v>
      </c>
    </row>
    <row r="2744">
      <c r="A2744" s="5" t="s">
        <v>59</v>
      </c>
      <c r="B2744" s="6">
        <v>294.0</v>
      </c>
      <c r="C2744" s="13" t="s">
        <v>373</v>
      </c>
      <c r="D2744" s="17">
        <f>SUMIFS(ShadowLedger!$D:$D,ShadowLedger!$G:$G,A2744,ShadowLedger!$C:$C,"&gt;="&amp;DATE(LEFT(SUBSTITUTE(C2744,"'",""),4),MID(SUBSTITUTE(C2744,"'",""),6,2),1),ShadowLedger!$C:$C,"&lt;"&amp;EOMONTH(DATE(LEFT(SUBSTITUTE(C2744,"'",""),4),MID(SUBSTITUTE(C2744,"'",""),6,2),1),0)+1)</f>
        <v>0</v>
      </c>
      <c r="E2744" s="17">
        <f t="shared" si="1"/>
        <v>294</v>
      </c>
      <c r="F2744" s="17">
        <f t="shared" si="2"/>
        <v>0</v>
      </c>
    </row>
    <row r="2745">
      <c r="A2745" s="5" t="s">
        <v>60</v>
      </c>
      <c r="B2745" s="6">
        <v>220.0</v>
      </c>
      <c r="C2745" s="13" t="s">
        <v>373</v>
      </c>
      <c r="D2745" s="17">
        <f>SUMIFS(ShadowLedger!$D:$D,ShadowLedger!$G:$G,A2745,ShadowLedger!$C:$C,"&gt;="&amp;DATE(LEFT(SUBSTITUTE(C2745,"'",""),4),MID(SUBSTITUTE(C2745,"'",""),6,2),1),ShadowLedger!$C:$C,"&lt;"&amp;EOMONTH(DATE(LEFT(SUBSTITUTE(C2745,"'",""),4),MID(SUBSTITUTE(C2745,"'",""),6,2),1),0)+1)</f>
        <v>0</v>
      </c>
      <c r="E2745" s="17">
        <f t="shared" si="1"/>
        <v>220</v>
      </c>
      <c r="F2745" s="17">
        <f t="shared" si="2"/>
        <v>0</v>
      </c>
    </row>
    <row r="2746">
      <c r="A2746" s="5" t="s">
        <v>61</v>
      </c>
      <c r="B2746" s="6">
        <v>176.0</v>
      </c>
      <c r="C2746" s="13" t="s">
        <v>373</v>
      </c>
      <c r="D2746" s="17">
        <f>SUMIFS(ShadowLedger!$D:$D,ShadowLedger!$G:$G,A2746,ShadowLedger!$C:$C,"&gt;="&amp;DATE(LEFT(SUBSTITUTE(C2746,"'",""),4),MID(SUBSTITUTE(C2746,"'",""),6,2),1),ShadowLedger!$C:$C,"&lt;"&amp;EOMONTH(DATE(LEFT(SUBSTITUTE(C2746,"'",""),4),MID(SUBSTITUTE(C2746,"'",""),6,2),1),0)+1)</f>
        <v>0</v>
      </c>
      <c r="E2746" s="17">
        <f t="shared" si="1"/>
        <v>176</v>
      </c>
      <c r="F2746" s="17">
        <f t="shared" si="2"/>
        <v>0</v>
      </c>
    </row>
    <row r="2747">
      <c r="A2747" s="5" t="s">
        <v>62</v>
      </c>
      <c r="B2747" s="6">
        <v>176.0</v>
      </c>
      <c r="C2747" s="13" t="s">
        <v>373</v>
      </c>
      <c r="D2747" s="17">
        <f>SUMIFS(ShadowLedger!$D:$D,ShadowLedger!$G:$G,A2747,ShadowLedger!$C:$C,"&gt;="&amp;DATE(LEFT(SUBSTITUTE(C2747,"'",""),4),MID(SUBSTITUTE(C2747,"'",""),6,2),1),ShadowLedger!$C:$C,"&lt;"&amp;EOMONTH(DATE(LEFT(SUBSTITUTE(C2747,"'",""),4),MID(SUBSTITUTE(C2747,"'",""),6,2),1),0)+1)</f>
        <v>0</v>
      </c>
      <c r="E2747" s="17">
        <f t="shared" si="1"/>
        <v>176</v>
      </c>
      <c r="F2747" s="17">
        <f t="shared" si="2"/>
        <v>0</v>
      </c>
    </row>
    <row r="2748">
      <c r="A2748" s="5" t="s">
        <v>63</v>
      </c>
      <c r="B2748" s="6">
        <v>147.0</v>
      </c>
      <c r="C2748" s="13" t="s">
        <v>373</v>
      </c>
      <c r="D2748" s="17">
        <f>SUMIFS(ShadowLedger!$D:$D,ShadowLedger!$G:$G,A2748,ShadowLedger!$C:$C,"&gt;="&amp;DATE(LEFT(SUBSTITUTE(C2748,"'",""),4),MID(SUBSTITUTE(C2748,"'",""),6,2),1),ShadowLedger!$C:$C,"&lt;"&amp;EOMONTH(DATE(LEFT(SUBSTITUTE(C2748,"'",""),4),MID(SUBSTITUTE(C2748,"'",""),6,2),1),0)+1)</f>
        <v>0</v>
      </c>
      <c r="E2748" s="17">
        <f t="shared" si="1"/>
        <v>147</v>
      </c>
      <c r="F2748" s="17">
        <f t="shared" si="2"/>
        <v>0</v>
      </c>
    </row>
    <row r="2749">
      <c r="A2749" s="5" t="s">
        <v>64</v>
      </c>
      <c r="B2749" s="6">
        <v>147.0</v>
      </c>
      <c r="C2749" s="13" t="s">
        <v>373</v>
      </c>
      <c r="D2749" s="17">
        <f>SUMIFS(ShadowLedger!$D:$D,ShadowLedger!$G:$G,A2749,ShadowLedger!$C:$C,"&gt;="&amp;DATE(LEFT(SUBSTITUTE(C2749,"'",""),4),MID(SUBSTITUTE(C2749,"'",""),6,2),1),ShadowLedger!$C:$C,"&lt;"&amp;EOMONTH(DATE(LEFT(SUBSTITUTE(C2749,"'",""),4),MID(SUBSTITUTE(C2749,"'",""),6,2),1),0)+1)</f>
        <v>0</v>
      </c>
      <c r="E2749" s="17">
        <f t="shared" si="1"/>
        <v>147</v>
      </c>
      <c r="F2749" s="17">
        <f t="shared" si="2"/>
        <v>0</v>
      </c>
    </row>
    <row r="2750">
      <c r="A2750" s="5" t="s">
        <v>70</v>
      </c>
      <c r="B2750" s="6">
        <v>147.0</v>
      </c>
      <c r="C2750" s="13" t="s">
        <v>373</v>
      </c>
      <c r="D2750" s="17">
        <f>SUMIFS(ShadowLedger!$D:$D,ShadowLedger!$G:$G,A2750,ShadowLedger!$C:$C,"&gt;="&amp;DATE(LEFT(SUBSTITUTE(C2750,"'",""),4),MID(SUBSTITUTE(C2750,"'",""),6,2),1),ShadowLedger!$C:$C,"&lt;"&amp;EOMONTH(DATE(LEFT(SUBSTITUTE(C2750,"'",""),4),MID(SUBSTITUTE(C2750,"'",""),6,2),1),0)+1)</f>
        <v>0</v>
      </c>
      <c r="E2750" s="17">
        <f t="shared" si="1"/>
        <v>147</v>
      </c>
      <c r="F2750" s="17">
        <f t="shared" si="2"/>
        <v>0</v>
      </c>
    </row>
    <row r="2751">
      <c r="A2751" s="5" t="s">
        <v>65</v>
      </c>
      <c r="B2751" s="6">
        <v>73.0</v>
      </c>
      <c r="C2751" s="13" t="s">
        <v>373</v>
      </c>
      <c r="D2751" s="17">
        <f>SUMIFS(ShadowLedger!$D:$D,ShadowLedger!$G:$G,A2751,ShadowLedger!$C:$C,"&gt;="&amp;DATE(LEFT(SUBSTITUTE(C2751,"'",""),4),MID(SUBSTITUTE(C2751,"'",""),6,2),1),ShadowLedger!$C:$C,"&lt;"&amp;EOMONTH(DATE(LEFT(SUBSTITUTE(C2751,"'",""),4),MID(SUBSTITUTE(C2751,"'",""),6,2),1),0)+1)</f>
        <v>0</v>
      </c>
      <c r="E2751" s="17">
        <f t="shared" si="1"/>
        <v>73</v>
      </c>
      <c r="F2751" s="17">
        <f t="shared" si="2"/>
        <v>0</v>
      </c>
    </row>
    <row r="2752">
      <c r="A2752" s="5" t="s">
        <v>66</v>
      </c>
      <c r="B2752" s="6">
        <v>73.0</v>
      </c>
      <c r="C2752" s="13" t="s">
        <v>373</v>
      </c>
      <c r="D2752" s="17">
        <f>SUMIFS(ShadowLedger!$D:$D,ShadowLedger!$G:$G,A2752,ShadowLedger!$C:$C,"&gt;="&amp;DATE(LEFT(SUBSTITUTE(C2752,"'",""),4),MID(SUBSTITUTE(C2752,"'",""),6,2),1),ShadowLedger!$C:$C,"&lt;"&amp;EOMONTH(DATE(LEFT(SUBSTITUTE(C2752,"'",""),4),MID(SUBSTITUTE(C2752,"'",""),6,2),1),0)+1)</f>
        <v>0</v>
      </c>
      <c r="E2752" s="17">
        <f t="shared" si="1"/>
        <v>73</v>
      </c>
      <c r="F2752" s="17">
        <f t="shared" si="2"/>
        <v>0</v>
      </c>
    </row>
    <row r="2753">
      <c r="A2753" s="5" t="s">
        <v>67</v>
      </c>
      <c r="B2753" s="6">
        <v>73.0</v>
      </c>
      <c r="C2753" s="13" t="s">
        <v>373</v>
      </c>
      <c r="D2753" s="17">
        <f>SUMIFS(ShadowLedger!$D:$D,ShadowLedger!$G:$G,A2753,ShadowLedger!$C:$C,"&gt;="&amp;DATE(LEFT(SUBSTITUTE(C2753,"'",""),4),MID(SUBSTITUTE(C2753,"'",""),6,2),1),ShadowLedger!$C:$C,"&lt;"&amp;EOMONTH(DATE(LEFT(SUBSTITUTE(C2753,"'",""),4),MID(SUBSTITUTE(C2753,"'",""),6,2),1),0)+1)</f>
        <v>0</v>
      </c>
      <c r="E2753" s="17">
        <f t="shared" si="1"/>
        <v>73</v>
      </c>
      <c r="F2753" s="17">
        <f t="shared" si="2"/>
        <v>0</v>
      </c>
    </row>
    <row r="2754">
      <c r="A2754" s="5" t="s">
        <v>68</v>
      </c>
      <c r="B2754" s="6">
        <v>73.0</v>
      </c>
      <c r="C2754" s="13" t="s">
        <v>373</v>
      </c>
      <c r="D2754" s="17">
        <f>SUMIFS(ShadowLedger!$D:$D,ShadowLedger!$G:$G,A2754,ShadowLedger!$C:$C,"&gt;="&amp;DATE(LEFT(SUBSTITUTE(C2754,"'",""),4),MID(SUBSTITUTE(C2754,"'",""),6,2),1),ShadowLedger!$C:$C,"&lt;"&amp;EOMONTH(DATE(LEFT(SUBSTITUTE(C2754,"'",""),4),MID(SUBSTITUTE(C2754,"'",""),6,2),1),0)+1)</f>
        <v>0</v>
      </c>
      <c r="E2754" s="17">
        <f t="shared" si="1"/>
        <v>73</v>
      </c>
      <c r="F2754" s="17">
        <f t="shared" si="2"/>
        <v>0</v>
      </c>
    </row>
    <row r="2755">
      <c r="A2755" s="5" t="s">
        <v>69</v>
      </c>
      <c r="B2755" s="6">
        <v>0.0</v>
      </c>
      <c r="C2755" s="13" t="s">
        <v>373</v>
      </c>
      <c r="D2755" s="17">
        <f>SUMIFS(ShadowLedger!$D:$D,ShadowLedger!$G:$G,A2755,ShadowLedger!$C:$C,"&gt;="&amp;DATE(LEFT(SUBSTITUTE(C2755,"'",""),4),MID(SUBSTITUTE(C2755,"'",""),6,2),1),ShadowLedger!$C:$C,"&lt;"&amp;EOMONTH(DATE(LEFT(SUBSTITUTE(C2755,"'",""),4),MID(SUBSTITUTE(C2755,"'",""),6,2),1),0)+1)</f>
        <v>0</v>
      </c>
      <c r="E2755" s="17">
        <f t="shared" si="1"/>
        <v>0</v>
      </c>
      <c r="F2755" s="17">
        <f t="shared" si="2"/>
        <v>0</v>
      </c>
    </row>
    <row r="2756">
      <c r="A2756" s="5" t="s">
        <v>54</v>
      </c>
      <c r="B2756" s="6">
        <v>1351.0</v>
      </c>
      <c r="C2756" s="13" t="s">
        <v>374</v>
      </c>
      <c r="D2756" s="17">
        <f>SUMIFS(ShadowLedger!$D:$D,ShadowLedger!$G:$G,A2756,ShadowLedger!$C:$C,"&gt;="&amp;DATE(LEFT(SUBSTITUTE(C2756,"'",""),4),MID(SUBSTITUTE(C2756,"'",""),6,2),1),ShadowLedger!$C:$C,"&lt;"&amp;EOMONTH(DATE(LEFT(SUBSTITUTE(C2756,"'",""),4),MID(SUBSTITUTE(C2756,"'",""),6,2),1),0)+1)</f>
        <v>0</v>
      </c>
      <c r="E2756" s="17">
        <f t="shared" si="1"/>
        <v>1351</v>
      </c>
      <c r="F2756" s="17">
        <f t="shared" si="2"/>
        <v>0</v>
      </c>
    </row>
    <row r="2757">
      <c r="A2757" s="5" t="s">
        <v>55</v>
      </c>
      <c r="B2757" s="6">
        <v>1028.0</v>
      </c>
      <c r="C2757" s="13" t="s">
        <v>374</v>
      </c>
      <c r="D2757" s="17">
        <f>SUMIFS(ShadowLedger!$D:$D,ShadowLedger!$G:$G,A2757,ShadowLedger!$C:$C,"&gt;="&amp;DATE(LEFT(SUBSTITUTE(C2757,"'",""),4),MID(SUBSTITUTE(C2757,"'",""),6,2),1),ShadowLedger!$C:$C,"&lt;"&amp;EOMONTH(DATE(LEFT(SUBSTITUTE(C2757,"'",""),4),MID(SUBSTITUTE(C2757,"'",""),6,2),1),0)+1)</f>
        <v>0</v>
      </c>
      <c r="E2757" s="17">
        <f t="shared" si="1"/>
        <v>1028</v>
      </c>
      <c r="F2757" s="17">
        <f t="shared" si="2"/>
        <v>0</v>
      </c>
    </row>
    <row r="2758">
      <c r="A2758" s="5" t="s">
        <v>56</v>
      </c>
      <c r="B2758" s="6">
        <v>734.0</v>
      </c>
      <c r="C2758" s="13" t="s">
        <v>374</v>
      </c>
      <c r="D2758" s="17">
        <f>SUMIFS(ShadowLedger!$D:$D,ShadowLedger!$G:$G,A2758,ShadowLedger!$C:$C,"&gt;="&amp;DATE(LEFT(SUBSTITUTE(C2758,"'",""),4),MID(SUBSTITUTE(C2758,"'",""),6,2),1),ShadowLedger!$C:$C,"&lt;"&amp;EOMONTH(DATE(LEFT(SUBSTITUTE(C2758,"'",""),4),MID(SUBSTITUTE(C2758,"'",""),6,2),1),0)+1)</f>
        <v>0</v>
      </c>
      <c r="E2758" s="17">
        <f t="shared" si="1"/>
        <v>734</v>
      </c>
      <c r="F2758" s="17">
        <f t="shared" si="2"/>
        <v>0</v>
      </c>
    </row>
    <row r="2759">
      <c r="A2759" s="5" t="s">
        <v>57</v>
      </c>
      <c r="B2759" s="6">
        <v>734.0</v>
      </c>
      <c r="C2759" s="13" t="s">
        <v>374</v>
      </c>
      <c r="D2759" s="17">
        <f>SUMIFS(ShadowLedger!$D:$D,ShadowLedger!$G:$G,A2759,ShadowLedger!$C:$C,"&gt;="&amp;DATE(LEFT(SUBSTITUTE(C2759,"'",""),4),MID(SUBSTITUTE(C2759,"'",""),6,2),1),ShadowLedger!$C:$C,"&lt;"&amp;EOMONTH(DATE(LEFT(SUBSTITUTE(C2759,"'",""),4),MID(SUBSTITUTE(C2759,"'",""),6,2),1),0)+1)</f>
        <v>0</v>
      </c>
      <c r="E2759" s="17">
        <f t="shared" si="1"/>
        <v>734</v>
      </c>
      <c r="F2759" s="17">
        <f t="shared" si="2"/>
        <v>0</v>
      </c>
    </row>
    <row r="2760">
      <c r="A2760" s="5" t="s">
        <v>58</v>
      </c>
      <c r="B2760" s="6">
        <v>587.0</v>
      </c>
      <c r="C2760" s="13" t="s">
        <v>374</v>
      </c>
      <c r="D2760" s="17">
        <f>SUMIFS(ShadowLedger!$D:$D,ShadowLedger!$G:$G,A2760,ShadowLedger!$C:$C,"&gt;="&amp;DATE(LEFT(SUBSTITUTE(C2760,"'",""),4),MID(SUBSTITUTE(C2760,"'",""),6,2),1),ShadowLedger!$C:$C,"&lt;"&amp;EOMONTH(DATE(LEFT(SUBSTITUTE(C2760,"'",""),4),MID(SUBSTITUTE(C2760,"'",""),6,2),1),0)+1)</f>
        <v>0</v>
      </c>
      <c r="E2760" s="17">
        <f t="shared" si="1"/>
        <v>587</v>
      </c>
      <c r="F2760" s="17">
        <f t="shared" si="2"/>
        <v>0</v>
      </c>
    </row>
    <row r="2761">
      <c r="A2761" s="5" t="s">
        <v>59</v>
      </c>
      <c r="B2761" s="6">
        <v>294.0</v>
      </c>
      <c r="C2761" s="13" t="s">
        <v>374</v>
      </c>
      <c r="D2761" s="17">
        <f>SUMIFS(ShadowLedger!$D:$D,ShadowLedger!$G:$G,A2761,ShadowLedger!$C:$C,"&gt;="&amp;DATE(LEFT(SUBSTITUTE(C2761,"'",""),4),MID(SUBSTITUTE(C2761,"'",""),6,2),1),ShadowLedger!$C:$C,"&lt;"&amp;EOMONTH(DATE(LEFT(SUBSTITUTE(C2761,"'",""),4),MID(SUBSTITUTE(C2761,"'",""),6,2),1),0)+1)</f>
        <v>0</v>
      </c>
      <c r="E2761" s="17">
        <f t="shared" si="1"/>
        <v>294</v>
      </c>
      <c r="F2761" s="17">
        <f t="shared" si="2"/>
        <v>0</v>
      </c>
    </row>
    <row r="2762">
      <c r="A2762" s="5" t="s">
        <v>60</v>
      </c>
      <c r="B2762" s="6">
        <v>220.0</v>
      </c>
      <c r="C2762" s="13" t="s">
        <v>374</v>
      </c>
      <c r="D2762" s="17">
        <f>SUMIFS(ShadowLedger!$D:$D,ShadowLedger!$G:$G,A2762,ShadowLedger!$C:$C,"&gt;="&amp;DATE(LEFT(SUBSTITUTE(C2762,"'",""),4),MID(SUBSTITUTE(C2762,"'",""),6,2),1),ShadowLedger!$C:$C,"&lt;"&amp;EOMONTH(DATE(LEFT(SUBSTITUTE(C2762,"'",""),4),MID(SUBSTITUTE(C2762,"'",""),6,2),1),0)+1)</f>
        <v>0</v>
      </c>
      <c r="E2762" s="17">
        <f t="shared" si="1"/>
        <v>220</v>
      </c>
      <c r="F2762" s="17">
        <f t="shared" si="2"/>
        <v>0</v>
      </c>
    </row>
    <row r="2763">
      <c r="A2763" s="5" t="s">
        <v>61</v>
      </c>
      <c r="B2763" s="6">
        <v>176.0</v>
      </c>
      <c r="C2763" s="13" t="s">
        <v>374</v>
      </c>
      <c r="D2763" s="17">
        <f>SUMIFS(ShadowLedger!$D:$D,ShadowLedger!$G:$G,A2763,ShadowLedger!$C:$C,"&gt;="&amp;DATE(LEFT(SUBSTITUTE(C2763,"'",""),4),MID(SUBSTITUTE(C2763,"'",""),6,2),1),ShadowLedger!$C:$C,"&lt;"&amp;EOMONTH(DATE(LEFT(SUBSTITUTE(C2763,"'",""),4),MID(SUBSTITUTE(C2763,"'",""),6,2),1),0)+1)</f>
        <v>0</v>
      </c>
      <c r="E2763" s="17">
        <f t="shared" si="1"/>
        <v>176</v>
      </c>
      <c r="F2763" s="17">
        <f t="shared" si="2"/>
        <v>0</v>
      </c>
    </row>
    <row r="2764">
      <c r="A2764" s="5" t="s">
        <v>62</v>
      </c>
      <c r="B2764" s="6">
        <v>176.0</v>
      </c>
      <c r="C2764" s="13" t="s">
        <v>374</v>
      </c>
      <c r="D2764" s="17">
        <f>SUMIFS(ShadowLedger!$D:$D,ShadowLedger!$G:$G,A2764,ShadowLedger!$C:$C,"&gt;="&amp;DATE(LEFT(SUBSTITUTE(C2764,"'",""),4),MID(SUBSTITUTE(C2764,"'",""),6,2),1),ShadowLedger!$C:$C,"&lt;"&amp;EOMONTH(DATE(LEFT(SUBSTITUTE(C2764,"'",""),4),MID(SUBSTITUTE(C2764,"'",""),6,2),1),0)+1)</f>
        <v>0</v>
      </c>
      <c r="E2764" s="17">
        <f t="shared" si="1"/>
        <v>176</v>
      </c>
      <c r="F2764" s="17">
        <f t="shared" si="2"/>
        <v>0</v>
      </c>
    </row>
    <row r="2765">
      <c r="A2765" s="5" t="s">
        <v>63</v>
      </c>
      <c r="B2765" s="6">
        <v>147.0</v>
      </c>
      <c r="C2765" s="13" t="s">
        <v>374</v>
      </c>
      <c r="D2765" s="17">
        <f>SUMIFS(ShadowLedger!$D:$D,ShadowLedger!$G:$G,A2765,ShadowLedger!$C:$C,"&gt;="&amp;DATE(LEFT(SUBSTITUTE(C2765,"'",""),4),MID(SUBSTITUTE(C2765,"'",""),6,2),1),ShadowLedger!$C:$C,"&lt;"&amp;EOMONTH(DATE(LEFT(SUBSTITUTE(C2765,"'",""),4),MID(SUBSTITUTE(C2765,"'",""),6,2),1),0)+1)</f>
        <v>0</v>
      </c>
      <c r="E2765" s="17">
        <f t="shared" si="1"/>
        <v>147</v>
      </c>
      <c r="F2765" s="17">
        <f t="shared" si="2"/>
        <v>0</v>
      </c>
    </row>
    <row r="2766">
      <c r="A2766" s="5" t="s">
        <v>64</v>
      </c>
      <c r="B2766" s="6">
        <v>147.0</v>
      </c>
      <c r="C2766" s="13" t="s">
        <v>374</v>
      </c>
      <c r="D2766" s="17">
        <f>SUMIFS(ShadowLedger!$D:$D,ShadowLedger!$G:$G,A2766,ShadowLedger!$C:$C,"&gt;="&amp;DATE(LEFT(SUBSTITUTE(C2766,"'",""),4),MID(SUBSTITUTE(C2766,"'",""),6,2),1),ShadowLedger!$C:$C,"&lt;"&amp;EOMONTH(DATE(LEFT(SUBSTITUTE(C2766,"'",""),4),MID(SUBSTITUTE(C2766,"'",""),6,2),1),0)+1)</f>
        <v>0</v>
      </c>
      <c r="E2766" s="17">
        <f t="shared" si="1"/>
        <v>147</v>
      </c>
      <c r="F2766" s="17">
        <f t="shared" si="2"/>
        <v>0</v>
      </c>
    </row>
    <row r="2767">
      <c r="A2767" s="5" t="s">
        <v>70</v>
      </c>
      <c r="B2767" s="6">
        <v>147.0</v>
      </c>
      <c r="C2767" s="13" t="s">
        <v>374</v>
      </c>
      <c r="D2767" s="17">
        <f>SUMIFS(ShadowLedger!$D:$D,ShadowLedger!$G:$G,A2767,ShadowLedger!$C:$C,"&gt;="&amp;DATE(LEFT(SUBSTITUTE(C2767,"'",""),4),MID(SUBSTITUTE(C2767,"'",""),6,2),1),ShadowLedger!$C:$C,"&lt;"&amp;EOMONTH(DATE(LEFT(SUBSTITUTE(C2767,"'",""),4),MID(SUBSTITUTE(C2767,"'",""),6,2),1),0)+1)</f>
        <v>0</v>
      </c>
      <c r="E2767" s="17">
        <f t="shared" si="1"/>
        <v>147</v>
      </c>
      <c r="F2767" s="17">
        <f t="shared" si="2"/>
        <v>0</v>
      </c>
    </row>
    <row r="2768">
      <c r="A2768" s="5" t="s">
        <v>65</v>
      </c>
      <c r="B2768" s="6">
        <v>73.0</v>
      </c>
      <c r="C2768" s="13" t="s">
        <v>374</v>
      </c>
      <c r="D2768" s="17">
        <f>SUMIFS(ShadowLedger!$D:$D,ShadowLedger!$G:$G,A2768,ShadowLedger!$C:$C,"&gt;="&amp;DATE(LEFT(SUBSTITUTE(C2768,"'",""),4),MID(SUBSTITUTE(C2768,"'",""),6,2),1),ShadowLedger!$C:$C,"&lt;"&amp;EOMONTH(DATE(LEFT(SUBSTITUTE(C2768,"'",""),4),MID(SUBSTITUTE(C2768,"'",""),6,2),1),0)+1)</f>
        <v>0</v>
      </c>
      <c r="E2768" s="17">
        <f t="shared" si="1"/>
        <v>73</v>
      </c>
      <c r="F2768" s="17">
        <f t="shared" si="2"/>
        <v>0</v>
      </c>
    </row>
    <row r="2769">
      <c r="A2769" s="5" t="s">
        <v>66</v>
      </c>
      <c r="B2769" s="6">
        <v>73.0</v>
      </c>
      <c r="C2769" s="13" t="s">
        <v>374</v>
      </c>
      <c r="D2769" s="17">
        <f>SUMIFS(ShadowLedger!$D:$D,ShadowLedger!$G:$G,A2769,ShadowLedger!$C:$C,"&gt;="&amp;DATE(LEFT(SUBSTITUTE(C2769,"'",""),4),MID(SUBSTITUTE(C2769,"'",""),6,2),1),ShadowLedger!$C:$C,"&lt;"&amp;EOMONTH(DATE(LEFT(SUBSTITUTE(C2769,"'",""),4),MID(SUBSTITUTE(C2769,"'",""),6,2),1),0)+1)</f>
        <v>0</v>
      </c>
      <c r="E2769" s="17">
        <f t="shared" si="1"/>
        <v>73</v>
      </c>
      <c r="F2769" s="17">
        <f t="shared" si="2"/>
        <v>0</v>
      </c>
    </row>
    <row r="2770">
      <c r="A2770" s="5" t="s">
        <v>67</v>
      </c>
      <c r="B2770" s="6">
        <v>73.0</v>
      </c>
      <c r="C2770" s="13" t="s">
        <v>374</v>
      </c>
      <c r="D2770" s="17">
        <f>SUMIFS(ShadowLedger!$D:$D,ShadowLedger!$G:$G,A2770,ShadowLedger!$C:$C,"&gt;="&amp;DATE(LEFT(SUBSTITUTE(C2770,"'",""),4),MID(SUBSTITUTE(C2770,"'",""),6,2),1),ShadowLedger!$C:$C,"&lt;"&amp;EOMONTH(DATE(LEFT(SUBSTITUTE(C2770,"'",""),4),MID(SUBSTITUTE(C2770,"'",""),6,2),1),0)+1)</f>
        <v>0</v>
      </c>
      <c r="E2770" s="17">
        <f t="shared" si="1"/>
        <v>73</v>
      </c>
      <c r="F2770" s="17">
        <f t="shared" si="2"/>
        <v>0</v>
      </c>
    </row>
    <row r="2771">
      <c r="A2771" s="5" t="s">
        <v>68</v>
      </c>
      <c r="B2771" s="6">
        <v>73.0</v>
      </c>
      <c r="C2771" s="13" t="s">
        <v>374</v>
      </c>
      <c r="D2771" s="17">
        <f>SUMIFS(ShadowLedger!$D:$D,ShadowLedger!$G:$G,A2771,ShadowLedger!$C:$C,"&gt;="&amp;DATE(LEFT(SUBSTITUTE(C2771,"'",""),4),MID(SUBSTITUTE(C2771,"'",""),6,2),1),ShadowLedger!$C:$C,"&lt;"&amp;EOMONTH(DATE(LEFT(SUBSTITUTE(C2771,"'",""),4),MID(SUBSTITUTE(C2771,"'",""),6,2),1),0)+1)</f>
        <v>0</v>
      </c>
      <c r="E2771" s="17">
        <f t="shared" si="1"/>
        <v>73</v>
      </c>
      <c r="F2771" s="17">
        <f t="shared" si="2"/>
        <v>0</v>
      </c>
    </row>
    <row r="2772">
      <c r="A2772" s="5" t="s">
        <v>69</v>
      </c>
      <c r="B2772" s="6">
        <v>0.0</v>
      </c>
      <c r="C2772" s="13" t="s">
        <v>374</v>
      </c>
      <c r="D2772" s="17">
        <f>SUMIFS(ShadowLedger!$D:$D,ShadowLedger!$G:$G,A2772,ShadowLedger!$C:$C,"&gt;="&amp;DATE(LEFT(SUBSTITUTE(C2772,"'",""),4),MID(SUBSTITUTE(C2772,"'",""),6,2),1),ShadowLedger!$C:$C,"&lt;"&amp;EOMONTH(DATE(LEFT(SUBSTITUTE(C2772,"'",""),4),MID(SUBSTITUTE(C2772,"'",""),6,2),1),0)+1)</f>
        <v>0</v>
      </c>
      <c r="E2772" s="17">
        <f t="shared" si="1"/>
        <v>0</v>
      </c>
      <c r="F2772" s="17">
        <f t="shared" si="2"/>
        <v>0</v>
      </c>
    </row>
    <row r="2773">
      <c r="A2773" s="5" t="s">
        <v>54</v>
      </c>
      <c r="B2773" s="6">
        <v>1351.0</v>
      </c>
      <c r="C2773" s="13" t="s">
        <v>375</v>
      </c>
      <c r="D2773" s="17">
        <f>SUMIFS(ShadowLedger!$D:$D,ShadowLedger!$G:$G,A2773,ShadowLedger!$C:$C,"&gt;="&amp;DATE(LEFT(SUBSTITUTE(C2773,"'",""),4),MID(SUBSTITUTE(C2773,"'",""),6,2),1),ShadowLedger!$C:$C,"&lt;"&amp;EOMONTH(DATE(LEFT(SUBSTITUTE(C2773,"'",""),4),MID(SUBSTITUTE(C2773,"'",""),6,2),1),0)+1)</f>
        <v>0</v>
      </c>
      <c r="E2773" s="17">
        <f t="shared" si="1"/>
        <v>1351</v>
      </c>
      <c r="F2773" s="17">
        <f t="shared" si="2"/>
        <v>0</v>
      </c>
    </row>
    <row r="2774">
      <c r="A2774" s="5" t="s">
        <v>55</v>
      </c>
      <c r="B2774" s="6">
        <v>1028.0</v>
      </c>
      <c r="C2774" s="13" t="s">
        <v>375</v>
      </c>
      <c r="D2774" s="17">
        <f>SUMIFS(ShadowLedger!$D:$D,ShadowLedger!$G:$G,A2774,ShadowLedger!$C:$C,"&gt;="&amp;DATE(LEFT(SUBSTITUTE(C2774,"'",""),4),MID(SUBSTITUTE(C2774,"'",""),6,2),1),ShadowLedger!$C:$C,"&lt;"&amp;EOMONTH(DATE(LEFT(SUBSTITUTE(C2774,"'",""),4),MID(SUBSTITUTE(C2774,"'",""),6,2),1),0)+1)</f>
        <v>0</v>
      </c>
      <c r="E2774" s="17">
        <f t="shared" si="1"/>
        <v>1028</v>
      </c>
      <c r="F2774" s="17">
        <f t="shared" si="2"/>
        <v>0</v>
      </c>
    </row>
    <row r="2775">
      <c r="A2775" s="5" t="s">
        <v>56</v>
      </c>
      <c r="B2775" s="6">
        <v>734.0</v>
      </c>
      <c r="C2775" s="13" t="s">
        <v>375</v>
      </c>
      <c r="D2775" s="17">
        <f>SUMIFS(ShadowLedger!$D:$D,ShadowLedger!$G:$G,A2775,ShadowLedger!$C:$C,"&gt;="&amp;DATE(LEFT(SUBSTITUTE(C2775,"'",""),4),MID(SUBSTITUTE(C2775,"'",""),6,2),1),ShadowLedger!$C:$C,"&lt;"&amp;EOMONTH(DATE(LEFT(SUBSTITUTE(C2775,"'",""),4),MID(SUBSTITUTE(C2775,"'",""),6,2),1),0)+1)</f>
        <v>0</v>
      </c>
      <c r="E2775" s="17">
        <f t="shared" si="1"/>
        <v>734</v>
      </c>
      <c r="F2775" s="17">
        <f t="shared" si="2"/>
        <v>0</v>
      </c>
    </row>
    <row r="2776">
      <c r="A2776" s="5" t="s">
        <v>57</v>
      </c>
      <c r="B2776" s="6">
        <v>734.0</v>
      </c>
      <c r="C2776" s="13" t="s">
        <v>375</v>
      </c>
      <c r="D2776" s="17">
        <f>SUMIFS(ShadowLedger!$D:$D,ShadowLedger!$G:$G,A2776,ShadowLedger!$C:$C,"&gt;="&amp;DATE(LEFT(SUBSTITUTE(C2776,"'",""),4),MID(SUBSTITUTE(C2776,"'",""),6,2),1),ShadowLedger!$C:$C,"&lt;"&amp;EOMONTH(DATE(LEFT(SUBSTITUTE(C2776,"'",""),4),MID(SUBSTITUTE(C2776,"'",""),6,2),1),0)+1)</f>
        <v>0</v>
      </c>
      <c r="E2776" s="17">
        <f t="shared" si="1"/>
        <v>734</v>
      </c>
      <c r="F2776" s="17">
        <f t="shared" si="2"/>
        <v>0</v>
      </c>
    </row>
    <row r="2777">
      <c r="A2777" s="5" t="s">
        <v>58</v>
      </c>
      <c r="B2777" s="6">
        <v>587.0</v>
      </c>
      <c r="C2777" s="13" t="s">
        <v>375</v>
      </c>
      <c r="D2777" s="17">
        <f>SUMIFS(ShadowLedger!$D:$D,ShadowLedger!$G:$G,A2777,ShadowLedger!$C:$C,"&gt;="&amp;DATE(LEFT(SUBSTITUTE(C2777,"'",""),4),MID(SUBSTITUTE(C2777,"'",""),6,2),1),ShadowLedger!$C:$C,"&lt;"&amp;EOMONTH(DATE(LEFT(SUBSTITUTE(C2777,"'",""),4),MID(SUBSTITUTE(C2777,"'",""),6,2),1),0)+1)</f>
        <v>0</v>
      </c>
      <c r="E2777" s="17">
        <f t="shared" si="1"/>
        <v>587</v>
      </c>
      <c r="F2777" s="17">
        <f t="shared" si="2"/>
        <v>0</v>
      </c>
    </row>
    <row r="2778">
      <c r="A2778" s="5" t="s">
        <v>59</v>
      </c>
      <c r="B2778" s="6">
        <v>294.0</v>
      </c>
      <c r="C2778" s="13" t="s">
        <v>375</v>
      </c>
      <c r="D2778" s="17">
        <f>SUMIFS(ShadowLedger!$D:$D,ShadowLedger!$G:$G,A2778,ShadowLedger!$C:$C,"&gt;="&amp;DATE(LEFT(SUBSTITUTE(C2778,"'",""),4),MID(SUBSTITUTE(C2778,"'",""),6,2),1),ShadowLedger!$C:$C,"&lt;"&amp;EOMONTH(DATE(LEFT(SUBSTITUTE(C2778,"'",""),4),MID(SUBSTITUTE(C2778,"'",""),6,2),1),0)+1)</f>
        <v>0</v>
      </c>
      <c r="E2778" s="17">
        <f t="shared" si="1"/>
        <v>294</v>
      </c>
      <c r="F2778" s="17">
        <f t="shared" si="2"/>
        <v>0</v>
      </c>
    </row>
    <row r="2779">
      <c r="A2779" s="5" t="s">
        <v>60</v>
      </c>
      <c r="B2779" s="6">
        <v>220.0</v>
      </c>
      <c r="C2779" s="13" t="s">
        <v>375</v>
      </c>
      <c r="D2779" s="17">
        <f>SUMIFS(ShadowLedger!$D:$D,ShadowLedger!$G:$G,A2779,ShadowLedger!$C:$C,"&gt;="&amp;DATE(LEFT(SUBSTITUTE(C2779,"'",""),4),MID(SUBSTITUTE(C2779,"'",""),6,2),1),ShadowLedger!$C:$C,"&lt;"&amp;EOMONTH(DATE(LEFT(SUBSTITUTE(C2779,"'",""),4),MID(SUBSTITUTE(C2779,"'",""),6,2),1),0)+1)</f>
        <v>0</v>
      </c>
      <c r="E2779" s="17">
        <f t="shared" si="1"/>
        <v>220</v>
      </c>
      <c r="F2779" s="17">
        <f t="shared" si="2"/>
        <v>0</v>
      </c>
    </row>
    <row r="2780">
      <c r="A2780" s="5" t="s">
        <v>61</v>
      </c>
      <c r="B2780" s="6">
        <v>176.0</v>
      </c>
      <c r="C2780" s="13" t="s">
        <v>375</v>
      </c>
      <c r="D2780" s="17">
        <f>SUMIFS(ShadowLedger!$D:$D,ShadowLedger!$G:$G,A2780,ShadowLedger!$C:$C,"&gt;="&amp;DATE(LEFT(SUBSTITUTE(C2780,"'",""),4),MID(SUBSTITUTE(C2780,"'",""),6,2),1),ShadowLedger!$C:$C,"&lt;"&amp;EOMONTH(DATE(LEFT(SUBSTITUTE(C2780,"'",""),4),MID(SUBSTITUTE(C2780,"'",""),6,2),1),0)+1)</f>
        <v>0</v>
      </c>
      <c r="E2780" s="17">
        <f t="shared" si="1"/>
        <v>176</v>
      </c>
      <c r="F2780" s="17">
        <f t="shared" si="2"/>
        <v>0</v>
      </c>
    </row>
    <row r="2781">
      <c r="A2781" s="5" t="s">
        <v>62</v>
      </c>
      <c r="B2781" s="6">
        <v>176.0</v>
      </c>
      <c r="C2781" s="13" t="s">
        <v>375</v>
      </c>
      <c r="D2781" s="17">
        <f>SUMIFS(ShadowLedger!$D:$D,ShadowLedger!$G:$G,A2781,ShadowLedger!$C:$C,"&gt;="&amp;DATE(LEFT(SUBSTITUTE(C2781,"'",""),4),MID(SUBSTITUTE(C2781,"'",""),6,2),1),ShadowLedger!$C:$C,"&lt;"&amp;EOMONTH(DATE(LEFT(SUBSTITUTE(C2781,"'",""),4),MID(SUBSTITUTE(C2781,"'",""),6,2),1),0)+1)</f>
        <v>0</v>
      </c>
      <c r="E2781" s="17">
        <f t="shared" si="1"/>
        <v>176</v>
      </c>
      <c r="F2781" s="17">
        <f t="shared" si="2"/>
        <v>0</v>
      </c>
    </row>
    <row r="2782">
      <c r="A2782" s="5" t="s">
        <v>63</v>
      </c>
      <c r="B2782" s="6">
        <v>147.0</v>
      </c>
      <c r="C2782" s="13" t="s">
        <v>375</v>
      </c>
      <c r="D2782" s="17">
        <f>SUMIFS(ShadowLedger!$D:$D,ShadowLedger!$G:$G,A2782,ShadowLedger!$C:$C,"&gt;="&amp;DATE(LEFT(SUBSTITUTE(C2782,"'",""),4),MID(SUBSTITUTE(C2782,"'",""),6,2),1),ShadowLedger!$C:$C,"&lt;"&amp;EOMONTH(DATE(LEFT(SUBSTITUTE(C2782,"'",""),4),MID(SUBSTITUTE(C2782,"'",""),6,2),1),0)+1)</f>
        <v>0</v>
      </c>
      <c r="E2782" s="17">
        <f t="shared" si="1"/>
        <v>147</v>
      </c>
      <c r="F2782" s="17">
        <f t="shared" si="2"/>
        <v>0</v>
      </c>
    </row>
    <row r="2783">
      <c r="A2783" s="5" t="s">
        <v>64</v>
      </c>
      <c r="B2783" s="6">
        <v>147.0</v>
      </c>
      <c r="C2783" s="13" t="s">
        <v>375</v>
      </c>
      <c r="D2783" s="17">
        <f>SUMIFS(ShadowLedger!$D:$D,ShadowLedger!$G:$G,A2783,ShadowLedger!$C:$C,"&gt;="&amp;DATE(LEFT(SUBSTITUTE(C2783,"'",""),4),MID(SUBSTITUTE(C2783,"'",""),6,2),1),ShadowLedger!$C:$C,"&lt;"&amp;EOMONTH(DATE(LEFT(SUBSTITUTE(C2783,"'",""),4),MID(SUBSTITUTE(C2783,"'",""),6,2),1),0)+1)</f>
        <v>0</v>
      </c>
      <c r="E2783" s="17">
        <f t="shared" si="1"/>
        <v>147</v>
      </c>
      <c r="F2783" s="17">
        <f t="shared" si="2"/>
        <v>0</v>
      </c>
    </row>
    <row r="2784">
      <c r="A2784" s="5" t="s">
        <v>70</v>
      </c>
      <c r="B2784" s="6">
        <v>147.0</v>
      </c>
      <c r="C2784" s="13" t="s">
        <v>375</v>
      </c>
      <c r="D2784" s="17">
        <f>SUMIFS(ShadowLedger!$D:$D,ShadowLedger!$G:$G,A2784,ShadowLedger!$C:$C,"&gt;="&amp;DATE(LEFT(SUBSTITUTE(C2784,"'",""),4),MID(SUBSTITUTE(C2784,"'",""),6,2),1),ShadowLedger!$C:$C,"&lt;"&amp;EOMONTH(DATE(LEFT(SUBSTITUTE(C2784,"'",""),4),MID(SUBSTITUTE(C2784,"'",""),6,2),1),0)+1)</f>
        <v>0</v>
      </c>
      <c r="E2784" s="17">
        <f t="shared" si="1"/>
        <v>147</v>
      </c>
      <c r="F2784" s="17">
        <f t="shared" si="2"/>
        <v>0</v>
      </c>
    </row>
    <row r="2785">
      <c r="A2785" s="5" t="s">
        <v>65</v>
      </c>
      <c r="B2785" s="6">
        <v>73.0</v>
      </c>
      <c r="C2785" s="13" t="s">
        <v>375</v>
      </c>
      <c r="D2785" s="17">
        <f>SUMIFS(ShadowLedger!$D:$D,ShadowLedger!$G:$G,A2785,ShadowLedger!$C:$C,"&gt;="&amp;DATE(LEFT(SUBSTITUTE(C2785,"'",""),4),MID(SUBSTITUTE(C2785,"'",""),6,2),1),ShadowLedger!$C:$C,"&lt;"&amp;EOMONTH(DATE(LEFT(SUBSTITUTE(C2785,"'",""),4),MID(SUBSTITUTE(C2785,"'",""),6,2),1),0)+1)</f>
        <v>0</v>
      </c>
      <c r="E2785" s="17">
        <f t="shared" si="1"/>
        <v>73</v>
      </c>
      <c r="F2785" s="17">
        <f t="shared" si="2"/>
        <v>0</v>
      </c>
    </row>
    <row r="2786">
      <c r="A2786" s="5" t="s">
        <v>66</v>
      </c>
      <c r="B2786" s="6">
        <v>73.0</v>
      </c>
      <c r="C2786" s="13" t="s">
        <v>375</v>
      </c>
      <c r="D2786" s="17">
        <f>SUMIFS(ShadowLedger!$D:$D,ShadowLedger!$G:$G,A2786,ShadowLedger!$C:$C,"&gt;="&amp;DATE(LEFT(SUBSTITUTE(C2786,"'",""),4),MID(SUBSTITUTE(C2786,"'",""),6,2),1),ShadowLedger!$C:$C,"&lt;"&amp;EOMONTH(DATE(LEFT(SUBSTITUTE(C2786,"'",""),4),MID(SUBSTITUTE(C2786,"'",""),6,2),1),0)+1)</f>
        <v>0</v>
      </c>
      <c r="E2786" s="17">
        <f t="shared" si="1"/>
        <v>73</v>
      </c>
      <c r="F2786" s="17">
        <f t="shared" si="2"/>
        <v>0</v>
      </c>
    </row>
    <row r="2787">
      <c r="A2787" s="5" t="s">
        <v>67</v>
      </c>
      <c r="B2787" s="6">
        <v>73.0</v>
      </c>
      <c r="C2787" s="13" t="s">
        <v>375</v>
      </c>
      <c r="D2787" s="17">
        <f>SUMIFS(ShadowLedger!$D:$D,ShadowLedger!$G:$G,A2787,ShadowLedger!$C:$C,"&gt;="&amp;DATE(LEFT(SUBSTITUTE(C2787,"'",""),4),MID(SUBSTITUTE(C2787,"'",""),6,2),1),ShadowLedger!$C:$C,"&lt;"&amp;EOMONTH(DATE(LEFT(SUBSTITUTE(C2787,"'",""),4),MID(SUBSTITUTE(C2787,"'",""),6,2),1),0)+1)</f>
        <v>0</v>
      </c>
      <c r="E2787" s="17">
        <f t="shared" si="1"/>
        <v>73</v>
      </c>
      <c r="F2787" s="17">
        <f t="shared" si="2"/>
        <v>0</v>
      </c>
    </row>
    <row r="2788">
      <c r="A2788" s="5" t="s">
        <v>68</v>
      </c>
      <c r="B2788" s="6">
        <v>73.0</v>
      </c>
      <c r="C2788" s="13" t="s">
        <v>375</v>
      </c>
      <c r="D2788" s="17">
        <f>SUMIFS(ShadowLedger!$D:$D,ShadowLedger!$G:$G,A2788,ShadowLedger!$C:$C,"&gt;="&amp;DATE(LEFT(SUBSTITUTE(C2788,"'",""),4),MID(SUBSTITUTE(C2788,"'",""),6,2),1),ShadowLedger!$C:$C,"&lt;"&amp;EOMONTH(DATE(LEFT(SUBSTITUTE(C2788,"'",""),4),MID(SUBSTITUTE(C2788,"'",""),6,2),1),0)+1)</f>
        <v>0</v>
      </c>
      <c r="E2788" s="17">
        <f t="shared" si="1"/>
        <v>73</v>
      </c>
      <c r="F2788" s="17">
        <f t="shared" si="2"/>
        <v>0</v>
      </c>
    </row>
    <row r="2789">
      <c r="A2789" s="5" t="s">
        <v>69</v>
      </c>
      <c r="B2789" s="6">
        <v>0.0</v>
      </c>
      <c r="C2789" s="13" t="s">
        <v>375</v>
      </c>
      <c r="D2789" s="17">
        <f>SUMIFS(ShadowLedger!$D:$D,ShadowLedger!$G:$G,A2789,ShadowLedger!$C:$C,"&gt;="&amp;DATE(LEFT(SUBSTITUTE(C2789,"'",""),4),MID(SUBSTITUTE(C2789,"'",""),6,2),1),ShadowLedger!$C:$C,"&lt;"&amp;EOMONTH(DATE(LEFT(SUBSTITUTE(C2789,"'",""),4),MID(SUBSTITUTE(C2789,"'",""),6,2),1),0)+1)</f>
        <v>0</v>
      </c>
      <c r="E2789" s="17">
        <f t="shared" si="1"/>
        <v>0</v>
      </c>
      <c r="F2789" s="17">
        <f t="shared" si="2"/>
        <v>0</v>
      </c>
    </row>
    <row r="2790">
      <c r="A2790" s="5" t="s">
        <v>54</v>
      </c>
      <c r="B2790" s="6">
        <v>1351.0</v>
      </c>
      <c r="C2790" s="13" t="s">
        <v>376</v>
      </c>
      <c r="D2790" s="17">
        <f>SUMIFS(ShadowLedger!$D:$D,ShadowLedger!$G:$G,A2790,ShadowLedger!$C:$C,"&gt;="&amp;DATE(LEFT(SUBSTITUTE(C2790,"'",""),4),MID(SUBSTITUTE(C2790,"'",""),6,2),1),ShadowLedger!$C:$C,"&lt;"&amp;EOMONTH(DATE(LEFT(SUBSTITUTE(C2790,"'",""),4),MID(SUBSTITUTE(C2790,"'",""),6,2),1),0)+1)</f>
        <v>0</v>
      </c>
      <c r="E2790" s="17">
        <f t="shared" si="1"/>
        <v>1351</v>
      </c>
      <c r="F2790" s="17">
        <f t="shared" si="2"/>
        <v>0</v>
      </c>
    </row>
    <row r="2791">
      <c r="A2791" s="5" t="s">
        <v>55</v>
      </c>
      <c r="B2791" s="6">
        <v>1028.0</v>
      </c>
      <c r="C2791" s="13" t="s">
        <v>376</v>
      </c>
      <c r="D2791" s="17">
        <f>SUMIFS(ShadowLedger!$D:$D,ShadowLedger!$G:$G,A2791,ShadowLedger!$C:$C,"&gt;="&amp;DATE(LEFT(SUBSTITUTE(C2791,"'",""),4),MID(SUBSTITUTE(C2791,"'",""),6,2),1),ShadowLedger!$C:$C,"&lt;"&amp;EOMONTH(DATE(LEFT(SUBSTITUTE(C2791,"'",""),4),MID(SUBSTITUTE(C2791,"'",""),6,2),1),0)+1)</f>
        <v>0</v>
      </c>
      <c r="E2791" s="17">
        <f t="shared" si="1"/>
        <v>1028</v>
      </c>
      <c r="F2791" s="17">
        <f t="shared" si="2"/>
        <v>0</v>
      </c>
    </row>
    <row r="2792">
      <c r="A2792" s="5" t="s">
        <v>56</v>
      </c>
      <c r="B2792" s="6">
        <v>734.0</v>
      </c>
      <c r="C2792" s="13" t="s">
        <v>376</v>
      </c>
      <c r="D2792" s="17">
        <f>SUMIFS(ShadowLedger!$D:$D,ShadowLedger!$G:$G,A2792,ShadowLedger!$C:$C,"&gt;="&amp;DATE(LEFT(SUBSTITUTE(C2792,"'",""),4),MID(SUBSTITUTE(C2792,"'",""),6,2),1),ShadowLedger!$C:$C,"&lt;"&amp;EOMONTH(DATE(LEFT(SUBSTITUTE(C2792,"'",""),4),MID(SUBSTITUTE(C2792,"'",""),6,2),1),0)+1)</f>
        <v>0</v>
      </c>
      <c r="E2792" s="17">
        <f t="shared" si="1"/>
        <v>734</v>
      </c>
      <c r="F2792" s="17">
        <f t="shared" si="2"/>
        <v>0</v>
      </c>
    </row>
    <row r="2793">
      <c r="A2793" s="5" t="s">
        <v>57</v>
      </c>
      <c r="B2793" s="6">
        <v>734.0</v>
      </c>
      <c r="C2793" s="13" t="s">
        <v>376</v>
      </c>
      <c r="D2793" s="17">
        <f>SUMIFS(ShadowLedger!$D:$D,ShadowLedger!$G:$G,A2793,ShadowLedger!$C:$C,"&gt;="&amp;DATE(LEFT(SUBSTITUTE(C2793,"'",""),4),MID(SUBSTITUTE(C2793,"'",""),6,2),1),ShadowLedger!$C:$C,"&lt;"&amp;EOMONTH(DATE(LEFT(SUBSTITUTE(C2793,"'",""),4),MID(SUBSTITUTE(C2793,"'",""),6,2),1),0)+1)</f>
        <v>0</v>
      </c>
      <c r="E2793" s="17">
        <f t="shared" si="1"/>
        <v>734</v>
      </c>
      <c r="F2793" s="17">
        <f t="shared" si="2"/>
        <v>0</v>
      </c>
    </row>
    <row r="2794">
      <c r="A2794" s="5" t="s">
        <v>58</v>
      </c>
      <c r="B2794" s="6">
        <v>587.0</v>
      </c>
      <c r="C2794" s="13" t="s">
        <v>376</v>
      </c>
      <c r="D2794" s="17">
        <f>SUMIFS(ShadowLedger!$D:$D,ShadowLedger!$G:$G,A2794,ShadowLedger!$C:$C,"&gt;="&amp;DATE(LEFT(SUBSTITUTE(C2794,"'",""),4),MID(SUBSTITUTE(C2794,"'",""),6,2),1),ShadowLedger!$C:$C,"&lt;"&amp;EOMONTH(DATE(LEFT(SUBSTITUTE(C2794,"'",""),4),MID(SUBSTITUTE(C2794,"'",""),6,2),1),0)+1)</f>
        <v>0</v>
      </c>
      <c r="E2794" s="17">
        <f t="shared" si="1"/>
        <v>587</v>
      </c>
      <c r="F2794" s="17">
        <f t="shared" si="2"/>
        <v>0</v>
      </c>
    </row>
    <row r="2795">
      <c r="A2795" s="5" t="s">
        <v>59</v>
      </c>
      <c r="B2795" s="6">
        <v>294.0</v>
      </c>
      <c r="C2795" s="13" t="s">
        <v>376</v>
      </c>
      <c r="D2795" s="17">
        <f>SUMIFS(ShadowLedger!$D:$D,ShadowLedger!$G:$G,A2795,ShadowLedger!$C:$C,"&gt;="&amp;DATE(LEFT(SUBSTITUTE(C2795,"'",""),4),MID(SUBSTITUTE(C2795,"'",""),6,2),1),ShadowLedger!$C:$C,"&lt;"&amp;EOMONTH(DATE(LEFT(SUBSTITUTE(C2795,"'",""),4),MID(SUBSTITUTE(C2795,"'",""),6,2),1),0)+1)</f>
        <v>0</v>
      </c>
      <c r="E2795" s="17">
        <f t="shared" si="1"/>
        <v>294</v>
      </c>
      <c r="F2795" s="17">
        <f t="shared" si="2"/>
        <v>0</v>
      </c>
    </row>
    <row r="2796">
      <c r="A2796" s="5" t="s">
        <v>60</v>
      </c>
      <c r="B2796" s="6">
        <v>220.0</v>
      </c>
      <c r="C2796" s="13" t="s">
        <v>376</v>
      </c>
      <c r="D2796" s="17">
        <f>SUMIFS(ShadowLedger!$D:$D,ShadowLedger!$G:$G,A2796,ShadowLedger!$C:$C,"&gt;="&amp;DATE(LEFT(SUBSTITUTE(C2796,"'",""),4),MID(SUBSTITUTE(C2796,"'",""),6,2),1),ShadowLedger!$C:$C,"&lt;"&amp;EOMONTH(DATE(LEFT(SUBSTITUTE(C2796,"'",""),4),MID(SUBSTITUTE(C2796,"'",""),6,2),1),0)+1)</f>
        <v>0</v>
      </c>
      <c r="E2796" s="17">
        <f t="shared" si="1"/>
        <v>220</v>
      </c>
      <c r="F2796" s="17">
        <f t="shared" si="2"/>
        <v>0</v>
      </c>
    </row>
    <row r="2797">
      <c r="A2797" s="5" t="s">
        <v>61</v>
      </c>
      <c r="B2797" s="6">
        <v>176.0</v>
      </c>
      <c r="C2797" s="13" t="s">
        <v>376</v>
      </c>
      <c r="D2797" s="17">
        <f>SUMIFS(ShadowLedger!$D:$D,ShadowLedger!$G:$G,A2797,ShadowLedger!$C:$C,"&gt;="&amp;DATE(LEFT(SUBSTITUTE(C2797,"'",""),4),MID(SUBSTITUTE(C2797,"'",""),6,2),1),ShadowLedger!$C:$C,"&lt;"&amp;EOMONTH(DATE(LEFT(SUBSTITUTE(C2797,"'",""),4),MID(SUBSTITUTE(C2797,"'",""),6,2),1),0)+1)</f>
        <v>0</v>
      </c>
      <c r="E2797" s="17">
        <f t="shared" si="1"/>
        <v>176</v>
      </c>
      <c r="F2797" s="17">
        <f t="shared" si="2"/>
        <v>0</v>
      </c>
    </row>
    <row r="2798">
      <c r="A2798" s="5" t="s">
        <v>62</v>
      </c>
      <c r="B2798" s="6">
        <v>176.0</v>
      </c>
      <c r="C2798" s="13" t="s">
        <v>376</v>
      </c>
      <c r="D2798" s="17">
        <f>SUMIFS(ShadowLedger!$D:$D,ShadowLedger!$G:$G,A2798,ShadowLedger!$C:$C,"&gt;="&amp;DATE(LEFT(SUBSTITUTE(C2798,"'",""),4),MID(SUBSTITUTE(C2798,"'",""),6,2),1),ShadowLedger!$C:$C,"&lt;"&amp;EOMONTH(DATE(LEFT(SUBSTITUTE(C2798,"'",""),4),MID(SUBSTITUTE(C2798,"'",""),6,2),1),0)+1)</f>
        <v>0</v>
      </c>
      <c r="E2798" s="17">
        <f t="shared" si="1"/>
        <v>176</v>
      </c>
      <c r="F2798" s="17">
        <f t="shared" si="2"/>
        <v>0</v>
      </c>
    </row>
    <row r="2799">
      <c r="A2799" s="5" t="s">
        <v>63</v>
      </c>
      <c r="B2799" s="6">
        <v>147.0</v>
      </c>
      <c r="C2799" s="13" t="s">
        <v>376</v>
      </c>
      <c r="D2799" s="17">
        <f>SUMIFS(ShadowLedger!$D:$D,ShadowLedger!$G:$G,A2799,ShadowLedger!$C:$C,"&gt;="&amp;DATE(LEFT(SUBSTITUTE(C2799,"'",""),4),MID(SUBSTITUTE(C2799,"'",""),6,2),1),ShadowLedger!$C:$C,"&lt;"&amp;EOMONTH(DATE(LEFT(SUBSTITUTE(C2799,"'",""),4),MID(SUBSTITUTE(C2799,"'",""),6,2),1),0)+1)</f>
        <v>0</v>
      </c>
      <c r="E2799" s="17">
        <f t="shared" si="1"/>
        <v>147</v>
      </c>
      <c r="F2799" s="17">
        <f t="shared" si="2"/>
        <v>0</v>
      </c>
    </row>
    <row r="2800">
      <c r="A2800" s="5" t="s">
        <v>64</v>
      </c>
      <c r="B2800" s="6">
        <v>147.0</v>
      </c>
      <c r="C2800" s="13" t="s">
        <v>376</v>
      </c>
      <c r="D2800" s="17">
        <f>SUMIFS(ShadowLedger!$D:$D,ShadowLedger!$G:$G,A2800,ShadowLedger!$C:$C,"&gt;="&amp;DATE(LEFT(SUBSTITUTE(C2800,"'",""),4),MID(SUBSTITUTE(C2800,"'",""),6,2),1),ShadowLedger!$C:$C,"&lt;"&amp;EOMONTH(DATE(LEFT(SUBSTITUTE(C2800,"'",""),4),MID(SUBSTITUTE(C2800,"'",""),6,2),1),0)+1)</f>
        <v>0</v>
      </c>
      <c r="E2800" s="17">
        <f t="shared" si="1"/>
        <v>147</v>
      </c>
      <c r="F2800" s="17">
        <f t="shared" si="2"/>
        <v>0</v>
      </c>
    </row>
    <row r="2801">
      <c r="A2801" s="5" t="s">
        <v>70</v>
      </c>
      <c r="B2801" s="6">
        <v>147.0</v>
      </c>
      <c r="C2801" s="13" t="s">
        <v>376</v>
      </c>
      <c r="D2801" s="17">
        <f>SUMIFS(ShadowLedger!$D:$D,ShadowLedger!$G:$G,A2801,ShadowLedger!$C:$C,"&gt;="&amp;DATE(LEFT(SUBSTITUTE(C2801,"'",""),4),MID(SUBSTITUTE(C2801,"'",""),6,2),1),ShadowLedger!$C:$C,"&lt;"&amp;EOMONTH(DATE(LEFT(SUBSTITUTE(C2801,"'",""),4),MID(SUBSTITUTE(C2801,"'",""),6,2),1),0)+1)</f>
        <v>0</v>
      </c>
      <c r="E2801" s="17">
        <f t="shared" si="1"/>
        <v>147</v>
      </c>
      <c r="F2801" s="17">
        <f t="shared" si="2"/>
        <v>0</v>
      </c>
    </row>
    <row r="2802">
      <c r="A2802" s="5" t="s">
        <v>65</v>
      </c>
      <c r="B2802" s="6">
        <v>73.0</v>
      </c>
      <c r="C2802" s="13" t="s">
        <v>376</v>
      </c>
      <c r="D2802" s="17">
        <f>SUMIFS(ShadowLedger!$D:$D,ShadowLedger!$G:$G,A2802,ShadowLedger!$C:$C,"&gt;="&amp;DATE(LEFT(SUBSTITUTE(C2802,"'",""),4),MID(SUBSTITUTE(C2802,"'",""),6,2),1),ShadowLedger!$C:$C,"&lt;"&amp;EOMONTH(DATE(LEFT(SUBSTITUTE(C2802,"'",""),4),MID(SUBSTITUTE(C2802,"'",""),6,2),1),0)+1)</f>
        <v>0</v>
      </c>
      <c r="E2802" s="17">
        <f t="shared" si="1"/>
        <v>73</v>
      </c>
      <c r="F2802" s="17">
        <f t="shared" si="2"/>
        <v>0</v>
      </c>
    </row>
    <row r="2803">
      <c r="A2803" s="5" t="s">
        <v>66</v>
      </c>
      <c r="B2803" s="6">
        <v>73.0</v>
      </c>
      <c r="C2803" s="13" t="s">
        <v>376</v>
      </c>
      <c r="D2803" s="17">
        <f>SUMIFS(ShadowLedger!$D:$D,ShadowLedger!$G:$G,A2803,ShadowLedger!$C:$C,"&gt;="&amp;DATE(LEFT(SUBSTITUTE(C2803,"'",""),4),MID(SUBSTITUTE(C2803,"'",""),6,2),1),ShadowLedger!$C:$C,"&lt;"&amp;EOMONTH(DATE(LEFT(SUBSTITUTE(C2803,"'",""),4),MID(SUBSTITUTE(C2803,"'",""),6,2),1),0)+1)</f>
        <v>0</v>
      </c>
      <c r="E2803" s="17">
        <f t="shared" si="1"/>
        <v>73</v>
      </c>
      <c r="F2803" s="17">
        <f t="shared" si="2"/>
        <v>0</v>
      </c>
    </row>
    <row r="2804">
      <c r="A2804" s="5" t="s">
        <v>67</v>
      </c>
      <c r="B2804" s="6">
        <v>73.0</v>
      </c>
      <c r="C2804" s="13" t="s">
        <v>376</v>
      </c>
      <c r="D2804" s="17">
        <f>SUMIFS(ShadowLedger!$D:$D,ShadowLedger!$G:$G,A2804,ShadowLedger!$C:$C,"&gt;="&amp;DATE(LEFT(SUBSTITUTE(C2804,"'",""),4),MID(SUBSTITUTE(C2804,"'",""),6,2),1),ShadowLedger!$C:$C,"&lt;"&amp;EOMONTH(DATE(LEFT(SUBSTITUTE(C2804,"'",""),4),MID(SUBSTITUTE(C2804,"'",""),6,2),1),0)+1)</f>
        <v>0</v>
      </c>
      <c r="E2804" s="17">
        <f t="shared" si="1"/>
        <v>73</v>
      </c>
      <c r="F2804" s="17">
        <f t="shared" si="2"/>
        <v>0</v>
      </c>
    </row>
    <row r="2805">
      <c r="A2805" s="5" t="s">
        <v>68</v>
      </c>
      <c r="B2805" s="6">
        <v>73.0</v>
      </c>
      <c r="C2805" s="13" t="s">
        <v>376</v>
      </c>
      <c r="D2805" s="17">
        <f>SUMIFS(ShadowLedger!$D:$D,ShadowLedger!$G:$G,A2805,ShadowLedger!$C:$C,"&gt;="&amp;DATE(LEFT(SUBSTITUTE(C2805,"'",""),4),MID(SUBSTITUTE(C2805,"'",""),6,2),1),ShadowLedger!$C:$C,"&lt;"&amp;EOMONTH(DATE(LEFT(SUBSTITUTE(C2805,"'",""),4),MID(SUBSTITUTE(C2805,"'",""),6,2),1),0)+1)</f>
        <v>0</v>
      </c>
      <c r="E2805" s="17">
        <f t="shared" si="1"/>
        <v>73</v>
      </c>
      <c r="F2805" s="17">
        <f t="shared" si="2"/>
        <v>0</v>
      </c>
    </row>
    <row r="2806">
      <c r="A2806" s="5" t="s">
        <v>69</v>
      </c>
      <c r="B2806" s="6">
        <v>0.0</v>
      </c>
      <c r="C2806" s="13" t="s">
        <v>376</v>
      </c>
      <c r="D2806" s="17">
        <f>SUMIFS(ShadowLedger!$D:$D,ShadowLedger!$G:$G,A2806,ShadowLedger!$C:$C,"&gt;="&amp;DATE(LEFT(SUBSTITUTE(C2806,"'",""),4),MID(SUBSTITUTE(C2806,"'",""),6,2),1),ShadowLedger!$C:$C,"&lt;"&amp;EOMONTH(DATE(LEFT(SUBSTITUTE(C2806,"'",""),4),MID(SUBSTITUTE(C2806,"'",""),6,2),1),0)+1)</f>
        <v>0</v>
      </c>
      <c r="E2806" s="17">
        <f t="shared" si="1"/>
        <v>0</v>
      </c>
      <c r="F2806" s="17">
        <f t="shared" si="2"/>
        <v>0</v>
      </c>
    </row>
    <row r="2807">
      <c r="A2807" s="5" t="s">
        <v>54</v>
      </c>
      <c r="B2807" s="6">
        <v>1351.0</v>
      </c>
      <c r="C2807" s="13" t="s">
        <v>377</v>
      </c>
      <c r="D2807" s="17">
        <f>SUMIFS(ShadowLedger!$D:$D,ShadowLedger!$G:$G,A2807,ShadowLedger!$C:$C,"&gt;="&amp;DATE(LEFT(SUBSTITUTE(C2807,"'",""),4),MID(SUBSTITUTE(C2807,"'",""),6,2),1),ShadowLedger!$C:$C,"&lt;"&amp;EOMONTH(DATE(LEFT(SUBSTITUTE(C2807,"'",""),4),MID(SUBSTITUTE(C2807,"'",""),6,2),1),0)+1)</f>
        <v>0</v>
      </c>
      <c r="E2807" s="17">
        <f t="shared" si="1"/>
        <v>1351</v>
      </c>
      <c r="F2807" s="17">
        <f t="shared" si="2"/>
        <v>0</v>
      </c>
    </row>
    <row r="2808">
      <c r="A2808" s="5" t="s">
        <v>55</v>
      </c>
      <c r="B2808" s="6">
        <v>1028.0</v>
      </c>
      <c r="C2808" s="13" t="s">
        <v>377</v>
      </c>
      <c r="D2808" s="17">
        <f>SUMIFS(ShadowLedger!$D:$D,ShadowLedger!$G:$G,A2808,ShadowLedger!$C:$C,"&gt;="&amp;DATE(LEFT(SUBSTITUTE(C2808,"'",""),4),MID(SUBSTITUTE(C2808,"'",""),6,2),1),ShadowLedger!$C:$C,"&lt;"&amp;EOMONTH(DATE(LEFT(SUBSTITUTE(C2808,"'",""),4),MID(SUBSTITUTE(C2808,"'",""),6,2),1),0)+1)</f>
        <v>0</v>
      </c>
      <c r="E2808" s="17">
        <f t="shared" si="1"/>
        <v>1028</v>
      </c>
      <c r="F2808" s="17">
        <f t="shared" si="2"/>
        <v>0</v>
      </c>
    </row>
    <row r="2809">
      <c r="A2809" s="5" t="s">
        <v>56</v>
      </c>
      <c r="B2809" s="6">
        <v>734.0</v>
      </c>
      <c r="C2809" s="13" t="s">
        <v>377</v>
      </c>
      <c r="D2809" s="17">
        <f>SUMIFS(ShadowLedger!$D:$D,ShadowLedger!$G:$G,A2809,ShadowLedger!$C:$C,"&gt;="&amp;DATE(LEFT(SUBSTITUTE(C2809,"'",""),4),MID(SUBSTITUTE(C2809,"'",""),6,2),1),ShadowLedger!$C:$C,"&lt;"&amp;EOMONTH(DATE(LEFT(SUBSTITUTE(C2809,"'",""),4),MID(SUBSTITUTE(C2809,"'",""),6,2),1),0)+1)</f>
        <v>0</v>
      </c>
      <c r="E2809" s="17">
        <f t="shared" si="1"/>
        <v>734</v>
      </c>
      <c r="F2809" s="17">
        <f t="shared" si="2"/>
        <v>0</v>
      </c>
    </row>
    <row r="2810">
      <c r="A2810" s="5" t="s">
        <v>57</v>
      </c>
      <c r="B2810" s="6">
        <v>734.0</v>
      </c>
      <c r="C2810" s="13" t="s">
        <v>377</v>
      </c>
      <c r="D2810" s="17">
        <f>SUMIFS(ShadowLedger!$D:$D,ShadowLedger!$G:$G,A2810,ShadowLedger!$C:$C,"&gt;="&amp;DATE(LEFT(SUBSTITUTE(C2810,"'",""),4),MID(SUBSTITUTE(C2810,"'",""),6,2),1),ShadowLedger!$C:$C,"&lt;"&amp;EOMONTH(DATE(LEFT(SUBSTITUTE(C2810,"'",""),4),MID(SUBSTITUTE(C2810,"'",""),6,2),1),0)+1)</f>
        <v>0</v>
      </c>
      <c r="E2810" s="17">
        <f t="shared" si="1"/>
        <v>734</v>
      </c>
      <c r="F2810" s="17">
        <f t="shared" si="2"/>
        <v>0</v>
      </c>
    </row>
    <row r="2811">
      <c r="A2811" s="5" t="s">
        <v>58</v>
      </c>
      <c r="B2811" s="6">
        <v>587.0</v>
      </c>
      <c r="C2811" s="13" t="s">
        <v>377</v>
      </c>
      <c r="D2811" s="17">
        <f>SUMIFS(ShadowLedger!$D:$D,ShadowLedger!$G:$G,A2811,ShadowLedger!$C:$C,"&gt;="&amp;DATE(LEFT(SUBSTITUTE(C2811,"'",""),4),MID(SUBSTITUTE(C2811,"'",""),6,2),1),ShadowLedger!$C:$C,"&lt;"&amp;EOMONTH(DATE(LEFT(SUBSTITUTE(C2811,"'",""),4),MID(SUBSTITUTE(C2811,"'",""),6,2),1),0)+1)</f>
        <v>0</v>
      </c>
      <c r="E2811" s="17">
        <f t="shared" si="1"/>
        <v>587</v>
      </c>
      <c r="F2811" s="17">
        <f t="shared" si="2"/>
        <v>0</v>
      </c>
    </row>
    <row r="2812">
      <c r="A2812" s="5" t="s">
        <v>59</v>
      </c>
      <c r="B2812" s="6">
        <v>294.0</v>
      </c>
      <c r="C2812" s="13" t="s">
        <v>377</v>
      </c>
      <c r="D2812" s="17">
        <f>SUMIFS(ShadowLedger!$D:$D,ShadowLedger!$G:$G,A2812,ShadowLedger!$C:$C,"&gt;="&amp;DATE(LEFT(SUBSTITUTE(C2812,"'",""),4),MID(SUBSTITUTE(C2812,"'",""),6,2),1),ShadowLedger!$C:$C,"&lt;"&amp;EOMONTH(DATE(LEFT(SUBSTITUTE(C2812,"'",""),4),MID(SUBSTITUTE(C2812,"'",""),6,2),1),0)+1)</f>
        <v>0</v>
      </c>
      <c r="E2812" s="17">
        <f t="shared" si="1"/>
        <v>294</v>
      </c>
      <c r="F2812" s="17">
        <f t="shared" si="2"/>
        <v>0</v>
      </c>
    </row>
    <row r="2813">
      <c r="A2813" s="5" t="s">
        <v>60</v>
      </c>
      <c r="B2813" s="6">
        <v>220.0</v>
      </c>
      <c r="C2813" s="13" t="s">
        <v>377</v>
      </c>
      <c r="D2813" s="17">
        <f>SUMIFS(ShadowLedger!$D:$D,ShadowLedger!$G:$G,A2813,ShadowLedger!$C:$C,"&gt;="&amp;DATE(LEFT(SUBSTITUTE(C2813,"'",""),4),MID(SUBSTITUTE(C2813,"'",""),6,2),1),ShadowLedger!$C:$C,"&lt;"&amp;EOMONTH(DATE(LEFT(SUBSTITUTE(C2813,"'",""),4),MID(SUBSTITUTE(C2813,"'",""),6,2),1),0)+1)</f>
        <v>0</v>
      </c>
      <c r="E2813" s="17">
        <f t="shared" si="1"/>
        <v>220</v>
      </c>
      <c r="F2813" s="17">
        <f t="shared" si="2"/>
        <v>0</v>
      </c>
    </row>
    <row r="2814">
      <c r="A2814" s="5" t="s">
        <v>61</v>
      </c>
      <c r="B2814" s="6">
        <v>176.0</v>
      </c>
      <c r="C2814" s="13" t="s">
        <v>377</v>
      </c>
      <c r="D2814" s="17">
        <f>SUMIFS(ShadowLedger!$D:$D,ShadowLedger!$G:$G,A2814,ShadowLedger!$C:$C,"&gt;="&amp;DATE(LEFT(SUBSTITUTE(C2814,"'",""),4),MID(SUBSTITUTE(C2814,"'",""),6,2),1),ShadowLedger!$C:$C,"&lt;"&amp;EOMONTH(DATE(LEFT(SUBSTITUTE(C2814,"'",""),4),MID(SUBSTITUTE(C2814,"'",""),6,2),1),0)+1)</f>
        <v>0</v>
      </c>
      <c r="E2814" s="17">
        <f t="shared" si="1"/>
        <v>176</v>
      </c>
      <c r="F2814" s="17">
        <f t="shared" si="2"/>
        <v>0</v>
      </c>
    </row>
    <row r="2815">
      <c r="A2815" s="5" t="s">
        <v>62</v>
      </c>
      <c r="B2815" s="6">
        <v>176.0</v>
      </c>
      <c r="C2815" s="13" t="s">
        <v>377</v>
      </c>
      <c r="D2815" s="17">
        <f>SUMIFS(ShadowLedger!$D:$D,ShadowLedger!$G:$G,A2815,ShadowLedger!$C:$C,"&gt;="&amp;DATE(LEFT(SUBSTITUTE(C2815,"'",""),4),MID(SUBSTITUTE(C2815,"'",""),6,2),1),ShadowLedger!$C:$C,"&lt;"&amp;EOMONTH(DATE(LEFT(SUBSTITUTE(C2815,"'",""),4),MID(SUBSTITUTE(C2815,"'",""),6,2),1),0)+1)</f>
        <v>0</v>
      </c>
      <c r="E2815" s="17">
        <f t="shared" si="1"/>
        <v>176</v>
      </c>
      <c r="F2815" s="17">
        <f t="shared" si="2"/>
        <v>0</v>
      </c>
    </row>
    <row r="2816">
      <c r="A2816" s="5" t="s">
        <v>63</v>
      </c>
      <c r="B2816" s="6">
        <v>147.0</v>
      </c>
      <c r="C2816" s="13" t="s">
        <v>377</v>
      </c>
      <c r="D2816" s="17">
        <f>SUMIFS(ShadowLedger!$D:$D,ShadowLedger!$G:$G,A2816,ShadowLedger!$C:$C,"&gt;="&amp;DATE(LEFT(SUBSTITUTE(C2816,"'",""),4),MID(SUBSTITUTE(C2816,"'",""),6,2),1),ShadowLedger!$C:$C,"&lt;"&amp;EOMONTH(DATE(LEFT(SUBSTITUTE(C2816,"'",""),4),MID(SUBSTITUTE(C2816,"'",""),6,2),1),0)+1)</f>
        <v>0</v>
      </c>
      <c r="E2816" s="17">
        <f t="shared" si="1"/>
        <v>147</v>
      </c>
      <c r="F2816" s="17">
        <f t="shared" si="2"/>
        <v>0</v>
      </c>
    </row>
    <row r="2817">
      <c r="A2817" s="5" t="s">
        <v>64</v>
      </c>
      <c r="B2817" s="6">
        <v>147.0</v>
      </c>
      <c r="C2817" s="13" t="s">
        <v>377</v>
      </c>
      <c r="D2817" s="17">
        <f>SUMIFS(ShadowLedger!$D:$D,ShadowLedger!$G:$G,A2817,ShadowLedger!$C:$C,"&gt;="&amp;DATE(LEFT(SUBSTITUTE(C2817,"'",""),4),MID(SUBSTITUTE(C2817,"'",""),6,2),1),ShadowLedger!$C:$C,"&lt;"&amp;EOMONTH(DATE(LEFT(SUBSTITUTE(C2817,"'",""),4),MID(SUBSTITUTE(C2817,"'",""),6,2),1),0)+1)</f>
        <v>0</v>
      </c>
      <c r="E2817" s="17">
        <f t="shared" si="1"/>
        <v>147</v>
      </c>
      <c r="F2817" s="17">
        <f t="shared" si="2"/>
        <v>0</v>
      </c>
    </row>
    <row r="2818">
      <c r="A2818" s="5" t="s">
        <v>70</v>
      </c>
      <c r="B2818" s="6">
        <v>147.0</v>
      </c>
      <c r="C2818" s="13" t="s">
        <v>377</v>
      </c>
      <c r="D2818" s="17">
        <f>SUMIFS(ShadowLedger!$D:$D,ShadowLedger!$G:$G,A2818,ShadowLedger!$C:$C,"&gt;="&amp;DATE(LEFT(SUBSTITUTE(C2818,"'",""),4),MID(SUBSTITUTE(C2818,"'",""),6,2),1),ShadowLedger!$C:$C,"&lt;"&amp;EOMONTH(DATE(LEFT(SUBSTITUTE(C2818,"'",""),4),MID(SUBSTITUTE(C2818,"'",""),6,2),1),0)+1)</f>
        <v>0</v>
      </c>
      <c r="E2818" s="17">
        <f t="shared" si="1"/>
        <v>147</v>
      </c>
      <c r="F2818" s="17">
        <f t="shared" si="2"/>
        <v>0</v>
      </c>
    </row>
    <row r="2819">
      <c r="A2819" s="5" t="s">
        <v>65</v>
      </c>
      <c r="B2819" s="6">
        <v>73.0</v>
      </c>
      <c r="C2819" s="13" t="s">
        <v>377</v>
      </c>
      <c r="D2819" s="17">
        <f>SUMIFS(ShadowLedger!$D:$D,ShadowLedger!$G:$G,A2819,ShadowLedger!$C:$C,"&gt;="&amp;DATE(LEFT(SUBSTITUTE(C2819,"'",""),4),MID(SUBSTITUTE(C2819,"'",""),6,2),1),ShadowLedger!$C:$C,"&lt;"&amp;EOMONTH(DATE(LEFT(SUBSTITUTE(C2819,"'",""),4),MID(SUBSTITUTE(C2819,"'",""),6,2),1),0)+1)</f>
        <v>0</v>
      </c>
      <c r="E2819" s="17">
        <f t="shared" si="1"/>
        <v>73</v>
      </c>
      <c r="F2819" s="17">
        <f t="shared" si="2"/>
        <v>0</v>
      </c>
    </row>
    <row r="2820">
      <c r="A2820" s="5" t="s">
        <v>66</v>
      </c>
      <c r="B2820" s="6">
        <v>73.0</v>
      </c>
      <c r="C2820" s="13" t="s">
        <v>377</v>
      </c>
      <c r="D2820" s="17">
        <f>SUMIFS(ShadowLedger!$D:$D,ShadowLedger!$G:$G,A2820,ShadowLedger!$C:$C,"&gt;="&amp;DATE(LEFT(SUBSTITUTE(C2820,"'",""),4),MID(SUBSTITUTE(C2820,"'",""),6,2),1),ShadowLedger!$C:$C,"&lt;"&amp;EOMONTH(DATE(LEFT(SUBSTITUTE(C2820,"'",""),4),MID(SUBSTITUTE(C2820,"'",""),6,2),1),0)+1)</f>
        <v>0</v>
      </c>
      <c r="E2820" s="17">
        <f t="shared" si="1"/>
        <v>73</v>
      </c>
      <c r="F2820" s="17">
        <f t="shared" si="2"/>
        <v>0</v>
      </c>
    </row>
    <row r="2821">
      <c r="A2821" s="5" t="s">
        <v>67</v>
      </c>
      <c r="B2821" s="6">
        <v>73.0</v>
      </c>
      <c r="C2821" s="13" t="s">
        <v>377</v>
      </c>
      <c r="D2821" s="17">
        <f>SUMIFS(ShadowLedger!$D:$D,ShadowLedger!$G:$G,A2821,ShadowLedger!$C:$C,"&gt;="&amp;DATE(LEFT(SUBSTITUTE(C2821,"'",""),4),MID(SUBSTITUTE(C2821,"'",""),6,2),1),ShadowLedger!$C:$C,"&lt;"&amp;EOMONTH(DATE(LEFT(SUBSTITUTE(C2821,"'",""),4),MID(SUBSTITUTE(C2821,"'",""),6,2),1),0)+1)</f>
        <v>0</v>
      </c>
      <c r="E2821" s="17">
        <f t="shared" si="1"/>
        <v>73</v>
      </c>
      <c r="F2821" s="17">
        <f t="shared" si="2"/>
        <v>0</v>
      </c>
    </row>
    <row r="2822">
      <c r="A2822" s="5" t="s">
        <v>68</v>
      </c>
      <c r="B2822" s="6">
        <v>73.0</v>
      </c>
      <c r="C2822" s="13" t="s">
        <v>377</v>
      </c>
      <c r="D2822" s="17">
        <f>SUMIFS(ShadowLedger!$D:$D,ShadowLedger!$G:$G,A2822,ShadowLedger!$C:$C,"&gt;="&amp;DATE(LEFT(SUBSTITUTE(C2822,"'",""),4),MID(SUBSTITUTE(C2822,"'",""),6,2),1),ShadowLedger!$C:$C,"&lt;"&amp;EOMONTH(DATE(LEFT(SUBSTITUTE(C2822,"'",""),4),MID(SUBSTITUTE(C2822,"'",""),6,2),1),0)+1)</f>
        <v>0</v>
      </c>
      <c r="E2822" s="17">
        <f t="shared" si="1"/>
        <v>73</v>
      </c>
      <c r="F2822" s="17">
        <f t="shared" si="2"/>
        <v>0</v>
      </c>
    </row>
    <row r="2823">
      <c r="A2823" s="5" t="s">
        <v>69</v>
      </c>
      <c r="B2823" s="6">
        <v>0.0</v>
      </c>
      <c r="C2823" s="13" t="s">
        <v>377</v>
      </c>
      <c r="D2823" s="17">
        <f>SUMIFS(ShadowLedger!$D:$D,ShadowLedger!$G:$G,A2823,ShadowLedger!$C:$C,"&gt;="&amp;DATE(LEFT(SUBSTITUTE(C2823,"'",""),4),MID(SUBSTITUTE(C2823,"'",""),6,2),1),ShadowLedger!$C:$C,"&lt;"&amp;EOMONTH(DATE(LEFT(SUBSTITUTE(C2823,"'",""),4),MID(SUBSTITUTE(C2823,"'",""),6,2),1),0)+1)</f>
        <v>0</v>
      </c>
      <c r="E2823" s="17">
        <f t="shared" si="1"/>
        <v>0</v>
      </c>
      <c r="F2823" s="17">
        <f t="shared" si="2"/>
        <v>0</v>
      </c>
    </row>
    <row r="2824">
      <c r="A2824" s="5" t="s">
        <v>54</v>
      </c>
      <c r="B2824" s="6">
        <v>1351.0</v>
      </c>
      <c r="C2824" s="13" t="s">
        <v>378</v>
      </c>
      <c r="D2824" s="17">
        <f>SUMIFS(ShadowLedger!$D:$D,ShadowLedger!$G:$G,A2824,ShadowLedger!$C:$C,"&gt;="&amp;DATE(LEFT(SUBSTITUTE(C2824,"'",""),4),MID(SUBSTITUTE(C2824,"'",""),6,2),1),ShadowLedger!$C:$C,"&lt;"&amp;EOMONTH(DATE(LEFT(SUBSTITUTE(C2824,"'",""),4),MID(SUBSTITUTE(C2824,"'",""),6,2),1),0)+1)</f>
        <v>0</v>
      </c>
      <c r="E2824" s="17">
        <f t="shared" si="1"/>
        <v>1351</v>
      </c>
      <c r="F2824" s="17">
        <f t="shared" si="2"/>
        <v>0</v>
      </c>
    </row>
    <row r="2825">
      <c r="A2825" s="5" t="s">
        <v>55</v>
      </c>
      <c r="B2825" s="6">
        <v>1028.0</v>
      </c>
      <c r="C2825" s="13" t="s">
        <v>378</v>
      </c>
      <c r="D2825" s="17">
        <f>SUMIFS(ShadowLedger!$D:$D,ShadowLedger!$G:$G,A2825,ShadowLedger!$C:$C,"&gt;="&amp;DATE(LEFT(SUBSTITUTE(C2825,"'",""),4),MID(SUBSTITUTE(C2825,"'",""),6,2),1),ShadowLedger!$C:$C,"&lt;"&amp;EOMONTH(DATE(LEFT(SUBSTITUTE(C2825,"'",""),4),MID(SUBSTITUTE(C2825,"'",""),6,2),1),0)+1)</f>
        <v>0</v>
      </c>
      <c r="E2825" s="17">
        <f t="shared" si="1"/>
        <v>1028</v>
      </c>
      <c r="F2825" s="17">
        <f t="shared" si="2"/>
        <v>0</v>
      </c>
    </row>
    <row r="2826">
      <c r="A2826" s="5" t="s">
        <v>56</v>
      </c>
      <c r="B2826" s="6">
        <v>734.0</v>
      </c>
      <c r="C2826" s="13" t="s">
        <v>378</v>
      </c>
      <c r="D2826" s="17">
        <f>SUMIFS(ShadowLedger!$D:$D,ShadowLedger!$G:$G,A2826,ShadowLedger!$C:$C,"&gt;="&amp;DATE(LEFT(SUBSTITUTE(C2826,"'",""),4),MID(SUBSTITUTE(C2826,"'",""),6,2),1),ShadowLedger!$C:$C,"&lt;"&amp;EOMONTH(DATE(LEFT(SUBSTITUTE(C2826,"'",""),4),MID(SUBSTITUTE(C2826,"'",""),6,2),1),0)+1)</f>
        <v>0</v>
      </c>
      <c r="E2826" s="17">
        <f t="shared" si="1"/>
        <v>734</v>
      </c>
      <c r="F2826" s="17">
        <f t="shared" si="2"/>
        <v>0</v>
      </c>
    </row>
    <row r="2827">
      <c r="A2827" s="5" t="s">
        <v>57</v>
      </c>
      <c r="B2827" s="6">
        <v>734.0</v>
      </c>
      <c r="C2827" s="13" t="s">
        <v>378</v>
      </c>
      <c r="D2827" s="17">
        <f>SUMIFS(ShadowLedger!$D:$D,ShadowLedger!$G:$G,A2827,ShadowLedger!$C:$C,"&gt;="&amp;DATE(LEFT(SUBSTITUTE(C2827,"'",""),4),MID(SUBSTITUTE(C2827,"'",""),6,2),1),ShadowLedger!$C:$C,"&lt;"&amp;EOMONTH(DATE(LEFT(SUBSTITUTE(C2827,"'",""),4),MID(SUBSTITUTE(C2827,"'",""),6,2),1),0)+1)</f>
        <v>0</v>
      </c>
      <c r="E2827" s="17">
        <f t="shared" si="1"/>
        <v>734</v>
      </c>
      <c r="F2827" s="17">
        <f t="shared" si="2"/>
        <v>0</v>
      </c>
    </row>
    <row r="2828">
      <c r="A2828" s="5" t="s">
        <v>58</v>
      </c>
      <c r="B2828" s="6">
        <v>587.0</v>
      </c>
      <c r="C2828" s="13" t="s">
        <v>378</v>
      </c>
      <c r="D2828" s="17">
        <f>SUMIFS(ShadowLedger!$D:$D,ShadowLedger!$G:$G,A2828,ShadowLedger!$C:$C,"&gt;="&amp;DATE(LEFT(SUBSTITUTE(C2828,"'",""),4),MID(SUBSTITUTE(C2828,"'",""),6,2),1),ShadowLedger!$C:$C,"&lt;"&amp;EOMONTH(DATE(LEFT(SUBSTITUTE(C2828,"'",""),4),MID(SUBSTITUTE(C2828,"'",""),6,2),1),0)+1)</f>
        <v>0</v>
      </c>
      <c r="E2828" s="17">
        <f t="shared" si="1"/>
        <v>587</v>
      </c>
      <c r="F2828" s="17">
        <f t="shared" si="2"/>
        <v>0</v>
      </c>
    </row>
    <row r="2829">
      <c r="A2829" s="5" t="s">
        <v>59</v>
      </c>
      <c r="B2829" s="6">
        <v>294.0</v>
      </c>
      <c r="C2829" s="13" t="s">
        <v>378</v>
      </c>
      <c r="D2829" s="17">
        <f>SUMIFS(ShadowLedger!$D:$D,ShadowLedger!$G:$G,A2829,ShadowLedger!$C:$C,"&gt;="&amp;DATE(LEFT(SUBSTITUTE(C2829,"'",""),4),MID(SUBSTITUTE(C2829,"'",""),6,2),1),ShadowLedger!$C:$C,"&lt;"&amp;EOMONTH(DATE(LEFT(SUBSTITUTE(C2829,"'",""),4),MID(SUBSTITUTE(C2829,"'",""),6,2),1),0)+1)</f>
        <v>0</v>
      </c>
      <c r="E2829" s="17">
        <f t="shared" si="1"/>
        <v>294</v>
      </c>
      <c r="F2829" s="17">
        <f t="shared" si="2"/>
        <v>0</v>
      </c>
    </row>
    <row r="2830">
      <c r="A2830" s="5" t="s">
        <v>60</v>
      </c>
      <c r="B2830" s="6">
        <v>220.0</v>
      </c>
      <c r="C2830" s="13" t="s">
        <v>378</v>
      </c>
      <c r="D2830" s="17">
        <f>SUMIFS(ShadowLedger!$D:$D,ShadowLedger!$G:$G,A2830,ShadowLedger!$C:$C,"&gt;="&amp;DATE(LEFT(SUBSTITUTE(C2830,"'",""),4),MID(SUBSTITUTE(C2830,"'",""),6,2),1),ShadowLedger!$C:$C,"&lt;"&amp;EOMONTH(DATE(LEFT(SUBSTITUTE(C2830,"'",""),4),MID(SUBSTITUTE(C2830,"'",""),6,2),1),0)+1)</f>
        <v>0</v>
      </c>
      <c r="E2830" s="17">
        <f t="shared" si="1"/>
        <v>220</v>
      </c>
      <c r="F2830" s="17">
        <f t="shared" si="2"/>
        <v>0</v>
      </c>
    </row>
    <row r="2831">
      <c r="A2831" s="5" t="s">
        <v>61</v>
      </c>
      <c r="B2831" s="6">
        <v>176.0</v>
      </c>
      <c r="C2831" s="13" t="s">
        <v>378</v>
      </c>
      <c r="D2831" s="17">
        <f>SUMIFS(ShadowLedger!$D:$D,ShadowLedger!$G:$G,A2831,ShadowLedger!$C:$C,"&gt;="&amp;DATE(LEFT(SUBSTITUTE(C2831,"'",""),4),MID(SUBSTITUTE(C2831,"'",""),6,2),1),ShadowLedger!$C:$C,"&lt;"&amp;EOMONTH(DATE(LEFT(SUBSTITUTE(C2831,"'",""),4),MID(SUBSTITUTE(C2831,"'",""),6,2),1),0)+1)</f>
        <v>0</v>
      </c>
      <c r="E2831" s="17">
        <f t="shared" si="1"/>
        <v>176</v>
      </c>
      <c r="F2831" s="17">
        <f t="shared" si="2"/>
        <v>0</v>
      </c>
    </row>
    <row r="2832">
      <c r="A2832" s="5" t="s">
        <v>62</v>
      </c>
      <c r="B2832" s="6">
        <v>176.0</v>
      </c>
      <c r="C2832" s="13" t="s">
        <v>378</v>
      </c>
      <c r="D2832" s="17">
        <f>SUMIFS(ShadowLedger!$D:$D,ShadowLedger!$G:$G,A2832,ShadowLedger!$C:$C,"&gt;="&amp;DATE(LEFT(SUBSTITUTE(C2832,"'",""),4),MID(SUBSTITUTE(C2832,"'",""),6,2),1),ShadowLedger!$C:$C,"&lt;"&amp;EOMONTH(DATE(LEFT(SUBSTITUTE(C2832,"'",""),4),MID(SUBSTITUTE(C2832,"'",""),6,2),1),0)+1)</f>
        <v>0</v>
      </c>
      <c r="E2832" s="17">
        <f t="shared" si="1"/>
        <v>176</v>
      </c>
      <c r="F2832" s="17">
        <f t="shared" si="2"/>
        <v>0</v>
      </c>
    </row>
    <row r="2833">
      <c r="A2833" s="5" t="s">
        <v>63</v>
      </c>
      <c r="B2833" s="6">
        <v>147.0</v>
      </c>
      <c r="C2833" s="13" t="s">
        <v>378</v>
      </c>
      <c r="D2833" s="17">
        <f>SUMIFS(ShadowLedger!$D:$D,ShadowLedger!$G:$G,A2833,ShadowLedger!$C:$C,"&gt;="&amp;DATE(LEFT(SUBSTITUTE(C2833,"'",""),4),MID(SUBSTITUTE(C2833,"'",""),6,2),1),ShadowLedger!$C:$C,"&lt;"&amp;EOMONTH(DATE(LEFT(SUBSTITUTE(C2833,"'",""),4),MID(SUBSTITUTE(C2833,"'",""),6,2),1),0)+1)</f>
        <v>0</v>
      </c>
      <c r="E2833" s="17">
        <f t="shared" si="1"/>
        <v>147</v>
      </c>
      <c r="F2833" s="17">
        <f t="shared" si="2"/>
        <v>0</v>
      </c>
    </row>
    <row r="2834">
      <c r="A2834" s="5" t="s">
        <v>64</v>
      </c>
      <c r="B2834" s="6">
        <v>147.0</v>
      </c>
      <c r="C2834" s="13" t="s">
        <v>378</v>
      </c>
      <c r="D2834" s="17">
        <f>SUMIFS(ShadowLedger!$D:$D,ShadowLedger!$G:$G,A2834,ShadowLedger!$C:$C,"&gt;="&amp;DATE(LEFT(SUBSTITUTE(C2834,"'",""),4),MID(SUBSTITUTE(C2834,"'",""),6,2),1),ShadowLedger!$C:$C,"&lt;"&amp;EOMONTH(DATE(LEFT(SUBSTITUTE(C2834,"'",""),4),MID(SUBSTITUTE(C2834,"'",""),6,2),1),0)+1)</f>
        <v>0</v>
      </c>
      <c r="E2834" s="17">
        <f t="shared" si="1"/>
        <v>147</v>
      </c>
      <c r="F2834" s="17">
        <f t="shared" si="2"/>
        <v>0</v>
      </c>
    </row>
    <row r="2835">
      <c r="A2835" s="5" t="s">
        <v>70</v>
      </c>
      <c r="B2835" s="6">
        <v>147.0</v>
      </c>
      <c r="C2835" s="13" t="s">
        <v>378</v>
      </c>
      <c r="D2835" s="17">
        <f>SUMIFS(ShadowLedger!$D:$D,ShadowLedger!$G:$G,A2835,ShadowLedger!$C:$C,"&gt;="&amp;DATE(LEFT(SUBSTITUTE(C2835,"'",""),4),MID(SUBSTITUTE(C2835,"'",""),6,2),1),ShadowLedger!$C:$C,"&lt;"&amp;EOMONTH(DATE(LEFT(SUBSTITUTE(C2835,"'",""),4),MID(SUBSTITUTE(C2835,"'",""),6,2),1),0)+1)</f>
        <v>0</v>
      </c>
      <c r="E2835" s="17">
        <f t="shared" si="1"/>
        <v>147</v>
      </c>
      <c r="F2835" s="17">
        <f t="shared" si="2"/>
        <v>0</v>
      </c>
    </row>
    <row r="2836">
      <c r="A2836" s="5" t="s">
        <v>65</v>
      </c>
      <c r="B2836" s="6">
        <v>73.0</v>
      </c>
      <c r="C2836" s="13" t="s">
        <v>378</v>
      </c>
      <c r="D2836" s="17">
        <f>SUMIFS(ShadowLedger!$D:$D,ShadowLedger!$G:$G,A2836,ShadowLedger!$C:$C,"&gt;="&amp;DATE(LEFT(SUBSTITUTE(C2836,"'",""),4),MID(SUBSTITUTE(C2836,"'",""),6,2),1),ShadowLedger!$C:$C,"&lt;"&amp;EOMONTH(DATE(LEFT(SUBSTITUTE(C2836,"'",""),4),MID(SUBSTITUTE(C2836,"'",""),6,2),1),0)+1)</f>
        <v>0</v>
      </c>
      <c r="E2836" s="17">
        <f t="shared" si="1"/>
        <v>73</v>
      </c>
      <c r="F2836" s="17">
        <f t="shared" si="2"/>
        <v>0</v>
      </c>
    </row>
    <row r="2837">
      <c r="A2837" s="5" t="s">
        <v>66</v>
      </c>
      <c r="B2837" s="6">
        <v>73.0</v>
      </c>
      <c r="C2837" s="13" t="s">
        <v>378</v>
      </c>
      <c r="D2837" s="17">
        <f>SUMIFS(ShadowLedger!$D:$D,ShadowLedger!$G:$G,A2837,ShadowLedger!$C:$C,"&gt;="&amp;DATE(LEFT(SUBSTITUTE(C2837,"'",""),4),MID(SUBSTITUTE(C2837,"'",""),6,2),1),ShadowLedger!$C:$C,"&lt;"&amp;EOMONTH(DATE(LEFT(SUBSTITUTE(C2837,"'",""),4),MID(SUBSTITUTE(C2837,"'",""),6,2),1),0)+1)</f>
        <v>0</v>
      </c>
      <c r="E2837" s="17">
        <f t="shared" si="1"/>
        <v>73</v>
      </c>
      <c r="F2837" s="17">
        <f t="shared" si="2"/>
        <v>0</v>
      </c>
    </row>
    <row r="2838">
      <c r="A2838" s="5" t="s">
        <v>67</v>
      </c>
      <c r="B2838" s="6">
        <v>73.0</v>
      </c>
      <c r="C2838" s="13" t="s">
        <v>378</v>
      </c>
      <c r="D2838" s="17">
        <f>SUMIFS(ShadowLedger!$D:$D,ShadowLedger!$G:$G,A2838,ShadowLedger!$C:$C,"&gt;="&amp;DATE(LEFT(SUBSTITUTE(C2838,"'",""),4),MID(SUBSTITUTE(C2838,"'",""),6,2),1),ShadowLedger!$C:$C,"&lt;"&amp;EOMONTH(DATE(LEFT(SUBSTITUTE(C2838,"'",""),4),MID(SUBSTITUTE(C2838,"'",""),6,2),1),0)+1)</f>
        <v>0</v>
      </c>
      <c r="E2838" s="17">
        <f t="shared" si="1"/>
        <v>73</v>
      </c>
      <c r="F2838" s="17">
        <f t="shared" si="2"/>
        <v>0</v>
      </c>
    </row>
    <row r="2839">
      <c r="A2839" s="5" t="s">
        <v>68</v>
      </c>
      <c r="B2839" s="6">
        <v>73.0</v>
      </c>
      <c r="C2839" s="13" t="s">
        <v>378</v>
      </c>
      <c r="D2839" s="17">
        <f>SUMIFS(ShadowLedger!$D:$D,ShadowLedger!$G:$G,A2839,ShadowLedger!$C:$C,"&gt;="&amp;DATE(LEFT(SUBSTITUTE(C2839,"'",""),4),MID(SUBSTITUTE(C2839,"'",""),6,2),1),ShadowLedger!$C:$C,"&lt;"&amp;EOMONTH(DATE(LEFT(SUBSTITUTE(C2839,"'",""),4),MID(SUBSTITUTE(C2839,"'",""),6,2),1),0)+1)</f>
        <v>0</v>
      </c>
      <c r="E2839" s="17">
        <f t="shared" si="1"/>
        <v>73</v>
      </c>
      <c r="F2839" s="17">
        <f t="shared" si="2"/>
        <v>0</v>
      </c>
    </row>
    <row r="2840">
      <c r="A2840" s="5" t="s">
        <v>69</v>
      </c>
      <c r="B2840" s="6">
        <v>0.0</v>
      </c>
      <c r="C2840" s="13" t="s">
        <v>378</v>
      </c>
      <c r="D2840" s="17">
        <f>SUMIFS(ShadowLedger!$D:$D,ShadowLedger!$G:$G,A2840,ShadowLedger!$C:$C,"&gt;="&amp;DATE(LEFT(SUBSTITUTE(C2840,"'",""),4),MID(SUBSTITUTE(C2840,"'",""),6,2),1),ShadowLedger!$C:$C,"&lt;"&amp;EOMONTH(DATE(LEFT(SUBSTITUTE(C2840,"'",""),4),MID(SUBSTITUTE(C2840,"'",""),6,2),1),0)+1)</f>
        <v>0</v>
      </c>
      <c r="E2840" s="17">
        <f t="shared" si="1"/>
        <v>0</v>
      </c>
      <c r="F2840" s="17">
        <f t="shared" si="2"/>
        <v>0</v>
      </c>
    </row>
    <row r="2841">
      <c r="A2841" s="5" t="s">
        <v>54</v>
      </c>
      <c r="B2841" s="6">
        <v>1351.0</v>
      </c>
      <c r="C2841" s="13" t="s">
        <v>379</v>
      </c>
      <c r="D2841" s="17">
        <f>SUMIFS(ShadowLedger!$D:$D,ShadowLedger!$G:$G,A2841,ShadowLedger!$C:$C,"&gt;="&amp;DATE(LEFT(SUBSTITUTE(C2841,"'",""),4),MID(SUBSTITUTE(C2841,"'",""),6,2),1),ShadowLedger!$C:$C,"&lt;"&amp;EOMONTH(DATE(LEFT(SUBSTITUTE(C2841,"'",""),4),MID(SUBSTITUTE(C2841,"'",""),6,2),1),0)+1)</f>
        <v>0</v>
      </c>
      <c r="E2841" s="17">
        <f t="shared" si="1"/>
        <v>1351</v>
      </c>
      <c r="F2841" s="17">
        <f t="shared" si="2"/>
        <v>0</v>
      </c>
    </row>
    <row r="2842">
      <c r="A2842" s="5" t="s">
        <v>55</v>
      </c>
      <c r="B2842" s="6">
        <v>1028.0</v>
      </c>
      <c r="C2842" s="13" t="s">
        <v>379</v>
      </c>
      <c r="D2842" s="17">
        <f>SUMIFS(ShadowLedger!$D:$D,ShadowLedger!$G:$G,A2842,ShadowLedger!$C:$C,"&gt;="&amp;DATE(LEFT(SUBSTITUTE(C2842,"'",""),4),MID(SUBSTITUTE(C2842,"'",""),6,2),1),ShadowLedger!$C:$C,"&lt;"&amp;EOMONTH(DATE(LEFT(SUBSTITUTE(C2842,"'",""),4),MID(SUBSTITUTE(C2842,"'",""),6,2),1),0)+1)</f>
        <v>0</v>
      </c>
      <c r="E2842" s="17">
        <f t="shared" si="1"/>
        <v>1028</v>
      </c>
      <c r="F2842" s="17">
        <f t="shared" si="2"/>
        <v>0</v>
      </c>
    </row>
    <row r="2843">
      <c r="A2843" s="5" t="s">
        <v>56</v>
      </c>
      <c r="B2843" s="6">
        <v>734.0</v>
      </c>
      <c r="C2843" s="13" t="s">
        <v>379</v>
      </c>
      <c r="D2843" s="17">
        <f>SUMIFS(ShadowLedger!$D:$D,ShadowLedger!$G:$G,A2843,ShadowLedger!$C:$C,"&gt;="&amp;DATE(LEFT(SUBSTITUTE(C2843,"'",""),4),MID(SUBSTITUTE(C2843,"'",""),6,2),1),ShadowLedger!$C:$C,"&lt;"&amp;EOMONTH(DATE(LEFT(SUBSTITUTE(C2843,"'",""),4),MID(SUBSTITUTE(C2843,"'",""),6,2),1),0)+1)</f>
        <v>0</v>
      </c>
      <c r="E2843" s="17">
        <f t="shared" si="1"/>
        <v>734</v>
      </c>
      <c r="F2843" s="17">
        <f t="shared" si="2"/>
        <v>0</v>
      </c>
    </row>
    <row r="2844">
      <c r="A2844" s="5" t="s">
        <v>57</v>
      </c>
      <c r="B2844" s="6">
        <v>734.0</v>
      </c>
      <c r="C2844" s="13" t="s">
        <v>379</v>
      </c>
      <c r="D2844" s="17">
        <f>SUMIFS(ShadowLedger!$D:$D,ShadowLedger!$G:$G,A2844,ShadowLedger!$C:$C,"&gt;="&amp;DATE(LEFT(SUBSTITUTE(C2844,"'",""),4),MID(SUBSTITUTE(C2844,"'",""),6,2),1),ShadowLedger!$C:$C,"&lt;"&amp;EOMONTH(DATE(LEFT(SUBSTITUTE(C2844,"'",""),4),MID(SUBSTITUTE(C2844,"'",""),6,2),1),0)+1)</f>
        <v>0</v>
      </c>
      <c r="E2844" s="17">
        <f t="shared" si="1"/>
        <v>734</v>
      </c>
      <c r="F2844" s="17">
        <f t="shared" si="2"/>
        <v>0</v>
      </c>
    </row>
    <row r="2845">
      <c r="A2845" s="5" t="s">
        <v>58</v>
      </c>
      <c r="B2845" s="6">
        <v>587.0</v>
      </c>
      <c r="C2845" s="13" t="s">
        <v>379</v>
      </c>
      <c r="D2845" s="17">
        <f>SUMIFS(ShadowLedger!$D:$D,ShadowLedger!$G:$G,A2845,ShadowLedger!$C:$C,"&gt;="&amp;DATE(LEFT(SUBSTITUTE(C2845,"'",""),4),MID(SUBSTITUTE(C2845,"'",""),6,2),1),ShadowLedger!$C:$C,"&lt;"&amp;EOMONTH(DATE(LEFT(SUBSTITUTE(C2845,"'",""),4),MID(SUBSTITUTE(C2845,"'",""),6,2),1),0)+1)</f>
        <v>0</v>
      </c>
      <c r="E2845" s="17">
        <f t="shared" si="1"/>
        <v>587</v>
      </c>
      <c r="F2845" s="17">
        <f t="shared" si="2"/>
        <v>0</v>
      </c>
    </row>
    <row r="2846">
      <c r="A2846" s="5" t="s">
        <v>59</v>
      </c>
      <c r="B2846" s="6">
        <v>294.0</v>
      </c>
      <c r="C2846" s="13" t="s">
        <v>379</v>
      </c>
      <c r="D2846" s="17">
        <f>SUMIFS(ShadowLedger!$D:$D,ShadowLedger!$G:$G,A2846,ShadowLedger!$C:$C,"&gt;="&amp;DATE(LEFT(SUBSTITUTE(C2846,"'",""),4),MID(SUBSTITUTE(C2846,"'",""),6,2),1),ShadowLedger!$C:$C,"&lt;"&amp;EOMONTH(DATE(LEFT(SUBSTITUTE(C2846,"'",""),4),MID(SUBSTITUTE(C2846,"'",""),6,2),1),0)+1)</f>
        <v>0</v>
      </c>
      <c r="E2846" s="17">
        <f t="shared" si="1"/>
        <v>294</v>
      </c>
      <c r="F2846" s="17">
        <f t="shared" si="2"/>
        <v>0</v>
      </c>
    </row>
    <row r="2847">
      <c r="A2847" s="5" t="s">
        <v>60</v>
      </c>
      <c r="B2847" s="6">
        <v>220.0</v>
      </c>
      <c r="C2847" s="13" t="s">
        <v>379</v>
      </c>
      <c r="D2847" s="17">
        <f>SUMIFS(ShadowLedger!$D:$D,ShadowLedger!$G:$G,A2847,ShadowLedger!$C:$C,"&gt;="&amp;DATE(LEFT(SUBSTITUTE(C2847,"'",""),4),MID(SUBSTITUTE(C2847,"'",""),6,2),1),ShadowLedger!$C:$C,"&lt;"&amp;EOMONTH(DATE(LEFT(SUBSTITUTE(C2847,"'",""),4),MID(SUBSTITUTE(C2847,"'",""),6,2),1),0)+1)</f>
        <v>0</v>
      </c>
      <c r="E2847" s="17">
        <f t="shared" si="1"/>
        <v>220</v>
      </c>
      <c r="F2847" s="17">
        <f t="shared" si="2"/>
        <v>0</v>
      </c>
    </row>
    <row r="2848">
      <c r="A2848" s="5" t="s">
        <v>61</v>
      </c>
      <c r="B2848" s="6">
        <v>176.0</v>
      </c>
      <c r="C2848" s="13" t="s">
        <v>379</v>
      </c>
      <c r="D2848" s="17">
        <f>SUMIFS(ShadowLedger!$D:$D,ShadowLedger!$G:$G,A2848,ShadowLedger!$C:$C,"&gt;="&amp;DATE(LEFT(SUBSTITUTE(C2848,"'",""),4),MID(SUBSTITUTE(C2848,"'",""),6,2),1),ShadowLedger!$C:$C,"&lt;"&amp;EOMONTH(DATE(LEFT(SUBSTITUTE(C2848,"'",""),4),MID(SUBSTITUTE(C2848,"'",""),6,2),1),0)+1)</f>
        <v>0</v>
      </c>
      <c r="E2848" s="17">
        <f t="shared" si="1"/>
        <v>176</v>
      </c>
      <c r="F2848" s="17">
        <f t="shared" si="2"/>
        <v>0</v>
      </c>
    </row>
    <row r="2849">
      <c r="A2849" s="5" t="s">
        <v>62</v>
      </c>
      <c r="B2849" s="6">
        <v>176.0</v>
      </c>
      <c r="C2849" s="13" t="s">
        <v>379</v>
      </c>
      <c r="D2849" s="17">
        <f>SUMIFS(ShadowLedger!$D:$D,ShadowLedger!$G:$G,A2849,ShadowLedger!$C:$C,"&gt;="&amp;DATE(LEFT(SUBSTITUTE(C2849,"'",""),4),MID(SUBSTITUTE(C2849,"'",""),6,2),1),ShadowLedger!$C:$C,"&lt;"&amp;EOMONTH(DATE(LEFT(SUBSTITUTE(C2849,"'",""),4),MID(SUBSTITUTE(C2849,"'",""),6,2),1),0)+1)</f>
        <v>0</v>
      </c>
      <c r="E2849" s="17">
        <f t="shared" si="1"/>
        <v>176</v>
      </c>
      <c r="F2849" s="17">
        <f t="shared" si="2"/>
        <v>0</v>
      </c>
    </row>
    <row r="2850">
      <c r="A2850" s="5" t="s">
        <v>63</v>
      </c>
      <c r="B2850" s="6">
        <v>147.0</v>
      </c>
      <c r="C2850" s="13" t="s">
        <v>379</v>
      </c>
      <c r="D2850" s="17">
        <f>SUMIFS(ShadowLedger!$D:$D,ShadowLedger!$G:$G,A2850,ShadowLedger!$C:$C,"&gt;="&amp;DATE(LEFT(SUBSTITUTE(C2850,"'",""),4),MID(SUBSTITUTE(C2850,"'",""),6,2),1),ShadowLedger!$C:$C,"&lt;"&amp;EOMONTH(DATE(LEFT(SUBSTITUTE(C2850,"'",""),4),MID(SUBSTITUTE(C2850,"'",""),6,2),1),0)+1)</f>
        <v>0</v>
      </c>
      <c r="E2850" s="17">
        <f t="shared" si="1"/>
        <v>147</v>
      </c>
      <c r="F2850" s="17">
        <f t="shared" si="2"/>
        <v>0</v>
      </c>
    </row>
    <row r="2851">
      <c r="A2851" s="5" t="s">
        <v>64</v>
      </c>
      <c r="B2851" s="6">
        <v>147.0</v>
      </c>
      <c r="C2851" s="13" t="s">
        <v>379</v>
      </c>
      <c r="D2851" s="17">
        <f>SUMIFS(ShadowLedger!$D:$D,ShadowLedger!$G:$G,A2851,ShadowLedger!$C:$C,"&gt;="&amp;DATE(LEFT(SUBSTITUTE(C2851,"'",""),4),MID(SUBSTITUTE(C2851,"'",""),6,2),1),ShadowLedger!$C:$C,"&lt;"&amp;EOMONTH(DATE(LEFT(SUBSTITUTE(C2851,"'",""),4),MID(SUBSTITUTE(C2851,"'",""),6,2),1),0)+1)</f>
        <v>0</v>
      </c>
      <c r="E2851" s="17">
        <f t="shared" si="1"/>
        <v>147</v>
      </c>
      <c r="F2851" s="17">
        <f t="shared" si="2"/>
        <v>0</v>
      </c>
    </row>
    <row r="2852">
      <c r="A2852" s="5" t="s">
        <v>70</v>
      </c>
      <c r="B2852" s="6">
        <v>147.0</v>
      </c>
      <c r="C2852" s="13" t="s">
        <v>379</v>
      </c>
      <c r="D2852" s="17">
        <f>SUMIFS(ShadowLedger!$D:$D,ShadowLedger!$G:$G,A2852,ShadowLedger!$C:$C,"&gt;="&amp;DATE(LEFT(SUBSTITUTE(C2852,"'",""),4),MID(SUBSTITUTE(C2852,"'",""),6,2),1),ShadowLedger!$C:$C,"&lt;"&amp;EOMONTH(DATE(LEFT(SUBSTITUTE(C2852,"'",""),4),MID(SUBSTITUTE(C2852,"'",""),6,2),1),0)+1)</f>
        <v>0</v>
      </c>
      <c r="E2852" s="17">
        <f t="shared" si="1"/>
        <v>147</v>
      </c>
      <c r="F2852" s="17">
        <f t="shared" si="2"/>
        <v>0</v>
      </c>
    </row>
    <row r="2853">
      <c r="A2853" s="5" t="s">
        <v>65</v>
      </c>
      <c r="B2853" s="6">
        <v>73.0</v>
      </c>
      <c r="C2853" s="13" t="s">
        <v>379</v>
      </c>
      <c r="D2853" s="17">
        <f>SUMIFS(ShadowLedger!$D:$D,ShadowLedger!$G:$G,A2853,ShadowLedger!$C:$C,"&gt;="&amp;DATE(LEFT(SUBSTITUTE(C2853,"'",""),4),MID(SUBSTITUTE(C2853,"'",""),6,2),1),ShadowLedger!$C:$C,"&lt;"&amp;EOMONTH(DATE(LEFT(SUBSTITUTE(C2853,"'",""),4),MID(SUBSTITUTE(C2853,"'",""),6,2),1),0)+1)</f>
        <v>0</v>
      </c>
      <c r="E2853" s="17">
        <f t="shared" si="1"/>
        <v>73</v>
      </c>
      <c r="F2853" s="17">
        <f t="shared" si="2"/>
        <v>0</v>
      </c>
    </row>
    <row r="2854">
      <c r="A2854" s="5" t="s">
        <v>66</v>
      </c>
      <c r="B2854" s="6">
        <v>73.0</v>
      </c>
      <c r="C2854" s="13" t="s">
        <v>379</v>
      </c>
      <c r="D2854" s="17">
        <f>SUMIFS(ShadowLedger!$D:$D,ShadowLedger!$G:$G,A2854,ShadowLedger!$C:$C,"&gt;="&amp;DATE(LEFT(SUBSTITUTE(C2854,"'",""),4),MID(SUBSTITUTE(C2854,"'",""),6,2),1),ShadowLedger!$C:$C,"&lt;"&amp;EOMONTH(DATE(LEFT(SUBSTITUTE(C2854,"'",""),4),MID(SUBSTITUTE(C2854,"'",""),6,2),1),0)+1)</f>
        <v>0</v>
      </c>
      <c r="E2854" s="17">
        <f t="shared" si="1"/>
        <v>73</v>
      </c>
      <c r="F2854" s="17">
        <f t="shared" si="2"/>
        <v>0</v>
      </c>
    </row>
    <row r="2855">
      <c r="A2855" s="5" t="s">
        <v>67</v>
      </c>
      <c r="B2855" s="6">
        <v>73.0</v>
      </c>
      <c r="C2855" s="13" t="s">
        <v>379</v>
      </c>
      <c r="D2855" s="17">
        <f>SUMIFS(ShadowLedger!$D:$D,ShadowLedger!$G:$G,A2855,ShadowLedger!$C:$C,"&gt;="&amp;DATE(LEFT(SUBSTITUTE(C2855,"'",""),4),MID(SUBSTITUTE(C2855,"'",""),6,2),1),ShadowLedger!$C:$C,"&lt;"&amp;EOMONTH(DATE(LEFT(SUBSTITUTE(C2855,"'",""),4),MID(SUBSTITUTE(C2855,"'",""),6,2),1),0)+1)</f>
        <v>0</v>
      </c>
      <c r="E2855" s="17">
        <f t="shared" si="1"/>
        <v>73</v>
      </c>
      <c r="F2855" s="17">
        <f t="shared" si="2"/>
        <v>0</v>
      </c>
    </row>
    <row r="2856">
      <c r="A2856" s="5" t="s">
        <v>68</v>
      </c>
      <c r="B2856" s="6">
        <v>73.0</v>
      </c>
      <c r="C2856" s="13" t="s">
        <v>379</v>
      </c>
      <c r="D2856" s="17">
        <f>SUMIFS(ShadowLedger!$D:$D,ShadowLedger!$G:$G,A2856,ShadowLedger!$C:$C,"&gt;="&amp;DATE(LEFT(SUBSTITUTE(C2856,"'",""),4),MID(SUBSTITUTE(C2856,"'",""),6,2),1),ShadowLedger!$C:$C,"&lt;"&amp;EOMONTH(DATE(LEFT(SUBSTITUTE(C2856,"'",""),4),MID(SUBSTITUTE(C2856,"'",""),6,2),1),0)+1)</f>
        <v>0</v>
      </c>
      <c r="E2856" s="17">
        <f t="shared" si="1"/>
        <v>73</v>
      </c>
      <c r="F2856" s="17">
        <f t="shared" si="2"/>
        <v>0</v>
      </c>
    </row>
    <row r="2857">
      <c r="A2857" s="5" t="s">
        <v>69</v>
      </c>
      <c r="B2857" s="6">
        <v>0.0</v>
      </c>
      <c r="C2857" s="13" t="s">
        <v>379</v>
      </c>
      <c r="D2857" s="17">
        <f>SUMIFS(ShadowLedger!$D:$D,ShadowLedger!$G:$G,A2857,ShadowLedger!$C:$C,"&gt;="&amp;DATE(LEFT(SUBSTITUTE(C2857,"'",""),4),MID(SUBSTITUTE(C2857,"'",""),6,2),1),ShadowLedger!$C:$C,"&lt;"&amp;EOMONTH(DATE(LEFT(SUBSTITUTE(C2857,"'",""),4),MID(SUBSTITUTE(C2857,"'",""),6,2),1),0)+1)</f>
        <v>0</v>
      </c>
      <c r="E2857" s="17">
        <f t="shared" si="1"/>
        <v>0</v>
      </c>
      <c r="F2857" s="17">
        <f t="shared" si="2"/>
        <v>0</v>
      </c>
    </row>
    <row r="2858">
      <c r="A2858" s="5" t="s">
        <v>54</v>
      </c>
      <c r="B2858" s="6">
        <v>1351.0</v>
      </c>
      <c r="C2858" s="13" t="s">
        <v>380</v>
      </c>
      <c r="D2858" s="17">
        <f>SUMIFS(ShadowLedger!$D:$D,ShadowLedger!$G:$G,A2858,ShadowLedger!$C:$C,"&gt;="&amp;DATE(LEFT(SUBSTITUTE(C2858,"'",""),4),MID(SUBSTITUTE(C2858,"'",""),6,2),1),ShadowLedger!$C:$C,"&lt;"&amp;EOMONTH(DATE(LEFT(SUBSTITUTE(C2858,"'",""),4),MID(SUBSTITUTE(C2858,"'",""),6,2),1),0)+1)</f>
        <v>0</v>
      </c>
      <c r="E2858" s="17">
        <f t="shared" si="1"/>
        <v>1351</v>
      </c>
      <c r="F2858" s="17">
        <f t="shared" si="2"/>
        <v>0</v>
      </c>
    </row>
    <row r="2859">
      <c r="A2859" s="5" t="s">
        <v>55</v>
      </c>
      <c r="B2859" s="6">
        <v>1028.0</v>
      </c>
      <c r="C2859" s="13" t="s">
        <v>380</v>
      </c>
      <c r="D2859" s="17">
        <f>SUMIFS(ShadowLedger!$D:$D,ShadowLedger!$G:$G,A2859,ShadowLedger!$C:$C,"&gt;="&amp;DATE(LEFT(SUBSTITUTE(C2859,"'",""),4),MID(SUBSTITUTE(C2859,"'",""),6,2),1),ShadowLedger!$C:$C,"&lt;"&amp;EOMONTH(DATE(LEFT(SUBSTITUTE(C2859,"'",""),4),MID(SUBSTITUTE(C2859,"'",""),6,2),1),0)+1)</f>
        <v>0</v>
      </c>
      <c r="E2859" s="17">
        <f t="shared" si="1"/>
        <v>1028</v>
      </c>
      <c r="F2859" s="17">
        <f t="shared" si="2"/>
        <v>0</v>
      </c>
    </row>
    <row r="2860">
      <c r="A2860" s="5" t="s">
        <v>56</v>
      </c>
      <c r="B2860" s="6">
        <v>734.0</v>
      </c>
      <c r="C2860" s="13" t="s">
        <v>380</v>
      </c>
      <c r="D2860" s="17">
        <f>SUMIFS(ShadowLedger!$D:$D,ShadowLedger!$G:$G,A2860,ShadowLedger!$C:$C,"&gt;="&amp;DATE(LEFT(SUBSTITUTE(C2860,"'",""),4),MID(SUBSTITUTE(C2860,"'",""),6,2),1),ShadowLedger!$C:$C,"&lt;"&amp;EOMONTH(DATE(LEFT(SUBSTITUTE(C2860,"'",""),4),MID(SUBSTITUTE(C2860,"'",""),6,2),1),0)+1)</f>
        <v>0</v>
      </c>
      <c r="E2860" s="17">
        <f t="shared" si="1"/>
        <v>734</v>
      </c>
      <c r="F2860" s="17">
        <f t="shared" si="2"/>
        <v>0</v>
      </c>
    </row>
    <row r="2861">
      <c r="A2861" s="5" t="s">
        <v>57</v>
      </c>
      <c r="B2861" s="6">
        <v>734.0</v>
      </c>
      <c r="C2861" s="13" t="s">
        <v>380</v>
      </c>
      <c r="D2861" s="17">
        <f>SUMIFS(ShadowLedger!$D:$D,ShadowLedger!$G:$G,A2861,ShadowLedger!$C:$C,"&gt;="&amp;DATE(LEFT(SUBSTITUTE(C2861,"'",""),4),MID(SUBSTITUTE(C2861,"'",""),6,2),1),ShadowLedger!$C:$C,"&lt;"&amp;EOMONTH(DATE(LEFT(SUBSTITUTE(C2861,"'",""),4),MID(SUBSTITUTE(C2861,"'",""),6,2),1),0)+1)</f>
        <v>0</v>
      </c>
      <c r="E2861" s="17">
        <f t="shared" si="1"/>
        <v>734</v>
      </c>
      <c r="F2861" s="17">
        <f t="shared" si="2"/>
        <v>0</v>
      </c>
    </row>
    <row r="2862">
      <c r="A2862" s="5" t="s">
        <v>58</v>
      </c>
      <c r="B2862" s="6">
        <v>587.0</v>
      </c>
      <c r="C2862" s="13" t="s">
        <v>380</v>
      </c>
      <c r="D2862" s="17">
        <f>SUMIFS(ShadowLedger!$D:$D,ShadowLedger!$G:$G,A2862,ShadowLedger!$C:$C,"&gt;="&amp;DATE(LEFT(SUBSTITUTE(C2862,"'",""),4),MID(SUBSTITUTE(C2862,"'",""),6,2),1),ShadowLedger!$C:$C,"&lt;"&amp;EOMONTH(DATE(LEFT(SUBSTITUTE(C2862,"'",""),4),MID(SUBSTITUTE(C2862,"'",""),6,2),1),0)+1)</f>
        <v>0</v>
      </c>
      <c r="E2862" s="17">
        <f t="shared" si="1"/>
        <v>587</v>
      </c>
      <c r="F2862" s="17">
        <f t="shared" si="2"/>
        <v>0</v>
      </c>
    </row>
    <row r="2863">
      <c r="A2863" s="5" t="s">
        <v>59</v>
      </c>
      <c r="B2863" s="6">
        <v>294.0</v>
      </c>
      <c r="C2863" s="13" t="s">
        <v>380</v>
      </c>
      <c r="D2863" s="17">
        <f>SUMIFS(ShadowLedger!$D:$D,ShadowLedger!$G:$G,A2863,ShadowLedger!$C:$C,"&gt;="&amp;DATE(LEFT(SUBSTITUTE(C2863,"'",""),4),MID(SUBSTITUTE(C2863,"'",""),6,2),1),ShadowLedger!$C:$C,"&lt;"&amp;EOMONTH(DATE(LEFT(SUBSTITUTE(C2863,"'",""),4),MID(SUBSTITUTE(C2863,"'",""),6,2),1),0)+1)</f>
        <v>0</v>
      </c>
      <c r="E2863" s="17">
        <f t="shared" si="1"/>
        <v>294</v>
      </c>
      <c r="F2863" s="17">
        <f t="shared" si="2"/>
        <v>0</v>
      </c>
    </row>
    <row r="2864">
      <c r="A2864" s="5" t="s">
        <v>60</v>
      </c>
      <c r="B2864" s="6">
        <v>220.0</v>
      </c>
      <c r="C2864" s="13" t="s">
        <v>380</v>
      </c>
      <c r="D2864" s="17">
        <f>SUMIFS(ShadowLedger!$D:$D,ShadowLedger!$G:$G,A2864,ShadowLedger!$C:$C,"&gt;="&amp;DATE(LEFT(SUBSTITUTE(C2864,"'",""),4),MID(SUBSTITUTE(C2864,"'",""),6,2),1),ShadowLedger!$C:$C,"&lt;"&amp;EOMONTH(DATE(LEFT(SUBSTITUTE(C2864,"'",""),4),MID(SUBSTITUTE(C2864,"'",""),6,2),1),0)+1)</f>
        <v>0</v>
      </c>
      <c r="E2864" s="17">
        <f t="shared" si="1"/>
        <v>220</v>
      </c>
      <c r="F2864" s="17">
        <f t="shared" si="2"/>
        <v>0</v>
      </c>
    </row>
    <row r="2865">
      <c r="A2865" s="5" t="s">
        <v>61</v>
      </c>
      <c r="B2865" s="6">
        <v>176.0</v>
      </c>
      <c r="C2865" s="13" t="s">
        <v>380</v>
      </c>
      <c r="D2865" s="17">
        <f>SUMIFS(ShadowLedger!$D:$D,ShadowLedger!$G:$G,A2865,ShadowLedger!$C:$C,"&gt;="&amp;DATE(LEFT(SUBSTITUTE(C2865,"'",""),4),MID(SUBSTITUTE(C2865,"'",""),6,2),1),ShadowLedger!$C:$C,"&lt;"&amp;EOMONTH(DATE(LEFT(SUBSTITUTE(C2865,"'",""),4),MID(SUBSTITUTE(C2865,"'",""),6,2),1),0)+1)</f>
        <v>0</v>
      </c>
      <c r="E2865" s="17">
        <f t="shared" si="1"/>
        <v>176</v>
      </c>
      <c r="F2865" s="17">
        <f t="shared" si="2"/>
        <v>0</v>
      </c>
    </row>
    <row r="2866">
      <c r="A2866" s="5" t="s">
        <v>62</v>
      </c>
      <c r="B2866" s="6">
        <v>176.0</v>
      </c>
      <c r="C2866" s="13" t="s">
        <v>380</v>
      </c>
      <c r="D2866" s="17">
        <f>SUMIFS(ShadowLedger!$D:$D,ShadowLedger!$G:$G,A2866,ShadowLedger!$C:$C,"&gt;="&amp;DATE(LEFT(SUBSTITUTE(C2866,"'",""),4),MID(SUBSTITUTE(C2866,"'",""),6,2),1),ShadowLedger!$C:$C,"&lt;"&amp;EOMONTH(DATE(LEFT(SUBSTITUTE(C2866,"'",""),4),MID(SUBSTITUTE(C2866,"'",""),6,2),1),0)+1)</f>
        <v>0</v>
      </c>
      <c r="E2866" s="17">
        <f t="shared" si="1"/>
        <v>176</v>
      </c>
      <c r="F2866" s="17">
        <f t="shared" si="2"/>
        <v>0</v>
      </c>
    </row>
    <row r="2867">
      <c r="A2867" s="5" t="s">
        <v>63</v>
      </c>
      <c r="B2867" s="6">
        <v>147.0</v>
      </c>
      <c r="C2867" s="13" t="s">
        <v>380</v>
      </c>
      <c r="D2867" s="17">
        <f>SUMIFS(ShadowLedger!$D:$D,ShadowLedger!$G:$G,A2867,ShadowLedger!$C:$C,"&gt;="&amp;DATE(LEFT(SUBSTITUTE(C2867,"'",""),4),MID(SUBSTITUTE(C2867,"'",""),6,2),1),ShadowLedger!$C:$C,"&lt;"&amp;EOMONTH(DATE(LEFT(SUBSTITUTE(C2867,"'",""),4),MID(SUBSTITUTE(C2867,"'",""),6,2),1),0)+1)</f>
        <v>0</v>
      </c>
      <c r="E2867" s="17">
        <f t="shared" si="1"/>
        <v>147</v>
      </c>
      <c r="F2867" s="17">
        <f t="shared" si="2"/>
        <v>0</v>
      </c>
    </row>
    <row r="2868">
      <c r="A2868" s="5" t="s">
        <v>64</v>
      </c>
      <c r="B2868" s="6">
        <v>147.0</v>
      </c>
      <c r="C2868" s="13" t="s">
        <v>380</v>
      </c>
      <c r="D2868" s="17">
        <f>SUMIFS(ShadowLedger!$D:$D,ShadowLedger!$G:$G,A2868,ShadowLedger!$C:$C,"&gt;="&amp;DATE(LEFT(SUBSTITUTE(C2868,"'",""),4),MID(SUBSTITUTE(C2868,"'",""),6,2),1),ShadowLedger!$C:$C,"&lt;"&amp;EOMONTH(DATE(LEFT(SUBSTITUTE(C2868,"'",""),4),MID(SUBSTITUTE(C2868,"'",""),6,2),1),0)+1)</f>
        <v>0</v>
      </c>
      <c r="E2868" s="17">
        <f t="shared" si="1"/>
        <v>147</v>
      </c>
      <c r="F2868" s="17">
        <f t="shared" si="2"/>
        <v>0</v>
      </c>
    </row>
    <row r="2869">
      <c r="A2869" s="5" t="s">
        <v>70</v>
      </c>
      <c r="B2869" s="6">
        <v>147.0</v>
      </c>
      <c r="C2869" s="13" t="s">
        <v>380</v>
      </c>
      <c r="D2869" s="17">
        <f>SUMIFS(ShadowLedger!$D:$D,ShadowLedger!$G:$G,A2869,ShadowLedger!$C:$C,"&gt;="&amp;DATE(LEFT(SUBSTITUTE(C2869,"'",""),4),MID(SUBSTITUTE(C2869,"'",""),6,2),1),ShadowLedger!$C:$C,"&lt;"&amp;EOMONTH(DATE(LEFT(SUBSTITUTE(C2869,"'",""),4),MID(SUBSTITUTE(C2869,"'",""),6,2),1),0)+1)</f>
        <v>0</v>
      </c>
      <c r="E2869" s="17">
        <f t="shared" si="1"/>
        <v>147</v>
      </c>
      <c r="F2869" s="17">
        <f t="shared" si="2"/>
        <v>0</v>
      </c>
    </row>
    <row r="2870">
      <c r="A2870" s="5" t="s">
        <v>65</v>
      </c>
      <c r="B2870" s="6">
        <v>73.0</v>
      </c>
      <c r="C2870" s="13" t="s">
        <v>380</v>
      </c>
      <c r="D2870" s="17">
        <f>SUMIFS(ShadowLedger!$D:$D,ShadowLedger!$G:$G,A2870,ShadowLedger!$C:$C,"&gt;="&amp;DATE(LEFT(SUBSTITUTE(C2870,"'",""),4),MID(SUBSTITUTE(C2870,"'",""),6,2),1),ShadowLedger!$C:$C,"&lt;"&amp;EOMONTH(DATE(LEFT(SUBSTITUTE(C2870,"'",""),4),MID(SUBSTITUTE(C2870,"'",""),6,2),1),0)+1)</f>
        <v>0</v>
      </c>
      <c r="E2870" s="17">
        <f t="shared" si="1"/>
        <v>73</v>
      </c>
      <c r="F2870" s="17">
        <f t="shared" si="2"/>
        <v>0</v>
      </c>
    </row>
    <row r="2871">
      <c r="A2871" s="5" t="s">
        <v>66</v>
      </c>
      <c r="B2871" s="6">
        <v>73.0</v>
      </c>
      <c r="C2871" s="13" t="s">
        <v>380</v>
      </c>
      <c r="D2871" s="17">
        <f>SUMIFS(ShadowLedger!$D:$D,ShadowLedger!$G:$G,A2871,ShadowLedger!$C:$C,"&gt;="&amp;DATE(LEFT(SUBSTITUTE(C2871,"'",""),4),MID(SUBSTITUTE(C2871,"'",""),6,2),1),ShadowLedger!$C:$C,"&lt;"&amp;EOMONTH(DATE(LEFT(SUBSTITUTE(C2871,"'",""),4),MID(SUBSTITUTE(C2871,"'",""),6,2),1),0)+1)</f>
        <v>0</v>
      </c>
      <c r="E2871" s="17">
        <f t="shared" si="1"/>
        <v>73</v>
      </c>
      <c r="F2871" s="17">
        <f t="shared" si="2"/>
        <v>0</v>
      </c>
    </row>
    <row r="2872">
      <c r="A2872" s="5" t="s">
        <v>67</v>
      </c>
      <c r="B2872" s="6">
        <v>73.0</v>
      </c>
      <c r="C2872" s="13" t="s">
        <v>380</v>
      </c>
      <c r="D2872" s="17">
        <f>SUMIFS(ShadowLedger!$D:$D,ShadowLedger!$G:$G,A2872,ShadowLedger!$C:$C,"&gt;="&amp;DATE(LEFT(SUBSTITUTE(C2872,"'",""),4),MID(SUBSTITUTE(C2872,"'",""),6,2),1),ShadowLedger!$C:$C,"&lt;"&amp;EOMONTH(DATE(LEFT(SUBSTITUTE(C2872,"'",""),4),MID(SUBSTITUTE(C2872,"'",""),6,2),1),0)+1)</f>
        <v>0</v>
      </c>
      <c r="E2872" s="17">
        <f t="shared" si="1"/>
        <v>73</v>
      </c>
      <c r="F2872" s="17">
        <f t="shared" si="2"/>
        <v>0</v>
      </c>
    </row>
    <row r="2873">
      <c r="A2873" s="5" t="s">
        <v>68</v>
      </c>
      <c r="B2873" s="6">
        <v>73.0</v>
      </c>
      <c r="C2873" s="13" t="s">
        <v>380</v>
      </c>
      <c r="D2873" s="17">
        <f>SUMIFS(ShadowLedger!$D:$D,ShadowLedger!$G:$G,A2873,ShadowLedger!$C:$C,"&gt;="&amp;DATE(LEFT(SUBSTITUTE(C2873,"'",""),4),MID(SUBSTITUTE(C2873,"'",""),6,2),1),ShadowLedger!$C:$C,"&lt;"&amp;EOMONTH(DATE(LEFT(SUBSTITUTE(C2873,"'",""),4),MID(SUBSTITUTE(C2873,"'",""),6,2),1),0)+1)</f>
        <v>0</v>
      </c>
      <c r="E2873" s="17">
        <f t="shared" si="1"/>
        <v>73</v>
      </c>
      <c r="F2873" s="17">
        <f t="shared" si="2"/>
        <v>0</v>
      </c>
    </row>
    <row r="2874">
      <c r="A2874" s="5" t="s">
        <v>69</v>
      </c>
      <c r="B2874" s="6">
        <v>0.0</v>
      </c>
      <c r="C2874" s="13" t="s">
        <v>380</v>
      </c>
      <c r="D2874" s="17">
        <f>SUMIFS(ShadowLedger!$D:$D,ShadowLedger!$G:$G,A2874,ShadowLedger!$C:$C,"&gt;="&amp;DATE(LEFT(SUBSTITUTE(C2874,"'",""),4),MID(SUBSTITUTE(C2874,"'",""),6,2),1),ShadowLedger!$C:$C,"&lt;"&amp;EOMONTH(DATE(LEFT(SUBSTITUTE(C2874,"'",""),4),MID(SUBSTITUTE(C2874,"'",""),6,2),1),0)+1)</f>
        <v>0</v>
      </c>
      <c r="E2874" s="17">
        <f t="shared" si="1"/>
        <v>0</v>
      </c>
      <c r="F2874" s="17">
        <f t="shared" si="2"/>
        <v>0</v>
      </c>
    </row>
    <row r="2875">
      <c r="A2875" s="5" t="s">
        <v>54</v>
      </c>
      <c r="B2875" s="6">
        <v>1392.0</v>
      </c>
      <c r="C2875" s="13" t="s">
        <v>381</v>
      </c>
      <c r="D2875" s="17">
        <f>SUMIFS(ShadowLedger!$D:$D,ShadowLedger!$G:$G,A2875,ShadowLedger!$C:$C,"&gt;="&amp;DATE(LEFT(SUBSTITUTE(C2875,"'",""),4),MID(SUBSTITUTE(C2875,"'",""),6,2),1),ShadowLedger!$C:$C,"&lt;"&amp;EOMONTH(DATE(LEFT(SUBSTITUTE(C2875,"'",""),4),MID(SUBSTITUTE(C2875,"'",""),6,2),1),0)+1)</f>
        <v>0</v>
      </c>
      <c r="E2875" s="17">
        <f t="shared" si="1"/>
        <v>1392</v>
      </c>
      <c r="F2875" s="17">
        <f t="shared" si="2"/>
        <v>0</v>
      </c>
    </row>
    <row r="2876">
      <c r="A2876" s="5" t="s">
        <v>55</v>
      </c>
      <c r="B2876" s="6">
        <v>1059.0</v>
      </c>
      <c r="C2876" s="13" t="s">
        <v>381</v>
      </c>
      <c r="D2876" s="17">
        <f>SUMIFS(ShadowLedger!$D:$D,ShadowLedger!$G:$G,A2876,ShadowLedger!$C:$C,"&gt;="&amp;DATE(LEFT(SUBSTITUTE(C2876,"'",""),4),MID(SUBSTITUTE(C2876,"'",""),6,2),1),ShadowLedger!$C:$C,"&lt;"&amp;EOMONTH(DATE(LEFT(SUBSTITUTE(C2876,"'",""),4),MID(SUBSTITUTE(C2876,"'",""),6,2),1),0)+1)</f>
        <v>0</v>
      </c>
      <c r="E2876" s="17">
        <f t="shared" si="1"/>
        <v>1059</v>
      </c>
      <c r="F2876" s="17">
        <f t="shared" si="2"/>
        <v>0</v>
      </c>
    </row>
    <row r="2877">
      <c r="A2877" s="5" t="s">
        <v>56</v>
      </c>
      <c r="B2877" s="6">
        <v>756.0</v>
      </c>
      <c r="C2877" s="13" t="s">
        <v>381</v>
      </c>
      <c r="D2877" s="17">
        <f>SUMIFS(ShadowLedger!$D:$D,ShadowLedger!$G:$G,A2877,ShadowLedger!$C:$C,"&gt;="&amp;DATE(LEFT(SUBSTITUTE(C2877,"'",""),4),MID(SUBSTITUTE(C2877,"'",""),6,2),1),ShadowLedger!$C:$C,"&lt;"&amp;EOMONTH(DATE(LEFT(SUBSTITUTE(C2877,"'",""),4),MID(SUBSTITUTE(C2877,"'",""),6,2),1),0)+1)</f>
        <v>0</v>
      </c>
      <c r="E2877" s="17">
        <f t="shared" si="1"/>
        <v>756</v>
      </c>
      <c r="F2877" s="17">
        <f t="shared" si="2"/>
        <v>0</v>
      </c>
    </row>
    <row r="2878">
      <c r="A2878" s="5" t="s">
        <v>57</v>
      </c>
      <c r="B2878" s="6">
        <v>756.0</v>
      </c>
      <c r="C2878" s="13" t="s">
        <v>381</v>
      </c>
      <c r="D2878" s="17">
        <f>SUMIFS(ShadowLedger!$D:$D,ShadowLedger!$G:$G,A2878,ShadowLedger!$C:$C,"&gt;="&amp;DATE(LEFT(SUBSTITUTE(C2878,"'",""),4),MID(SUBSTITUTE(C2878,"'",""),6,2),1),ShadowLedger!$C:$C,"&lt;"&amp;EOMONTH(DATE(LEFT(SUBSTITUTE(C2878,"'",""),4),MID(SUBSTITUTE(C2878,"'",""),6,2),1),0)+1)</f>
        <v>0</v>
      </c>
      <c r="E2878" s="17">
        <f t="shared" si="1"/>
        <v>756</v>
      </c>
      <c r="F2878" s="17">
        <f t="shared" si="2"/>
        <v>0</v>
      </c>
    </row>
    <row r="2879">
      <c r="A2879" s="5" t="s">
        <v>58</v>
      </c>
      <c r="B2879" s="6">
        <v>605.0</v>
      </c>
      <c r="C2879" s="13" t="s">
        <v>381</v>
      </c>
      <c r="D2879" s="17">
        <f>SUMIFS(ShadowLedger!$D:$D,ShadowLedger!$G:$G,A2879,ShadowLedger!$C:$C,"&gt;="&amp;DATE(LEFT(SUBSTITUTE(C2879,"'",""),4),MID(SUBSTITUTE(C2879,"'",""),6,2),1),ShadowLedger!$C:$C,"&lt;"&amp;EOMONTH(DATE(LEFT(SUBSTITUTE(C2879,"'",""),4),MID(SUBSTITUTE(C2879,"'",""),6,2),1),0)+1)</f>
        <v>0</v>
      </c>
      <c r="E2879" s="17">
        <f t="shared" si="1"/>
        <v>605</v>
      </c>
      <c r="F2879" s="17">
        <f t="shared" si="2"/>
        <v>0</v>
      </c>
    </row>
    <row r="2880">
      <c r="A2880" s="5" t="s">
        <v>59</v>
      </c>
      <c r="B2880" s="6">
        <v>303.0</v>
      </c>
      <c r="C2880" s="13" t="s">
        <v>381</v>
      </c>
      <c r="D2880" s="17">
        <f>SUMIFS(ShadowLedger!$D:$D,ShadowLedger!$G:$G,A2880,ShadowLedger!$C:$C,"&gt;="&amp;DATE(LEFT(SUBSTITUTE(C2880,"'",""),4),MID(SUBSTITUTE(C2880,"'",""),6,2),1),ShadowLedger!$C:$C,"&lt;"&amp;EOMONTH(DATE(LEFT(SUBSTITUTE(C2880,"'",""),4),MID(SUBSTITUTE(C2880,"'",""),6,2),1),0)+1)</f>
        <v>0</v>
      </c>
      <c r="E2880" s="17">
        <f t="shared" si="1"/>
        <v>303</v>
      </c>
      <c r="F2880" s="17">
        <f t="shared" si="2"/>
        <v>0</v>
      </c>
    </row>
    <row r="2881">
      <c r="A2881" s="5" t="s">
        <v>60</v>
      </c>
      <c r="B2881" s="6">
        <v>227.0</v>
      </c>
      <c r="C2881" s="13" t="s">
        <v>381</v>
      </c>
      <c r="D2881" s="17">
        <f>SUMIFS(ShadowLedger!$D:$D,ShadowLedger!$G:$G,A2881,ShadowLedger!$C:$C,"&gt;="&amp;DATE(LEFT(SUBSTITUTE(C2881,"'",""),4),MID(SUBSTITUTE(C2881,"'",""),6,2),1),ShadowLedger!$C:$C,"&lt;"&amp;EOMONTH(DATE(LEFT(SUBSTITUTE(C2881,"'",""),4),MID(SUBSTITUTE(C2881,"'",""),6,2),1),0)+1)</f>
        <v>0</v>
      </c>
      <c r="E2881" s="17">
        <f t="shared" si="1"/>
        <v>227</v>
      </c>
      <c r="F2881" s="17">
        <f t="shared" si="2"/>
        <v>0</v>
      </c>
    </row>
    <row r="2882">
      <c r="A2882" s="5" t="s">
        <v>61</v>
      </c>
      <c r="B2882" s="6">
        <v>182.0</v>
      </c>
      <c r="C2882" s="13" t="s">
        <v>381</v>
      </c>
      <c r="D2882" s="17">
        <f>SUMIFS(ShadowLedger!$D:$D,ShadowLedger!$G:$G,A2882,ShadowLedger!$C:$C,"&gt;="&amp;DATE(LEFT(SUBSTITUTE(C2882,"'",""),4),MID(SUBSTITUTE(C2882,"'",""),6,2),1),ShadowLedger!$C:$C,"&lt;"&amp;EOMONTH(DATE(LEFT(SUBSTITUTE(C2882,"'",""),4),MID(SUBSTITUTE(C2882,"'",""),6,2),1),0)+1)</f>
        <v>0</v>
      </c>
      <c r="E2882" s="17">
        <f t="shared" si="1"/>
        <v>182</v>
      </c>
      <c r="F2882" s="17">
        <f t="shared" si="2"/>
        <v>0</v>
      </c>
    </row>
    <row r="2883">
      <c r="A2883" s="5" t="s">
        <v>62</v>
      </c>
      <c r="B2883" s="6">
        <v>182.0</v>
      </c>
      <c r="C2883" s="13" t="s">
        <v>381</v>
      </c>
      <c r="D2883" s="17">
        <f>SUMIFS(ShadowLedger!$D:$D,ShadowLedger!$G:$G,A2883,ShadowLedger!$C:$C,"&gt;="&amp;DATE(LEFT(SUBSTITUTE(C2883,"'",""),4),MID(SUBSTITUTE(C2883,"'",""),6,2),1),ShadowLedger!$C:$C,"&lt;"&amp;EOMONTH(DATE(LEFT(SUBSTITUTE(C2883,"'",""),4),MID(SUBSTITUTE(C2883,"'",""),6,2),1),0)+1)</f>
        <v>0</v>
      </c>
      <c r="E2883" s="17">
        <f t="shared" si="1"/>
        <v>182</v>
      </c>
      <c r="F2883" s="17">
        <f t="shared" si="2"/>
        <v>0</v>
      </c>
    </row>
    <row r="2884">
      <c r="A2884" s="5" t="s">
        <v>63</v>
      </c>
      <c r="B2884" s="6">
        <v>151.0</v>
      </c>
      <c r="C2884" s="13" t="s">
        <v>381</v>
      </c>
      <c r="D2884" s="17">
        <f>SUMIFS(ShadowLedger!$D:$D,ShadowLedger!$G:$G,A2884,ShadowLedger!$C:$C,"&gt;="&amp;DATE(LEFT(SUBSTITUTE(C2884,"'",""),4),MID(SUBSTITUTE(C2884,"'",""),6,2),1),ShadowLedger!$C:$C,"&lt;"&amp;EOMONTH(DATE(LEFT(SUBSTITUTE(C2884,"'",""),4),MID(SUBSTITUTE(C2884,"'",""),6,2),1),0)+1)</f>
        <v>0</v>
      </c>
      <c r="E2884" s="17">
        <f t="shared" si="1"/>
        <v>151</v>
      </c>
      <c r="F2884" s="17">
        <f t="shared" si="2"/>
        <v>0</v>
      </c>
    </row>
    <row r="2885">
      <c r="A2885" s="5" t="s">
        <v>64</v>
      </c>
      <c r="B2885" s="6">
        <v>151.0</v>
      </c>
      <c r="C2885" s="13" t="s">
        <v>381</v>
      </c>
      <c r="D2885" s="17">
        <f>SUMIFS(ShadowLedger!$D:$D,ShadowLedger!$G:$G,A2885,ShadowLedger!$C:$C,"&gt;="&amp;DATE(LEFT(SUBSTITUTE(C2885,"'",""),4),MID(SUBSTITUTE(C2885,"'",""),6,2),1),ShadowLedger!$C:$C,"&lt;"&amp;EOMONTH(DATE(LEFT(SUBSTITUTE(C2885,"'",""),4),MID(SUBSTITUTE(C2885,"'",""),6,2),1),0)+1)</f>
        <v>0</v>
      </c>
      <c r="E2885" s="17">
        <f t="shared" si="1"/>
        <v>151</v>
      </c>
      <c r="F2885" s="17">
        <f t="shared" si="2"/>
        <v>0</v>
      </c>
    </row>
    <row r="2886">
      <c r="A2886" s="5" t="s">
        <v>70</v>
      </c>
      <c r="B2886" s="6">
        <v>151.0</v>
      </c>
      <c r="C2886" s="13" t="s">
        <v>381</v>
      </c>
      <c r="D2886" s="17">
        <f>SUMIFS(ShadowLedger!$D:$D,ShadowLedger!$G:$G,A2886,ShadowLedger!$C:$C,"&gt;="&amp;DATE(LEFT(SUBSTITUTE(C2886,"'",""),4),MID(SUBSTITUTE(C2886,"'",""),6,2),1),ShadowLedger!$C:$C,"&lt;"&amp;EOMONTH(DATE(LEFT(SUBSTITUTE(C2886,"'",""),4),MID(SUBSTITUTE(C2886,"'",""),6,2),1),0)+1)</f>
        <v>0</v>
      </c>
      <c r="E2886" s="17">
        <f t="shared" si="1"/>
        <v>151</v>
      </c>
      <c r="F2886" s="17">
        <f t="shared" si="2"/>
        <v>0</v>
      </c>
    </row>
    <row r="2887">
      <c r="A2887" s="5" t="s">
        <v>65</v>
      </c>
      <c r="B2887" s="6">
        <v>76.0</v>
      </c>
      <c r="C2887" s="13" t="s">
        <v>381</v>
      </c>
      <c r="D2887" s="17">
        <f>SUMIFS(ShadowLedger!$D:$D,ShadowLedger!$G:$G,A2887,ShadowLedger!$C:$C,"&gt;="&amp;DATE(LEFT(SUBSTITUTE(C2887,"'",""),4),MID(SUBSTITUTE(C2887,"'",""),6,2),1),ShadowLedger!$C:$C,"&lt;"&amp;EOMONTH(DATE(LEFT(SUBSTITUTE(C2887,"'",""),4),MID(SUBSTITUTE(C2887,"'",""),6,2),1),0)+1)</f>
        <v>0</v>
      </c>
      <c r="E2887" s="17">
        <f t="shared" si="1"/>
        <v>76</v>
      </c>
      <c r="F2887" s="17">
        <f t="shared" si="2"/>
        <v>0</v>
      </c>
    </row>
    <row r="2888">
      <c r="A2888" s="5" t="s">
        <v>66</v>
      </c>
      <c r="B2888" s="6">
        <v>76.0</v>
      </c>
      <c r="C2888" s="13" t="s">
        <v>381</v>
      </c>
      <c r="D2888" s="17">
        <f>SUMIFS(ShadowLedger!$D:$D,ShadowLedger!$G:$G,A2888,ShadowLedger!$C:$C,"&gt;="&amp;DATE(LEFT(SUBSTITUTE(C2888,"'",""),4),MID(SUBSTITUTE(C2888,"'",""),6,2),1),ShadowLedger!$C:$C,"&lt;"&amp;EOMONTH(DATE(LEFT(SUBSTITUTE(C2888,"'",""),4),MID(SUBSTITUTE(C2888,"'",""),6,2),1),0)+1)</f>
        <v>0</v>
      </c>
      <c r="E2888" s="17">
        <f t="shared" si="1"/>
        <v>76</v>
      </c>
      <c r="F2888" s="17">
        <f t="shared" si="2"/>
        <v>0</v>
      </c>
    </row>
    <row r="2889">
      <c r="A2889" s="5" t="s">
        <v>67</v>
      </c>
      <c r="B2889" s="6">
        <v>76.0</v>
      </c>
      <c r="C2889" s="13" t="s">
        <v>381</v>
      </c>
      <c r="D2889" s="17">
        <f>SUMIFS(ShadowLedger!$D:$D,ShadowLedger!$G:$G,A2889,ShadowLedger!$C:$C,"&gt;="&amp;DATE(LEFT(SUBSTITUTE(C2889,"'",""),4),MID(SUBSTITUTE(C2889,"'",""),6,2),1),ShadowLedger!$C:$C,"&lt;"&amp;EOMONTH(DATE(LEFT(SUBSTITUTE(C2889,"'",""),4),MID(SUBSTITUTE(C2889,"'",""),6,2),1),0)+1)</f>
        <v>0</v>
      </c>
      <c r="E2889" s="17">
        <f t="shared" si="1"/>
        <v>76</v>
      </c>
      <c r="F2889" s="17">
        <f t="shared" si="2"/>
        <v>0</v>
      </c>
    </row>
    <row r="2890">
      <c r="A2890" s="5" t="s">
        <v>68</v>
      </c>
      <c r="B2890" s="6">
        <v>76.0</v>
      </c>
      <c r="C2890" s="13" t="s">
        <v>381</v>
      </c>
      <c r="D2890" s="17">
        <f>SUMIFS(ShadowLedger!$D:$D,ShadowLedger!$G:$G,A2890,ShadowLedger!$C:$C,"&gt;="&amp;DATE(LEFT(SUBSTITUTE(C2890,"'",""),4),MID(SUBSTITUTE(C2890,"'",""),6,2),1),ShadowLedger!$C:$C,"&lt;"&amp;EOMONTH(DATE(LEFT(SUBSTITUTE(C2890,"'",""),4),MID(SUBSTITUTE(C2890,"'",""),6,2),1),0)+1)</f>
        <v>0</v>
      </c>
      <c r="E2890" s="17">
        <f t="shared" si="1"/>
        <v>76</v>
      </c>
      <c r="F2890" s="17">
        <f t="shared" si="2"/>
        <v>0</v>
      </c>
    </row>
    <row r="2891">
      <c r="A2891" s="5" t="s">
        <v>69</v>
      </c>
      <c r="B2891" s="6">
        <v>0.0</v>
      </c>
      <c r="C2891" s="13" t="s">
        <v>381</v>
      </c>
      <c r="D2891" s="17">
        <f>SUMIFS(ShadowLedger!$D:$D,ShadowLedger!$G:$G,A2891,ShadowLedger!$C:$C,"&gt;="&amp;DATE(LEFT(SUBSTITUTE(C2891,"'",""),4),MID(SUBSTITUTE(C2891,"'",""),6,2),1),ShadowLedger!$C:$C,"&lt;"&amp;EOMONTH(DATE(LEFT(SUBSTITUTE(C2891,"'",""),4),MID(SUBSTITUTE(C2891,"'",""),6,2),1),0)+1)</f>
        <v>0</v>
      </c>
      <c r="E2891" s="17">
        <f t="shared" si="1"/>
        <v>0</v>
      </c>
      <c r="F2891" s="17">
        <f t="shared" si="2"/>
        <v>0</v>
      </c>
    </row>
    <row r="2892">
      <c r="A2892" s="5" t="s">
        <v>54</v>
      </c>
      <c r="B2892" s="6">
        <v>1392.0</v>
      </c>
      <c r="C2892" s="13" t="s">
        <v>382</v>
      </c>
      <c r="D2892" s="17">
        <f>SUMIFS(ShadowLedger!$D:$D,ShadowLedger!$G:$G,A2892,ShadowLedger!$C:$C,"&gt;="&amp;DATE(LEFT(SUBSTITUTE(C2892,"'",""),4),MID(SUBSTITUTE(C2892,"'",""),6,2),1),ShadowLedger!$C:$C,"&lt;"&amp;EOMONTH(DATE(LEFT(SUBSTITUTE(C2892,"'",""),4),MID(SUBSTITUTE(C2892,"'",""),6,2),1),0)+1)</f>
        <v>0</v>
      </c>
      <c r="E2892" s="17">
        <f t="shared" si="1"/>
        <v>1392</v>
      </c>
      <c r="F2892" s="17">
        <f t="shared" si="2"/>
        <v>0</v>
      </c>
    </row>
    <row r="2893">
      <c r="A2893" s="5" t="s">
        <v>55</v>
      </c>
      <c r="B2893" s="6">
        <v>1059.0</v>
      </c>
      <c r="C2893" s="13" t="s">
        <v>382</v>
      </c>
      <c r="D2893" s="17">
        <f>SUMIFS(ShadowLedger!$D:$D,ShadowLedger!$G:$G,A2893,ShadowLedger!$C:$C,"&gt;="&amp;DATE(LEFT(SUBSTITUTE(C2893,"'",""),4),MID(SUBSTITUTE(C2893,"'",""),6,2),1),ShadowLedger!$C:$C,"&lt;"&amp;EOMONTH(DATE(LEFT(SUBSTITUTE(C2893,"'",""),4),MID(SUBSTITUTE(C2893,"'",""),6,2),1),0)+1)</f>
        <v>0</v>
      </c>
      <c r="E2893" s="17">
        <f t="shared" si="1"/>
        <v>1059</v>
      </c>
      <c r="F2893" s="17">
        <f t="shared" si="2"/>
        <v>0</v>
      </c>
    </row>
    <row r="2894">
      <c r="A2894" s="5" t="s">
        <v>56</v>
      </c>
      <c r="B2894" s="6">
        <v>756.0</v>
      </c>
      <c r="C2894" s="13" t="s">
        <v>382</v>
      </c>
      <c r="D2894" s="17">
        <f>SUMIFS(ShadowLedger!$D:$D,ShadowLedger!$G:$G,A2894,ShadowLedger!$C:$C,"&gt;="&amp;DATE(LEFT(SUBSTITUTE(C2894,"'",""),4),MID(SUBSTITUTE(C2894,"'",""),6,2),1),ShadowLedger!$C:$C,"&lt;"&amp;EOMONTH(DATE(LEFT(SUBSTITUTE(C2894,"'",""),4),MID(SUBSTITUTE(C2894,"'",""),6,2),1),0)+1)</f>
        <v>0</v>
      </c>
      <c r="E2894" s="17">
        <f t="shared" si="1"/>
        <v>756</v>
      </c>
      <c r="F2894" s="17">
        <f t="shared" si="2"/>
        <v>0</v>
      </c>
    </row>
    <row r="2895">
      <c r="A2895" s="5" t="s">
        <v>57</v>
      </c>
      <c r="B2895" s="6">
        <v>756.0</v>
      </c>
      <c r="C2895" s="13" t="s">
        <v>382</v>
      </c>
      <c r="D2895" s="17">
        <f>SUMIFS(ShadowLedger!$D:$D,ShadowLedger!$G:$G,A2895,ShadowLedger!$C:$C,"&gt;="&amp;DATE(LEFT(SUBSTITUTE(C2895,"'",""),4),MID(SUBSTITUTE(C2895,"'",""),6,2),1),ShadowLedger!$C:$C,"&lt;"&amp;EOMONTH(DATE(LEFT(SUBSTITUTE(C2895,"'",""),4),MID(SUBSTITUTE(C2895,"'",""),6,2),1),0)+1)</f>
        <v>0</v>
      </c>
      <c r="E2895" s="17">
        <f t="shared" si="1"/>
        <v>756</v>
      </c>
      <c r="F2895" s="17">
        <f t="shared" si="2"/>
        <v>0</v>
      </c>
    </row>
    <row r="2896">
      <c r="A2896" s="5" t="s">
        <v>58</v>
      </c>
      <c r="B2896" s="6">
        <v>605.0</v>
      </c>
      <c r="C2896" s="13" t="s">
        <v>382</v>
      </c>
      <c r="D2896" s="17">
        <f>SUMIFS(ShadowLedger!$D:$D,ShadowLedger!$G:$G,A2896,ShadowLedger!$C:$C,"&gt;="&amp;DATE(LEFT(SUBSTITUTE(C2896,"'",""),4),MID(SUBSTITUTE(C2896,"'",""),6,2),1),ShadowLedger!$C:$C,"&lt;"&amp;EOMONTH(DATE(LEFT(SUBSTITUTE(C2896,"'",""),4),MID(SUBSTITUTE(C2896,"'",""),6,2),1),0)+1)</f>
        <v>0</v>
      </c>
      <c r="E2896" s="17">
        <f t="shared" si="1"/>
        <v>605</v>
      </c>
      <c r="F2896" s="17">
        <f t="shared" si="2"/>
        <v>0</v>
      </c>
    </row>
    <row r="2897">
      <c r="A2897" s="5" t="s">
        <v>59</v>
      </c>
      <c r="B2897" s="6">
        <v>303.0</v>
      </c>
      <c r="C2897" s="13" t="s">
        <v>382</v>
      </c>
      <c r="D2897" s="17">
        <f>SUMIFS(ShadowLedger!$D:$D,ShadowLedger!$G:$G,A2897,ShadowLedger!$C:$C,"&gt;="&amp;DATE(LEFT(SUBSTITUTE(C2897,"'",""),4),MID(SUBSTITUTE(C2897,"'",""),6,2),1),ShadowLedger!$C:$C,"&lt;"&amp;EOMONTH(DATE(LEFT(SUBSTITUTE(C2897,"'",""),4),MID(SUBSTITUTE(C2897,"'",""),6,2),1),0)+1)</f>
        <v>0</v>
      </c>
      <c r="E2897" s="17">
        <f t="shared" si="1"/>
        <v>303</v>
      </c>
      <c r="F2897" s="17">
        <f t="shared" si="2"/>
        <v>0</v>
      </c>
    </row>
    <row r="2898">
      <c r="A2898" s="5" t="s">
        <v>60</v>
      </c>
      <c r="B2898" s="6">
        <v>227.0</v>
      </c>
      <c r="C2898" s="13" t="s">
        <v>382</v>
      </c>
      <c r="D2898" s="17">
        <f>SUMIFS(ShadowLedger!$D:$D,ShadowLedger!$G:$G,A2898,ShadowLedger!$C:$C,"&gt;="&amp;DATE(LEFT(SUBSTITUTE(C2898,"'",""),4),MID(SUBSTITUTE(C2898,"'",""),6,2),1),ShadowLedger!$C:$C,"&lt;"&amp;EOMONTH(DATE(LEFT(SUBSTITUTE(C2898,"'",""),4),MID(SUBSTITUTE(C2898,"'",""),6,2),1),0)+1)</f>
        <v>0</v>
      </c>
      <c r="E2898" s="17">
        <f t="shared" si="1"/>
        <v>227</v>
      </c>
      <c r="F2898" s="17">
        <f t="shared" si="2"/>
        <v>0</v>
      </c>
    </row>
    <row r="2899">
      <c r="A2899" s="5" t="s">
        <v>61</v>
      </c>
      <c r="B2899" s="6">
        <v>182.0</v>
      </c>
      <c r="C2899" s="13" t="s">
        <v>382</v>
      </c>
      <c r="D2899" s="17">
        <f>SUMIFS(ShadowLedger!$D:$D,ShadowLedger!$G:$G,A2899,ShadowLedger!$C:$C,"&gt;="&amp;DATE(LEFT(SUBSTITUTE(C2899,"'",""),4),MID(SUBSTITUTE(C2899,"'",""),6,2),1),ShadowLedger!$C:$C,"&lt;"&amp;EOMONTH(DATE(LEFT(SUBSTITUTE(C2899,"'",""),4),MID(SUBSTITUTE(C2899,"'",""),6,2),1),0)+1)</f>
        <v>0</v>
      </c>
      <c r="E2899" s="17">
        <f t="shared" si="1"/>
        <v>182</v>
      </c>
      <c r="F2899" s="17">
        <f t="shared" si="2"/>
        <v>0</v>
      </c>
    </row>
    <row r="2900">
      <c r="A2900" s="5" t="s">
        <v>62</v>
      </c>
      <c r="B2900" s="6">
        <v>182.0</v>
      </c>
      <c r="C2900" s="13" t="s">
        <v>382</v>
      </c>
      <c r="D2900" s="17">
        <f>SUMIFS(ShadowLedger!$D:$D,ShadowLedger!$G:$G,A2900,ShadowLedger!$C:$C,"&gt;="&amp;DATE(LEFT(SUBSTITUTE(C2900,"'",""),4),MID(SUBSTITUTE(C2900,"'",""),6,2),1),ShadowLedger!$C:$C,"&lt;"&amp;EOMONTH(DATE(LEFT(SUBSTITUTE(C2900,"'",""),4),MID(SUBSTITUTE(C2900,"'",""),6,2),1),0)+1)</f>
        <v>0</v>
      </c>
      <c r="E2900" s="17">
        <f t="shared" si="1"/>
        <v>182</v>
      </c>
      <c r="F2900" s="17">
        <f t="shared" si="2"/>
        <v>0</v>
      </c>
    </row>
    <row r="2901">
      <c r="A2901" s="5" t="s">
        <v>63</v>
      </c>
      <c r="B2901" s="6">
        <v>151.0</v>
      </c>
      <c r="C2901" s="13" t="s">
        <v>382</v>
      </c>
      <c r="D2901" s="17">
        <f>SUMIFS(ShadowLedger!$D:$D,ShadowLedger!$G:$G,A2901,ShadowLedger!$C:$C,"&gt;="&amp;DATE(LEFT(SUBSTITUTE(C2901,"'",""),4),MID(SUBSTITUTE(C2901,"'",""),6,2),1),ShadowLedger!$C:$C,"&lt;"&amp;EOMONTH(DATE(LEFT(SUBSTITUTE(C2901,"'",""),4),MID(SUBSTITUTE(C2901,"'",""),6,2),1),0)+1)</f>
        <v>0</v>
      </c>
      <c r="E2901" s="17">
        <f t="shared" si="1"/>
        <v>151</v>
      </c>
      <c r="F2901" s="17">
        <f t="shared" si="2"/>
        <v>0</v>
      </c>
    </row>
    <row r="2902">
      <c r="A2902" s="5" t="s">
        <v>64</v>
      </c>
      <c r="B2902" s="6">
        <v>151.0</v>
      </c>
      <c r="C2902" s="13" t="s">
        <v>382</v>
      </c>
      <c r="D2902" s="17">
        <f>SUMIFS(ShadowLedger!$D:$D,ShadowLedger!$G:$G,A2902,ShadowLedger!$C:$C,"&gt;="&amp;DATE(LEFT(SUBSTITUTE(C2902,"'",""),4),MID(SUBSTITUTE(C2902,"'",""),6,2),1),ShadowLedger!$C:$C,"&lt;"&amp;EOMONTH(DATE(LEFT(SUBSTITUTE(C2902,"'",""),4),MID(SUBSTITUTE(C2902,"'",""),6,2),1),0)+1)</f>
        <v>0</v>
      </c>
      <c r="E2902" s="17">
        <f t="shared" si="1"/>
        <v>151</v>
      </c>
      <c r="F2902" s="17">
        <f t="shared" si="2"/>
        <v>0</v>
      </c>
    </row>
    <row r="2903">
      <c r="A2903" s="5" t="s">
        <v>70</v>
      </c>
      <c r="B2903" s="6">
        <v>151.0</v>
      </c>
      <c r="C2903" s="13" t="s">
        <v>382</v>
      </c>
      <c r="D2903" s="17">
        <f>SUMIFS(ShadowLedger!$D:$D,ShadowLedger!$G:$G,A2903,ShadowLedger!$C:$C,"&gt;="&amp;DATE(LEFT(SUBSTITUTE(C2903,"'",""),4),MID(SUBSTITUTE(C2903,"'",""),6,2),1),ShadowLedger!$C:$C,"&lt;"&amp;EOMONTH(DATE(LEFT(SUBSTITUTE(C2903,"'",""),4),MID(SUBSTITUTE(C2903,"'",""),6,2),1),0)+1)</f>
        <v>0</v>
      </c>
      <c r="E2903" s="17">
        <f t="shared" si="1"/>
        <v>151</v>
      </c>
      <c r="F2903" s="17">
        <f t="shared" si="2"/>
        <v>0</v>
      </c>
    </row>
    <row r="2904">
      <c r="A2904" s="5" t="s">
        <v>65</v>
      </c>
      <c r="B2904" s="6">
        <v>76.0</v>
      </c>
      <c r="C2904" s="13" t="s">
        <v>382</v>
      </c>
      <c r="D2904" s="17">
        <f>SUMIFS(ShadowLedger!$D:$D,ShadowLedger!$G:$G,A2904,ShadowLedger!$C:$C,"&gt;="&amp;DATE(LEFT(SUBSTITUTE(C2904,"'",""),4),MID(SUBSTITUTE(C2904,"'",""),6,2),1),ShadowLedger!$C:$C,"&lt;"&amp;EOMONTH(DATE(LEFT(SUBSTITUTE(C2904,"'",""),4),MID(SUBSTITUTE(C2904,"'",""),6,2),1),0)+1)</f>
        <v>0</v>
      </c>
      <c r="E2904" s="17">
        <f t="shared" si="1"/>
        <v>76</v>
      </c>
      <c r="F2904" s="17">
        <f t="shared" si="2"/>
        <v>0</v>
      </c>
    </row>
    <row r="2905">
      <c r="A2905" s="5" t="s">
        <v>66</v>
      </c>
      <c r="B2905" s="6">
        <v>76.0</v>
      </c>
      <c r="C2905" s="13" t="s">
        <v>382</v>
      </c>
      <c r="D2905" s="17">
        <f>SUMIFS(ShadowLedger!$D:$D,ShadowLedger!$G:$G,A2905,ShadowLedger!$C:$C,"&gt;="&amp;DATE(LEFT(SUBSTITUTE(C2905,"'",""),4),MID(SUBSTITUTE(C2905,"'",""),6,2),1),ShadowLedger!$C:$C,"&lt;"&amp;EOMONTH(DATE(LEFT(SUBSTITUTE(C2905,"'",""),4),MID(SUBSTITUTE(C2905,"'",""),6,2),1),0)+1)</f>
        <v>0</v>
      </c>
      <c r="E2905" s="17">
        <f t="shared" si="1"/>
        <v>76</v>
      </c>
      <c r="F2905" s="17">
        <f t="shared" si="2"/>
        <v>0</v>
      </c>
    </row>
    <row r="2906">
      <c r="A2906" s="5" t="s">
        <v>67</v>
      </c>
      <c r="B2906" s="6">
        <v>76.0</v>
      </c>
      <c r="C2906" s="13" t="s">
        <v>382</v>
      </c>
      <c r="D2906" s="17">
        <f>SUMIFS(ShadowLedger!$D:$D,ShadowLedger!$G:$G,A2906,ShadowLedger!$C:$C,"&gt;="&amp;DATE(LEFT(SUBSTITUTE(C2906,"'",""),4),MID(SUBSTITUTE(C2906,"'",""),6,2),1),ShadowLedger!$C:$C,"&lt;"&amp;EOMONTH(DATE(LEFT(SUBSTITUTE(C2906,"'",""),4),MID(SUBSTITUTE(C2906,"'",""),6,2),1),0)+1)</f>
        <v>0</v>
      </c>
      <c r="E2906" s="17">
        <f t="shared" si="1"/>
        <v>76</v>
      </c>
      <c r="F2906" s="17">
        <f t="shared" si="2"/>
        <v>0</v>
      </c>
    </row>
    <row r="2907">
      <c r="A2907" s="5" t="s">
        <v>68</v>
      </c>
      <c r="B2907" s="6">
        <v>76.0</v>
      </c>
      <c r="C2907" s="13" t="s">
        <v>382</v>
      </c>
      <c r="D2907" s="17">
        <f>SUMIFS(ShadowLedger!$D:$D,ShadowLedger!$G:$G,A2907,ShadowLedger!$C:$C,"&gt;="&amp;DATE(LEFT(SUBSTITUTE(C2907,"'",""),4),MID(SUBSTITUTE(C2907,"'",""),6,2),1),ShadowLedger!$C:$C,"&lt;"&amp;EOMONTH(DATE(LEFT(SUBSTITUTE(C2907,"'",""),4),MID(SUBSTITUTE(C2907,"'",""),6,2),1),0)+1)</f>
        <v>0</v>
      </c>
      <c r="E2907" s="17">
        <f t="shared" si="1"/>
        <v>76</v>
      </c>
      <c r="F2907" s="17">
        <f t="shared" si="2"/>
        <v>0</v>
      </c>
    </row>
    <row r="2908">
      <c r="A2908" s="5" t="s">
        <v>69</v>
      </c>
      <c r="B2908" s="6">
        <v>0.0</v>
      </c>
      <c r="C2908" s="13" t="s">
        <v>382</v>
      </c>
      <c r="D2908" s="17">
        <f>SUMIFS(ShadowLedger!$D:$D,ShadowLedger!$G:$G,A2908,ShadowLedger!$C:$C,"&gt;="&amp;DATE(LEFT(SUBSTITUTE(C2908,"'",""),4),MID(SUBSTITUTE(C2908,"'",""),6,2),1),ShadowLedger!$C:$C,"&lt;"&amp;EOMONTH(DATE(LEFT(SUBSTITUTE(C2908,"'",""),4),MID(SUBSTITUTE(C2908,"'",""),6,2),1),0)+1)</f>
        <v>0</v>
      </c>
      <c r="E2908" s="17">
        <f t="shared" si="1"/>
        <v>0</v>
      </c>
      <c r="F2908" s="17">
        <f t="shared" si="2"/>
        <v>0</v>
      </c>
    </row>
    <row r="2909">
      <c r="A2909" s="5" t="s">
        <v>54</v>
      </c>
      <c r="B2909" s="6">
        <v>1392.0</v>
      </c>
      <c r="C2909" s="13" t="s">
        <v>383</v>
      </c>
      <c r="D2909" s="17">
        <f>SUMIFS(ShadowLedger!$D:$D,ShadowLedger!$G:$G,A2909,ShadowLedger!$C:$C,"&gt;="&amp;DATE(LEFT(SUBSTITUTE(C2909,"'",""),4),MID(SUBSTITUTE(C2909,"'",""),6,2),1),ShadowLedger!$C:$C,"&lt;"&amp;EOMONTH(DATE(LEFT(SUBSTITUTE(C2909,"'",""),4),MID(SUBSTITUTE(C2909,"'",""),6,2),1),0)+1)</f>
        <v>0</v>
      </c>
      <c r="E2909" s="17">
        <f t="shared" si="1"/>
        <v>1392</v>
      </c>
      <c r="F2909" s="17">
        <f t="shared" si="2"/>
        <v>0</v>
      </c>
    </row>
    <row r="2910">
      <c r="A2910" s="5" t="s">
        <v>55</v>
      </c>
      <c r="B2910" s="6">
        <v>1059.0</v>
      </c>
      <c r="C2910" s="13" t="s">
        <v>383</v>
      </c>
      <c r="D2910" s="17">
        <f>SUMIFS(ShadowLedger!$D:$D,ShadowLedger!$G:$G,A2910,ShadowLedger!$C:$C,"&gt;="&amp;DATE(LEFT(SUBSTITUTE(C2910,"'",""),4),MID(SUBSTITUTE(C2910,"'",""),6,2),1),ShadowLedger!$C:$C,"&lt;"&amp;EOMONTH(DATE(LEFT(SUBSTITUTE(C2910,"'",""),4),MID(SUBSTITUTE(C2910,"'",""),6,2),1),0)+1)</f>
        <v>0</v>
      </c>
      <c r="E2910" s="17">
        <f t="shared" si="1"/>
        <v>1059</v>
      </c>
      <c r="F2910" s="17">
        <f t="shared" si="2"/>
        <v>0</v>
      </c>
    </row>
    <row r="2911">
      <c r="A2911" s="5" t="s">
        <v>56</v>
      </c>
      <c r="B2911" s="6">
        <v>756.0</v>
      </c>
      <c r="C2911" s="13" t="s">
        <v>383</v>
      </c>
      <c r="D2911" s="17">
        <f>SUMIFS(ShadowLedger!$D:$D,ShadowLedger!$G:$G,A2911,ShadowLedger!$C:$C,"&gt;="&amp;DATE(LEFT(SUBSTITUTE(C2911,"'",""),4),MID(SUBSTITUTE(C2911,"'",""),6,2),1),ShadowLedger!$C:$C,"&lt;"&amp;EOMONTH(DATE(LEFT(SUBSTITUTE(C2911,"'",""),4),MID(SUBSTITUTE(C2911,"'",""),6,2),1),0)+1)</f>
        <v>0</v>
      </c>
      <c r="E2911" s="17">
        <f t="shared" si="1"/>
        <v>756</v>
      </c>
      <c r="F2911" s="17">
        <f t="shared" si="2"/>
        <v>0</v>
      </c>
    </row>
    <row r="2912">
      <c r="A2912" s="5" t="s">
        <v>57</v>
      </c>
      <c r="B2912" s="6">
        <v>756.0</v>
      </c>
      <c r="C2912" s="13" t="s">
        <v>383</v>
      </c>
      <c r="D2912" s="17">
        <f>SUMIFS(ShadowLedger!$D:$D,ShadowLedger!$G:$G,A2912,ShadowLedger!$C:$C,"&gt;="&amp;DATE(LEFT(SUBSTITUTE(C2912,"'",""),4),MID(SUBSTITUTE(C2912,"'",""),6,2),1),ShadowLedger!$C:$C,"&lt;"&amp;EOMONTH(DATE(LEFT(SUBSTITUTE(C2912,"'",""),4),MID(SUBSTITUTE(C2912,"'",""),6,2),1),0)+1)</f>
        <v>0</v>
      </c>
      <c r="E2912" s="17">
        <f t="shared" si="1"/>
        <v>756</v>
      </c>
      <c r="F2912" s="17">
        <f t="shared" si="2"/>
        <v>0</v>
      </c>
    </row>
    <row r="2913">
      <c r="A2913" s="5" t="s">
        <v>58</v>
      </c>
      <c r="B2913" s="6">
        <v>605.0</v>
      </c>
      <c r="C2913" s="13" t="s">
        <v>383</v>
      </c>
      <c r="D2913" s="17">
        <f>SUMIFS(ShadowLedger!$D:$D,ShadowLedger!$G:$G,A2913,ShadowLedger!$C:$C,"&gt;="&amp;DATE(LEFT(SUBSTITUTE(C2913,"'",""),4),MID(SUBSTITUTE(C2913,"'",""),6,2),1),ShadowLedger!$C:$C,"&lt;"&amp;EOMONTH(DATE(LEFT(SUBSTITUTE(C2913,"'",""),4),MID(SUBSTITUTE(C2913,"'",""),6,2),1),0)+1)</f>
        <v>0</v>
      </c>
      <c r="E2913" s="17">
        <f t="shared" si="1"/>
        <v>605</v>
      </c>
      <c r="F2913" s="17">
        <f t="shared" si="2"/>
        <v>0</v>
      </c>
    </row>
    <row r="2914">
      <c r="A2914" s="5" t="s">
        <v>59</v>
      </c>
      <c r="B2914" s="6">
        <v>303.0</v>
      </c>
      <c r="C2914" s="13" t="s">
        <v>383</v>
      </c>
      <c r="D2914" s="17">
        <f>SUMIFS(ShadowLedger!$D:$D,ShadowLedger!$G:$G,A2914,ShadowLedger!$C:$C,"&gt;="&amp;DATE(LEFT(SUBSTITUTE(C2914,"'",""),4),MID(SUBSTITUTE(C2914,"'",""),6,2),1),ShadowLedger!$C:$C,"&lt;"&amp;EOMONTH(DATE(LEFT(SUBSTITUTE(C2914,"'",""),4),MID(SUBSTITUTE(C2914,"'",""),6,2),1),0)+1)</f>
        <v>0</v>
      </c>
      <c r="E2914" s="17">
        <f t="shared" si="1"/>
        <v>303</v>
      </c>
      <c r="F2914" s="17">
        <f t="shared" si="2"/>
        <v>0</v>
      </c>
    </row>
    <row r="2915">
      <c r="A2915" s="5" t="s">
        <v>60</v>
      </c>
      <c r="B2915" s="6">
        <v>227.0</v>
      </c>
      <c r="C2915" s="13" t="s">
        <v>383</v>
      </c>
      <c r="D2915" s="17">
        <f>SUMIFS(ShadowLedger!$D:$D,ShadowLedger!$G:$G,A2915,ShadowLedger!$C:$C,"&gt;="&amp;DATE(LEFT(SUBSTITUTE(C2915,"'",""),4),MID(SUBSTITUTE(C2915,"'",""),6,2),1),ShadowLedger!$C:$C,"&lt;"&amp;EOMONTH(DATE(LEFT(SUBSTITUTE(C2915,"'",""),4),MID(SUBSTITUTE(C2915,"'",""),6,2),1),0)+1)</f>
        <v>0</v>
      </c>
      <c r="E2915" s="17">
        <f t="shared" si="1"/>
        <v>227</v>
      </c>
      <c r="F2915" s="17">
        <f t="shared" si="2"/>
        <v>0</v>
      </c>
    </row>
    <row r="2916">
      <c r="A2916" s="5" t="s">
        <v>61</v>
      </c>
      <c r="B2916" s="6">
        <v>182.0</v>
      </c>
      <c r="C2916" s="13" t="s">
        <v>383</v>
      </c>
      <c r="D2916" s="17">
        <f>SUMIFS(ShadowLedger!$D:$D,ShadowLedger!$G:$G,A2916,ShadowLedger!$C:$C,"&gt;="&amp;DATE(LEFT(SUBSTITUTE(C2916,"'",""),4),MID(SUBSTITUTE(C2916,"'",""),6,2),1),ShadowLedger!$C:$C,"&lt;"&amp;EOMONTH(DATE(LEFT(SUBSTITUTE(C2916,"'",""),4),MID(SUBSTITUTE(C2916,"'",""),6,2),1),0)+1)</f>
        <v>0</v>
      </c>
      <c r="E2916" s="17">
        <f t="shared" si="1"/>
        <v>182</v>
      </c>
      <c r="F2916" s="17">
        <f t="shared" si="2"/>
        <v>0</v>
      </c>
    </row>
    <row r="2917">
      <c r="A2917" s="5" t="s">
        <v>62</v>
      </c>
      <c r="B2917" s="6">
        <v>182.0</v>
      </c>
      <c r="C2917" s="13" t="s">
        <v>383</v>
      </c>
      <c r="D2917" s="17">
        <f>SUMIFS(ShadowLedger!$D:$D,ShadowLedger!$G:$G,A2917,ShadowLedger!$C:$C,"&gt;="&amp;DATE(LEFT(SUBSTITUTE(C2917,"'",""),4),MID(SUBSTITUTE(C2917,"'",""),6,2),1),ShadowLedger!$C:$C,"&lt;"&amp;EOMONTH(DATE(LEFT(SUBSTITUTE(C2917,"'",""),4),MID(SUBSTITUTE(C2917,"'",""),6,2),1),0)+1)</f>
        <v>0</v>
      </c>
      <c r="E2917" s="17">
        <f t="shared" si="1"/>
        <v>182</v>
      </c>
      <c r="F2917" s="17">
        <f t="shared" si="2"/>
        <v>0</v>
      </c>
    </row>
    <row r="2918">
      <c r="A2918" s="5" t="s">
        <v>63</v>
      </c>
      <c r="B2918" s="6">
        <v>151.0</v>
      </c>
      <c r="C2918" s="13" t="s">
        <v>383</v>
      </c>
      <c r="D2918" s="17">
        <f>SUMIFS(ShadowLedger!$D:$D,ShadowLedger!$G:$G,A2918,ShadowLedger!$C:$C,"&gt;="&amp;DATE(LEFT(SUBSTITUTE(C2918,"'",""),4),MID(SUBSTITUTE(C2918,"'",""),6,2),1),ShadowLedger!$C:$C,"&lt;"&amp;EOMONTH(DATE(LEFT(SUBSTITUTE(C2918,"'",""),4),MID(SUBSTITUTE(C2918,"'",""),6,2),1),0)+1)</f>
        <v>0</v>
      </c>
      <c r="E2918" s="17">
        <f t="shared" si="1"/>
        <v>151</v>
      </c>
      <c r="F2918" s="17">
        <f t="shared" si="2"/>
        <v>0</v>
      </c>
    </row>
    <row r="2919">
      <c r="A2919" s="5" t="s">
        <v>64</v>
      </c>
      <c r="B2919" s="6">
        <v>151.0</v>
      </c>
      <c r="C2919" s="13" t="s">
        <v>383</v>
      </c>
      <c r="D2919" s="17">
        <f>SUMIFS(ShadowLedger!$D:$D,ShadowLedger!$G:$G,A2919,ShadowLedger!$C:$C,"&gt;="&amp;DATE(LEFT(SUBSTITUTE(C2919,"'",""),4),MID(SUBSTITUTE(C2919,"'",""),6,2),1),ShadowLedger!$C:$C,"&lt;"&amp;EOMONTH(DATE(LEFT(SUBSTITUTE(C2919,"'",""),4),MID(SUBSTITUTE(C2919,"'",""),6,2),1),0)+1)</f>
        <v>0</v>
      </c>
      <c r="E2919" s="17">
        <f t="shared" si="1"/>
        <v>151</v>
      </c>
      <c r="F2919" s="17">
        <f t="shared" si="2"/>
        <v>0</v>
      </c>
    </row>
    <row r="2920">
      <c r="A2920" s="5" t="s">
        <v>70</v>
      </c>
      <c r="B2920" s="6">
        <v>151.0</v>
      </c>
      <c r="C2920" s="13" t="s">
        <v>383</v>
      </c>
      <c r="D2920" s="17">
        <f>SUMIFS(ShadowLedger!$D:$D,ShadowLedger!$G:$G,A2920,ShadowLedger!$C:$C,"&gt;="&amp;DATE(LEFT(SUBSTITUTE(C2920,"'",""),4),MID(SUBSTITUTE(C2920,"'",""),6,2),1),ShadowLedger!$C:$C,"&lt;"&amp;EOMONTH(DATE(LEFT(SUBSTITUTE(C2920,"'",""),4),MID(SUBSTITUTE(C2920,"'",""),6,2),1),0)+1)</f>
        <v>0</v>
      </c>
      <c r="E2920" s="17">
        <f t="shared" si="1"/>
        <v>151</v>
      </c>
      <c r="F2920" s="17">
        <f t="shared" si="2"/>
        <v>0</v>
      </c>
    </row>
    <row r="2921">
      <c r="A2921" s="5" t="s">
        <v>65</v>
      </c>
      <c r="B2921" s="6">
        <v>76.0</v>
      </c>
      <c r="C2921" s="13" t="s">
        <v>383</v>
      </c>
      <c r="D2921" s="17">
        <f>SUMIFS(ShadowLedger!$D:$D,ShadowLedger!$G:$G,A2921,ShadowLedger!$C:$C,"&gt;="&amp;DATE(LEFT(SUBSTITUTE(C2921,"'",""),4),MID(SUBSTITUTE(C2921,"'",""),6,2),1),ShadowLedger!$C:$C,"&lt;"&amp;EOMONTH(DATE(LEFT(SUBSTITUTE(C2921,"'",""),4),MID(SUBSTITUTE(C2921,"'",""),6,2),1),0)+1)</f>
        <v>0</v>
      </c>
      <c r="E2921" s="17">
        <f t="shared" si="1"/>
        <v>76</v>
      </c>
      <c r="F2921" s="17">
        <f t="shared" si="2"/>
        <v>0</v>
      </c>
    </row>
    <row r="2922">
      <c r="A2922" s="5" t="s">
        <v>66</v>
      </c>
      <c r="B2922" s="6">
        <v>76.0</v>
      </c>
      <c r="C2922" s="13" t="s">
        <v>383</v>
      </c>
      <c r="D2922" s="17">
        <f>SUMIFS(ShadowLedger!$D:$D,ShadowLedger!$G:$G,A2922,ShadowLedger!$C:$C,"&gt;="&amp;DATE(LEFT(SUBSTITUTE(C2922,"'",""),4),MID(SUBSTITUTE(C2922,"'",""),6,2),1),ShadowLedger!$C:$C,"&lt;"&amp;EOMONTH(DATE(LEFT(SUBSTITUTE(C2922,"'",""),4),MID(SUBSTITUTE(C2922,"'",""),6,2),1),0)+1)</f>
        <v>0</v>
      </c>
      <c r="E2922" s="17">
        <f t="shared" si="1"/>
        <v>76</v>
      </c>
      <c r="F2922" s="17">
        <f t="shared" si="2"/>
        <v>0</v>
      </c>
    </row>
    <row r="2923">
      <c r="A2923" s="5" t="s">
        <v>67</v>
      </c>
      <c r="B2923" s="6">
        <v>76.0</v>
      </c>
      <c r="C2923" s="13" t="s">
        <v>383</v>
      </c>
      <c r="D2923" s="17">
        <f>SUMIFS(ShadowLedger!$D:$D,ShadowLedger!$G:$G,A2923,ShadowLedger!$C:$C,"&gt;="&amp;DATE(LEFT(SUBSTITUTE(C2923,"'",""),4),MID(SUBSTITUTE(C2923,"'",""),6,2),1),ShadowLedger!$C:$C,"&lt;"&amp;EOMONTH(DATE(LEFT(SUBSTITUTE(C2923,"'",""),4),MID(SUBSTITUTE(C2923,"'",""),6,2),1),0)+1)</f>
        <v>0</v>
      </c>
      <c r="E2923" s="17">
        <f t="shared" si="1"/>
        <v>76</v>
      </c>
      <c r="F2923" s="17">
        <f t="shared" si="2"/>
        <v>0</v>
      </c>
    </row>
    <row r="2924">
      <c r="A2924" s="5" t="s">
        <v>68</v>
      </c>
      <c r="B2924" s="6">
        <v>76.0</v>
      </c>
      <c r="C2924" s="13" t="s">
        <v>383</v>
      </c>
      <c r="D2924" s="17">
        <f>SUMIFS(ShadowLedger!$D:$D,ShadowLedger!$G:$G,A2924,ShadowLedger!$C:$C,"&gt;="&amp;DATE(LEFT(SUBSTITUTE(C2924,"'",""),4),MID(SUBSTITUTE(C2924,"'",""),6,2),1),ShadowLedger!$C:$C,"&lt;"&amp;EOMONTH(DATE(LEFT(SUBSTITUTE(C2924,"'",""),4),MID(SUBSTITUTE(C2924,"'",""),6,2),1),0)+1)</f>
        <v>0</v>
      </c>
      <c r="E2924" s="17">
        <f t="shared" si="1"/>
        <v>76</v>
      </c>
      <c r="F2924" s="17">
        <f t="shared" si="2"/>
        <v>0</v>
      </c>
    </row>
    <row r="2925">
      <c r="A2925" s="5" t="s">
        <v>69</v>
      </c>
      <c r="B2925" s="6">
        <v>0.0</v>
      </c>
      <c r="C2925" s="13" t="s">
        <v>383</v>
      </c>
      <c r="D2925" s="17">
        <f>SUMIFS(ShadowLedger!$D:$D,ShadowLedger!$G:$G,A2925,ShadowLedger!$C:$C,"&gt;="&amp;DATE(LEFT(SUBSTITUTE(C2925,"'",""),4),MID(SUBSTITUTE(C2925,"'",""),6,2),1),ShadowLedger!$C:$C,"&lt;"&amp;EOMONTH(DATE(LEFT(SUBSTITUTE(C2925,"'",""),4),MID(SUBSTITUTE(C2925,"'",""),6,2),1),0)+1)</f>
        <v>0</v>
      </c>
      <c r="E2925" s="17">
        <f t="shared" si="1"/>
        <v>0</v>
      </c>
      <c r="F2925" s="17">
        <f t="shared" si="2"/>
        <v>0</v>
      </c>
    </row>
    <row r="2926">
      <c r="A2926" s="5" t="s">
        <v>54</v>
      </c>
      <c r="B2926" s="6">
        <v>1392.0</v>
      </c>
      <c r="C2926" s="13" t="s">
        <v>384</v>
      </c>
      <c r="D2926" s="17">
        <f>SUMIFS(ShadowLedger!$D:$D,ShadowLedger!$G:$G,A2926,ShadowLedger!$C:$C,"&gt;="&amp;DATE(LEFT(SUBSTITUTE(C2926,"'",""),4),MID(SUBSTITUTE(C2926,"'",""),6,2),1),ShadowLedger!$C:$C,"&lt;"&amp;EOMONTH(DATE(LEFT(SUBSTITUTE(C2926,"'",""),4),MID(SUBSTITUTE(C2926,"'",""),6,2),1),0)+1)</f>
        <v>0</v>
      </c>
      <c r="E2926" s="17">
        <f t="shared" si="1"/>
        <v>1392</v>
      </c>
      <c r="F2926" s="17">
        <f t="shared" si="2"/>
        <v>0</v>
      </c>
    </row>
    <row r="2927">
      <c r="A2927" s="5" t="s">
        <v>55</v>
      </c>
      <c r="B2927" s="6">
        <v>1059.0</v>
      </c>
      <c r="C2927" s="13" t="s">
        <v>384</v>
      </c>
      <c r="D2927" s="17">
        <f>SUMIFS(ShadowLedger!$D:$D,ShadowLedger!$G:$G,A2927,ShadowLedger!$C:$C,"&gt;="&amp;DATE(LEFT(SUBSTITUTE(C2927,"'",""),4),MID(SUBSTITUTE(C2927,"'",""),6,2),1),ShadowLedger!$C:$C,"&lt;"&amp;EOMONTH(DATE(LEFT(SUBSTITUTE(C2927,"'",""),4),MID(SUBSTITUTE(C2927,"'",""),6,2),1),0)+1)</f>
        <v>0</v>
      </c>
      <c r="E2927" s="17">
        <f t="shared" si="1"/>
        <v>1059</v>
      </c>
      <c r="F2927" s="17">
        <f t="shared" si="2"/>
        <v>0</v>
      </c>
    </row>
    <row r="2928">
      <c r="A2928" s="5" t="s">
        <v>56</v>
      </c>
      <c r="B2928" s="6">
        <v>756.0</v>
      </c>
      <c r="C2928" s="13" t="s">
        <v>384</v>
      </c>
      <c r="D2928" s="17">
        <f>SUMIFS(ShadowLedger!$D:$D,ShadowLedger!$G:$G,A2928,ShadowLedger!$C:$C,"&gt;="&amp;DATE(LEFT(SUBSTITUTE(C2928,"'",""),4),MID(SUBSTITUTE(C2928,"'",""),6,2),1),ShadowLedger!$C:$C,"&lt;"&amp;EOMONTH(DATE(LEFT(SUBSTITUTE(C2928,"'",""),4),MID(SUBSTITUTE(C2928,"'",""),6,2),1),0)+1)</f>
        <v>0</v>
      </c>
      <c r="E2928" s="17">
        <f t="shared" si="1"/>
        <v>756</v>
      </c>
      <c r="F2928" s="17">
        <f t="shared" si="2"/>
        <v>0</v>
      </c>
    </row>
    <row r="2929">
      <c r="A2929" s="5" t="s">
        <v>57</v>
      </c>
      <c r="B2929" s="6">
        <v>756.0</v>
      </c>
      <c r="C2929" s="13" t="s">
        <v>384</v>
      </c>
      <c r="D2929" s="17">
        <f>SUMIFS(ShadowLedger!$D:$D,ShadowLedger!$G:$G,A2929,ShadowLedger!$C:$C,"&gt;="&amp;DATE(LEFT(SUBSTITUTE(C2929,"'",""),4),MID(SUBSTITUTE(C2929,"'",""),6,2),1),ShadowLedger!$C:$C,"&lt;"&amp;EOMONTH(DATE(LEFT(SUBSTITUTE(C2929,"'",""),4),MID(SUBSTITUTE(C2929,"'",""),6,2),1),0)+1)</f>
        <v>0</v>
      </c>
      <c r="E2929" s="17">
        <f t="shared" si="1"/>
        <v>756</v>
      </c>
      <c r="F2929" s="17">
        <f t="shared" si="2"/>
        <v>0</v>
      </c>
    </row>
    <row r="2930">
      <c r="A2930" s="5" t="s">
        <v>58</v>
      </c>
      <c r="B2930" s="6">
        <v>605.0</v>
      </c>
      <c r="C2930" s="13" t="s">
        <v>384</v>
      </c>
      <c r="D2930" s="17">
        <f>SUMIFS(ShadowLedger!$D:$D,ShadowLedger!$G:$G,A2930,ShadowLedger!$C:$C,"&gt;="&amp;DATE(LEFT(SUBSTITUTE(C2930,"'",""),4),MID(SUBSTITUTE(C2930,"'",""),6,2),1),ShadowLedger!$C:$C,"&lt;"&amp;EOMONTH(DATE(LEFT(SUBSTITUTE(C2930,"'",""),4),MID(SUBSTITUTE(C2930,"'",""),6,2),1),0)+1)</f>
        <v>0</v>
      </c>
      <c r="E2930" s="17">
        <f t="shared" si="1"/>
        <v>605</v>
      </c>
      <c r="F2930" s="17">
        <f t="shared" si="2"/>
        <v>0</v>
      </c>
    </row>
    <row r="2931">
      <c r="A2931" s="5" t="s">
        <v>59</v>
      </c>
      <c r="B2931" s="6">
        <v>303.0</v>
      </c>
      <c r="C2931" s="13" t="s">
        <v>384</v>
      </c>
      <c r="D2931" s="17">
        <f>SUMIFS(ShadowLedger!$D:$D,ShadowLedger!$G:$G,A2931,ShadowLedger!$C:$C,"&gt;="&amp;DATE(LEFT(SUBSTITUTE(C2931,"'",""),4),MID(SUBSTITUTE(C2931,"'",""),6,2),1),ShadowLedger!$C:$C,"&lt;"&amp;EOMONTH(DATE(LEFT(SUBSTITUTE(C2931,"'",""),4),MID(SUBSTITUTE(C2931,"'",""),6,2),1),0)+1)</f>
        <v>0</v>
      </c>
      <c r="E2931" s="17">
        <f t="shared" si="1"/>
        <v>303</v>
      </c>
      <c r="F2931" s="17">
        <f t="shared" si="2"/>
        <v>0</v>
      </c>
    </row>
    <row r="2932">
      <c r="A2932" s="5" t="s">
        <v>60</v>
      </c>
      <c r="B2932" s="6">
        <v>227.0</v>
      </c>
      <c r="C2932" s="13" t="s">
        <v>384</v>
      </c>
      <c r="D2932" s="17">
        <f>SUMIFS(ShadowLedger!$D:$D,ShadowLedger!$G:$G,A2932,ShadowLedger!$C:$C,"&gt;="&amp;DATE(LEFT(SUBSTITUTE(C2932,"'",""),4),MID(SUBSTITUTE(C2932,"'",""),6,2),1),ShadowLedger!$C:$C,"&lt;"&amp;EOMONTH(DATE(LEFT(SUBSTITUTE(C2932,"'",""),4),MID(SUBSTITUTE(C2932,"'",""),6,2),1),0)+1)</f>
        <v>0</v>
      </c>
      <c r="E2932" s="17">
        <f t="shared" si="1"/>
        <v>227</v>
      </c>
      <c r="F2932" s="17">
        <f t="shared" si="2"/>
        <v>0</v>
      </c>
    </row>
    <row r="2933">
      <c r="A2933" s="5" t="s">
        <v>61</v>
      </c>
      <c r="B2933" s="6">
        <v>182.0</v>
      </c>
      <c r="C2933" s="13" t="s">
        <v>384</v>
      </c>
      <c r="D2933" s="17">
        <f>SUMIFS(ShadowLedger!$D:$D,ShadowLedger!$G:$G,A2933,ShadowLedger!$C:$C,"&gt;="&amp;DATE(LEFT(SUBSTITUTE(C2933,"'",""),4),MID(SUBSTITUTE(C2933,"'",""),6,2),1),ShadowLedger!$C:$C,"&lt;"&amp;EOMONTH(DATE(LEFT(SUBSTITUTE(C2933,"'",""),4),MID(SUBSTITUTE(C2933,"'",""),6,2),1),0)+1)</f>
        <v>0</v>
      </c>
      <c r="E2933" s="17">
        <f t="shared" si="1"/>
        <v>182</v>
      </c>
      <c r="F2933" s="17">
        <f t="shared" si="2"/>
        <v>0</v>
      </c>
    </row>
    <row r="2934">
      <c r="A2934" s="5" t="s">
        <v>62</v>
      </c>
      <c r="B2934" s="6">
        <v>182.0</v>
      </c>
      <c r="C2934" s="13" t="s">
        <v>384</v>
      </c>
      <c r="D2934" s="17">
        <f>SUMIFS(ShadowLedger!$D:$D,ShadowLedger!$G:$G,A2934,ShadowLedger!$C:$C,"&gt;="&amp;DATE(LEFT(SUBSTITUTE(C2934,"'",""),4),MID(SUBSTITUTE(C2934,"'",""),6,2),1),ShadowLedger!$C:$C,"&lt;"&amp;EOMONTH(DATE(LEFT(SUBSTITUTE(C2934,"'",""),4),MID(SUBSTITUTE(C2934,"'",""),6,2),1),0)+1)</f>
        <v>0</v>
      </c>
      <c r="E2934" s="17">
        <f t="shared" si="1"/>
        <v>182</v>
      </c>
      <c r="F2934" s="17">
        <f t="shared" si="2"/>
        <v>0</v>
      </c>
    </row>
    <row r="2935">
      <c r="A2935" s="5" t="s">
        <v>63</v>
      </c>
      <c r="B2935" s="6">
        <v>151.0</v>
      </c>
      <c r="C2935" s="13" t="s">
        <v>384</v>
      </c>
      <c r="D2935" s="17">
        <f>SUMIFS(ShadowLedger!$D:$D,ShadowLedger!$G:$G,A2935,ShadowLedger!$C:$C,"&gt;="&amp;DATE(LEFT(SUBSTITUTE(C2935,"'",""),4),MID(SUBSTITUTE(C2935,"'",""),6,2),1),ShadowLedger!$C:$C,"&lt;"&amp;EOMONTH(DATE(LEFT(SUBSTITUTE(C2935,"'",""),4),MID(SUBSTITUTE(C2935,"'",""),6,2),1),0)+1)</f>
        <v>0</v>
      </c>
      <c r="E2935" s="17">
        <f t="shared" si="1"/>
        <v>151</v>
      </c>
      <c r="F2935" s="17">
        <f t="shared" si="2"/>
        <v>0</v>
      </c>
    </row>
    <row r="2936">
      <c r="A2936" s="5" t="s">
        <v>64</v>
      </c>
      <c r="B2936" s="6">
        <v>151.0</v>
      </c>
      <c r="C2936" s="13" t="s">
        <v>384</v>
      </c>
      <c r="D2936" s="17">
        <f>SUMIFS(ShadowLedger!$D:$D,ShadowLedger!$G:$G,A2936,ShadowLedger!$C:$C,"&gt;="&amp;DATE(LEFT(SUBSTITUTE(C2936,"'",""),4),MID(SUBSTITUTE(C2936,"'",""),6,2),1),ShadowLedger!$C:$C,"&lt;"&amp;EOMONTH(DATE(LEFT(SUBSTITUTE(C2936,"'",""),4),MID(SUBSTITUTE(C2936,"'",""),6,2),1),0)+1)</f>
        <v>0</v>
      </c>
      <c r="E2936" s="17">
        <f t="shared" si="1"/>
        <v>151</v>
      </c>
      <c r="F2936" s="17">
        <f t="shared" si="2"/>
        <v>0</v>
      </c>
    </row>
    <row r="2937">
      <c r="A2937" s="5" t="s">
        <v>70</v>
      </c>
      <c r="B2937" s="6">
        <v>151.0</v>
      </c>
      <c r="C2937" s="13" t="s">
        <v>384</v>
      </c>
      <c r="D2937" s="17">
        <f>SUMIFS(ShadowLedger!$D:$D,ShadowLedger!$G:$G,A2937,ShadowLedger!$C:$C,"&gt;="&amp;DATE(LEFT(SUBSTITUTE(C2937,"'",""),4),MID(SUBSTITUTE(C2937,"'",""),6,2),1),ShadowLedger!$C:$C,"&lt;"&amp;EOMONTH(DATE(LEFT(SUBSTITUTE(C2937,"'",""),4),MID(SUBSTITUTE(C2937,"'",""),6,2),1),0)+1)</f>
        <v>0</v>
      </c>
      <c r="E2937" s="17">
        <f t="shared" si="1"/>
        <v>151</v>
      </c>
      <c r="F2937" s="17">
        <f t="shared" si="2"/>
        <v>0</v>
      </c>
    </row>
    <row r="2938">
      <c r="A2938" s="5" t="s">
        <v>65</v>
      </c>
      <c r="B2938" s="6">
        <v>76.0</v>
      </c>
      <c r="C2938" s="13" t="s">
        <v>384</v>
      </c>
      <c r="D2938" s="17">
        <f>SUMIFS(ShadowLedger!$D:$D,ShadowLedger!$G:$G,A2938,ShadowLedger!$C:$C,"&gt;="&amp;DATE(LEFT(SUBSTITUTE(C2938,"'",""),4),MID(SUBSTITUTE(C2938,"'",""),6,2),1),ShadowLedger!$C:$C,"&lt;"&amp;EOMONTH(DATE(LEFT(SUBSTITUTE(C2938,"'",""),4),MID(SUBSTITUTE(C2938,"'",""),6,2),1),0)+1)</f>
        <v>0</v>
      </c>
      <c r="E2938" s="17">
        <f t="shared" si="1"/>
        <v>76</v>
      </c>
      <c r="F2938" s="17">
        <f t="shared" si="2"/>
        <v>0</v>
      </c>
    </row>
    <row r="2939">
      <c r="A2939" s="5" t="s">
        <v>66</v>
      </c>
      <c r="B2939" s="6">
        <v>76.0</v>
      </c>
      <c r="C2939" s="13" t="s">
        <v>384</v>
      </c>
      <c r="D2939" s="17">
        <f>SUMIFS(ShadowLedger!$D:$D,ShadowLedger!$G:$G,A2939,ShadowLedger!$C:$C,"&gt;="&amp;DATE(LEFT(SUBSTITUTE(C2939,"'",""),4),MID(SUBSTITUTE(C2939,"'",""),6,2),1),ShadowLedger!$C:$C,"&lt;"&amp;EOMONTH(DATE(LEFT(SUBSTITUTE(C2939,"'",""),4),MID(SUBSTITUTE(C2939,"'",""),6,2),1),0)+1)</f>
        <v>0</v>
      </c>
      <c r="E2939" s="17">
        <f t="shared" si="1"/>
        <v>76</v>
      </c>
      <c r="F2939" s="17">
        <f t="shared" si="2"/>
        <v>0</v>
      </c>
    </row>
    <row r="2940">
      <c r="A2940" s="5" t="s">
        <v>67</v>
      </c>
      <c r="B2940" s="6">
        <v>76.0</v>
      </c>
      <c r="C2940" s="13" t="s">
        <v>384</v>
      </c>
      <c r="D2940" s="17">
        <f>SUMIFS(ShadowLedger!$D:$D,ShadowLedger!$G:$G,A2940,ShadowLedger!$C:$C,"&gt;="&amp;DATE(LEFT(SUBSTITUTE(C2940,"'",""),4),MID(SUBSTITUTE(C2940,"'",""),6,2),1),ShadowLedger!$C:$C,"&lt;"&amp;EOMONTH(DATE(LEFT(SUBSTITUTE(C2940,"'",""),4),MID(SUBSTITUTE(C2940,"'",""),6,2),1),0)+1)</f>
        <v>0</v>
      </c>
      <c r="E2940" s="17">
        <f t="shared" si="1"/>
        <v>76</v>
      </c>
      <c r="F2940" s="17">
        <f t="shared" si="2"/>
        <v>0</v>
      </c>
    </row>
    <row r="2941">
      <c r="A2941" s="5" t="s">
        <v>68</v>
      </c>
      <c r="B2941" s="6">
        <v>76.0</v>
      </c>
      <c r="C2941" s="13" t="s">
        <v>384</v>
      </c>
      <c r="D2941" s="17">
        <f>SUMIFS(ShadowLedger!$D:$D,ShadowLedger!$G:$G,A2941,ShadowLedger!$C:$C,"&gt;="&amp;DATE(LEFT(SUBSTITUTE(C2941,"'",""),4),MID(SUBSTITUTE(C2941,"'",""),6,2),1),ShadowLedger!$C:$C,"&lt;"&amp;EOMONTH(DATE(LEFT(SUBSTITUTE(C2941,"'",""),4),MID(SUBSTITUTE(C2941,"'",""),6,2),1),0)+1)</f>
        <v>0</v>
      </c>
      <c r="E2941" s="17">
        <f t="shared" si="1"/>
        <v>76</v>
      </c>
      <c r="F2941" s="17">
        <f t="shared" si="2"/>
        <v>0</v>
      </c>
    </row>
    <row r="2942">
      <c r="A2942" s="5" t="s">
        <v>69</v>
      </c>
      <c r="B2942" s="6">
        <v>0.0</v>
      </c>
      <c r="C2942" s="13" t="s">
        <v>384</v>
      </c>
      <c r="D2942" s="17">
        <f>SUMIFS(ShadowLedger!$D:$D,ShadowLedger!$G:$G,A2942,ShadowLedger!$C:$C,"&gt;="&amp;DATE(LEFT(SUBSTITUTE(C2942,"'",""),4),MID(SUBSTITUTE(C2942,"'",""),6,2),1),ShadowLedger!$C:$C,"&lt;"&amp;EOMONTH(DATE(LEFT(SUBSTITUTE(C2942,"'",""),4),MID(SUBSTITUTE(C2942,"'",""),6,2),1),0)+1)</f>
        <v>0</v>
      </c>
      <c r="E2942" s="17">
        <f t="shared" si="1"/>
        <v>0</v>
      </c>
      <c r="F2942" s="17">
        <f t="shared" si="2"/>
        <v>0</v>
      </c>
    </row>
    <row r="2943">
      <c r="A2943" s="5" t="s">
        <v>54</v>
      </c>
      <c r="B2943" s="6">
        <v>1392.0</v>
      </c>
      <c r="C2943" s="13" t="s">
        <v>385</v>
      </c>
      <c r="D2943" s="17">
        <f>SUMIFS(ShadowLedger!$D:$D,ShadowLedger!$G:$G,A2943,ShadowLedger!$C:$C,"&gt;="&amp;DATE(LEFT(SUBSTITUTE(C2943,"'",""),4),MID(SUBSTITUTE(C2943,"'",""),6,2),1),ShadowLedger!$C:$C,"&lt;"&amp;EOMONTH(DATE(LEFT(SUBSTITUTE(C2943,"'",""),4),MID(SUBSTITUTE(C2943,"'",""),6,2),1),0)+1)</f>
        <v>0</v>
      </c>
      <c r="E2943" s="17">
        <f t="shared" si="1"/>
        <v>1392</v>
      </c>
      <c r="F2943" s="17">
        <f t="shared" si="2"/>
        <v>0</v>
      </c>
    </row>
    <row r="2944">
      <c r="A2944" s="5" t="s">
        <v>55</v>
      </c>
      <c r="B2944" s="6">
        <v>1059.0</v>
      </c>
      <c r="C2944" s="13" t="s">
        <v>385</v>
      </c>
      <c r="D2944" s="17">
        <f>SUMIFS(ShadowLedger!$D:$D,ShadowLedger!$G:$G,A2944,ShadowLedger!$C:$C,"&gt;="&amp;DATE(LEFT(SUBSTITUTE(C2944,"'",""),4),MID(SUBSTITUTE(C2944,"'",""),6,2),1),ShadowLedger!$C:$C,"&lt;"&amp;EOMONTH(DATE(LEFT(SUBSTITUTE(C2944,"'",""),4),MID(SUBSTITUTE(C2944,"'",""),6,2),1),0)+1)</f>
        <v>0</v>
      </c>
      <c r="E2944" s="17">
        <f t="shared" si="1"/>
        <v>1059</v>
      </c>
      <c r="F2944" s="17">
        <f t="shared" si="2"/>
        <v>0</v>
      </c>
    </row>
    <row r="2945">
      <c r="A2945" s="5" t="s">
        <v>56</v>
      </c>
      <c r="B2945" s="6">
        <v>756.0</v>
      </c>
      <c r="C2945" s="13" t="s">
        <v>385</v>
      </c>
      <c r="D2945" s="17">
        <f>SUMIFS(ShadowLedger!$D:$D,ShadowLedger!$G:$G,A2945,ShadowLedger!$C:$C,"&gt;="&amp;DATE(LEFT(SUBSTITUTE(C2945,"'",""),4),MID(SUBSTITUTE(C2945,"'",""),6,2),1),ShadowLedger!$C:$C,"&lt;"&amp;EOMONTH(DATE(LEFT(SUBSTITUTE(C2945,"'",""),4),MID(SUBSTITUTE(C2945,"'",""),6,2),1),0)+1)</f>
        <v>0</v>
      </c>
      <c r="E2945" s="17">
        <f t="shared" si="1"/>
        <v>756</v>
      </c>
      <c r="F2945" s="17">
        <f t="shared" si="2"/>
        <v>0</v>
      </c>
    </row>
    <row r="2946">
      <c r="A2946" s="5" t="s">
        <v>57</v>
      </c>
      <c r="B2946" s="6">
        <v>756.0</v>
      </c>
      <c r="C2946" s="13" t="s">
        <v>385</v>
      </c>
      <c r="D2946" s="17">
        <f>SUMIFS(ShadowLedger!$D:$D,ShadowLedger!$G:$G,A2946,ShadowLedger!$C:$C,"&gt;="&amp;DATE(LEFT(SUBSTITUTE(C2946,"'",""),4),MID(SUBSTITUTE(C2946,"'",""),6,2),1),ShadowLedger!$C:$C,"&lt;"&amp;EOMONTH(DATE(LEFT(SUBSTITUTE(C2946,"'",""),4),MID(SUBSTITUTE(C2946,"'",""),6,2),1),0)+1)</f>
        <v>0</v>
      </c>
      <c r="E2946" s="17">
        <f t="shared" si="1"/>
        <v>756</v>
      </c>
      <c r="F2946" s="17">
        <f t="shared" si="2"/>
        <v>0</v>
      </c>
    </row>
    <row r="2947">
      <c r="A2947" s="5" t="s">
        <v>58</v>
      </c>
      <c r="B2947" s="6">
        <v>605.0</v>
      </c>
      <c r="C2947" s="13" t="s">
        <v>385</v>
      </c>
      <c r="D2947" s="17">
        <f>SUMIFS(ShadowLedger!$D:$D,ShadowLedger!$G:$G,A2947,ShadowLedger!$C:$C,"&gt;="&amp;DATE(LEFT(SUBSTITUTE(C2947,"'",""),4),MID(SUBSTITUTE(C2947,"'",""),6,2),1),ShadowLedger!$C:$C,"&lt;"&amp;EOMONTH(DATE(LEFT(SUBSTITUTE(C2947,"'",""),4),MID(SUBSTITUTE(C2947,"'",""),6,2),1),0)+1)</f>
        <v>0</v>
      </c>
      <c r="E2947" s="17">
        <f t="shared" si="1"/>
        <v>605</v>
      </c>
      <c r="F2947" s="17">
        <f t="shared" si="2"/>
        <v>0</v>
      </c>
    </row>
    <row r="2948">
      <c r="A2948" s="5" t="s">
        <v>59</v>
      </c>
      <c r="B2948" s="6">
        <v>303.0</v>
      </c>
      <c r="C2948" s="13" t="s">
        <v>385</v>
      </c>
      <c r="D2948" s="17">
        <f>SUMIFS(ShadowLedger!$D:$D,ShadowLedger!$G:$G,A2948,ShadowLedger!$C:$C,"&gt;="&amp;DATE(LEFT(SUBSTITUTE(C2948,"'",""),4),MID(SUBSTITUTE(C2948,"'",""),6,2),1),ShadowLedger!$C:$C,"&lt;"&amp;EOMONTH(DATE(LEFT(SUBSTITUTE(C2948,"'",""),4),MID(SUBSTITUTE(C2948,"'",""),6,2),1),0)+1)</f>
        <v>0</v>
      </c>
      <c r="E2948" s="17">
        <f t="shared" si="1"/>
        <v>303</v>
      </c>
      <c r="F2948" s="17">
        <f t="shared" si="2"/>
        <v>0</v>
      </c>
    </row>
    <row r="2949">
      <c r="A2949" s="5" t="s">
        <v>60</v>
      </c>
      <c r="B2949" s="6">
        <v>227.0</v>
      </c>
      <c r="C2949" s="13" t="s">
        <v>385</v>
      </c>
      <c r="D2949" s="17">
        <f>SUMIFS(ShadowLedger!$D:$D,ShadowLedger!$G:$G,A2949,ShadowLedger!$C:$C,"&gt;="&amp;DATE(LEFT(SUBSTITUTE(C2949,"'",""),4),MID(SUBSTITUTE(C2949,"'",""),6,2),1),ShadowLedger!$C:$C,"&lt;"&amp;EOMONTH(DATE(LEFT(SUBSTITUTE(C2949,"'",""),4),MID(SUBSTITUTE(C2949,"'",""),6,2),1),0)+1)</f>
        <v>0</v>
      </c>
      <c r="E2949" s="17">
        <f t="shared" si="1"/>
        <v>227</v>
      </c>
      <c r="F2949" s="17">
        <f t="shared" si="2"/>
        <v>0</v>
      </c>
    </row>
    <row r="2950">
      <c r="A2950" s="5" t="s">
        <v>61</v>
      </c>
      <c r="B2950" s="6">
        <v>182.0</v>
      </c>
      <c r="C2950" s="13" t="s">
        <v>385</v>
      </c>
      <c r="D2950" s="17">
        <f>SUMIFS(ShadowLedger!$D:$D,ShadowLedger!$G:$G,A2950,ShadowLedger!$C:$C,"&gt;="&amp;DATE(LEFT(SUBSTITUTE(C2950,"'",""),4),MID(SUBSTITUTE(C2950,"'",""),6,2),1),ShadowLedger!$C:$C,"&lt;"&amp;EOMONTH(DATE(LEFT(SUBSTITUTE(C2950,"'",""),4),MID(SUBSTITUTE(C2950,"'",""),6,2),1),0)+1)</f>
        <v>0</v>
      </c>
      <c r="E2950" s="17">
        <f t="shared" si="1"/>
        <v>182</v>
      </c>
      <c r="F2950" s="17">
        <f t="shared" si="2"/>
        <v>0</v>
      </c>
    </row>
    <row r="2951">
      <c r="A2951" s="5" t="s">
        <v>62</v>
      </c>
      <c r="B2951" s="6">
        <v>182.0</v>
      </c>
      <c r="C2951" s="13" t="s">
        <v>385</v>
      </c>
      <c r="D2951" s="17">
        <f>SUMIFS(ShadowLedger!$D:$D,ShadowLedger!$G:$G,A2951,ShadowLedger!$C:$C,"&gt;="&amp;DATE(LEFT(SUBSTITUTE(C2951,"'",""),4),MID(SUBSTITUTE(C2951,"'",""),6,2),1),ShadowLedger!$C:$C,"&lt;"&amp;EOMONTH(DATE(LEFT(SUBSTITUTE(C2951,"'",""),4),MID(SUBSTITUTE(C2951,"'",""),6,2),1),0)+1)</f>
        <v>0</v>
      </c>
      <c r="E2951" s="17">
        <f t="shared" si="1"/>
        <v>182</v>
      </c>
      <c r="F2951" s="17">
        <f t="shared" si="2"/>
        <v>0</v>
      </c>
    </row>
    <row r="2952">
      <c r="A2952" s="5" t="s">
        <v>63</v>
      </c>
      <c r="B2952" s="6">
        <v>151.0</v>
      </c>
      <c r="C2952" s="13" t="s">
        <v>385</v>
      </c>
      <c r="D2952" s="17">
        <f>SUMIFS(ShadowLedger!$D:$D,ShadowLedger!$G:$G,A2952,ShadowLedger!$C:$C,"&gt;="&amp;DATE(LEFT(SUBSTITUTE(C2952,"'",""),4),MID(SUBSTITUTE(C2952,"'",""),6,2),1),ShadowLedger!$C:$C,"&lt;"&amp;EOMONTH(DATE(LEFT(SUBSTITUTE(C2952,"'",""),4),MID(SUBSTITUTE(C2952,"'",""),6,2),1),0)+1)</f>
        <v>0</v>
      </c>
      <c r="E2952" s="17">
        <f t="shared" si="1"/>
        <v>151</v>
      </c>
      <c r="F2952" s="17">
        <f t="shared" si="2"/>
        <v>0</v>
      </c>
    </row>
    <row r="2953">
      <c r="A2953" s="5" t="s">
        <v>64</v>
      </c>
      <c r="B2953" s="6">
        <v>151.0</v>
      </c>
      <c r="C2953" s="13" t="s">
        <v>385</v>
      </c>
      <c r="D2953" s="17">
        <f>SUMIFS(ShadowLedger!$D:$D,ShadowLedger!$G:$G,A2953,ShadowLedger!$C:$C,"&gt;="&amp;DATE(LEFT(SUBSTITUTE(C2953,"'",""),4),MID(SUBSTITUTE(C2953,"'",""),6,2),1),ShadowLedger!$C:$C,"&lt;"&amp;EOMONTH(DATE(LEFT(SUBSTITUTE(C2953,"'",""),4),MID(SUBSTITUTE(C2953,"'",""),6,2),1),0)+1)</f>
        <v>0</v>
      </c>
      <c r="E2953" s="17">
        <f t="shared" si="1"/>
        <v>151</v>
      </c>
      <c r="F2953" s="17">
        <f t="shared" si="2"/>
        <v>0</v>
      </c>
    </row>
    <row r="2954">
      <c r="A2954" s="5" t="s">
        <v>70</v>
      </c>
      <c r="B2954" s="6">
        <v>151.0</v>
      </c>
      <c r="C2954" s="13" t="s">
        <v>385</v>
      </c>
      <c r="D2954" s="17">
        <f>SUMIFS(ShadowLedger!$D:$D,ShadowLedger!$G:$G,A2954,ShadowLedger!$C:$C,"&gt;="&amp;DATE(LEFT(SUBSTITUTE(C2954,"'",""),4),MID(SUBSTITUTE(C2954,"'",""),6,2),1),ShadowLedger!$C:$C,"&lt;"&amp;EOMONTH(DATE(LEFT(SUBSTITUTE(C2954,"'",""),4),MID(SUBSTITUTE(C2954,"'",""),6,2),1),0)+1)</f>
        <v>0</v>
      </c>
      <c r="E2954" s="17">
        <f t="shared" si="1"/>
        <v>151</v>
      </c>
      <c r="F2954" s="17">
        <f t="shared" si="2"/>
        <v>0</v>
      </c>
    </row>
    <row r="2955">
      <c r="A2955" s="5" t="s">
        <v>65</v>
      </c>
      <c r="B2955" s="6">
        <v>76.0</v>
      </c>
      <c r="C2955" s="13" t="s">
        <v>385</v>
      </c>
      <c r="D2955" s="17">
        <f>SUMIFS(ShadowLedger!$D:$D,ShadowLedger!$G:$G,A2955,ShadowLedger!$C:$C,"&gt;="&amp;DATE(LEFT(SUBSTITUTE(C2955,"'",""),4),MID(SUBSTITUTE(C2955,"'",""),6,2),1),ShadowLedger!$C:$C,"&lt;"&amp;EOMONTH(DATE(LEFT(SUBSTITUTE(C2955,"'",""),4),MID(SUBSTITUTE(C2955,"'",""),6,2),1),0)+1)</f>
        <v>0</v>
      </c>
      <c r="E2955" s="17">
        <f t="shared" si="1"/>
        <v>76</v>
      </c>
      <c r="F2955" s="17">
        <f t="shared" si="2"/>
        <v>0</v>
      </c>
    </row>
    <row r="2956">
      <c r="A2956" s="5" t="s">
        <v>66</v>
      </c>
      <c r="B2956" s="6">
        <v>76.0</v>
      </c>
      <c r="C2956" s="13" t="s">
        <v>385</v>
      </c>
      <c r="D2956" s="17">
        <f>SUMIFS(ShadowLedger!$D:$D,ShadowLedger!$G:$G,A2956,ShadowLedger!$C:$C,"&gt;="&amp;DATE(LEFT(SUBSTITUTE(C2956,"'",""),4),MID(SUBSTITUTE(C2956,"'",""),6,2),1),ShadowLedger!$C:$C,"&lt;"&amp;EOMONTH(DATE(LEFT(SUBSTITUTE(C2956,"'",""),4),MID(SUBSTITUTE(C2956,"'",""),6,2),1),0)+1)</f>
        <v>0</v>
      </c>
      <c r="E2956" s="17">
        <f t="shared" si="1"/>
        <v>76</v>
      </c>
      <c r="F2956" s="17">
        <f t="shared" si="2"/>
        <v>0</v>
      </c>
    </row>
    <row r="2957">
      <c r="A2957" s="5" t="s">
        <v>67</v>
      </c>
      <c r="B2957" s="6">
        <v>76.0</v>
      </c>
      <c r="C2957" s="13" t="s">
        <v>385</v>
      </c>
      <c r="D2957" s="17">
        <f>SUMIFS(ShadowLedger!$D:$D,ShadowLedger!$G:$G,A2957,ShadowLedger!$C:$C,"&gt;="&amp;DATE(LEFT(SUBSTITUTE(C2957,"'",""),4),MID(SUBSTITUTE(C2957,"'",""),6,2),1),ShadowLedger!$C:$C,"&lt;"&amp;EOMONTH(DATE(LEFT(SUBSTITUTE(C2957,"'",""),4),MID(SUBSTITUTE(C2957,"'",""),6,2),1),0)+1)</f>
        <v>0</v>
      </c>
      <c r="E2957" s="17">
        <f t="shared" si="1"/>
        <v>76</v>
      </c>
      <c r="F2957" s="17">
        <f t="shared" si="2"/>
        <v>0</v>
      </c>
    </row>
    <row r="2958">
      <c r="A2958" s="5" t="s">
        <v>68</v>
      </c>
      <c r="B2958" s="6">
        <v>76.0</v>
      </c>
      <c r="C2958" s="13" t="s">
        <v>385</v>
      </c>
      <c r="D2958" s="17">
        <f>SUMIFS(ShadowLedger!$D:$D,ShadowLedger!$G:$G,A2958,ShadowLedger!$C:$C,"&gt;="&amp;DATE(LEFT(SUBSTITUTE(C2958,"'",""),4),MID(SUBSTITUTE(C2958,"'",""),6,2),1),ShadowLedger!$C:$C,"&lt;"&amp;EOMONTH(DATE(LEFT(SUBSTITUTE(C2958,"'",""),4),MID(SUBSTITUTE(C2958,"'",""),6,2),1),0)+1)</f>
        <v>0</v>
      </c>
      <c r="E2958" s="17">
        <f t="shared" si="1"/>
        <v>76</v>
      </c>
      <c r="F2958" s="17">
        <f t="shared" si="2"/>
        <v>0</v>
      </c>
    </row>
    <row r="2959">
      <c r="A2959" s="5" t="s">
        <v>69</v>
      </c>
      <c r="B2959" s="6">
        <v>0.0</v>
      </c>
      <c r="C2959" s="13" t="s">
        <v>385</v>
      </c>
      <c r="D2959" s="17">
        <f>SUMIFS(ShadowLedger!$D:$D,ShadowLedger!$G:$G,A2959,ShadowLedger!$C:$C,"&gt;="&amp;DATE(LEFT(SUBSTITUTE(C2959,"'",""),4),MID(SUBSTITUTE(C2959,"'",""),6,2),1),ShadowLedger!$C:$C,"&lt;"&amp;EOMONTH(DATE(LEFT(SUBSTITUTE(C2959,"'",""),4),MID(SUBSTITUTE(C2959,"'",""),6,2),1),0)+1)</f>
        <v>0</v>
      </c>
      <c r="E2959" s="17">
        <f t="shared" si="1"/>
        <v>0</v>
      </c>
      <c r="F2959" s="17">
        <f t="shared" si="2"/>
        <v>0</v>
      </c>
    </row>
    <row r="2960">
      <c r="A2960" s="5" t="s">
        <v>54</v>
      </c>
      <c r="B2960" s="6">
        <v>1392.0</v>
      </c>
      <c r="C2960" s="13" t="s">
        <v>386</v>
      </c>
      <c r="D2960" s="17">
        <f>SUMIFS(ShadowLedger!$D:$D,ShadowLedger!$G:$G,A2960,ShadowLedger!$C:$C,"&gt;="&amp;DATE(LEFT(SUBSTITUTE(C2960,"'",""),4),MID(SUBSTITUTE(C2960,"'",""),6,2),1),ShadowLedger!$C:$C,"&lt;"&amp;EOMONTH(DATE(LEFT(SUBSTITUTE(C2960,"'",""),4),MID(SUBSTITUTE(C2960,"'",""),6,2),1),0)+1)</f>
        <v>0</v>
      </c>
      <c r="E2960" s="17">
        <f t="shared" si="1"/>
        <v>1392</v>
      </c>
      <c r="F2960" s="17">
        <f t="shared" si="2"/>
        <v>0</v>
      </c>
    </row>
    <row r="2961">
      <c r="A2961" s="5" t="s">
        <v>55</v>
      </c>
      <c r="B2961" s="6">
        <v>1059.0</v>
      </c>
      <c r="C2961" s="13" t="s">
        <v>386</v>
      </c>
      <c r="D2961" s="17">
        <f>SUMIFS(ShadowLedger!$D:$D,ShadowLedger!$G:$G,A2961,ShadowLedger!$C:$C,"&gt;="&amp;DATE(LEFT(SUBSTITUTE(C2961,"'",""),4),MID(SUBSTITUTE(C2961,"'",""),6,2),1),ShadowLedger!$C:$C,"&lt;"&amp;EOMONTH(DATE(LEFT(SUBSTITUTE(C2961,"'",""),4),MID(SUBSTITUTE(C2961,"'",""),6,2),1),0)+1)</f>
        <v>0</v>
      </c>
      <c r="E2961" s="17">
        <f t="shared" si="1"/>
        <v>1059</v>
      </c>
      <c r="F2961" s="17">
        <f t="shared" si="2"/>
        <v>0</v>
      </c>
    </row>
    <row r="2962">
      <c r="A2962" s="5" t="s">
        <v>56</v>
      </c>
      <c r="B2962" s="6">
        <v>756.0</v>
      </c>
      <c r="C2962" s="13" t="s">
        <v>386</v>
      </c>
      <c r="D2962" s="17">
        <f>SUMIFS(ShadowLedger!$D:$D,ShadowLedger!$G:$G,A2962,ShadowLedger!$C:$C,"&gt;="&amp;DATE(LEFT(SUBSTITUTE(C2962,"'",""),4),MID(SUBSTITUTE(C2962,"'",""),6,2),1),ShadowLedger!$C:$C,"&lt;"&amp;EOMONTH(DATE(LEFT(SUBSTITUTE(C2962,"'",""),4),MID(SUBSTITUTE(C2962,"'",""),6,2),1),0)+1)</f>
        <v>0</v>
      </c>
      <c r="E2962" s="17">
        <f t="shared" si="1"/>
        <v>756</v>
      </c>
      <c r="F2962" s="17">
        <f t="shared" si="2"/>
        <v>0</v>
      </c>
    </row>
    <row r="2963">
      <c r="A2963" s="5" t="s">
        <v>57</v>
      </c>
      <c r="B2963" s="6">
        <v>756.0</v>
      </c>
      <c r="C2963" s="13" t="s">
        <v>386</v>
      </c>
      <c r="D2963" s="17">
        <f>SUMIFS(ShadowLedger!$D:$D,ShadowLedger!$G:$G,A2963,ShadowLedger!$C:$C,"&gt;="&amp;DATE(LEFT(SUBSTITUTE(C2963,"'",""),4),MID(SUBSTITUTE(C2963,"'",""),6,2),1),ShadowLedger!$C:$C,"&lt;"&amp;EOMONTH(DATE(LEFT(SUBSTITUTE(C2963,"'",""),4),MID(SUBSTITUTE(C2963,"'",""),6,2),1),0)+1)</f>
        <v>0</v>
      </c>
      <c r="E2963" s="17">
        <f t="shared" si="1"/>
        <v>756</v>
      </c>
      <c r="F2963" s="17">
        <f t="shared" si="2"/>
        <v>0</v>
      </c>
    </row>
    <row r="2964">
      <c r="A2964" s="5" t="s">
        <v>58</v>
      </c>
      <c r="B2964" s="6">
        <v>605.0</v>
      </c>
      <c r="C2964" s="13" t="s">
        <v>386</v>
      </c>
      <c r="D2964" s="17">
        <f>SUMIFS(ShadowLedger!$D:$D,ShadowLedger!$G:$G,A2964,ShadowLedger!$C:$C,"&gt;="&amp;DATE(LEFT(SUBSTITUTE(C2964,"'",""),4),MID(SUBSTITUTE(C2964,"'",""),6,2),1),ShadowLedger!$C:$C,"&lt;"&amp;EOMONTH(DATE(LEFT(SUBSTITUTE(C2964,"'",""),4),MID(SUBSTITUTE(C2964,"'",""),6,2),1),0)+1)</f>
        <v>0</v>
      </c>
      <c r="E2964" s="17">
        <f t="shared" si="1"/>
        <v>605</v>
      </c>
      <c r="F2964" s="17">
        <f t="shared" si="2"/>
        <v>0</v>
      </c>
    </row>
    <row r="2965">
      <c r="A2965" s="5" t="s">
        <v>59</v>
      </c>
      <c r="B2965" s="6">
        <v>303.0</v>
      </c>
      <c r="C2965" s="13" t="s">
        <v>386</v>
      </c>
      <c r="D2965" s="17">
        <f>SUMIFS(ShadowLedger!$D:$D,ShadowLedger!$G:$G,A2965,ShadowLedger!$C:$C,"&gt;="&amp;DATE(LEFT(SUBSTITUTE(C2965,"'",""),4),MID(SUBSTITUTE(C2965,"'",""),6,2),1),ShadowLedger!$C:$C,"&lt;"&amp;EOMONTH(DATE(LEFT(SUBSTITUTE(C2965,"'",""),4),MID(SUBSTITUTE(C2965,"'",""),6,2),1),0)+1)</f>
        <v>0</v>
      </c>
      <c r="E2965" s="17">
        <f t="shared" si="1"/>
        <v>303</v>
      </c>
      <c r="F2965" s="17">
        <f t="shared" si="2"/>
        <v>0</v>
      </c>
    </row>
    <row r="2966">
      <c r="A2966" s="5" t="s">
        <v>60</v>
      </c>
      <c r="B2966" s="6">
        <v>227.0</v>
      </c>
      <c r="C2966" s="13" t="s">
        <v>386</v>
      </c>
      <c r="D2966" s="17">
        <f>SUMIFS(ShadowLedger!$D:$D,ShadowLedger!$G:$G,A2966,ShadowLedger!$C:$C,"&gt;="&amp;DATE(LEFT(SUBSTITUTE(C2966,"'",""),4),MID(SUBSTITUTE(C2966,"'",""),6,2),1),ShadowLedger!$C:$C,"&lt;"&amp;EOMONTH(DATE(LEFT(SUBSTITUTE(C2966,"'",""),4),MID(SUBSTITUTE(C2966,"'",""),6,2),1),0)+1)</f>
        <v>0</v>
      </c>
      <c r="E2966" s="17">
        <f t="shared" si="1"/>
        <v>227</v>
      </c>
      <c r="F2966" s="17">
        <f t="shared" si="2"/>
        <v>0</v>
      </c>
    </row>
    <row r="2967">
      <c r="A2967" s="5" t="s">
        <v>61</v>
      </c>
      <c r="B2967" s="6">
        <v>182.0</v>
      </c>
      <c r="C2967" s="13" t="s">
        <v>386</v>
      </c>
      <c r="D2967" s="17">
        <f>SUMIFS(ShadowLedger!$D:$D,ShadowLedger!$G:$G,A2967,ShadowLedger!$C:$C,"&gt;="&amp;DATE(LEFT(SUBSTITUTE(C2967,"'",""),4),MID(SUBSTITUTE(C2967,"'",""),6,2),1),ShadowLedger!$C:$C,"&lt;"&amp;EOMONTH(DATE(LEFT(SUBSTITUTE(C2967,"'",""),4),MID(SUBSTITUTE(C2967,"'",""),6,2),1),0)+1)</f>
        <v>0</v>
      </c>
      <c r="E2967" s="17">
        <f t="shared" si="1"/>
        <v>182</v>
      </c>
      <c r="F2967" s="17">
        <f t="shared" si="2"/>
        <v>0</v>
      </c>
    </row>
    <row r="2968">
      <c r="A2968" s="5" t="s">
        <v>62</v>
      </c>
      <c r="B2968" s="6">
        <v>182.0</v>
      </c>
      <c r="C2968" s="13" t="s">
        <v>386</v>
      </c>
      <c r="D2968" s="17">
        <f>SUMIFS(ShadowLedger!$D:$D,ShadowLedger!$G:$G,A2968,ShadowLedger!$C:$C,"&gt;="&amp;DATE(LEFT(SUBSTITUTE(C2968,"'",""),4),MID(SUBSTITUTE(C2968,"'",""),6,2),1),ShadowLedger!$C:$C,"&lt;"&amp;EOMONTH(DATE(LEFT(SUBSTITUTE(C2968,"'",""),4),MID(SUBSTITUTE(C2968,"'",""),6,2),1),0)+1)</f>
        <v>0</v>
      </c>
      <c r="E2968" s="17">
        <f t="shared" si="1"/>
        <v>182</v>
      </c>
      <c r="F2968" s="17">
        <f t="shared" si="2"/>
        <v>0</v>
      </c>
    </row>
    <row r="2969">
      <c r="A2969" s="5" t="s">
        <v>63</v>
      </c>
      <c r="B2969" s="6">
        <v>151.0</v>
      </c>
      <c r="C2969" s="13" t="s">
        <v>386</v>
      </c>
      <c r="D2969" s="17">
        <f>SUMIFS(ShadowLedger!$D:$D,ShadowLedger!$G:$G,A2969,ShadowLedger!$C:$C,"&gt;="&amp;DATE(LEFT(SUBSTITUTE(C2969,"'",""),4),MID(SUBSTITUTE(C2969,"'",""),6,2),1),ShadowLedger!$C:$C,"&lt;"&amp;EOMONTH(DATE(LEFT(SUBSTITUTE(C2969,"'",""),4),MID(SUBSTITUTE(C2969,"'",""),6,2),1),0)+1)</f>
        <v>0</v>
      </c>
      <c r="E2969" s="17">
        <f t="shared" si="1"/>
        <v>151</v>
      </c>
      <c r="F2969" s="17">
        <f t="shared" si="2"/>
        <v>0</v>
      </c>
    </row>
    <row r="2970">
      <c r="A2970" s="5" t="s">
        <v>64</v>
      </c>
      <c r="B2970" s="6">
        <v>151.0</v>
      </c>
      <c r="C2970" s="13" t="s">
        <v>386</v>
      </c>
      <c r="D2970" s="17">
        <f>SUMIFS(ShadowLedger!$D:$D,ShadowLedger!$G:$G,A2970,ShadowLedger!$C:$C,"&gt;="&amp;DATE(LEFT(SUBSTITUTE(C2970,"'",""),4),MID(SUBSTITUTE(C2970,"'",""),6,2),1),ShadowLedger!$C:$C,"&lt;"&amp;EOMONTH(DATE(LEFT(SUBSTITUTE(C2970,"'",""),4),MID(SUBSTITUTE(C2970,"'",""),6,2),1),0)+1)</f>
        <v>0</v>
      </c>
      <c r="E2970" s="17">
        <f t="shared" si="1"/>
        <v>151</v>
      </c>
      <c r="F2970" s="17">
        <f t="shared" si="2"/>
        <v>0</v>
      </c>
    </row>
    <row r="2971">
      <c r="A2971" s="5" t="s">
        <v>70</v>
      </c>
      <c r="B2971" s="6">
        <v>151.0</v>
      </c>
      <c r="C2971" s="13" t="s">
        <v>386</v>
      </c>
      <c r="D2971" s="17">
        <f>SUMIFS(ShadowLedger!$D:$D,ShadowLedger!$G:$G,A2971,ShadowLedger!$C:$C,"&gt;="&amp;DATE(LEFT(SUBSTITUTE(C2971,"'",""),4),MID(SUBSTITUTE(C2971,"'",""),6,2),1),ShadowLedger!$C:$C,"&lt;"&amp;EOMONTH(DATE(LEFT(SUBSTITUTE(C2971,"'",""),4),MID(SUBSTITUTE(C2971,"'",""),6,2),1),0)+1)</f>
        <v>0</v>
      </c>
      <c r="E2971" s="17">
        <f t="shared" si="1"/>
        <v>151</v>
      </c>
      <c r="F2971" s="17">
        <f t="shared" si="2"/>
        <v>0</v>
      </c>
    </row>
    <row r="2972">
      <c r="A2972" s="5" t="s">
        <v>65</v>
      </c>
      <c r="B2972" s="6">
        <v>76.0</v>
      </c>
      <c r="C2972" s="13" t="s">
        <v>386</v>
      </c>
      <c r="D2972" s="17">
        <f>SUMIFS(ShadowLedger!$D:$D,ShadowLedger!$G:$G,A2972,ShadowLedger!$C:$C,"&gt;="&amp;DATE(LEFT(SUBSTITUTE(C2972,"'",""),4),MID(SUBSTITUTE(C2972,"'",""),6,2),1),ShadowLedger!$C:$C,"&lt;"&amp;EOMONTH(DATE(LEFT(SUBSTITUTE(C2972,"'",""),4),MID(SUBSTITUTE(C2972,"'",""),6,2),1),0)+1)</f>
        <v>0</v>
      </c>
      <c r="E2972" s="17">
        <f t="shared" si="1"/>
        <v>76</v>
      </c>
      <c r="F2972" s="17">
        <f t="shared" si="2"/>
        <v>0</v>
      </c>
    </row>
    <row r="2973">
      <c r="A2973" s="5" t="s">
        <v>66</v>
      </c>
      <c r="B2973" s="6">
        <v>76.0</v>
      </c>
      <c r="C2973" s="13" t="s">
        <v>386</v>
      </c>
      <c r="D2973" s="17">
        <f>SUMIFS(ShadowLedger!$D:$D,ShadowLedger!$G:$G,A2973,ShadowLedger!$C:$C,"&gt;="&amp;DATE(LEFT(SUBSTITUTE(C2973,"'",""),4),MID(SUBSTITUTE(C2973,"'",""),6,2),1),ShadowLedger!$C:$C,"&lt;"&amp;EOMONTH(DATE(LEFT(SUBSTITUTE(C2973,"'",""),4),MID(SUBSTITUTE(C2973,"'",""),6,2),1),0)+1)</f>
        <v>0</v>
      </c>
      <c r="E2973" s="17">
        <f t="shared" si="1"/>
        <v>76</v>
      </c>
      <c r="F2973" s="17">
        <f t="shared" si="2"/>
        <v>0</v>
      </c>
    </row>
    <row r="2974">
      <c r="A2974" s="5" t="s">
        <v>67</v>
      </c>
      <c r="B2974" s="6">
        <v>76.0</v>
      </c>
      <c r="C2974" s="13" t="s">
        <v>386</v>
      </c>
      <c r="D2974" s="17">
        <f>SUMIFS(ShadowLedger!$D:$D,ShadowLedger!$G:$G,A2974,ShadowLedger!$C:$C,"&gt;="&amp;DATE(LEFT(SUBSTITUTE(C2974,"'",""),4),MID(SUBSTITUTE(C2974,"'",""),6,2),1),ShadowLedger!$C:$C,"&lt;"&amp;EOMONTH(DATE(LEFT(SUBSTITUTE(C2974,"'",""),4),MID(SUBSTITUTE(C2974,"'",""),6,2),1),0)+1)</f>
        <v>0</v>
      </c>
      <c r="E2974" s="17">
        <f t="shared" si="1"/>
        <v>76</v>
      </c>
      <c r="F2974" s="17">
        <f t="shared" si="2"/>
        <v>0</v>
      </c>
    </row>
    <row r="2975">
      <c r="A2975" s="5" t="s">
        <v>68</v>
      </c>
      <c r="B2975" s="6">
        <v>76.0</v>
      </c>
      <c r="C2975" s="13" t="s">
        <v>386</v>
      </c>
      <c r="D2975" s="17">
        <f>SUMIFS(ShadowLedger!$D:$D,ShadowLedger!$G:$G,A2975,ShadowLedger!$C:$C,"&gt;="&amp;DATE(LEFT(SUBSTITUTE(C2975,"'",""),4),MID(SUBSTITUTE(C2975,"'",""),6,2),1),ShadowLedger!$C:$C,"&lt;"&amp;EOMONTH(DATE(LEFT(SUBSTITUTE(C2975,"'",""),4),MID(SUBSTITUTE(C2975,"'",""),6,2),1),0)+1)</f>
        <v>0</v>
      </c>
      <c r="E2975" s="17">
        <f t="shared" si="1"/>
        <v>76</v>
      </c>
      <c r="F2975" s="17">
        <f t="shared" si="2"/>
        <v>0</v>
      </c>
    </row>
    <row r="2976">
      <c r="A2976" s="5" t="s">
        <v>69</v>
      </c>
      <c r="B2976" s="6">
        <v>0.0</v>
      </c>
      <c r="C2976" s="13" t="s">
        <v>386</v>
      </c>
      <c r="D2976" s="17">
        <f>SUMIFS(ShadowLedger!$D:$D,ShadowLedger!$G:$G,A2976,ShadowLedger!$C:$C,"&gt;="&amp;DATE(LEFT(SUBSTITUTE(C2976,"'",""),4),MID(SUBSTITUTE(C2976,"'",""),6,2),1),ShadowLedger!$C:$C,"&lt;"&amp;EOMONTH(DATE(LEFT(SUBSTITUTE(C2976,"'",""),4),MID(SUBSTITUTE(C2976,"'",""),6,2),1),0)+1)</f>
        <v>0</v>
      </c>
      <c r="E2976" s="17">
        <f t="shared" si="1"/>
        <v>0</v>
      </c>
      <c r="F2976" s="17">
        <f t="shared" si="2"/>
        <v>0</v>
      </c>
    </row>
    <row r="2977">
      <c r="A2977" s="5" t="s">
        <v>54</v>
      </c>
      <c r="B2977" s="6">
        <v>1392.0</v>
      </c>
      <c r="C2977" s="13" t="s">
        <v>387</v>
      </c>
      <c r="D2977" s="17">
        <f>SUMIFS(ShadowLedger!$D:$D,ShadowLedger!$G:$G,A2977,ShadowLedger!$C:$C,"&gt;="&amp;DATE(LEFT(SUBSTITUTE(C2977,"'",""),4),MID(SUBSTITUTE(C2977,"'",""),6,2),1),ShadowLedger!$C:$C,"&lt;"&amp;EOMONTH(DATE(LEFT(SUBSTITUTE(C2977,"'",""),4),MID(SUBSTITUTE(C2977,"'",""),6,2),1),0)+1)</f>
        <v>0</v>
      </c>
      <c r="E2977" s="17">
        <f t="shared" si="1"/>
        <v>1392</v>
      </c>
      <c r="F2977" s="17">
        <f t="shared" si="2"/>
        <v>0</v>
      </c>
    </row>
    <row r="2978">
      <c r="A2978" s="5" t="s">
        <v>55</v>
      </c>
      <c r="B2978" s="6">
        <v>1059.0</v>
      </c>
      <c r="C2978" s="13" t="s">
        <v>387</v>
      </c>
      <c r="D2978" s="17">
        <f>SUMIFS(ShadowLedger!$D:$D,ShadowLedger!$G:$G,A2978,ShadowLedger!$C:$C,"&gt;="&amp;DATE(LEFT(SUBSTITUTE(C2978,"'",""),4),MID(SUBSTITUTE(C2978,"'",""),6,2),1),ShadowLedger!$C:$C,"&lt;"&amp;EOMONTH(DATE(LEFT(SUBSTITUTE(C2978,"'",""),4),MID(SUBSTITUTE(C2978,"'",""),6,2),1),0)+1)</f>
        <v>0</v>
      </c>
      <c r="E2978" s="17">
        <f t="shared" si="1"/>
        <v>1059</v>
      </c>
      <c r="F2978" s="17">
        <f t="shared" si="2"/>
        <v>0</v>
      </c>
    </row>
    <row r="2979">
      <c r="A2979" s="5" t="s">
        <v>56</v>
      </c>
      <c r="B2979" s="6">
        <v>756.0</v>
      </c>
      <c r="C2979" s="13" t="s">
        <v>387</v>
      </c>
      <c r="D2979" s="17">
        <f>SUMIFS(ShadowLedger!$D:$D,ShadowLedger!$G:$G,A2979,ShadowLedger!$C:$C,"&gt;="&amp;DATE(LEFT(SUBSTITUTE(C2979,"'",""),4),MID(SUBSTITUTE(C2979,"'",""),6,2),1),ShadowLedger!$C:$C,"&lt;"&amp;EOMONTH(DATE(LEFT(SUBSTITUTE(C2979,"'",""),4),MID(SUBSTITUTE(C2979,"'",""),6,2),1),0)+1)</f>
        <v>0</v>
      </c>
      <c r="E2979" s="17">
        <f t="shared" si="1"/>
        <v>756</v>
      </c>
      <c r="F2979" s="17">
        <f t="shared" si="2"/>
        <v>0</v>
      </c>
    </row>
    <row r="2980">
      <c r="A2980" s="5" t="s">
        <v>57</v>
      </c>
      <c r="B2980" s="6">
        <v>756.0</v>
      </c>
      <c r="C2980" s="13" t="s">
        <v>387</v>
      </c>
      <c r="D2980" s="17">
        <f>SUMIFS(ShadowLedger!$D:$D,ShadowLedger!$G:$G,A2980,ShadowLedger!$C:$C,"&gt;="&amp;DATE(LEFT(SUBSTITUTE(C2980,"'",""),4),MID(SUBSTITUTE(C2980,"'",""),6,2),1),ShadowLedger!$C:$C,"&lt;"&amp;EOMONTH(DATE(LEFT(SUBSTITUTE(C2980,"'",""),4),MID(SUBSTITUTE(C2980,"'",""),6,2),1),0)+1)</f>
        <v>0</v>
      </c>
      <c r="E2980" s="17">
        <f t="shared" si="1"/>
        <v>756</v>
      </c>
      <c r="F2980" s="17">
        <f t="shared" si="2"/>
        <v>0</v>
      </c>
    </row>
    <row r="2981">
      <c r="A2981" s="5" t="s">
        <v>58</v>
      </c>
      <c r="B2981" s="6">
        <v>605.0</v>
      </c>
      <c r="C2981" s="13" t="s">
        <v>387</v>
      </c>
      <c r="D2981" s="17">
        <f>SUMIFS(ShadowLedger!$D:$D,ShadowLedger!$G:$G,A2981,ShadowLedger!$C:$C,"&gt;="&amp;DATE(LEFT(SUBSTITUTE(C2981,"'",""),4),MID(SUBSTITUTE(C2981,"'",""),6,2),1),ShadowLedger!$C:$C,"&lt;"&amp;EOMONTH(DATE(LEFT(SUBSTITUTE(C2981,"'",""),4),MID(SUBSTITUTE(C2981,"'",""),6,2),1),0)+1)</f>
        <v>0</v>
      </c>
      <c r="E2981" s="17">
        <f t="shared" si="1"/>
        <v>605</v>
      </c>
      <c r="F2981" s="17">
        <f t="shared" si="2"/>
        <v>0</v>
      </c>
    </row>
    <row r="2982">
      <c r="A2982" s="5" t="s">
        <v>59</v>
      </c>
      <c r="B2982" s="6">
        <v>303.0</v>
      </c>
      <c r="C2982" s="13" t="s">
        <v>387</v>
      </c>
      <c r="D2982" s="17">
        <f>SUMIFS(ShadowLedger!$D:$D,ShadowLedger!$G:$G,A2982,ShadowLedger!$C:$C,"&gt;="&amp;DATE(LEFT(SUBSTITUTE(C2982,"'",""),4),MID(SUBSTITUTE(C2982,"'",""),6,2),1),ShadowLedger!$C:$C,"&lt;"&amp;EOMONTH(DATE(LEFT(SUBSTITUTE(C2982,"'",""),4),MID(SUBSTITUTE(C2982,"'",""),6,2),1),0)+1)</f>
        <v>0</v>
      </c>
      <c r="E2982" s="17">
        <f t="shared" si="1"/>
        <v>303</v>
      </c>
      <c r="F2982" s="17">
        <f t="shared" si="2"/>
        <v>0</v>
      </c>
    </row>
    <row r="2983">
      <c r="A2983" s="5" t="s">
        <v>60</v>
      </c>
      <c r="B2983" s="6">
        <v>227.0</v>
      </c>
      <c r="C2983" s="13" t="s">
        <v>387</v>
      </c>
      <c r="D2983" s="17">
        <f>SUMIFS(ShadowLedger!$D:$D,ShadowLedger!$G:$G,A2983,ShadowLedger!$C:$C,"&gt;="&amp;DATE(LEFT(SUBSTITUTE(C2983,"'",""),4),MID(SUBSTITUTE(C2983,"'",""),6,2),1),ShadowLedger!$C:$C,"&lt;"&amp;EOMONTH(DATE(LEFT(SUBSTITUTE(C2983,"'",""),4),MID(SUBSTITUTE(C2983,"'",""),6,2),1),0)+1)</f>
        <v>0</v>
      </c>
      <c r="E2983" s="17">
        <f t="shared" si="1"/>
        <v>227</v>
      </c>
      <c r="F2983" s="17">
        <f t="shared" si="2"/>
        <v>0</v>
      </c>
    </row>
    <row r="2984">
      <c r="A2984" s="5" t="s">
        <v>61</v>
      </c>
      <c r="B2984" s="6">
        <v>182.0</v>
      </c>
      <c r="C2984" s="13" t="s">
        <v>387</v>
      </c>
      <c r="D2984" s="17">
        <f>SUMIFS(ShadowLedger!$D:$D,ShadowLedger!$G:$G,A2984,ShadowLedger!$C:$C,"&gt;="&amp;DATE(LEFT(SUBSTITUTE(C2984,"'",""),4),MID(SUBSTITUTE(C2984,"'",""),6,2),1),ShadowLedger!$C:$C,"&lt;"&amp;EOMONTH(DATE(LEFT(SUBSTITUTE(C2984,"'",""),4),MID(SUBSTITUTE(C2984,"'",""),6,2),1),0)+1)</f>
        <v>0</v>
      </c>
      <c r="E2984" s="17">
        <f t="shared" si="1"/>
        <v>182</v>
      </c>
      <c r="F2984" s="17">
        <f t="shared" si="2"/>
        <v>0</v>
      </c>
    </row>
    <row r="2985">
      <c r="A2985" s="5" t="s">
        <v>62</v>
      </c>
      <c r="B2985" s="6">
        <v>182.0</v>
      </c>
      <c r="C2985" s="13" t="s">
        <v>387</v>
      </c>
      <c r="D2985" s="17">
        <f>SUMIFS(ShadowLedger!$D:$D,ShadowLedger!$G:$G,A2985,ShadowLedger!$C:$C,"&gt;="&amp;DATE(LEFT(SUBSTITUTE(C2985,"'",""),4),MID(SUBSTITUTE(C2985,"'",""),6,2),1),ShadowLedger!$C:$C,"&lt;"&amp;EOMONTH(DATE(LEFT(SUBSTITUTE(C2985,"'",""),4),MID(SUBSTITUTE(C2985,"'",""),6,2),1),0)+1)</f>
        <v>0</v>
      </c>
      <c r="E2985" s="17">
        <f t="shared" si="1"/>
        <v>182</v>
      </c>
      <c r="F2985" s="17">
        <f t="shared" si="2"/>
        <v>0</v>
      </c>
    </row>
    <row r="2986">
      <c r="A2986" s="5" t="s">
        <v>63</v>
      </c>
      <c r="B2986" s="6">
        <v>151.0</v>
      </c>
      <c r="C2986" s="13" t="s">
        <v>387</v>
      </c>
      <c r="D2986" s="17">
        <f>SUMIFS(ShadowLedger!$D:$D,ShadowLedger!$G:$G,A2986,ShadowLedger!$C:$C,"&gt;="&amp;DATE(LEFT(SUBSTITUTE(C2986,"'",""),4),MID(SUBSTITUTE(C2986,"'",""),6,2),1),ShadowLedger!$C:$C,"&lt;"&amp;EOMONTH(DATE(LEFT(SUBSTITUTE(C2986,"'",""),4),MID(SUBSTITUTE(C2986,"'",""),6,2),1),0)+1)</f>
        <v>0</v>
      </c>
      <c r="E2986" s="17">
        <f t="shared" si="1"/>
        <v>151</v>
      </c>
      <c r="F2986" s="17">
        <f t="shared" si="2"/>
        <v>0</v>
      </c>
    </row>
    <row r="2987">
      <c r="A2987" s="5" t="s">
        <v>64</v>
      </c>
      <c r="B2987" s="6">
        <v>151.0</v>
      </c>
      <c r="C2987" s="13" t="s">
        <v>387</v>
      </c>
      <c r="D2987" s="17">
        <f>SUMIFS(ShadowLedger!$D:$D,ShadowLedger!$G:$G,A2987,ShadowLedger!$C:$C,"&gt;="&amp;DATE(LEFT(SUBSTITUTE(C2987,"'",""),4),MID(SUBSTITUTE(C2987,"'",""),6,2),1),ShadowLedger!$C:$C,"&lt;"&amp;EOMONTH(DATE(LEFT(SUBSTITUTE(C2987,"'",""),4),MID(SUBSTITUTE(C2987,"'",""),6,2),1),0)+1)</f>
        <v>0</v>
      </c>
      <c r="E2987" s="17">
        <f t="shared" si="1"/>
        <v>151</v>
      </c>
      <c r="F2987" s="17">
        <f t="shared" si="2"/>
        <v>0</v>
      </c>
    </row>
    <row r="2988">
      <c r="A2988" s="5" t="s">
        <v>70</v>
      </c>
      <c r="B2988" s="6">
        <v>151.0</v>
      </c>
      <c r="C2988" s="13" t="s">
        <v>387</v>
      </c>
      <c r="D2988" s="17">
        <f>SUMIFS(ShadowLedger!$D:$D,ShadowLedger!$G:$G,A2988,ShadowLedger!$C:$C,"&gt;="&amp;DATE(LEFT(SUBSTITUTE(C2988,"'",""),4),MID(SUBSTITUTE(C2988,"'",""),6,2),1),ShadowLedger!$C:$C,"&lt;"&amp;EOMONTH(DATE(LEFT(SUBSTITUTE(C2988,"'",""),4),MID(SUBSTITUTE(C2988,"'",""),6,2),1),0)+1)</f>
        <v>0</v>
      </c>
      <c r="E2988" s="17">
        <f t="shared" si="1"/>
        <v>151</v>
      </c>
      <c r="F2988" s="17">
        <f t="shared" si="2"/>
        <v>0</v>
      </c>
    </row>
    <row r="2989">
      <c r="A2989" s="5" t="s">
        <v>65</v>
      </c>
      <c r="B2989" s="6">
        <v>76.0</v>
      </c>
      <c r="C2989" s="13" t="s">
        <v>387</v>
      </c>
      <c r="D2989" s="17">
        <f>SUMIFS(ShadowLedger!$D:$D,ShadowLedger!$G:$G,A2989,ShadowLedger!$C:$C,"&gt;="&amp;DATE(LEFT(SUBSTITUTE(C2989,"'",""),4),MID(SUBSTITUTE(C2989,"'",""),6,2),1),ShadowLedger!$C:$C,"&lt;"&amp;EOMONTH(DATE(LEFT(SUBSTITUTE(C2989,"'",""),4),MID(SUBSTITUTE(C2989,"'",""),6,2),1),0)+1)</f>
        <v>0</v>
      </c>
      <c r="E2989" s="17">
        <f t="shared" si="1"/>
        <v>76</v>
      </c>
      <c r="F2989" s="17">
        <f t="shared" si="2"/>
        <v>0</v>
      </c>
    </row>
    <row r="2990">
      <c r="A2990" s="5" t="s">
        <v>66</v>
      </c>
      <c r="B2990" s="6">
        <v>76.0</v>
      </c>
      <c r="C2990" s="13" t="s">
        <v>387</v>
      </c>
      <c r="D2990" s="17">
        <f>SUMIFS(ShadowLedger!$D:$D,ShadowLedger!$G:$G,A2990,ShadowLedger!$C:$C,"&gt;="&amp;DATE(LEFT(SUBSTITUTE(C2990,"'",""),4),MID(SUBSTITUTE(C2990,"'",""),6,2),1),ShadowLedger!$C:$C,"&lt;"&amp;EOMONTH(DATE(LEFT(SUBSTITUTE(C2990,"'",""),4),MID(SUBSTITUTE(C2990,"'",""),6,2),1),0)+1)</f>
        <v>0</v>
      </c>
      <c r="E2990" s="17">
        <f t="shared" si="1"/>
        <v>76</v>
      </c>
      <c r="F2990" s="17">
        <f t="shared" si="2"/>
        <v>0</v>
      </c>
    </row>
    <row r="2991">
      <c r="A2991" s="5" t="s">
        <v>67</v>
      </c>
      <c r="B2991" s="6">
        <v>76.0</v>
      </c>
      <c r="C2991" s="13" t="s">
        <v>387</v>
      </c>
      <c r="D2991" s="17">
        <f>SUMIFS(ShadowLedger!$D:$D,ShadowLedger!$G:$G,A2991,ShadowLedger!$C:$C,"&gt;="&amp;DATE(LEFT(SUBSTITUTE(C2991,"'",""),4),MID(SUBSTITUTE(C2991,"'",""),6,2),1),ShadowLedger!$C:$C,"&lt;"&amp;EOMONTH(DATE(LEFT(SUBSTITUTE(C2991,"'",""),4),MID(SUBSTITUTE(C2991,"'",""),6,2),1),0)+1)</f>
        <v>0</v>
      </c>
      <c r="E2991" s="17">
        <f t="shared" si="1"/>
        <v>76</v>
      </c>
      <c r="F2991" s="17">
        <f t="shared" si="2"/>
        <v>0</v>
      </c>
    </row>
    <row r="2992">
      <c r="A2992" s="5" t="s">
        <v>68</v>
      </c>
      <c r="B2992" s="6">
        <v>76.0</v>
      </c>
      <c r="C2992" s="13" t="s">
        <v>387</v>
      </c>
      <c r="D2992" s="17">
        <f>SUMIFS(ShadowLedger!$D:$D,ShadowLedger!$G:$G,A2992,ShadowLedger!$C:$C,"&gt;="&amp;DATE(LEFT(SUBSTITUTE(C2992,"'",""),4),MID(SUBSTITUTE(C2992,"'",""),6,2),1),ShadowLedger!$C:$C,"&lt;"&amp;EOMONTH(DATE(LEFT(SUBSTITUTE(C2992,"'",""),4),MID(SUBSTITUTE(C2992,"'",""),6,2),1),0)+1)</f>
        <v>0</v>
      </c>
      <c r="E2992" s="17">
        <f t="shared" si="1"/>
        <v>76</v>
      </c>
      <c r="F2992" s="17">
        <f t="shared" si="2"/>
        <v>0</v>
      </c>
    </row>
    <row r="2993">
      <c r="A2993" s="5" t="s">
        <v>69</v>
      </c>
      <c r="B2993" s="6">
        <v>0.0</v>
      </c>
      <c r="C2993" s="13" t="s">
        <v>387</v>
      </c>
      <c r="D2993" s="17">
        <f>SUMIFS(ShadowLedger!$D:$D,ShadowLedger!$G:$G,A2993,ShadowLedger!$C:$C,"&gt;="&amp;DATE(LEFT(SUBSTITUTE(C2993,"'",""),4),MID(SUBSTITUTE(C2993,"'",""),6,2),1),ShadowLedger!$C:$C,"&lt;"&amp;EOMONTH(DATE(LEFT(SUBSTITUTE(C2993,"'",""),4),MID(SUBSTITUTE(C2993,"'",""),6,2),1),0)+1)</f>
        <v>0</v>
      </c>
      <c r="E2993" s="17">
        <f t="shared" si="1"/>
        <v>0</v>
      </c>
      <c r="F2993" s="17">
        <f t="shared" si="2"/>
        <v>0</v>
      </c>
    </row>
    <row r="2994">
      <c r="A2994" s="5" t="s">
        <v>54</v>
      </c>
      <c r="B2994" s="6">
        <v>1392.0</v>
      </c>
      <c r="C2994" s="13" t="s">
        <v>388</v>
      </c>
      <c r="D2994" s="17">
        <f>SUMIFS(ShadowLedger!$D:$D,ShadowLedger!$G:$G,A2994,ShadowLedger!$C:$C,"&gt;="&amp;DATE(LEFT(SUBSTITUTE(C2994,"'",""),4),MID(SUBSTITUTE(C2994,"'",""),6,2),1),ShadowLedger!$C:$C,"&lt;"&amp;EOMONTH(DATE(LEFT(SUBSTITUTE(C2994,"'",""),4),MID(SUBSTITUTE(C2994,"'",""),6,2),1),0)+1)</f>
        <v>0</v>
      </c>
      <c r="E2994" s="17">
        <f t="shared" si="1"/>
        <v>1392</v>
      </c>
      <c r="F2994" s="17">
        <f t="shared" si="2"/>
        <v>0</v>
      </c>
    </row>
    <row r="2995">
      <c r="A2995" s="5" t="s">
        <v>55</v>
      </c>
      <c r="B2995" s="6">
        <v>1059.0</v>
      </c>
      <c r="C2995" s="13" t="s">
        <v>388</v>
      </c>
      <c r="D2995" s="17">
        <f>SUMIFS(ShadowLedger!$D:$D,ShadowLedger!$G:$G,A2995,ShadowLedger!$C:$C,"&gt;="&amp;DATE(LEFT(SUBSTITUTE(C2995,"'",""),4),MID(SUBSTITUTE(C2995,"'",""),6,2),1),ShadowLedger!$C:$C,"&lt;"&amp;EOMONTH(DATE(LEFT(SUBSTITUTE(C2995,"'",""),4),MID(SUBSTITUTE(C2995,"'",""),6,2),1),0)+1)</f>
        <v>0</v>
      </c>
      <c r="E2995" s="17">
        <f t="shared" si="1"/>
        <v>1059</v>
      </c>
      <c r="F2995" s="17">
        <f t="shared" si="2"/>
        <v>0</v>
      </c>
    </row>
    <row r="2996">
      <c r="A2996" s="5" t="s">
        <v>56</v>
      </c>
      <c r="B2996" s="6">
        <v>756.0</v>
      </c>
      <c r="C2996" s="13" t="s">
        <v>388</v>
      </c>
      <c r="D2996" s="17">
        <f>SUMIFS(ShadowLedger!$D:$D,ShadowLedger!$G:$G,A2996,ShadowLedger!$C:$C,"&gt;="&amp;DATE(LEFT(SUBSTITUTE(C2996,"'",""),4),MID(SUBSTITUTE(C2996,"'",""),6,2),1),ShadowLedger!$C:$C,"&lt;"&amp;EOMONTH(DATE(LEFT(SUBSTITUTE(C2996,"'",""),4),MID(SUBSTITUTE(C2996,"'",""),6,2),1),0)+1)</f>
        <v>0</v>
      </c>
      <c r="E2996" s="17">
        <f t="shared" si="1"/>
        <v>756</v>
      </c>
      <c r="F2996" s="17">
        <f t="shared" si="2"/>
        <v>0</v>
      </c>
    </row>
    <row r="2997">
      <c r="A2997" s="5" t="s">
        <v>57</v>
      </c>
      <c r="B2997" s="6">
        <v>756.0</v>
      </c>
      <c r="C2997" s="13" t="s">
        <v>388</v>
      </c>
      <c r="D2997" s="17">
        <f>SUMIFS(ShadowLedger!$D:$D,ShadowLedger!$G:$G,A2997,ShadowLedger!$C:$C,"&gt;="&amp;DATE(LEFT(SUBSTITUTE(C2997,"'",""),4),MID(SUBSTITUTE(C2997,"'",""),6,2),1),ShadowLedger!$C:$C,"&lt;"&amp;EOMONTH(DATE(LEFT(SUBSTITUTE(C2997,"'",""),4),MID(SUBSTITUTE(C2997,"'",""),6,2),1),0)+1)</f>
        <v>0</v>
      </c>
      <c r="E2997" s="17">
        <f t="shared" si="1"/>
        <v>756</v>
      </c>
      <c r="F2997" s="17">
        <f t="shared" si="2"/>
        <v>0</v>
      </c>
    </row>
    <row r="2998">
      <c r="A2998" s="5" t="s">
        <v>58</v>
      </c>
      <c r="B2998" s="6">
        <v>605.0</v>
      </c>
      <c r="C2998" s="13" t="s">
        <v>388</v>
      </c>
      <c r="D2998" s="17">
        <f>SUMIFS(ShadowLedger!$D:$D,ShadowLedger!$G:$G,A2998,ShadowLedger!$C:$C,"&gt;="&amp;DATE(LEFT(SUBSTITUTE(C2998,"'",""),4),MID(SUBSTITUTE(C2998,"'",""),6,2),1),ShadowLedger!$C:$C,"&lt;"&amp;EOMONTH(DATE(LEFT(SUBSTITUTE(C2998,"'",""),4),MID(SUBSTITUTE(C2998,"'",""),6,2),1),0)+1)</f>
        <v>0</v>
      </c>
      <c r="E2998" s="17">
        <f t="shared" si="1"/>
        <v>605</v>
      </c>
      <c r="F2998" s="17">
        <f t="shared" si="2"/>
        <v>0</v>
      </c>
    </row>
    <row r="2999">
      <c r="A2999" s="5" t="s">
        <v>59</v>
      </c>
      <c r="B2999" s="6">
        <v>303.0</v>
      </c>
      <c r="C2999" s="13" t="s">
        <v>388</v>
      </c>
      <c r="D2999" s="17">
        <f>SUMIFS(ShadowLedger!$D:$D,ShadowLedger!$G:$G,A2999,ShadowLedger!$C:$C,"&gt;="&amp;DATE(LEFT(SUBSTITUTE(C2999,"'",""),4),MID(SUBSTITUTE(C2999,"'",""),6,2),1),ShadowLedger!$C:$C,"&lt;"&amp;EOMONTH(DATE(LEFT(SUBSTITUTE(C2999,"'",""),4),MID(SUBSTITUTE(C2999,"'",""),6,2),1),0)+1)</f>
        <v>0</v>
      </c>
      <c r="E2999" s="17">
        <f t="shared" si="1"/>
        <v>303</v>
      </c>
      <c r="F2999" s="17">
        <f t="shared" si="2"/>
        <v>0</v>
      </c>
    </row>
    <row r="3000">
      <c r="A3000" s="5" t="s">
        <v>60</v>
      </c>
      <c r="B3000" s="6">
        <v>227.0</v>
      </c>
      <c r="C3000" s="13" t="s">
        <v>388</v>
      </c>
      <c r="D3000" s="17">
        <f>SUMIFS(ShadowLedger!$D:$D,ShadowLedger!$G:$G,A3000,ShadowLedger!$C:$C,"&gt;="&amp;DATE(LEFT(SUBSTITUTE(C3000,"'",""),4),MID(SUBSTITUTE(C3000,"'",""),6,2),1),ShadowLedger!$C:$C,"&lt;"&amp;EOMONTH(DATE(LEFT(SUBSTITUTE(C3000,"'",""),4),MID(SUBSTITUTE(C3000,"'",""),6,2),1),0)+1)</f>
        <v>0</v>
      </c>
      <c r="E3000" s="17">
        <f t="shared" si="1"/>
        <v>227</v>
      </c>
      <c r="F3000" s="17">
        <f t="shared" si="2"/>
        <v>0</v>
      </c>
    </row>
    <row r="3001">
      <c r="A3001" s="5" t="s">
        <v>61</v>
      </c>
      <c r="B3001" s="6">
        <v>182.0</v>
      </c>
      <c r="C3001" s="13" t="s">
        <v>388</v>
      </c>
      <c r="D3001" s="17">
        <f>SUMIFS(ShadowLedger!$D:$D,ShadowLedger!$G:$G,A3001,ShadowLedger!$C:$C,"&gt;="&amp;DATE(LEFT(SUBSTITUTE(C3001,"'",""),4),MID(SUBSTITUTE(C3001,"'",""),6,2),1),ShadowLedger!$C:$C,"&lt;"&amp;EOMONTH(DATE(LEFT(SUBSTITUTE(C3001,"'",""),4),MID(SUBSTITUTE(C3001,"'",""),6,2),1),0)+1)</f>
        <v>0</v>
      </c>
      <c r="E3001" s="17">
        <f t="shared" si="1"/>
        <v>182</v>
      </c>
      <c r="F3001" s="17">
        <f t="shared" si="2"/>
        <v>0</v>
      </c>
    </row>
    <row r="3002">
      <c r="A3002" s="5" t="s">
        <v>62</v>
      </c>
      <c r="B3002" s="6">
        <v>182.0</v>
      </c>
      <c r="C3002" s="13" t="s">
        <v>388</v>
      </c>
      <c r="D3002" s="17">
        <f>SUMIFS(ShadowLedger!$D:$D,ShadowLedger!$G:$G,A3002,ShadowLedger!$C:$C,"&gt;="&amp;DATE(LEFT(SUBSTITUTE(C3002,"'",""),4),MID(SUBSTITUTE(C3002,"'",""),6,2),1),ShadowLedger!$C:$C,"&lt;"&amp;EOMONTH(DATE(LEFT(SUBSTITUTE(C3002,"'",""),4),MID(SUBSTITUTE(C3002,"'",""),6,2),1),0)+1)</f>
        <v>0</v>
      </c>
      <c r="E3002" s="17">
        <f t="shared" si="1"/>
        <v>182</v>
      </c>
      <c r="F3002" s="17">
        <f t="shared" si="2"/>
        <v>0</v>
      </c>
    </row>
    <row r="3003">
      <c r="A3003" s="5" t="s">
        <v>63</v>
      </c>
      <c r="B3003" s="6">
        <v>151.0</v>
      </c>
      <c r="C3003" s="13" t="s">
        <v>388</v>
      </c>
      <c r="D3003" s="17">
        <f>SUMIFS(ShadowLedger!$D:$D,ShadowLedger!$G:$G,A3003,ShadowLedger!$C:$C,"&gt;="&amp;DATE(LEFT(SUBSTITUTE(C3003,"'",""),4),MID(SUBSTITUTE(C3003,"'",""),6,2),1),ShadowLedger!$C:$C,"&lt;"&amp;EOMONTH(DATE(LEFT(SUBSTITUTE(C3003,"'",""),4),MID(SUBSTITUTE(C3003,"'",""),6,2),1),0)+1)</f>
        <v>0</v>
      </c>
      <c r="E3003" s="17">
        <f t="shared" si="1"/>
        <v>151</v>
      </c>
      <c r="F3003" s="17">
        <f t="shared" si="2"/>
        <v>0</v>
      </c>
    </row>
    <row r="3004">
      <c r="A3004" s="5" t="s">
        <v>64</v>
      </c>
      <c r="B3004" s="6">
        <v>151.0</v>
      </c>
      <c r="C3004" s="13" t="s">
        <v>388</v>
      </c>
      <c r="D3004" s="17">
        <f>SUMIFS(ShadowLedger!$D:$D,ShadowLedger!$G:$G,A3004,ShadowLedger!$C:$C,"&gt;="&amp;DATE(LEFT(SUBSTITUTE(C3004,"'",""),4),MID(SUBSTITUTE(C3004,"'",""),6,2),1),ShadowLedger!$C:$C,"&lt;"&amp;EOMONTH(DATE(LEFT(SUBSTITUTE(C3004,"'",""),4),MID(SUBSTITUTE(C3004,"'",""),6,2),1),0)+1)</f>
        <v>0</v>
      </c>
      <c r="E3004" s="17">
        <f t="shared" si="1"/>
        <v>151</v>
      </c>
      <c r="F3004" s="17">
        <f t="shared" si="2"/>
        <v>0</v>
      </c>
    </row>
    <row r="3005">
      <c r="A3005" s="5" t="s">
        <v>70</v>
      </c>
      <c r="B3005" s="6">
        <v>151.0</v>
      </c>
      <c r="C3005" s="13" t="s">
        <v>388</v>
      </c>
      <c r="D3005" s="17">
        <f>SUMIFS(ShadowLedger!$D:$D,ShadowLedger!$G:$G,A3005,ShadowLedger!$C:$C,"&gt;="&amp;DATE(LEFT(SUBSTITUTE(C3005,"'",""),4),MID(SUBSTITUTE(C3005,"'",""),6,2),1),ShadowLedger!$C:$C,"&lt;"&amp;EOMONTH(DATE(LEFT(SUBSTITUTE(C3005,"'",""),4),MID(SUBSTITUTE(C3005,"'",""),6,2),1),0)+1)</f>
        <v>0</v>
      </c>
      <c r="E3005" s="17">
        <f t="shared" si="1"/>
        <v>151</v>
      </c>
      <c r="F3005" s="17">
        <f t="shared" si="2"/>
        <v>0</v>
      </c>
    </row>
    <row r="3006">
      <c r="A3006" s="5" t="s">
        <v>65</v>
      </c>
      <c r="B3006" s="6">
        <v>76.0</v>
      </c>
      <c r="C3006" s="13" t="s">
        <v>388</v>
      </c>
      <c r="D3006" s="17">
        <f>SUMIFS(ShadowLedger!$D:$D,ShadowLedger!$G:$G,A3006,ShadowLedger!$C:$C,"&gt;="&amp;DATE(LEFT(SUBSTITUTE(C3006,"'",""),4),MID(SUBSTITUTE(C3006,"'",""),6,2),1),ShadowLedger!$C:$C,"&lt;"&amp;EOMONTH(DATE(LEFT(SUBSTITUTE(C3006,"'",""),4),MID(SUBSTITUTE(C3006,"'",""),6,2),1),0)+1)</f>
        <v>0</v>
      </c>
      <c r="E3006" s="17">
        <f t="shared" si="1"/>
        <v>76</v>
      </c>
      <c r="F3006" s="17">
        <f t="shared" si="2"/>
        <v>0</v>
      </c>
    </row>
    <row r="3007">
      <c r="A3007" s="5" t="s">
        <v>66</v>
      </c>
      <c r="B3007" s="6">
        <v>76.0</v>
      </c>
      <c r="C3007" s="13" t="s">
        <v>388</v>
      </c>
      <c r="D3007" s="17">
        <f>SUMIFS(ShadowLedger!$D:$D,ShadowLedger!$G:$G,A3007,ShadowLedger!$C:$C,"&gt;="&amp;DATE(LEFT(SUBSTITUTE(C3007,"'",""),4),MID(SUBSTITUTE(C3007,"'",""),6,2),1),ShadowLedger!$C:$C,"&lt;"&amp;EOMONTH(DATE(LEFT(SUBSTITUTE(C3007,"'",""),4),MID(SUBSTITUTE(C3007,"'",""),6,2),1),0)+1)</f>
        <v>0</v>
      </c>
      <c r="E3007" s="17">
        <f t="shared" si="1"/>
        <v>76</v>
      </c>
      <c r="F3007" s="17">
        <f t="shared" si="2"/>
        <v>0</v>
      </c>
    </row>
    <row r="3008">
      <c r="A3008" s="5" t="s">
        <v>67</v>
      </c>
      <c r="B3008" s="6">
        <v>76.0</v>
      </c>
      <c r="C3008" s="13" t="s">
        <v>388</v>
      </c>
      <c r="D3008" s="17">
        <f>SUMIFS(ShadowLedger!$D:$D,ShadowLedger!$G:$G,A3008,ShadowLedger!$C:$C,"&gt;="&amp;DATE(LEFT(SUBSTITUTE(C3008,"'",""),4),MID(SUBSTITUTE(C3008,"'",""),6,2),1),ShadowLedger!$C:$C,"&lt;"&amp;EOMONTH(DATE(LEFT(SUBSTITUTE(C3008,"'",""),4),MID(SUBSTITUTE(C3008,"'",""),6,2),1),0)+1)</f>
        <v>0</v>
      </c>
      <c r="E3008" s="17">
        <f t="shared" si="1"/>
        <v>76</v>
      </c>
      <c r="F3008" s="17">
        <f t="shared" si="2"/>
        <v>0</v>
      </c>
    </row>
    <row r="3009">
      <c r="A3009" s="5" t="s">
        <v>68</v>
      </c>
      <c r="B3009" s="6">
        <v>76.0</v>
      </c>
      <c r="C3009" s="13" t="s">
        <v>388</v>
      </c>
      <c r="D3009" s="17">
        <f>SUMIFS(ShadowLedger!$D:$D,ShadowLedger!$G:$G,A3009,ShadowLedger!$C:$C,"&gt;="&amp;DATE(LEFT(SUBSTITUTE(C3009,"'",""),4),MID(SUBSTITUTE(C3009,"'",""),6,2),1),ShadowLedger!$C:$C,"&lt;"&amp;EOMONTH(DATE(LEFT(SUBSTITUTE(C3009,"'",""),4),MID(SUBSTITUTE(C3009,"'",""),6,2),1),0)+1)</f>
        <v>0</v>
      </c>
      <c r="E3009" s="17">
        <f t="shared" si="1"/>
        <v>76</v>
      </c>
      <c r="F3009" s="17">
        <f t="shared" si="2"/>
        <v>0</v>
      </c>
    </row>
    <row r="3010">
      <c r="A3010" s="5" t="s">
        <v>69</v>
      </c>
      <c r="B3010" s="6">
        <v>0.0</v>
      </c>
      <c r="C3010" s="13" t="s">
        <v>388</v>
      </c>
      <c r="D3010" s="17">
        <f>SUMIFS(ShadowLedger!$D:$D,ShadowLedger!$G:$G,A3010,ShadowLedger!$C:$C,"&gt;="&amp;DATE(LEFT(SUBSTITUTE(C3010,"'",""),4),MID(SUBSTITUTE(C3010,"'",""),6,2),1),ShadowLedger!$C:$C,"&lt;"&amp;EOMONTH(DATE(LEFT(SUBSTITUTE(C3010,"'",""),4),MID(SUBSTITUTE(C3010,"'",""),6,2),1),0)+1)</f>
        <v>0</v>
      </c>
      <c r="E3010" s="17">
        <f t="shared" si="1"/>
        <v>0</v>
      </c>
      <c r="F3010" s="17">
        <f t="shared" si="2"/>
        <v>0</v>
      </c>
    </row>
    <row r="3011">
      <c r="A3011" s="5" t="s">
        <v>54</v>
      </c>
      <c r="B3011" s="6">
        <v>1392.0</v>
      </c>
      <c r="C3011" s="13" t="s">
        <v>389</v>
      </c>
      <c r="D3011" s="17">
        <f>SUMIFS(ShadowLedger!$D:$D,ShadowLedger!$G:$G,A3011,ShadowLedger!$C:$C,"&gt;="&amp;DATE(LEFT(SUBSTITUTE(C3011,"'",""),4),MID(SUBSTITUTE(C3011,"'",""),6,2),1),ShadowLedger!$C:$C,"&lt;"&amp;EOMONTH(DATE(LEFT(SUBSTITUTE(C3011,"'",""),4),MID(SUBSTITUTE(C3011,"'",""),6,2),1),0)+1)</f>
        <v>0</v>
      </c>
      <c r="E3011" s="17">
        <f t="shared" si="1"/>
        <v>1392</v>
      </c>
      <c r="F3011" s="17">
        <f t="shared" si="2"/>
        <v>0</v>
      </c>
    </row>
    <row r="3012">
      <c r="A3012" s="5" t="s">
        <v>55</v>
      </c>
      <c r="B3012" s="6">
        <v>1059.0</v>
      </c>
      <c r="C3012" s="13" t="s">
        <v>389</v>
      </c>
      <c r="D3012" s="17">
        <f>SUMIFS(ShadowLedger!$D:$D,ShadowLedger!$G:$G,A3012,ShadowLedger!$C:$C,"&gt;="&amp;DATE(LEFT(SUBSTITUTE(C3012,"'",""),4),MID(SUBSTITUTE(C3012,"'",""),6,2),1),ShadowLedger!$C:$C,"&lt;"&amp;EOMONTH(DATE(LEFT(SUBSTITUTE(C3012,"'",""),4),MID(SUBSTITUTE(C3012,"'",""),6,2),1),0)+1)</f>
        <v>0</v>
      </c>
      <c r="E3012" s="17">
        <f t="shared" si="1"/>
        <v>1059</v>
      </c>
      <c r="F3012" s="17">
        <f t="shared" si="2"/>
        <v>0</v>
      </c>
    </row>
    <row r="3013">
      <c r="A3013" s="5" t="s">
        <v>56</v>
      </c>
      <c r="B3013" s="6">
        <v>756.0</v>
      </c>
      <c r="C3013" s="13" t="s">
        <v>389</v>
      </c>
      <c r="D3013" s="17">
        <f>SUMIFS(ShadowLedger!$D:$D,ShadowLedger!$G:$G,A3013,ShadowLedger!$C:$C,"&gt;="&amp;DATE(LEFT(SUBSTITUTE(C3013,"'",""),4),MID(SUBSTITUTE(C3013,"'",""),6,2),1),ShadowLedger!$C:$C,"&lt;"&amp;EOMONTH(DATE(LEFT(SUBSTITUTE(C3013,"'",""),4),MID(SUBSTITUTE(C3013,"'",""),6,2),1),0)+1)</f>
        <v>0</v>
      </c>
      <c r="E3013" s="17">
        <f t="shared" si="1"/>
        <v>756</v>
      </c>
      <c r="F3013" s="17">
        <f t="shared" si="2"/>
        <v>0</v>
      </c>
    </row>
    <row r="3014">
      <c r="A3014" s="5" t="s">
        <v>57</v>
      </c>
      <c r="B3014" s="6">
        <v>756.0</v>
      </c>
      <c r="C3014" s="13" t="s">
        <v>389</v>
      </c>
      <c r="D3014" s="17">
        <f>SUMIFS(ShadowLedger!$D:$D,ShadowLedger!$G:$G,A3014,ShadowLedger!$C:$C,"&gt;="&amp;DATE(LEFT(SUBSTITUTE(C3014,"'",""),4),MID(SUBSTITUTE(C3014,"'",""),6,2),1),ShadowLedger!$C:$C,"&lt;"&amp;EOMONTH(DATE(LEFT(SUBSTITUTE(C3014,"'",""),4),MID(SUBSTITUTE(C3014,"'",""),6,2),1),0)+1)</f>
        <v>0</v>
      </c>
      <c r="E3014" s="17">
        <f t="shared" si="1"/>
        <v>756</v>
      </c>
      <c r="F3014" s="17">
        <f t="shared" si="2"/>
        <v>0</v>
      </c>
    </row>
    <row r="3015">
      <c r="A3015" s="5" t="s">
        <v>58</v>
      </c>
      <c r="B3015" s="6">
        <v>605.0</v>
      </c>
      <c r="C3015" s="13" t="s">
        <v>389</v>
      </c>
      <c r="D3015" s="17">
        <f>SUMIFS(ShadowLedger!$D:$D,ShadowLedger!$G:$G,A3015,ShadowLedger!$C:$C,"&gt;="&amp;DATE(LEFT(SUBSTITUTE(C3015,"'",""),4),MID(SUBSTITUTE(C3015,"'",""),6,2),1),ShadowLedger!$C:$C,"&lt;"&amp;EOMONTH(DATE(LEFT(SUBSTITUTE(C3015,"'",""),4),MID(SUBSTITUTE(C3015,"'",""),6,2),1),0)+1)</f>
        <v>0</v>
      </c>
      <c r="E3015" s="17">
        <f t="shared" si="1"/>
        <v>605</v>
      </c>
      <c r="F3015" s="17">
        <f t="shared" si="2"/>
        <v>0</v>
      </c>
    </row>
    <row r="3016">
      <c r="A3016" s="5" t="s">
        <v>59</v>
      </c>
      <c r="B3016" s="6">
        <v>303.0</v>
      </c>
      <c r="C3016" s="13" t="s">
        <v>389</v>
      </c>
      <c r="D3016" s="17">
        <f>SUMIFS(ShadowLedger!$D:$D,ShadowLedger!$G:$G,A3016,ShadowLedger!$C:$C,"&gt;="&amp;DATE(LEFT(SUBSTITUTE(C3016,"'",""),4),MID(SUBSTITUTE(C3016,"'",""),6,2),1),ShadowLedger!$C:$C,"&lt;"&amp;EOMONTH(DATE(LEFT(SUBSTITUTE(C3016,"'",""),4),MID(SUBSTITUTE(C3016,"'",""),6,2),1),0)+1)</f>
        <v>0</v>
      </c>
      <c r="E3016" s="17">
        <f t="shared" si="1"/>
        <v>303</v>
      </c>
      <c r="F3016" s="17">
        <f t="shared" si="2"/>
        <v>0</v>
      </c>
    </row>
    <row r="3017">
      <c r="A3017" s="5" t="s">
        <v>60</v>
      </c>
      <c r="B3017" s="6">
        <v>227.0</v>
      </c>
      <c r="C3017" s="13" t="s">
        <v>389</v>
      </c>
      <c r="D3017" s="17">
        <f>SUMIFS(ShadowLedger!$D:$D,ShadowLedger!$G:$G,A3017,ShadowLedger!$C:$C,"&gt;="&amp;DATE(LEFT(SUBSTITUTE(C3017,"'",""),4),MID(SUBSTITUTE(C3017,"'",""),6,2),1),ShadowLedger!$C:$C,"&lt;"&amp;EOMONTH(DATE(LEFT(SUBSTITUTE(C3017,"'",""),4),MID(SUBSTITUTE(C3017,"'",""),6,2),1),0)+1)</f>
        <v>0</v>
      </c>
      <c r="E3017" s="17">
        <f t="shared" si="1"/>
        <v>227</v>
      </c>
      <c r="F3017" s="17">
        <f t="shared" si="2"/>
        <v>0</v>
      </c>
    </row>
    <row r="3018">
      <c r="A3018" s="5" t="s">
        <v>61</v>
      </c>
      <c r="B3018" s="6">
        <v>182.0</v>
      </c>
      <c r="C3018" s="13" t="s">
        <v>389</v>
      </c>
      <c r="D3018" s="17">
        <f>SUMIFS(ShadowLedger!$D:$D,ShadowLedger!$G:$G,A3018,ShadowLedger!$C:$C,"&gt;="&amp;DATE(LEFT(SUBSTITUTE(C3018,"'",""),4),MID(SUBSTITUTE(C3018,"'",""),6,2),1),ShadowLedger!$C:$C,"&lt;"&amp;EOMONTH(DATE(LEFT(SUBSTITUTE(C3018,"'",""),4),MID(SUBSTITUTE(C3018,"'",""),6,2),1),0)+1)</f>
        <v>0</v>
      </c>
      <c r="E3018" s="17">
        <f t="shared" si="1"/>
        <v>182</v>
      </c>
      <c r="F3018" s="17">
        <f t="shared" si="2"/>
        <v>0</v>
      </c>
    </row>
    <row r="3019">
      <c r="A3019" s="5" t="s">
        <v>62</v>
      </c>
      <c r="B3019" s="6">
        <v>182.0</v>
      </c>
      <c r="C3019" s="13" t="s">
        <v>389</v>
      </c>
      <c r="D3019" s="17">
        <f>SUMIFS(ShadowLedger!$D:$D,ShadowLedger!$G:$G,A3019,ShadowLedger!$C:$C,"&gt;="&amp;DATE(LEFT(SUBSTITUTE(C3019,"'",""),4),MID(SUBSTITUTE(C3019,"'",""),6,2),1),ShadowLedger!$C:$C,"&lt;"&amp;EOMONTH(DATE(LEFT(SUBSTITUTE(C3019,"'",""),4),MID(SUBSTITUTE(C3019,"'",""),6,2),1),0)+1)</f>
        <v>0</v>
      </c>
      <c r="E3019" s="17">
        <f t="shared" si="1"/>
        <v>182</v>
      </c>
      <c r="F3019" s="17">
        <f t="shared" si="2"/>
        <v>0</v>
      </c>
    </row>
    <row r="3020">
      <c r="A3020" s="5" t="s">
        <v>63</v>
      </c>
      <c r="B3020" s="6">
        <v>151.0</v>
      </c>
      <c r="C3020" s="13" t="s">
        <v>389</v>
      </c>
      <c r="D3020" s="17">
        <f>SUMIFS(ShadowLedger!$D:$D,ShadowLedger!$G:$G,A3020,ShadowLedger!$C:$C,"&gt;="&amp;DATE(LEFT(SUBSTITUTE(C3020,"'",""),4),MID(SUBSTITUTE(C3020,"'",""),6,2),1),ShadowLedger!$C:$C,"&lt;"&amp;EOMONTH(DATE(LEFT(SUBSTITUTE(C3020,"'",""),4),MID(SUBSTITUTE(C3020,"'",""),6,2),1),0)+1)</f>
        <v>0</v>
      </c>
      <c r="E3020" s="17">
        <f t="shared" si="1"/>
        <v>151</v>
      </c>
      <c r="F3020" s="17">
        <f t="shared" si="2"/>
        <v>0</v>
      </c>
    </row>
    <row r="3021">
      <c r="A3021" s="5" t="s">
        <v>64</v>
      </c>
      <c r="B3021" s="6">
        <v>151.0</v>
      </c>
      <c r="C3021" s="13" t="s">
        <v>389</v>
      </c>
      <c r="D3021" s="17">
        <f>SUMIFS(ShadowLedger!$D:$D,ShadowLedger!$G:$G,A3021,ShadowLedger!$C:$C,"&gt;="&amp;DATE(LEFT(SUBSTITUTE(C3021,"'",""),4),MID(SUBSTITUTE(C3021,"'",""),6,2),1),ShadowLedger!$C:$C,"&lt;"&amp;EOMONTH(DATE(LEFT(SUBSTITUTE(C3021,"'",""),4),MID(SUBSTITUTE(C3021,"'",""),6,2),1),0)+1)</f>
        <v>0</v>
      </c>
      <c r="E3021" s="17">
        <f t="shared" si="1"/>
        <v>151</v>
      </c>
      <c r="F3021" s="17">
        <f t="shared" si="2"/>
        <v>0</v>
      </c>
    </row>
    <row r="3022">
      <c r="A3022" s="5" t="s">
        <v>70</v>
      </c>
      <c r="B3022" s="6">
        <v>151.0</v>
      </c>
      <c r="C3022" s="13" t="s">
        <v>389</v>
      </c>
      <c r="D3022" s="17">
        <f>SUMIFS(ShadowLedger!$D:$D,ShadowLedger!$G:$G,A3022,ShadowLedger!$C:$C,"&gt;="&amp;DATE(LEFT(SUBSTITUTE(C3022,"'",""),4),MID(SUBSTITUTE(C3022,"'",""),6,2),1),ShadowLedger!$C:$C,"&lt;"&amp;EOMONTH(DATE(LEFT(SUBSTITUTE(C3022,"'",""),4),MID(SUBSTITUTE(C3022,"'",""),6,2),1),0)+1)</f>
        <v>0</v>
      </c>
      <c r="E3022" s="17">
        <f t="shared" si="1"/>
        <v>151</v>
      </c>
      <c r="F3022" s="17">
        <f t="shared" si="2"/>
        <v>0</v>
      </c>
    </row>
    <row r="3023">
      <c r="A3023" s="5" t="s">
        <v>65</v>
      </c>
      <c r="B3023" s="6">
        <v>76.0</v>
      </c>
      <c r="C3023" s="13" t="s">
        <v>389</v>
      </c>
      <c r="D3023" s="17">
        <f>SUMIFS(ShadowLedger!$D:$D,ShadowLedger!$G:$G,A3023,ShadowLedger!$C:$C,"&gt;="&amp;DATE(LEFT(SUBSTITUTE(C3023,"'",""),4),MID(SUBSTITUTE(C3023,"'",""),6,2),1),ShadowLedger!$C:$C,"&lt;"&amp;EOMONTH(DATE(LEFT(SUBSTITUTE(C3023,"'",""),4),MID(SUBSTITUTE(C3023,"'",""),6,2),1),0)+1)</f>
        <v>0</v>
      </c>
      <c r="E3023" s="17">
        <f t="shared" si="1"/>
        <v>76</v>
      </c>
      <c r="F3023" s="17">
        <f t="shared" si="2"/>
        <v>0</v>
      </c>
    </row>
    <row r="3024">
      <c r="A3024" s="5" t="s">
        <v>66</v>
      </c>
      <c r="B3024" s="6">
        <v>76.0</v>
      </c>
      <c r="C3024" s="13" t="s">
        <v>389</v>
      </c>
      <c r="D3024" s="17">
        <f>SUMIFS(ShadowLedger!$D:$D,ShadowLedger!$G:$G,A3024,ShadowLedger!$C:$C,"&gt;="&amp;DATE(LEFT(SUBSTITUTE(C3024,"'",""),4),MID(SUBSTITUTE(C3024,"'",""),6,2),1),ShadowLedger!$C:$C,"&lt;"&amp;EOMONTH(DATE(LEFT(SUBSTITUTE(C3024,"'",""),4),MID(SUBSTITUTE(C3024,"'",""),6,2),1),0)+1)</f>
        <v>0</v>
      </c>
      <c r="E3024" s="17">
        <f t="shared" si="1"/>
        <v>76</v>
      </c>
      <c r="F3024" s="17">
        <f t="shared" si="2"/>
        <v>0</v>
      </c>
    </row>
    <row r="3025">
      <c r="A3025" s="5" t="s">
        <v>67</v>
      </c>
      <c r="B3025" s="6">
        <v>76.0</v>
      </c>
      <c r="C3025" s="13" t="s">
        <v>389</v>
      </c>
      <c r="D3025" s="17">
        <f>SUMIFS(ShadowLedger!$D:$D,ShadowLedger!$G:$G,A3025,ShadowLedger!$C:$C,"&gt;="&amp;DATE(LEFT(SUBSTITUTE(C3025,"'",""),4),MID(SUBSTITUTE(C3025,"'",""),6,2),1),ShadowLedger!$C:$C,"&lt;"&amp;EOMONTH(DATE(LEFT(SUBSTITUTE(C3025,"'",""),4),MID(SUBSTITUTE(C3025,"'",""),6,2),1),0)+1)</f>
        <v>0</v>
      </c>
      <c r="E3025" s="17">
        <f t="shared" si="1"/>
        <v>76</v>
      </c>
      <c r="F3025" s="17">
        <f t="shared" si="2"/>
        <v>0</v>
      </c>
    </row>
    <row r="3026">
      <c r="A3026" s="5" t="s">
        <v>68</v>
      </c>
      <c r="B3026" s="6">
        <v>76.0</v>
      </c>
      <c r="C3026" s="13" t="s">
        <v>389</v>
      </c>
      <c r="D3026" s="17">
        <f>SUMIFS(ShadowLedger!$D:$D,ShadowLedger!$G:$G,A3026,ShadowLedger!$C:$C,"&gt;="&amp;DATE(LEFT(SUBSTITUTE(C3026,"'",""),4),MID(SUBSTITUTE(C3026,"'",""),6,2),1),ShadowLedger!$C:$C,"&lt;"&amp;EOMONTH(DATE(LEFT(SUBSTITUTE(C3026,"'",""),4),MID(SUBSTITUTE(C3026,"'",""),6,2),1),0)+1)</f>
        <v>0</v>
      </c>
      <c r="E3026" s="17">
        <f t="shared" si="1"/>
        <v>76</v>
      </c>
      <c r="F3026" s="17">
        <f t="shared" si="2"/>
        <v>0</v>
      </c>
    </row>
    <row r="3027">
      <c r="A3027" s="5" t="s">
        <v>69</v>
      </c>
      <c r="B3027" s="6">
        <v>0.0</v>
      </c>
      <c r="C3027" s="13" t="s">
        <v>389</v>
      </c>
      <c r="D3027" s="17">
        <f>SUMIFS(ShadowLedger!$D:$D,ShadowLedger!$G:$G,A3027,ShadowLedger!$C:$C,"&gt;="&amp;DATE(LEFT(SUBSTITUTE(C3027,"'",""),4),MID(SUBSTITUTE(C3027,"'",""),6,2),1),ShadowLedger!$C:$C,"&lt;"&amp;EOMONTH(DATE(LEFT(SUBSTITUTE(C3027,"'",""),4),MID(SUBSTITUTE(C3027,"'",""),6,2),1),0)+1)</f>
        <v>0</v>
      </c>
      <c r="E3027" s="17">
        <f t="shared" si="1"/>
        <v>0</v>
      </c>
      <c r="F3027" s="17">
        <f t="shared" si="2"/>
        <v>0</v>
      </c>
    </row>
    <row r="3028">
      <c r="A3028" s="5" t="s">
        <v>54</v>
      </c>
      <c r="B3028" s="6">
        <v>1392.0</v>
      </c>
      <c r="C3028" s="13" t="s">
        <v>390</v>
      </c>
      <c r="D3028" s="17">
        <f>SUMIFS(ShadowLedger!$D:$D,ShadowLedger!$G:$G,A3028,ShadowLedger!$C:$C,"&gt;="&amp;DATE(LEFT(SUBSTITUTE(C3028,"'",""),4),MID(SUBSTITUTE(C3028,"'",""),6,2),1),ShadowLedger!$C:$C,"&lt;"&amp;EOMONTH(DATE(LEFT(SUBSTITUTE(C3028,"'",""),4),MID(SUBSTITUTE(C3028,"'",""),6,2),1),0)+1)</f>
        <v>0</v>
      </c>
      <c r="E3028" s="17">
        <f t="shared" si="1"/>
        <v>1392</v>
      </c>
      <c r="F3028" s="17">
        <f t="shared" si="2"/>
        <v>0</v>
      </c>
    </row>
    <row r="3029">
      <c r="A3029" s="5" t="s">
        <v>55</v>
      </c>
      <c r="B3029" s="6">
        <v>1059.0</v>
      </c>
      <c r="C3029" s="13" t="s">
        <v>390</v>
      </c>
      <c r="D3029" s="17">
        <f>SUMIFS(ShadowLedger!$D:$D,ShadowLedger!$G:$G,A3029,ShadowLedger!$C:$C,"&gt;="&amp;DATE(LEFT(SUBSTITUTE(C3029,"'",""),4),MID(SUBSTITUTE(C3029,"'",""),6,2),1),ShadowLedger!$C:$C,"&lt;"&amp;EOMONTH(DATE(LEFT(SUBSTITUTE(C3029,"'",""),4),MID(SUBSTITUTE(C3029,"'",""),6,2),1),0)+1)</f>
        <v>0</v>
      </c>
      <c r="E3029" s="17">
        <f t="shared" si="1"/>
        <v>1059</v>
      </c>
      <c r="F3029" s="17">
        <f t="shared" si="2"/>
        <v>0</v>
      </c>
    </row>
    <row r="3030">
      <c r="A3030" s="5" t="s">
        <v>56</v>
      </c>
      <c r="B3030" s="6">
        <v>756.0</v>
      </c>
      <c r="C3030" s="13" t="s">
        <v>390</v>
      </c>
      <c r="D3030" s="17">
        <f>SUMIFS(ShadowLedger!$D:$D,ShadowLedger!$G:$G,A3030,ShadowLedger!$C:$C,"&gt;="&amp;DATE(LEFT(SUBSTITUTE(C3030,"'",""),4),MID(SUBSTITUTE(C3030,"'",""),6,2),1),ShadowLedger!$C:$C,"&lt;"&amp;EOMONTH(DATE(LEFT(SUBSTITUTE(C3030,"'",""),4),MID(SUBSTITUTE(C3030,"'",""),6,2),1),0)+1)</f>
        <v>0</v>
      </c>
      <c r="E3030" s="17">
        <f t="shared" si="1"/>
        <v>756</v>
      </c>
      <c r="F3030" s="17">
        <f t="shared" si="2"/>
        <v>0</v>
      </c>
    </row>
    <row r="3031">
      <c r="A3031" s="5" t="s">
        <v>57</v>
      </c>
      <c r="B3031" s="6">
        <v>756.0</v>
      </c>
      <c r="C3031" s="13" t="s">
        <v>390</v>
      </c>
      <c r="D3031" s="17">
        <f>SUMIFS(ShadowLedger!$D:$D,ShadowLedger!$G:$G,A3031,ShadowLedger!$C:$C,"&gt;="&amp;DATE(LEFT(SUBSTITUTE(C3031,"'",""),4),MID(SUBSTITUTE(C3031,"'",""),6,2),1),ShadowLedger!$C:$C,"&lt;"&amp;EOMONTH(DATE(LEFT(SUBSTITUTE(C3031,"'",""),4),MID(SUBSTITUTE(C3031,"'",""),6,2),1),0)+1)</f>
        <v>0</v>
      </c>
      <c r="E3031" s="17">
        <f t="shared" si="1"/>
        <v>756</v>
      </c>
      <c r="F3031" s="17">
        <f t="shared" si="2"/>
        <v>0</v>
      </c>
    </row>
    <row r="3032">
      <c r="A3032" s="5" t="s">
        <v>58</v>
      </c>
      <c r="B3032" s="6">
        <v>605.0</v>
      </c>
      <c r="C3032" s="13" t="s">
        <v>390</v>
      </c>
      <c r="D3032" s="17">
        <f>SUMIFS(ShadowLedger!$D:$D,ShadowLedger!$G:$G,A3032,ShadowLedger!$C:$C,"&gt;="&amp;DATE(LEFT(SUBSTITUTE(C3032,"'",""),4),MID(SUBSTITUTE(C3032,"'",""),6,2),1),ShadowLedger!$C:$C,"&lt;"&amp;EOMONTH(DATE(LEFT(SUBSTITUTE(C3032,"'",""),4),MID(SUBSTITUTE(C3032,"'",""),6,2),1),0)+1)</f>
        <v>0</v>
      </c>
      <c r="E3032" s="17">
        <f t="shared" si="1"/>
        <v>605</v>
      </c>
      <c r="F3032" s="17">
        <f t="shared" si="2"/>
        <v>0</v>
      </c>
    </row>
    <row r="3033">
      <c r="A3033" s="5" t="s">
        <v>59</v>
      </c>
      <c r="B3033" s="6">
        <v>303.0</v>
      </c>
      <c r="C3033" s="13" t="s">
        <v>390</v>
      </c>
      <c r="D3033" s="17">
        <f>SUMIFS(ShadowLedger!$D:$D,ShadowLedger!$G:$G,A3033,ShadowLedger!$C:$C,"&gt;="&amp;DATE(LEFT(SUBSTITUTE(C3033,"'",""),4),MID(SUBSTITUTE(C3033,"'",""),6,2),1),ShadowLedger!$C:$C,"&lt;"&amp;EOMONTH(DATE(LEFT(SUBSTITUTE(C3033,"'",""),4),MID(SUBSTITUTE(C3033,"'",""),6,2),1),0)+1)</f>
        <v>0</v>
      </c>
      <c r="E3033" s="17">
        <f t="shared" si="1"/>
        <v>303</v>
      </c>
      <c r="F3033" s="17">
        <f t="shared" si="2"/>
        <v>0</v>
      </c>
    </row>
    <row r="3034">
      <c r="A3034" s="5" t="s">
        <v>60</v>
      </c>
      <c r="B3034" s="6">
        <v>227.0</v>
      </c>
      <c r="C3034" s="13" t="s">
        <v>390</v>
      </c>
      <c r="D3034" s="17">
        <f>SUMIFS(ShadowLedger!$D:$D,ShadowLedger!$G:$G,A3034,ShadowLedger!$C:$C,"&gt;="&amp;DATE(LEFT(SUBSTITUTE(C3034,"'",""),4),MID(SUBSTITUTE(C3034,"'",""),6,2),1),ShadowLedger!$C:$C,"&lt;"&amp;EOMONTH(DATE(LEFT(SUBSTITUTE(C3034,"'",""),4),MID(SUBSTITUTE(C3034,"'",""),6,2),1),0)+1)</f>
        <v>0</v>
      </c>
      <c r="E3034" s="17">
        <f t="shared" si="1"/>
        <v>227</v>
      </c>
      <c r="F3034" s="17">
        <f t="shared" si="2"/>
        <v>0</v>
      </c>
    </row>
    <row r="3035">
      <c r="A3035" s="5" t="s">
        <v>61</v>
      </c>
      <c r="B3035" s="6">
        <v>182.0</v>
      </c>
      <c r="C3035" s="13" t="s">
        <v>390</v>
      </c>
      <c r="D3035" s="17">
        <f>SUMIFS(ShadowLedger!$D:$D,ShadowLedger!$G:$G,A3035,ShadowLedger!$C:$C,"&gt;="&amp;DATE(LEFT(SUBSTITUTE(C3035,"'",""),4),MID(SUBSTITUTE(C3035,"'",""),6,2),1),ShadowLedger!$C:$C,"&lt;"&amp;EOMONTH(DATE(LEFT(SUBSTITUTE(C3035,"'",""),4),MID(SUBSTITUTE(C3035,"'",""),6,2),1),0)+1)</f>
        <v>0</v>
      </c>
      <c r="E3035" s="17">
        <f t="shared" si="1"/>
        <v>182</v>
      </c>
      <c r="F3035" s="17">
        <f t="shared" si="2"/>
        <v>0</v>
      </c>
    </row>
    <row r="3036">
      <c r="A3036" s="5" t="s">
        <v>62</v>
      </c>
      <c r="B3036" s="6">
        <v>182.0</v>
      </c>
      <c r="C3036" s="13" t="s">
        <v>390</v>
      </c>
      <c r="D3036" s="17">
        <f>SUMIFS(ShadowLedger!$D:$D,ShadowLedger!$G:$G,A3036,ShadowLedger!$C:$C,"&gt;="&amp;DATE(LEFT(SUBSTITUTE(C3036,"'",""),4),MID(SUBSTITUTE(C3036,"'",""),6,2),1),ShadowLedger!$C:$C,"&lt;"&amp;EOMONTH(DATE(LEFT(SUBSTITUTE(C3036,"'",""),4),MID(SUBSTITUTE(C3036,"'",""),6,2),1),0)+1)</f>
        <v>0</v>
      </c>
      <c r="E3036" s="17">
        <f t="shared" si="1"/>
        <v>182</v>
      </c>
      <c r="F3036" s="17">
        <f t="shared" si="2"/>
        <v>0</v>
      </c>
    </row>
    <row r="3037">
      <c r="A3037" s="5" t="s">
        <v>63</v>
      </c>
      <c r="B3037" s="6">
        <v>151.0</v>
      </c>
      <c r="C3037" s="13" t="s">
        <v>390</v>
      </c>
      <c r="D3037" s="17">
        <f>SUMIFS(ShadowLedger!$D:$D,ShadowLedger!$G:$G,A3037,ShadowLedger!$C:$C,"&gt;="&amp;DATE(LEFT(SUBSTITUTE(C3037,"'",""),4),MID(SUBSTITUTE(C3037,"'",""),6,2),1),ShadowLedger!$C:$C,"&lt;"&amp;EOMONTH(DATE(LEFT(SUBSTITUTE(C3037,"'",""),4),MID(SUBSTITUTE(C3037,"'",""),6,2),1),0)+1)</f>
        <v>0</v>
      </c>
      <c r="E3037" s="17">
        <f t="shared" si="1"/>
        <v>151</v>
      </c>
      <c r="F3037" s="17">
        <f t="shared" si="2"/>
        <v>0</v>
      </c>
    </row>
    <row r="3038">
      <c r="A3038" s="5" t="s">
        <v>64</v>
      </c>
      <c r="B3038" s="6">
        <v>151.0</v>
      </c>
      <c r="C3038" s="13" t="s">
        <v>390</v>
      </c>
      <c r="D3038" s="17">
        <f>SUMIFS(ShadowLedger!$D:$D,ShadowLedger!$G:$G,A3038,ShadowLedger!$C:$C,"&gt;="&amp;DATE(LEFT(SUBSTITUTE(C3038,"'",""),4),MID(SUBSTITUTE(C3038,"'",""),6,2),1),ShadowLedger!$C:$C,"&lt;"&amp;EOMONTH(DATE(LEFT(SUBSTITUTE(C3038,"'",""),4),MID(SUBSTITUTE(C3038,"'",""),6,2),1),0)+1)</f>
        <v>0</v>
      </c>
      <c r="E3038" s="17">
        <f t="shared" si="1"/>
        <v>151</v>
      </c>
      <c r="F3038" s="17">
        <f t="shared" si="2"/>
        <v>0</v>
      </c>
    </row>
    <row r="3039">
      <c r="A3039" s="5" t="s">
        <v>70</v>
      </c>
      <c r="B3039" s="6">
        <v>151.0</v>
      </c>
      <c r="C3039" s="13" t="s">
        <v>390</v>
      </c>
      <c r="D3039" s="17">
        <f>SUMIFS(ShadowLedger!$D:$D,ShadowLedger!$G:$G,A3039,ShadowLedger!$C:$C,"&gt;="&amp;DATE(LEFT(SUBSTITUTE(C3039,"'",""),4),MID(SUBSTITUTE(C3039,"'",""),6,2),1),ShadowLedger!$C:$C,"&lt;"&amp;EOMONTH(DATE(LEFT(SUBSTITUTE(C3039,"'",""),4),MID(SUBSTITUTE(C3039,"'",""),6,2),1),0)+1)</f>
        <v>0</v>
      </c>
      <c r="E3039" s="17">
        <f t="shared" si="1"/>
        <v>151</v>
      </c>
      <c r="F3039" s="17">
        <f t="shared" si="2"/>
        <v>0</v>
      </c>
    </row>
    <row r="3040">
      <c r="A3040" s="5" t="s">
        <v>65</v>
      </c>
      <c r="B3040" s="6">
        <v>76.0</v>
      </c>
      <c r="C3040" s="13" t="s">
        <v>390</v>
      </c>
      <c r="D3040" s="17">
        <f>SUMIFS(ShadowLedger!$D:$D,ShadowLedger!$G:$G,A3040,ShadowLedger!$C:$C,"&gt;="&amp;DATE(LEFT(SUBSTITUTE(C3040,"'",""),4),MID(SUBSTITUTE(C3040,"'",""),6,2),1),ShadowLedger!$C:$C,"&lt;"&amp;EOMONTH(DATE(LEFT(SUBSTITUTE(C3040,"'",""),4),MID(SUBSTITUTE(C3040,"'",""),6,2),1),0)+1)</f>
        <v>0</v>
      </c>
      <c r="E3040" s="17">
        <f t="shared" si="1"/>
        <v>76</v>
      </c>
      <c r="F3040" s="17">
        <f t="shared" si="2"/>
        <v>0</v>
      </c>
    </row>
    <row r="3041">
      <c r="A3041" s="5" t="s">
        <v>66</v>
      </c>
      <c r="B3041" s="6">
        <v>76.0</v>
      </c>
      <c r="C3041" s="13" t="s">
        <v>390</v>
      </c>
      <c r="D3041" s="17">
        <f>SUMIFS(ShadowLedger!$D:$D,ShadowLedger!$G:$G,A3041,ShadowLedger!$C:$C,"&gt;="&amp;DATE(LEFT(SUBSTITUTE(C3041,"'",""),4),MID(SUBSTITUTE(C3041,"'",""),6,2),1),ShadowLedger!$C:$C,"&lt;"&amp;EOMONTH(DATE(LEFT(SUBSTITUTE(C3041,"'",""),4),MID(SUBSTITUTE(C3041,"'",""),6,2),1),0)+1)</f>
        <v>0</v>
      </c>
      <c r="E3041" s="17">
        <f t="shared" si="1"/>
        <v>76</v>
      </c>
      <c r="F3041" s="17">
        <f t="shared" si="2"/>
        <v>0</v>
      </c>
    </row>
    <row r="3042">
      <c r="A3042" s="5" t="s">
        <v>67</v>
      </c>
      <c r="B3042" s="6">
        <v>76.0</v>
      </c>
      <c r="C3042" s="13" t="s">
        <v>390</v>
      </c>
      <c r="D3042" s="17">
        <f>SUMIFS(ShadowLedger!$D:$D,ShadowLedger!$G:$G,A3042,ShadowLedger!$C:$C,"&gt;="&amp;DATE(LEFT(SUBSTITUTE(C3042,"'",""),4),MID(SUBSTITUTE(C3042,"'",""),6,2),1),ShadowLedger!$C:$C,"&lt;"&amp;EOMONTH(DATE(LEFT(SUBSTITUTE(C3042,"'",""),4),MID(SUBSTITUTE(C3042,"'",""),6,2),1),0)+1)</f>
        <v>0</v>
      </c>
      <c r="E3042" s="17">
        <f t="shared" si="1"/>
        <v>76</v>
      </c>
      <c r="F3042" s="17">
        <f t="shared" si="2"/>
        <v>0</v>
      </c>
    </row>
    <row r="3043">
      <c r="A3043" s="5" t="s">
        <v>68</v>
      </c>
      <c r="B3043" s="6">
        <v>76.0</v>
      </c>
      <c r="C3043" s="13" t="s">
        <v>390</v>
      </c>
      <c r="D3043" s="17">
        <f>SUMIFS(ShadowLedger!$D:$D,ShadowLedger!$G:$G,A3043,ShadowLedger!$C:$C,"&gt;="&amp;DATE(LEFT(SUBSTITUTE(C3043,"'",""),4),MID(SUBSTITUTE(C3043,"'",""),6,2),1),ShadowLedger!$C:$C,"&lt;"&amp;EOMONTH(DATE(LEFT(SUBSTITUTE(C3043,"'",""),4),MID(SUBSTITUTE(C3043,"'",""),6,2),1),0)+1)</f>
        <v>0</v>
      </c>
      <c r="E3043" s="17">
        <f t="shared" si="1"/>
        <v>76</v>
      </c>
      <c r="F3043" s="17">
        <f t="shared" si="2"/>
        <v>0</v>
      </c>
    </row>
    <row r="3044">
      <c r="A3044" s="5" t="s">
        <v>69</v>
      </c>
      <c r="B3044" s="6">
        <v>0.0</v>
      </c>
      <c r="C3044" s="13" t="s">
        <v>390</v>
      </c>
      <c r="D3044" s="17">
        <f>SUMIFS(ShadowLedger!$D:$D,ShadowLedger!$G:$G,A3044,ShadowLedger!$C:$C,"&gt;="&amp;DATE(LEFT(SUBSTITUTE(C3044,"'",""),4),MID(SUBSTITUTE(C3044,"'",""),6,2),1),ShadowLedger!$C:$C,"&lt;"&amp;EOMONTH(DATE(LEFT(SUBSTITUTE(C3044,"'",""),4),MID(SUBSTITUTE(C3044,"'",""),6,2),1),0)+1)</f>
        <v>0</v>
      </c>
      <c r="E3044" s="17">
        <f t="shared" si="1"/>
        <v>0</v>
      </c>
      <c r="F3044" s="17">
        <f t="shared" si="2"/>
        <v>0</v>
      </c>
    </row>
    <row r="3045">
      <c r="A3045" s="5" t="s">
        <v>54</v>
      </c>
      <c r="B3045" s="6">
        <v>1392.0</v>
      </c>
      <c r="C3045" s="13" t="s">
        <v>391</v>
      </c>
      <c r="D3045" s="17">
        <f>SUMIFS(ShadowLedger!$D:$D,ShadowLedger!$G:$G,A3045,ShadowLedger!$C:$C,"&gt;="&amp;DATE(LEFT(SUBSTITUTE(C3045,"'",""),4),MID(SUBSTITUTE(C3045,"'",""),6,2),1),ShadowLedger!$C:$C,"&lt;"&amp;EOMONTH(DATE(LEFT(SUBSTITUTE(C3045,"'",""),4),MID(SUBSTITUTE(C3045,"'",""),6,2),1),0)+1)</f>
        <v>0</v>
      </c>
      <c r="E3045" s="17">
        <f t="shared" si="1"/>
        <v>1392</v>
      </c>
      <c r="F3045" s="17">
        <f t="shared" si="2"/>
        <v>0</v>
      </c>
    </row>
    <row r="3046">
      <c r="A3046" s="5" t="s">
        <v>55</v>
      </c>
      <c r="B3046" s="6">
        <v>1059.0</v>
      </c>
      <c r="C3046" s="13" t="s">
        <v>391</v>
      </c>
      <c r="D3046" s="17">
        <f>SUMIFS(ShadowLedger!$D:$D,ShadowLedger!$G:$G,A3046,ShadowLedger!$C:$C,"&gt;="&amp;DATE(LEFT(SUBSTITUTE(C3046,"'",""),4),MID(SUBSTITUTE(C3046,"'",""),6,2),1),ShadowLedger!$C:$C,"&lt;"&amp;EOMONTH(DATE(LEFT(SUBSTITUTE(C3046,"'",""),4),MID(SUBSTITUTE(C3046,"'",""),6,2),1),0)+1)</f>
        <v>0</v>
      </c>
      <c r="E3046" s="17">
        <f t="shared" si="1"/>
        <v>1059</v>
      </c>
      <c r="F3046" s="17">
        <f t="shared" si="2"/>
        <v>0</v>
      </c>
    </row>
    <row r="3047">
      <c r="A3047" s="5" t="s">
        <v>56</v>
      </c>
      <c r="B3047" s="6">
        <v>756.0</v>
      </c>
      <c r="C3047" s="13" t="s">
        <v>391</v>
      </c>
      <c r="D3047" s="17">
        <f>SUMIFS(ShadowLedger!$D:$D,ShadowLedger!$G:$G,A3047,ShadowLedger!$C:$C,"&gt;="&amp;DATE(LEFT(SUBSTITUTE(C3047,"'",""),4),MID(SUBSTITUTE(C3047,"'",""),6,2),1),ShadowLedger!$C:$C,"&lt;"&amp;EOMONTH(DATE(LEFT(SUBSTITUTE(C3047,"'",""),4),MID(SUBSTITUTE(C3047,"'",""),6,2),1),0)+1)</f>
        <v>0</v>
      </c>
      <c r="E3047" s="17">
        <f t="shared" si="1"/>
        <v>756</v>
      </c>
      <c r="F3047" s="17">
        <f t="shared" si="2"/>
        <v>0</v>
      </c>
    </row>
    <row r="3048">
      <c r="A3048" s="5" t="s">
        <v>57</v>
      </c>
      <c r="B3048" s="6">
        <v>756.0</v>
      </c>
      <c r="C3048" s="13" t="s">
        <v>391</v>
      </c>
      <c r="D3048" s="17">
        <f>SUMIFS(ShadowLedger!$D:$D,ShadowLedger!$G:$G,A3048,ShadowLedger!$C:$C,"&gt;="&amp;DATE(LEFT(SUBSTITUTE(C3048,"'",""),4),MID(SUBSTITUTE(C3048,"'",""),6,2),1),ShadowLedger!$C:$C,"&lt;"&amp;EOMONTH(DATE(LEFT(SUBSTITUTE(C3048,"'",""),4),MID(SUBSTITUTE(C3048,"'",""),6,2),1),0)+1)</f>
        <v>0</v>
      </c>
      <c r="E3048" s="17">
        <f t="shared" si="1"/>
        <v>756</v>
      </c>
      <c r="F3048" s="17">
        <f t="shared" si="2"/>
        <v>0</v>
      </c>
    </row>
    <row r="3049">
      <c r="A3049" s="5" t="s">
        <v>58</v>
      </c>
      <c r="B3049" s="6">
        <v>605.0</v>
      </c>
      <c r="C3049" s="13" t="s">
        <v>391</v>
      </c>
      <c r="D3049" s="17">
        <f>SUMIFS(ShadowLedger!$D:$D,ShadowLedger!$G:$G,A3049,ShadowLedger!$C:$C,"&gt;="&amp;DATE(LEFT(SUBSTITUTE(C3049,"'",""),4),MID(SUBSTITUTE(C3049,"'",""),6,2),1),ShadowLedger!$C:$C,"&lt;"&amp;EOMONTH(DATE(LEFT(SUBSTITUTE(C3049,"'",""),4),MID(SUBSTITUTE(C3049,"'",""),6,2),1),0)+1)</f>
        <v>0</v>
      </c>
      <c r="E3049" s="17">
        <f t="shared" si="1"/>
        <v>605</v>
      </c>
      <c r="F3049" s="17">
        <f t="shared" si="2"/>
        <v>0</v>
      </c>
    </row>
    <row r="3050">
      <c r="A3050" s="5" t="s">
        <v>59</v>
      </c>
      <c r="B3050" s="6">
        <v>303.0</v>
      </c>
      <c r="C3050" s="13" t="s">
        <v>391</v>
      </c>
      <c r="D3050" s="17">
        <f>SUMIFS(ShadowLedger!$D:$D,ShadowLedger!$G:$G,A3050,ShadowLedger!$C:$C,"&gt;="&amp;DATE(LEFT(SUBSTITUTE(C3050,"'",""),4),MID(SUBSTITUTE(C3050,"'",""),6,2),1),ShadowLedger!$C:$C,"&lt;"&amp;EOMONTH(DATE(LEFT(SUBSTITUTE(C3050,"'",""),4),MID(SUBSTITUTE(C3050,"'",""),6,2),1),0)+1)</f>
        <v>0</v>
      </c>
      <c r="E3050" s="17">
        <f t="shared" si="1"/>
        <v>303</v>
      </c>
      <c r="F3050" s="17">
        <f t="shared" si="2"/>
        <v>0</v>
      </c>
    </row>
    <row r="3051">
      <c r="A3051" s="5" t="s">
        <v>60</v>
      </c>
      <c r="B3051" s="6">
        <v>227.0</v>
      </c>
      <c r="C3051" s="13" t="s">
        <v>391</v>
      </c>
      <c r="D3051" s="17">
        <f>SUMIFS(ShadowLedger!$D:$D,ShadowLedger!$G:$G,A3051,ShadowLedger!$C:$C,"&gt;="&amp;DATE(LEFT(SUBSTITUTE(C3051,"'",""),4),MID(SUBSTITUTE(C3051,"'",""),6,2),1),ShadowLedger!$C:$C,"&lt;"&amp;EOMONTH(DATE(LEFT(SUBSTITUTE(C3051,"'",""),4),MID(SUBSTITUTE(C3051,"'",""),6,2),1),0)+1)</f>
        <v>0</v>
      </c>
      <c r="E3051" s="17">
        <f t="shared" si="1"/>
        <v>227</v>
      </c>
      <c r="F3051" s="17">
        <f t="shared" si="2"/>
        <v>0</v>
      </c>
    </row>
    <row r="3052">
      <c r="A3052" s="5" t="s">
        <v>61</v>
      </c>
      <c r="B3052" s="6">
        <v>182.0</v>
      </c>
      <c r="C3052" s="13" t="s">
        <v>391</v>
      </c>
      <c r="D3052" s="17">
        <f>SUMIFS(ShadowLedger!$D:$D,ShadowLedger!$G:$G,A3052,ShadowLedger!$C:$C,"&gt;="&amp;DATE(LEFT(SUBSTITUTE(C3052,"'",""),4),MID(SUBSTITUTE(C3052,"'",""),6,2),1),ShadowLedger!$C:$C,"&lt;"&amp;EOMONTH(DATE(LEFT(SUBSTITUTE(C3052,"'",""),4),MID(SUBSTITUTE(C3052,"'",""),6,2),1),0)+1)</f>
        <v>0</v>
      </c>
      <c r="E3052" s="17">
        <f t="shared" si="1"/>
        <v>182</v>
      </c>
      <c r="F3052" s="17">
        <f t="shared" si="2"/>
        <v>0</v>
      </c>
    </row>
    <row r="3053">
      <c r="A3053" s="5" t="s">
        <v>62</v>
      </c>
      <c r="B3053" s="6">
        <v>182.0</v>
      </c>
      <c r="C3053" s="13" t="s">
        <v>391</v>
      </c>
      <c r="D3053" s="17">
        <f>SUMIFS(ShadowLedger!$D:$D,ShadowLedger!$G:$G,A3053,ShadowLedger!$C:$C,"&gt;="&amp;DATE(LEFT(SUBSTITUTE(C3053,"'",""),4),MID(SUBSTITUTE(C3053,"'",""),6,2),1),ShadowLedger!$C:$C,"&lt;"&amp;EOMONTH(DATE(LEFT(SUBSTITUTE(C3053,"'",""),4),MID(SUBSTITUTE(C3053,"'",""),6,2),1),0)+1)</f>
        <v>0</v>
      </c>
      <c r="E3053" s="17">
        <f t="shared" si="1"/>
        <v>182</v>
      </c>
      <c r="F3053" s="17">
        <f t="shared" si="2"/>
        <v>0</v>
      </c>
    </row>
    <row r="3054">
      <c r="A3054" s="5" t="s">
        <v>63</v>
      </c>
      <c r="B3054" s="6">
        <v>151.0</v>
      </c>
      <c r="C3054" s="13" t="s">
        <v>391</v>
      </c>
      <c r="D3054" s="17">
        <f>SUMIFS(ShadowLedger!$D:$D,ShadowLedger!$G:$G,A3054,ShadowLedger!$C:$C,"&gt;="&amp;DATE(LEFT(SUBSTITUTE(C3054,"'",""),4),MID(SUBSTITUTE(C3054,"'",""),6,2),1),ShadowLedger!$C:$C,"&lt;"&amp;EOMONTH(DATE(LEFT(SUBSTITUTE(C3054,"'",""),4),MID(SUBSTITUTE(C3054,"'",""),6,2),1),0)+1)</f>
        <v>0</v>
      </c>
      <c r="E3054" s="17">
        <f t="shared" si="1"/>
        <v>151</v>
      </c>
      <c r="F3054" s="17">
        <f t="shared" si="2"/>
        <v>0</v>
      </c>
    </row>
    <row r="3055">
      <c r="A3055" s="5" t="s">
        <v>64</v>
      </c>
      <c r="B3055" s="6">
        <v>151.0</v>
      </c>
      <c r="C3055" s="13" t="s">
        <v>391</v>
      </c>
      <c r="D3055" s="17">
        <f>SUMIFS(ShadowLedger!$D:$D,ShadowLedger!$G:$G,A3055,ShadowLedger!$C:$C,"&gt;="&amp;DATE(LEFT(SUBSTITUTE(C3055,"'",""),4),MID(SUBSTITUTE(C3055,"'",""),6,2),1),ShadowLedger!$C:$C,"&lt;"&amp;EOMONTH(DATE(LEFT(SUBSTITUTE(C3055,"'",""),4),MID(SUBSTITUTE(C3055,"'",""),6,2),1),0)+1)</f>
        <v>0</v>
      </c>
      <c r="E3055" s="17">
        <f t="shared" si="1"/>
        <v>151</v>
      </c>
      <c r="F3055" s="17">
        <f t="shared" si="2"/>
        <v>0</v>
      </c>
    </row>
    <row r="3056">
      <c r="A3056" s="5" t="s">
        <v>70</v>
      </c>
      <c r="B3056" s="6">
        <v>151.0</v>
      </c>
      <c r="C3056" s="13" t="s">
        <v>391</v>
      </c>
      <c r="D3056" s="17">
        <f>SUMIFS(ShadowLedger!$D:$D,ShadowLedger!$G:$G,A3056,ShadowLedger!$C:$C,"&gt;="&amp;DATE(LEFT(SUBSTITUTE(C3056,"'",""),4),MID(SUBSTITUTE(C3056,"'",""),6,2),1),ShadowLedger!$C:$C,"&lt;"&amp;EOMONTH(DATE(LEFT(SUBSTITUTE(C3056,"'",""),4),MID(SUBSTITUTE(C3056,"'",""),6,2),1),0)+1)</f>
        <v>0</v>
      </c>
      <c r="E3056" s="17">
        <f t="shared" si="1"/>
        <v>151</v>
      </c>
      <c r="F3056" s="17">
        <f t="shared" si="2"/>
        <v>0</v>
      </c>
    </row>
    <row r="3057">
      <c r="A3057" s="5" t="s">
        <v>65</v>
      </c>
      <c r="B3057" s="6">
        <v>76.0</v>
      </c>
      <c r="C3057" s="13" t="s">
        <v>391</v>
      </c>
      <c r="D3057" s="17">
        <f>SUMIFS(ShadowLedger!$D:$D,ShadowLedger!$G:$G,A3057,ShadowLedger!$C:$C,"&gt;="&amp;DATE(LEFT(SUBSTITUTE(C3057,"'",""),4),MID(SUBSTITUTE(C3057,"'",""),6,2),1),ShadowLedger!$C:$C,"&lt;"&amp;EOMONTH(DATE(LEFT(SUBSTITUTE(C3057,"'",""),4),MID(SUBSTITUTE(C3057,"'",""),6,2),1),0)+1)</f>
        <v>0</v>
      </c>
      <c r="E3057" s="17">
        <f t="shared" si="1"/>
        <v>76</v>
      </c>
      <c r="F3057" s="17">
        <f t="shared" si="2"/>
        <v>0</v>
      </c>
    </row>
    <row r="3058">
      <c r="A3058" s="5" t="s">
        <v>66</v>
      </c>
      <c r="B3058" s="6">
        <v>76.0</v>
      </c>
      <c r="C3058" s="13" t="s">
        <v>391</v>
      </c>
      <c r="D3058" s="17">
        <f>SUMIFS(ShadowLedger!$D:$D,ShadowLedger!$G:$G,A3058,ShadowLedger!$C:$C,"&gt;="&amp;DATE(LEFT(SUBSTITUTE(C3058,"'",""),4),MID(SUBSTITUTE(C3058,"'",""),6,2),1),ShadowLedger!$C:$C,"&lt;"&amp;EOMONTH(DATE(LEFT(SUBSTITUTE(C3058,"'",""),4),MID(SUBSTITUTE(C3058,"'",""),6,2),1),0)+1)</f>
        <v>0</v>
      </c>
      <c r="E3058" s="17">
        <f t="shared" si="1"/>
        <v>76</v>
      </c>
      <c r="F3058" s="17">
        <f t="shared" si="2"/>
        <v>0</v>
      </c>
    </row>
    <row r="3059">
      <c r="A3059" s="5" t="s">
        <v>67</v>
      </c>
      <c r="B3059" s="6">
        <v>76.0</v>
      </c>
      <c r="C3059" s="13" t="s">
        <v>391</v>
      </c>
      <c r="D3059" s="17">
        <f>SUMIFS(ShadowLedger!$D:$D,ShadowLedger!$G:$G,A3059,ShadowLedger!$C:$C,"&gt;="&amp;DATE(LEFT(SUBSTITUTE(C3059,"'",""),4),MID(SUBSTITUTE(C3059,"'",""),6,2),1),ShadowLedger!$C:$C,"&lt;"&amp;EOMONTH(DATE(LEFT(SUBSTITUTE(C3059,"'",""),4),MID(SUBSTITUTE(C3059,"'",""),6,2),1),0)+1)</f>
        <v>0</v>
      </c>
      <c r="E3059" s="17">
        <f t="shared" si="1"/>
        <v>76</v>
      </c>
      <c r="F3059" s="17">
        <f t="shared" si="2"/>
        <v>0</v>
      </c>
    </row>
    <row r="3060">
      <c r="A3060" s="5" t="s">
        <v>68</v>
      </c>
      <c r="B3060" s="6">
        <v>76.0</v>
      </c>
      <c r="C3060" s="13" t="s">
        <v>391</v>
      </c>
      <c r="D3060" s="17">
        <f>SUMIFS(ShadowLedger!$D:$D,ShadowLedger!$G:$G,A3060,ShadowLedger!$C:$C,"&gt;="&amp;DATE(LEFT(SUBSTITUTE(C3060,"'",""),4),MID(SUBSTITUTE(C3060,"'",""),6,2),1),ShadowLedger!$C:$C,"&lt;"&amp;EOMONTH(DATE(LEFT(SUBSTITUTE(C3060,"'",""),4),MID(SUBSTITUTE(C3060,"'",""),6,2),1),0)+1)</f>
        <v>0</v>
      </c>
      <c r="E3060" s="17">
        <f t="shared" si="1"/>
        <v>76</v>
      </c>
      <c r="F3060" s="17">
        <f t="shared" si="2"/>
        <v>0</v>
      </c>
    </row>
    <row r="3061">
      <c r="A3061" s="5" t="s">
        <v>69</v>
      </c>
      <c r="B3061" s="6">
        <v>0.0</v>
      </c>
      <c r="C3061" s="13" t="s">
        <v>391</v>
      </c>
      <c r="D3061" s="17">
        <f>SUMIFS(ShadowLedger!$D:$D,ShadowLedger!$G:$G,A3061,ShadowLedger!$C:$C,"&gt;="&amp;DATE(LEFT(SUBSTITUTE(C3061,"'",""),4),MID(SUBSTITUTE(C3061,"'",""),6,2),1),ShadowLedger!$C:$C,"&lt;"&amp;EOMONTH(DATE(LEFT(SUBSTITUTE(C3061,"'",""),4),MID(SUBSTITUTE(C3061,"'",""),6,2),1),0)+1)</f>
        <v>0</v>
      </c>
      <c r="E3061" s="17">
        <f t="shared" si="1"/>
        <v>0</v>
      </c>
      <c r="F3061" s="17">
        <f t="shared" si="2"/>
        <v>0</v>
      </c>
    </row>
    <row r="3062">
      <c r="A3062" s="5" t="s">
        <v>54</v>
      </c>
      <c r="B3062" s="6">
        <v>1392.0</v>
      </c>
      <c r="C3062" s="13" t="s">
        <v>392</v>
      </c>
      <c r="D3062" s="17">
        <f>SUMIFS(ShadowLedger!$D:$D,ShadowLedger!$G:$G,A3062,ShadowLedger!$C:$C,"&gt;="&amp;DATE(LEFT(SUBSTITUTE(C3062,"'",""),4),MID(SUBSTITUTE(C3062,"'",""),6,2),1),ShadowLedger!$C:$C,"&lt;"&amp;EOMONTH(DATE(LEFT(SUBSTITUTE(C3062,"'",""),4),MID(SUBSTITUTE(C3062,"'",""),6,2),1),0)+1)</f>
        <v>0</v>
      </c>
      <c r="E3062" s="17">
        <f t="shared" si="1"/>
        <v>1392</v>
      </c>
      <c r="F3062" s="17">
        <f t="shared" si="2"/>
        <v>0</v>
      </c>
    </row>
    <row r="3063">
      <c r="A3063" s="5" t="s">
        <v>55</v>
      </c>
      <c r="B3063" s="6">
        <v>1059.0</v>
      </c>
      <c r="C3063" s="13" t="s">
        <v>392</v>
      </c>
      <c r="D3063" s="17">
        <f>SUMIFS(ShadowLedger!$D:$D,ShadowLedger!$G:$G,A3063,ShadowLedger!$C:$C,"&gt;="&amp;DATE(LEFT(SUBSTITUTE(C3063,"'",""),4),MID(SUBSTITUTE(C3063,"'",""),6,2),1),ShadowLedger!$C:$C,"&lt;"&amp;EOMONTH(DATE(LEFT(SUBSTITUTE(C3063,"'",""),4),MID(SUBSTITUTE(C3063,"'",""),6,2),1),0)+1)</f>
        <v>0</v>
      </c>
      <c r="E3063" s="17">
        <f t="shared" si="1"/>
        <v>1059</v>
      </c>
      <c r="F3063" s="17">
        <f t="shared" si="2"/>
        <v>0</v>
      </c>
    </row>
    <row r="3064">
      <c r="A3064" s="5" t="s">
        <v>56</v>
      </c>
      <c r="B3064" s="6">
        <v>756.0</v>
      </c>
      <c r="C3064" s="13" t="s">
        <v>392</v>
      </c>
      <c r="D3064" s="17">
        <f>SUMIFS(ShadowLedger!$D:$D,ShadowLedger!$G:$G,A3064,ShadowLedger!$C:$C,"&gt;="&amp;DATE(LEFT(SUBSTITUTE(C3064,"'",""),4),MID(SUBSTITUTE(C3064,"'",""),6,2),1),ShadowLedger!$C:$C,"&lt;"&amp;EOMONTH(DATE(LEFT(SUBSTITUTE(C3064,"'",""),4),MID(SUBSTITUTE(C3064,"'",""),6,2),1),0)+1)</f>
        <v>0</v>
      </c>
      <c r="E3064" s="17">
        <f t="shared" si="1"/>
        <v>756</v>
      </c>
      <c r="F3064" s="17">
        <f t="shared" si="2"/>
        <v>0</v>
      </c>
    </row>
    <row r="3065">
      <c r="A3065" s="5" t="s">
        <v>57</v>
      </c>
      <c r="B3065" s="6">
        <v>756.0</v>
      </c>
      <c r="C3065" s="13" t="s">
        <v>392</v>
      </c>
      <c r="D3065" s="17">
        <f>SUMIFS(ShadowLedger!$D:$D,ShadowLedger!$G:$G,A3065,ShadowLedger!$C:$C,"&gt;="&amp;DATE(LEFT(SUBSTITUTE(C3065,"'",""),4),MID(SUBSTITUTE(C3065,"'",""),6,2),1),ShadowLedger!$C:$C,"&lt;"&amp;EOMONTH(DATE(LEFT(SUBSTITUTE(C3065,"'",""),4),MID(SUBSTITUTE(C3065,"'",""),6,2),1),0)+1)</f>
        <v>0</v>
      </c>
      <c r="E3065" s="17">
        <f t="shared" si="1"/>
        <v>756</v>
      </c>
      <c r="F3065" s="17">
        <f t="shared" si="2"/>
        <v>0</v>
      </c>
    </row>
    <row r="3066">
      <c r="A3066" s="5" t="s">
        <v>58</v>
      </c>
      <c r="B3066" s="6">
        <v>605.0</v>
      </c>
      <c r="C3066" s="13" t="s">
        <v>392</v>
      </c>
      <c r="D3066" s="17">
        <f>SUMIFS(ShadowLedger!$D:$D,ShadowLedger!$G:$G,A3066,ShadowLedger!$C:$C,"&gt;="&amp;DATE(LEFT(SUBSTITUTE(C3066,"'",""),4),MID(SUBSTITUTE(C3066,"'",""),6,2),1),ShadowLedger!$C:$C,"&lt;"&amp;EOMONTH(DATE(LEFT(SUBSTITUTE(C3066,"'",""),4),MID(SUBSTITUTE(C3066,"'",""),6,2),1),0)+1)</f>
        <v>0</v>
      </c>
      <c r="E3066" s="17">
        <f t="shared" si="1"/>
        <v>605</v>
      </c>
      <c r="F3066" s="17">
        <f t="shared" si="2"/>
        <v>0</v>
      </c>
    </row>
    <row r="3067">
      <c r="A3067" s="5" t="s">
        <v>59</v>
      </c>
      <c r="B3067" s="6">
        <v>303.0</v>
      </c>
      <c r="C3067" s="13" t="s">
        <v>392</v>
      </c>
      <c r="D3067" s="17">
        <f>SUMIFS(ShadowLedger!$D:$D,ShadowLedger!$G:$G,A3067,ShadowLedger!$C:$C,"&gt;="&amp;DATE(LEFT(SUBSTITUTE(C3067,"'",""),4),MID(SUBSTITUTE(C3067,"'",""),6,2),1),ShadowLedger!$C:$C,"&lt;"&amp;EOMONTH(DATE(LEFT(SUBSTITUTE(C3067,"'",""),4),MID(SUBSTITUTE(C3067,"'",""),6,2),1),0)+1)</f>
        <v>0</v>
      </c>
      <c r="E3067" s="17">
        <f t="shared" si="1"/>
        <v>303</v>
      </c>
      <c r="F3067" s="17">
        <f t="shared" si="2"/>
        <v>0</v>
      </c>
    </row>
    <row r="3068">
      <c r="A3068" s="5" t="s">
        <v>60</v>
      </c>
      <c r="B3068" s="6">
        <v>227.0</v>
      </c>
      <c r="C3068" s="13" t="s">
        <v>392</v>
      </c>
      <c r="D3068" s="17">
        <f>SUMIFS(ShadowLedger!$D:$D,ShadowLedger!$G:$G,A3068,ShadowLedger!$C:$C,"&gt;="&amp;DATE(LEFT(SUBSTITUTE(C3068,"'",""),4),MID(SUBSTITUTE(C3068,"'",""),6,2),1),ShadowLedger!$C:$C,"&lt;"&amp;EOMONTH(DATE(LEFT(SUBSTITUTE(C3068,"'",""),4),MID(SUBSTITUTE(C3068,"'",""),6,2),1),0)+1)</f>
        <v>0</v>
      </c>
      <c r="E3068" s="17">
        <f t="shared" si="1"/>
        <v>227</v>
      </c>
      <c r="F3068" s="17">
        <f t="shared" si="2"/>
        <v>0</v>
      </c>
    </row>
    <row r="3069">
      <c r="A3069" s="5" t="s">
        <v>61</v>
      </c>
      <c r="B3069" s="6">
        <v>182.0</v>
      </c>
      <c r="C3069" s="13" t="s">
        <v>392</v>
      </c>
      <c r="D3069" s="17">
        <f>SUMIFS(ShadowLedger!$D:$D,ShadowLedger!$G:$G,A3069,ShadowLedger!$C:$C,"&gt;="&amp;DATE(LEFT(SUBSTITUTE(C3069,"'",""),4),MID(SUBSTITUTE(C3069,"'",""),6,2),1),ShadowLedger!$C:$C,"&lt;"&amp;EOMONTH(DATE(LEFT(SUBSTITUTE(C3069,"'",""),4),MID(SUBSTITUTE(C3069,"'",""),6,2),1),0)+1)</f>
        <v>0</v>
      </c>
      <c r="E3069" s="17">
        <f t="shared" si="1"/>
        <v>182</v>
      </c>
      <c r="F3069" s="17">
        <f t="shared" si="2"/>
        <v>0</v>
      </c>
    </row>
    <row r="3070">
      <c r="A3070" s="5" t="s">
        <v>62</v>
      </c>
      <c r="B3070" s="6">
        <v>182.0</v>
      </c>
      <c r="C3070" s="13" t="s">
        <v>392</v>
      </c>
      <c r="D3070" s="17">
        <f>SUMIFS(ShadowLedger!$D:$D,ShadowLedger!$G:$G,A3070,ShadowLedger!$C:$C,"&gt;="&amp;DATE(LEFT(SUBSTITUTE(C3070,"'",""),4),MID(SUBSTITUTE(C3070,"'",""),6,2),1),ShadowLedger!$C:$C,"&lt;"&amp;EOMONTH(DATE(LEFT(SUBSTITUTE(C3070,"'",""),4),MID(SUBSTITUTE(C3070,"'",""),6,2),1),0)+1)</f>
        <v>0</v>
      </c>
      <c r="E3070" s="17">
        <f t="shared" si="1"/>
        <v>182</v>
      </c>
      <c r="F3070" s="17">
        <f t="shared" si="2"/>
        <v>0</v>
      </c>
    </row>
    <row r="3071">
      <c r="A3071" s="5" t="s">
        <v>63</v>
      </c>
      <c r="B3071" s="6">
        <v>151.0</v>
      </c>
      <c r="C3071" s="13" t="s">
        <v>392</v>
      </c>
      <c r="D3071" s="17">
        <f>SUMIFS(ShadowLedger!$D:$D,ShadowLedger!$G:$G,A3071,ShadowLedger!$C:$C,"&gt;="&amp;DATE(LEFT(SUBSTITUTE(C3071,"'",""),4),MID(SUBSTITUTE(C3071,"'",""),6,2),1),ShadowLedger!$C:$C,"&lt;"&amp;EOMONTH(DATE(LEFT(SUBSTITUTE(C3071,"'",""),4),MID(SUBSTITUTE(C3071,"'",""),6,2),1),0)+1)</f>
        <v>0</v>
      </c>
      <c r="E3071" s="17">
        <f t="shared" si="1"/>
        <v>151</v>
      </c>
      <c r="F3071" s="17">
        <f t="shared" si="2"/>
        <v>0</v>
      </c>
    </row>
    <row r="3072">
      <c r="A3072" s="5" t="s">
        <v>64</v>
      </c>
      <c r="B3072" s="6">
        <v>151.0</v>
      </c>
      <c r="C3072" s="13" t="s">
        <v>392</v>
      </c>
      <c r="D3072" s="17">
        <f>SUMIFS(ShadowLedger!$D:$D,ShadowLedger!$G:$G,A3072,ShadowLedger!$C:$C,"&gt;="&amp;DATE(LEFT(SUBSTITUTE(C3072,"'",""),4),MID(SUBSTITUTE(C3072,"'",""),6,2),1),ShadowLedger!$C:$C,"&lt;"&amp;EOMONTH(DATE(LEFT(SUBSTITUTE(C3072,"'",""),4),MID(SUBSTITUTE(C3072,"'",""),6,2),1),0)+1)</f>
        <v>0</v>
      </c>
      <c r="E3072" s="17">
        <f t="shared" si="1"/>
        <v>151</v>
      </c>
      <c r="F3072" s="17">
        <f t="shared" si="2"/>
        <v>0</v>
      </c>
    </row>
    <row r="3073">
      <c r="A3073" s="5" t="s">
        <v>70</v>
      </c>
      <c r="B3073" s="6">
        <v>151.0</v>
      </c>
      <c r="C3073" s="13" t="s">
        <v>392</v>
      </c>
      <c r="D3073" s="17">
        <f>SUMIFS(ShadowLedger!$D:$D,ShadowLedger!$G:$G,A3073,ShadowLedger!$C:$C,"&gt;="&amp;DATE(LEFT(SUBSTITUTE(C3073,"'",""),4),MID(SUBSTITUTE(C3073,"'",""),6,2),1),ShadowLedger!$C:$C,"&lt;"&amp;EOMONTH(DATE(LEFT(SUBSTITUTE(C3073,"'",""),4),MID(SUBSTITUTE(C3073,"'",""),6,2),1),0)+1)</f>
        <v>0</v>
      </c>
      <c r="E3073" s="17">
        <f t="shared" si="1"/>
        <v>151</v>
      </c>
      <c r="F3073" s="17">
        <f t="shared" si="2"/>
        <v>0</v>
      </c>
    </row>
    <row r="3074">
      <c r="A3074" s="5" t="s">
        <v>65</v>
      </c>
      <c r="B3074" s="6">
        <v>76.0</v>
      </c>
      <c r="C3074" s="13" t="s">
        <v>392</v>
      </c>
      <c r="D3074" s="17">
        <f>SUMIFS(ShadowLedger!$D:$D,ShadowLedger!$G:$G,A3074,ShadowLedger!$C:$C,"&gt;="&amp;DATE(LEFT(SUBSTITUTE(C3074,"'",""),4),MID(SUBSTITUTE(C3074,"'",""),6,2),1),ShadowLedger!$C:$C,"&lt;"&amp;EOMONTH(DATE(LEFT(SUBSTITUTE(C3074,"'",""),4),MID(SUBSTITUTE(C3074,"'",""),6,2),1),0)+1)</f>
        <v>0</v>
      </c>
      <c r="E3074" s="17">
        <f t="shared" si="1"/>
        <v>76</v>
      </c>
      <c r="F3074" s="17">
        <f t="shared" si="2"/>
        <v>0</v>
      </c>
    </row>
    <row r="3075">
      <c r="A3075" s="5" t="s">
        <v>66</v>
      </c>
      <c r="B3075" s="6">
        <v>76.0</v>
      </c>
      <c r="C3075" s="13" t="s">
        <v>392</v>
      </c>
      <c r="D3075" s="17">
        <f>SUMIFS(ShadowLedger!$D:$D,ShadowLedger!$G:$G,A3075,ShadowLedger!$C:$C,"&gt;="&amp;DATE(LEFT(SUBSTITUTE(C3075,"'",""),4),MID(SUBSTITUTE(C3075,"'",""),6,2),1),ShadowLedger!$C:$C,"&lt;"&amp;EOMONTH(DATE(LEFT(SUBSTITUTE(C3075,"'",""),4),MID(SUBSTITUTE(C3075,"'",""),6,2),1),0)+1)</f>
        <v>0</v>
      </c>
      <c r="E3075" s="17">
        <f t="shared" si="1"/>
        <v>76</v>
      </c>
      <c r="F3075" s="17">
        <f t="shared" si="2"/>
        <v>0</v>
      </c>
    </row>
    <row r="3076">
      <c r="A3076" s="5" t="s">
        <v>67</v>
      </c>
      <c r="B3076" s="6">
        <v>76.0</v>
      </c>
      <c r="C3076" s="13" t="s">
        <v>392</v>
      </c>
      <c r="D3076" s="17">
        <f>SUMIFS(ShadowLedger!$D:$D,ShadowLedger!$G:$G,A3076,ShadowLedger!$C:$C,"&gt;="&amp;DATE(LEFT(SUBSTITUTE(C3076,"'",""),4),MID(SUBSTITUTE(C3076,"'",""),6,2),1),ShadowLedger!$C:$C,"&lt;"&amp;EOMONTH(DATE(LEFT(SUBSTITUTE(C3076,"'",""),4),MID(SUBSTITUTE(C3076,"'",""),6,2),1),0)+1)</f>
        <v>0</v>
      </c>
      <c r="E3076" s="17">
        <f t="shared" si="1"/>
        <v>76</v>
      </c>
      <c r="F3076" s="17">
        <f t="shared" si="2"/>
        <v>0</v>
      </c>
    </row>
    <row r="3077">
      <c r="A3077" s="5" t="s">
        <v>68</v>
      </c>
      <c r="B3077" s="6">
        <v>76.0</v>
      </c>
      <c r="C3077" s="13" t="s">
        <v>392</v>
      </c>
      <c r="D3077" s="17">
        <f>SUMIFS(ShadowLedger!$D:$D,ShadowLedger!$G:$G,A3077,ShadowLedger!$C:$C,"&gt;="&amp;DATE(LEFT(SUBSTITUTE(C3077,"'",""),4),MID(SUBSTITUTE(C3077,"'",""),6,2),1),ShadowLedger!$C:$C,"&lt;"&amp;EOMONTH(DATE(LEFT(SUBSTITUTE(C3077,"'",""),4),MID(SUBSTITUTE(C3077,"'",""),6,2),1),0)+1)</f>
        <v>0</v>
      </c>
      <c r="E3077" s="17">
        <f t="shared" si="1"/>
        <v>76</v>
      </c>
      <c r="F3077" s="17">
        <f t="shared" si="2"/>
        <v>0</v>
      </c>
    </row>
    <row r="3078">
      <c r="A3078" s="5" t="s">
        <v>69</v>
      </c>
      <c r="B3078" s="6">
        <v>0.0</v>
      </c>
      <c r="C3078" s="13" t="s">
        <v>392</v>
      </c>
      <c r="D3078" s="17">
        <f>SUMIFS(ShadowLedger!$D:$D,ShadowLedger!$G:$G,A3078,ShadowLedger!$C:$C,"&gt;="&amp;DATE(LEFT(SUBSTITUTE(C3078,"'",""),4),MID(SUBSTITUTE(C3078,"'",""),6,2),1),ShadowLedger!$C:$C,"&lt;"&amp;EOMONTH(DATE(LEFT(SUBSTITUTE(C3078,"'",""),4),MID(SUBSTITUTE(C3078,"'",""),6,2),1),0)+1)</f>
        <v>0</v>
      </c>
      <c r="E3078" s="17">
        <f t="shared" si="1"/>
        <v>0</v>
      </c>
      <c r="F3078" s="17">
        <f t="shared" si="2"/>
        <v>0</v>
      </c>
    </row>
    <row r="3079">
      <c r="A3079" s="5" t="s">
        <v>54</v>
      </c>
      <c r="B3079" s="6">
        <v>1433.0</v>
      </c>
      <c r="C3079" s="13" t="s">
        <v>393</v>
      </c>
      <c r="D3079" s="17">
        <f>SUMIFS(ShadowLedger!$D:$D,ShadowLedger!$G:$G,A3079,ShadowLedger!$C:$C,"&gt;="&amp;DATE(LEFT(SUBSTITUTE(C3079,"'",""),4),MID(SUBSTITUTE(C3079,"'",""),6,2),1),ShadowLedger!$C:$C,"&lt;"&amp;EOMONTH(DATE(LEFT(SUBSTITUTE(C3079,"'",""),4),MID(SUBSTITUTE(C3079,"'",""),6,2),1),0)+1)</f>
        <v>0</v>
      </c>
      <c r="E3079" s="17">
        <f t="shared" si="1"/>
        <v>1433</v>
      </c>
      <c r="F3079" s="17">
        <f t="shared" si="2"/>
        <v>0</v>
      </c>
    </row>
    <row r="3080">
      <c r="A3080" s="5" t="s">
        <v>55</v>
      </c>
      <c r="B3080" s="6">
        <v>1091.0</v>
      </c>
      <c r="C3080" s="13" t="s">
        <v>393</v>
      </c>
      <c r="D3080" s="17">
        <f>SUMIFS(ShadowLedger!$D:$D,ShadowLedger!$G:$G,A3080,ShadowLedger!$C:$C,"&gt;="&amp;DATE(LEFT(SUBSTITUTE(C3080,"'",""),4),MID(SUBSTITUTE(C3080,"'",""),6,2),1),ShadowLedger!$C:$C,"&lt;"&amp;EOMONTH(DATE(LEFT(SUBSTITUTE(C3080,"'",""),4),MID(SUBSTITUTE(C3080,"'",""),6,2),1),0)+1)</f>
        <v>0</v>
      </c>
      <c r="E3080" s="17">
        <f t="shared" si="1"/>
        <v>1091</v>
      </c>
      <c r="F3080" s="17">
        <f t="shared" si="2"/>
        <v>0</v>
      </c>
    </row>
    <row r="3081">
      <c r="A3081" s="5" t="s">
        <v>56</v>
      </c>
      <c r="B3081" s="6">
        <v>779.0</v>
      </c>
      <c r="C3081" s="13" t="s">
        <v>393</v>
      </c>
      <c r="D3081" s="17">
        <f>SUMIFS(ShadowLedger!$D:$D,ShadowLedger!$G:$G,A3081,ShadowLedger!$C:$C,"&gt;="&amp;DATE(LEFT(SUBSTITUTE(C3081,"'",""),4),MID(SUBSTITUTE(C3081,"'",""),6,2),1),ShadowLedger!$C:$C,"&lt;"&amp;EOMONTH(DATE(LEFT(SUBSTITUTE(C3081,"'",""),4),MID(SUBSTITUTE(C3081,"'",""),6,2),1),0)+1)</f>
        <v>0</v>
      </c>
      <c r="E3081" s="17">
        <f t="shared" si="1"/>
        <v>779</v>
      </c>
      <c r="F3081" s="17">
        <f t="shared" si="2"/>
        <v>0</v>
      </c>
    </row>
    <row r="3082">
      <c r="A3082" s="5" t="s">
        <v>57</v>
      </c>
      <c r="B3082" s="6">
        <v>779.0</v>
      </c>
      <c r="C3082" s="13" t="s">
        <v>393</v>
      </c>
      <c r="D3082" s="17">
        <f>SUMIFS(ShadowLedger!$D:$D,ShadowLedger!$G:$G,A3082,ShadowLedger!$C:$C,"&gt;="&amp;DATE(LEFT(SUBSTITUTE(C3082,"'",""),4),MID(SUBSTITUTE(C3082,"'",""),6,2),1),ShadowLedger!$C:$C,"&lt;"&amp;EOMONTH(DATE(LEFT(SUBSTITUTE(C3082,"'",""),4),MID(SUBSTITUTE(C3082,"'",""),6,2),1),0)+1)</f>
        <v>0</v>
      </c>
      <c r="E3082" s="17">
        <f t="shared" si="1"/>
        <v>779</v>
      </c>
      <c r="F3082" s="17">
        <f t="shared" si="2"/>
        <v>0</v>
      </c>
    </row>
    <row r="3083">
      <c r="A3083" s="5" t="s">
        <v>58</v>
      </c>
      <c r="B3083" s="6">
        <v>623.0</v>
      </c>
      <c r="C3083" s="13" t="s">
        <v>393</v>
      </c>
      <c r="D3083" s="17">
        <f>SUMIFS(ShadowLedger!$D:$D,ShadowLedger!$G:$G,A3083,ShadowLedger!$C:$C,"&gt;="&amp;DATE(LEFT(SUBSTITUTE(C3083,"'",""),4),MID(SUBSTITUTE(C3083,"'",""),6,2),1),ShadowLedger!$C:$C,"&lt;"&amp;EOMONTH(DATE(LEFT(SUBSTITUTE(C3083,"'",""),4),MID(SUBSTITUTE(C3083,"'",""),6,2),1),0)+1)</f>
        <v>0</v>
      </c>
      <c r="E3083" s="17">
        <f t="shared" si="1"/>
        <v>623</v>
      </c>
      <c r="F3083" s="17">
        <f t="shared" si="2"/>
        <v>0</v>
      </c>
    </row>
    <row r="3084">
      <c r="A3084" s="5" t="s">
        <v>59</v>
      </c>
      <c r="B3084" s="6">
        <v>312.0</v>
      </c>
      <c r="C3084" s="13" t="s">
        <v>393</v>
      </c>
      <c r="D3084" s="17">
        <f>SUMIFS(ShadowLedger!$D:$D,ShadowLedger!$G:$G,A3084,ShadowLedger!$C:$C,"&gt;="&amp;DATE(LEFT(SUBSTITUTE(C3084,"'",""),4),MID(SUBSTITUTE(C3084,"'",""),6,2),1),ShadowLedger!$C:$C,"&lt;"&amp;EOMONTH(DATE(LEFT(SUBSTITUTE(C3084,"'",""),4),MID(SUBSTITUTE(C3084,"'",""),6,2),1),0)+1)</f>
        <v>0</v>
      </c>
      <c r="E3084" s="17">
        <f t="shared" si="1"/>
        <v>312</v>
      </c>
      <c r="F3084" s="17">
        <f t="shared" si="2"/>
        <v>0</v>
      </c>
    </row>
    <row r="3085">
      <c r="A3085" s="5" t="s">
        <v>60</v>
      </c>
      <c r="B3085" s="6">
        <v>234.0</v>
      </c>
      <c r="C3085" s="13" t="s">
        <v>393</v>
      </c>
      <c r="D3085" s="17">
        <f>SUMIFS(ShadowLedger!$D:$D,ShadowLedger!$G:$G,A3085,ShadowLedger!$C:$C,"&gt;="&amp;DATE(LEFT(SUBSTITUTE(C3085,"'",""),4),MID(SUBSTITUTE(C3085,"'",""),6,2),1),ShadowLedger!$C:$C,"&lt;"&amp;EOMONTH(DATE(LEFT(SUBSTITUTE(C3085,"'",""),4),MID(SUBSTITUTE(C3085,"'",""),6,2),1),0)+1)</f>
        <v>0</v>
      </c>
      <c r="E3085" s="17">
        <f t="shared" si="1"/>
        <v>234</v>
      </c>
      <c r="F3085" s="17">
        <f t="shared" si="2"/>
        <v>0</v>
      </c>
    </row>
    <row r="3086">
      <c r="A3086" s="5" t="s">
        <v>61</v>
      </c>
      <c r="B3086" s="6">
        <v>187.0</v>
      </c>
      <c r="C3086" s="13" t="s">
        <v>393</v>
      </c>
      <c r="D3086" s="17">
        <f>SUMIFS(ShadowLedger!$D:$D,ShadowLedger!$G:$G,A3086,ShadowLedger!$C:$C,"&gt;="&amp;DATE(LEFT(SUBSTITUTE(C3086,"'",""),4),MID(SUBSTITUTE(C3086,"'",""),6,2),1),ShadowLedger!$C:$C,"&lt;"&amp;EOMONTH(DATE(LEFT(SUBSTITUTE(C3086,"'",""),4),MID(SUBSTITUTE(C3086,"'",""),6,2),1),0)+1)</f>
        <v>0</v>
      </c>
      <c r="E3086" s="17">
        <f t="shared" si="1"/>
        <v>187</v>
      </c>
      <c r="F3086" s="17">
        <f t="shared" si="2"/>
        <v>0</v>
      </c>
    </row>
    <row r="3087">
      <c r="A3087" s="5" t="s">
        <v>62</v>
      </c>
      <c r="B3087" s="6">
        <v>187.0</v>
      </c>
      <c r="C3087" s="13" t="s">
        <v>393</v>
      </c>
      <c r="D3087" s="17">
        <f>SUMIFS(ShadowLedger!$D:$D,ShadowLedger!$G:$G,A3087,ShadowLedger!$C:$C,"&gt;="&amp;DATE(LEFT(SUBSTITUTE(C3087,"'",""),4),MID(SUBSTITUTE(C3087,"'",""),6,2),1),ShadowLedger!$C:$C,"&lt;"&amp;EOMONTH(DATE(LEFT(SUBSTITUTE(C3087,"'",""),4),MID(SUBSTITUTE(C3087,"'",""),6,2),1),0)+1)</f>
        <v>0</v>
      </c>
      <c r="E3087" s="17">
        <f t="shared" si="1"/>
        <v>187</v>
      </c>
      <c r="F3087" s="17">
        <f t="shared" si="2"/>
        <v>0</v>
      </c>
    </row>
    <row r="3088">
      <c r="A3088" s="5" t="s">
        <v>63</v>
      </c>
      <c r="B3088" s="6">
        <v>156.0</v>
      </c>
      <c r="C3088" s="13" t="s">
        <v>393</v>
      </c>
      <c r="D3088" s="17">
        <f>SUMIFS(ShadowLedger!$D:$D,ShadowLedger!$G:$G,A3088,ShadowLedger!$C:$C,"&gt;="&amp;DATE(LEFT(SUBSTITUTE(C3088,"'",""),4),MID(SUBSTITUTE(C3088,"'",""),6,2),1),ShadowLedger!$C:$C,"&lt;"&amp;EOMONTH(DATE(LEFT(SUBSTITUTE(C3088,"'",""),4),MID(SUBSTITUTE(C3088,"'",""),6,2),1),0)+1)</f>
        <v>0</v>
      </c>
      <c r="E3088" s="17">
        <f t="shared" si="1"/>
        <v>156</v>
      </c>
      <c r="F3088" s="17">
        <f t="shared" si="2"/>
        <v>0</v>
      </c>
    </row>
    <row r="3089">
      <c r="A3089" s="5" t="s">
        <v>64</v>
      </c>
      <c r="B3089" s="6">
        <v>156.0</v>
      </c>
      <c r="C3089" s="13" t="s">
        <v>393</v>
      </c>
      <c r="D3089" s="17">
        <f>SUMIFS(ShadowLedger!$D:$D,ShadowLedger!$G:$G,A3089,ShadowLedger!$C:$C,"&gt;="&amp;DATE(LEFT(SUBSTITUTE(C3089,"'",""),4),MID(SUBSTITUTE(C3089,"'",""),6,2),1),ShadowLedger!$C:$C,"&lt;"&amp;EOMONTH(DATE(LEFT(SUBSTITUTE(C3089,"'",""),4),MID(SUBSTITUTE(C3089,"'",""),6,2),1),0)+1)</f>
        <v>0</v>
      </c>
      <c r="E3089" s="17">
        <f t="shared" si="1"/>
        <v>156</v>
      </c>
      <c r="F3089" s="17">
        <f t="shared" si="2"/>
        <v>0</v>
      </c>
    </row>
    <row r="3090">
      <c r="A3090" s="5" t="s">
        <v>70</v>
      </c>
      <c r="B3090" s="6">
        <v>156.0</v>
      </c>
      <c r="C3090" s="13" t="s">
        <v>393</v>
      </c>
      <c r="D3090" s="17">
        <f>SUMIFS(ShadowLedger!$D:$D,ShadowLedger!$G:$G,A3090,ShadowLedger!$C:$C,"&gt;="&amp;DATE(LEFT(SUBSTITUTE(C3090,"'",""),4),MID(SUBSTITUTE(C3090,"'",""),6,2),1),ShadowLedger!$C:$C,"&lt;"&amp;EOMONTH(DATE(LEFT(SUBSTITUTE(C3090,"'",""),4),MID(SUBSTITUTE(C3090,"'",""),6,2),1),0)+1)</f>
        <v>0</v>
      </c>
      <c r="E3090" s="17">
        <f t="shared" si="1"/>
        <v>156</v>
      </c>
      <c r="F3090" s="17">
        <f t="shared" si="2"/>
        <v>0</v>
      </c>
    </row>
    <row r="3091">
      <c r="A3091" s="5" t="s">
        <v>65</v>
      </c>
      <c r="B3091" s="6">
        <v>78.0</v>
      </c>
      <c r="C3091" s="13" t="s">
        <v>393</v>
      </c>
      <c r="D3091" s="17">
        <f>SUMIFS(ShadowLedger!$D:$D,ShadowLedger!$G:$G,A3091,ShadowLedger!$C:$C,"&gt;="&amp;DATE(LEFT(SUBSTITUTE(C3091,"'",""),4),MID(SUBSTITUTE(C3091,"'",""),6,2),1),ShadowLedger!$C:$C,"&lt;"&amp;EOMONTH(DATE(LEFT(SUBSTITUTE(C3091,"'",""),4),MID(SUBSTITUTE(C3091,"'",""),6,2),1),0)+1)</f>
        <v>0</v>
      </c>
      <c r="E3091" s="17">
        <f t="shared" si="1"/>
        <v>78</v>
      </c>
      <c r="F3091" s="17">
        <f t="shared" si="2"/>
        <v>0</v>
      </c>
    </row>
    <row r="3092">
      <c r="A3092" s="5" t="s">
        <v>66</v>
      </c>
      <c r="B3092" s="6">
        <v>78.0</v>
      </c>
      <c r="C3092" s="13" t="s">
        <v>393</v>
      </c>
      <c r="D3092" s="17">
        <f>SUMIFS(ShadowLedger!$D:$D,ShadowLedger!$G:$G,A3092,ShadowLedger!$C:$C,"&gt;="&amp;DATE(LEFT(SUBSTITUTE(C3092,"'",""),4),MID(SUBSTITUTE(C3092,"'",""),6,2),1),ShadowLedger!$C:$C,"&lt;"&amp;EOMONTH(DATE(LEFT(SUBSTITUTE(C3092,"'",""),4),MID(SUBSTITUTE(C3092,"'",""),6,2),1),0)+1)</f>
        <v>0</v>
      </c>
      <c r="E3092" s="17">
        <f t="shared" si="1"/>
        <v>78</v>
      </c>
      <c r="F3092" s="17">
        <f t="shared" si="2"/>
        <v>0</v>
      </c>
    </row>
    <row r="3093">
      <c r="A3093" s="5" t="s">
        <v>67</v>
      </c>
      <c r="B3093" s="6">
        <v>78.0</v>
      </c>
      <c r="C3093" s="13" t="s">
        <v>393</v>
      </c>
      <c r="D3093" s="17">
        <f>SUMIFS(ShadowLedger!$D:$D,ShadowLedger!$G:$G,A3093,ShadowLedger!$C:$C,"&gt;="&amp;DATE(LEFT(SUBSTITUTE(C3093,"'",""),4),MID(SUBSTITUTE(C3093,"'",""),6,2),1),ShadowLedger!$C:$C,"&lt;"&amp;EOMONTH(DATE(LEFT(SUBSTITUTE(C3093,"'",""),4),MID(SUBSTITUTE(C3093,"'",""),6,2),1),0)+1)</f>
        <v>0</v>
      </c>
      <c r="E3093" s="17">
        <f t="shared" si="1"/>
        <v>78</v>
      </c>
      <c r="F3093" s="17">
        <f t="shared" si="2"/>
        <v>0</v>
      </c>
    </row>
    <row r="3094">
      <c r="A3094" s="5" t="s">
        <v>68</v>
      </c>
      <c r="B3094" s="6">
        <v>78.0</v>
      </c>
      <c r="C3094" s="13" t="s">
        <v>393</v>
      </c>
      <c r="D3094" s="17">
        <f>SUMIFS(ShadowLedger!$D:$D,ShadowLedger!$G:$G,A3094,ShadowLedger!$C:$C,"&gt;="&amp;DATE(LEFT(SUBSTITUTE(C3094,"'",""),4),MID(SUBSTITUTE(C3094,"'",""),6,2),1),ShadowLedger!$C:$C,"&lt;"&amp;EOMONTH(DATE(LEFT(SUBSTITUTE(C3094,"'",""),4),MID(SUBSTITUTE(C3094,"'",""),6,2),1),0)+1)</f>
        <v>0</v>
      </c>
      <c r="E3094" s="17">
        <f t="shared" si="1"/>
        <v>78</v>
      </c>
      <c r="F3094" s="17">
        <f t="shared" si="2"/>
        <v>0</v>
      </c>
    </row>
    <row r="3095">
      <c r="A3095" s="5" t="s">
        <v>69</v>
      </c>
      <c r="B3095" s="6">
        <v>0.0</v>
      </c>
      <c r="C3095" s="13" t="s">
        <v>393</v>
      </c>
      <c r="D3095" s="17">
        <f>SUMIFS(ShadowLedger!$D:$D,ShadowLedger!$G:$G,A3095,ShadowLedger!$C:$C,"&gt;="&amp;DATE(LEFT(SUBSTITUTE(C3095,"'",""),4),MID(SUBSTITUTE(C3095,"'",""),6,2),1),ShadowLedger!$C:$C,"&lt;"&amp;EOMONTH(DATE(LEFT(SUBSTITUTE(C3095,"'",""),4),MID(SUBSTITUTE(C3095,"'",""),6,2),1),0)+1)</f>
        <v>0</v>
      </c>
      <c r="E3095" s="17">
        <f t="shared" si="1"/>
        <v>0</v>
      </c>
      <c r="F3095" s="17">
        <f t="shared" si="2"/>
        <v>0</v>
      </c>
    </row>
    <row r="3096">
      <c r="A3096" s="5" t="s">
        <v>54</v>
      </c>
      <c r="B3096" s="6">
        <v>1433.0</v>
      </c>
      <c r="C3096" s="13" t="s">
        <v>394</v>
      </c>
      <c r="D3096" s="17">
        <f>SUMIFS(ShadowLedger!$D:$D,ShadowLedger!$G:$G,A3096,ShadowLedger!$C:$C,"&gt;="&amp;DATE(LEFT(SUBSTITUTE(C3096,"'",""),4),MID(SUBSTITUTE(C3096,"'",""),6,2),1),ShadowLedger!$C:$C,"&lt;"&amp;EOMONTH(DATE(LEFT(SUBSTITUTE(C3096,"'",""),4),MID(SUBSTITUTE(C3096,"'",""),6,2),1),0)+1)</f>
        <v>0</v>
      </c>
      <c r="E3096" s="17">
        <f t="shared" si="1"/>
        <v>1433</v>
      </c>
      <c r="F3096" s="17">
        <f t="shared" si="2"/>
        <v>0</v>
      </c>
    </row>
    <row r="3097">
      <c r="A3097" s="5" t="s">
        <v>55</v>
      </c>
      <c r="B3097" s="6">
        <v>1091.0</v>
      </c>
      <c r="C3097" s="13" t="s">
        <v>394</v>
      </c>
      <c r="D3097" s="17">
        <f>SUMIFS(ShadowLedger!$D:$D,ShadowLedger!$G:$G,A3097,ShadowLedger!$C:$C,"&gt;="&amp;DATE(LEFT(SUBSTITUTE(C3097,"'",""),4),MID(SUBSTITUTE(C3097,"'",""),6,2),1),ShadowLedger!$C:$C,"&lt;"&amp;EOMONTH(DATE(LEFT(SUBSTITUTE(C3097,"'",""),4),MID(SUBSTITUTE(C3097,"'",""),6,2),1),0)+1)</f>
        <v>0</v>
      </c>
      <c r="E3097" s="17">
        <f t="shared" si="1"/>
        <v>1091</v>
      </c>
      <c r="F3097" s="17">
        <f t="shared" si="2"/>
        <v>0</v>
      </c>
    </row>
    <row r="3098">
      <c r="A3098" s="5" t="s">
        <v>56</v>
      </c>
      <c r="B3098" s="6">
        <v>779.0</v>
      </c>
      <c r="C3098" s="13" t="s">
        <v>394</v>
      </c>
      <c r="D3098" s="17">
        <f>SUMIFS(ShadowLedger!$D:$D,ShadowLedger!$G:$G,A3098,ShadowLedger!$C:$C,"&gt;="&amp;DATE(LEFT(SUBSTITUTE(C3098,"'",""),4),MID(SUBSTITUTE(C3098,"'",""),6,2),1),ShadowLedger!$C:$C,"&lt;"&amp;EOMONTH(DATE(LEFT(SUBSTITUTE(C3098,"'",""),4),MID(SUBSTITUTE(C3098,"'",""),6,2),1),0)+1)</f>
        <v>0</v>
      </c>
      <c r="E3098" s="17">
        <f t="shared" si="1"/>
        <v>779</v>
      </c>
      <c r="F3098" s="17">
        <f t="shared" si="2"/>
        <v>0</v>
      </c>
    </row>
    <row r="3099">
      <c r="A3099" s="5" t="s">
        <v>57</v>
      </c>
      <c r="B3099" s="6">
        <v>779.0</v>
      </c>
      <c r="C3099" s="13" t="s">
        <v>394</v>
      </c>
      <c r="D3099" s="17">
        <f>SUMIFS(ShadowLedger!$D:$D,ShadowLedger!$G:$G,A3099,ShadowLedger!$C:$C,"&gt;="&amp;DATE(LEFT(SUBSTITUTE(C3099,"'",""),4),MID(SUBSTITUTE(C3099,"'",""),6,2),1),ShadowLedger!$C:$C,"&lt;"&amp;EOMONTH(DATE(LEFT(SUBSTITUTE(C3099,"'",""),4),MID(SUBSTITUTE(C3099,"'",""),6,2),1),0)+1)</f>
        <v>0</v>
      </c>
      <c r="E3099" s="17">
        <f t="shared" si="1"/>
        <v>779</v>
      </c>
      <c r="F3099" s="17">
        <f t="shared" si="2"/>
        <v>0</v>
      </c>
    </row>
    <row r="3100">
      <c r="A3100" s="5" t="s">
        <v>58</v>
      </c>
      <c r="B3100" s="6">
        <v>623.0</v>
      </c>
      <c r="C3100" s="13" t="s">
        <v>394</v>
      </c>
      <c r="D3100" s="17">
        <f>SUMIFS(ShadowLedger!$D:$D,ShadowLedger!$G:$G,A3100,ShadowLedger!$C:$C,"&gt;="&amp;DATE(LEFT(SUBSTITUTE(C3100,"'",""),4),MID(SUBSTITUTE(C3100,"'",""),6,2),1),ShadowLedger!$C:$C,"&lt;"&amp;EOMONTH(DATE(LEFT(SUBSTITUTE(C3100,"'",""),4),MID(SUBSTITUTE(C3100,"'",""),6,2),1),0)+1)</f>
        <v>0</v>
      </c>
      <c r="E3100" s="17">
        <f t="shared" si="1"/>
        <v>623</v>
      </c>
      <c r="F3100" s="17">
        <f t="shared" si="2"/>
        <v>0</v>
      </c>
    </row>
    <row r="3101">
      <c r="A3101" s="5" t="s">
        <v>59</v>
      </c>
      <c r="B3101" s="6">
        <v>312.0</v>
      </c>
      <c r="C3101" s="13" t="s">
        <v>394</v>
      </c>
      <c r="D3101" s="17">
        <f>SUMIFS(ShadowLedger!$D:$D,ShadowLedger!$G:$G,A3101,ShadowLedger!$C:$C,"&gt;="&amp;DATE(LEFT(SUBSTITUTE(C3101,"'",""),4),MID(SUBSTITUTE(C3101,"'",""),6,2),1),ShadowLedger!$C:$C,"&lt;"&amp;EOMONTH(DATE(LEFT(SUBSTITUTE(C3101,"'",""),4),MID(SUBSTITUTE(C3101,"'",""),6,2),1),0)+1)</f>
        <v>0</v>
      </c>
      <c r="E3101" s="17">
        <f t="shared" si="1"/>
        <v>312</v>
      </c>
      <c r="F3101" s="17">
        <f t="shared" si="2"/>
        <v>0</v>
      </c>
    </row>
    <row r="3102">
      <c r="A3102" s="5" t="s">
        <v>60</v>
      </c>
      <c r="B3102" s="6">
        <v>234.0</v>
      </c>
      <c r="C3102" s="13" t="s">
        <v>394</v>
      </c>
      <c r="D3102" s="17">
        <f>SUMIFS(ShadowLedger!$D:$D,ShadowLedger!$G:$G,A3102,ShadowLedger!$C:$C,"&gt;="&amp;DATE(LEFT(SUBSTITUTE(C3102,"'",""),4),MID(SUBSTITUTE(C3102,"'",""),6,2),1),ShadowLedger!$C:$C,"&lt;"&amp;EOMONTH(DATE(LEFT(SUBSTITUTE(C3102,"'",""),4),MID(SUBSTITUTE(C3102,"'",""),6,2),1),0)+1)</f>
        <v>0</v>
      </c>
      <c r="E3102" s="17">
        <f t="shared" si="1"/>
        <v>234</v>
      </c>
      <c r="F3102" s="17">
        <f t="shared" si="2"/>
        <v>0</v>
      </c>
    </row>
    <row r="3103">
      <c r="A3103" s="5" t="s">
        <v>61</v>
      </c>
      <c r="B3103" s="6">
        <v>187.0</v>
      </c>
      <c r="C3103" s="13" t="s">
        <v>394</v>
      </c>
      <c r="D3103" s="17">
        <f>SUMIFS(ShadowLedger!$D:$D,ShadowLedger!$G:$G,A3103,ShadowLedger!$C:$C,"&gt;="&amp;DATE(LEFT(SUBSTITUTE(C3103,"'",""),4),MID(SUBSTITUTE(C3103,"'",""),6,2),1),ShadowLedger!$C:$C,"&lt;"&amp;EOMONTH(DATE(LEFT(SUBSTITUTE(C3103,"'",""),4),MID(SUBSTITUTE(C3103,"'",""),6,2),1),0)+1)</f>
        <v>0</v>
      </c>
      <c r="E3103" s="17">
        <f t="shared" si="1"/>
        <v>187</v>
      </c>
      <c r="F3103" s="17">
        <f t="shared" si="2"/>
        <v>0</v>
      </c>
    </row>
    <row r="3104">
      <c r="A3104" s="5" t="s">
        <v>62</v>
      </c>
      <c r="B3104" s="6">
        <v>187.0</v>
      </c>
      <c r="C3104" s="13" t="s">
        <v>394</v>
      </c>
      <c r="D3104" s="17">
        <f>SUMIFS(ShadowLedger!$D:$D,ShadowLedger!$G:$G,A3104,ShadowLedger!$C:$C,"&gt;="&amp;DATE(LEFT(SUBSTITUTE(C3104,"'",""),4),MID(SUBSTITUTE(C3104,"'",""),6,2),1),ShadowLedger!$C:$C,"&lt;"&amp;EOMONTH(DATE(LEFT(SUBSTITUTE(C3104,"'",""),4),MID(SUBSTITUTE(C3104,"'",""),6,2),1),0)+1)</f>
        <v>0</v>
      </c>
      <c r="E3104" s="17">
        <f t="shared" si="1"/>
        <v>187</v>
      </c>
      <c r="F3104" s="17">
        <f t="shared" si="2"/>
        <v>0</v>
      </c>
    </row>
    <row r="3105">
      <c r="A3105" s="5" t="s">
        <v>63</v>
      </c>
      <c r="B3105" s="6">
        <v>156.0</v>
      </c>
      <c r="C3105" s="13" t="s">
        <v>394</v>
      </c>
      <c r="D3105" s="17">
        <f>SUMIFS(ShadowLedger!$D:$D,ShadowLedger!$G:$G,A3105,ShadowLedger!$C:$C,"&gt;="&amp;DATE(LEFT(SUBSTITUTE(C3105,"'",""),4),MID(SUBSTITUTE(C3105,"'",""),6,2),1),ShadowLedger!$C:$C,"&lt;"&amp;EOMONTH(DATE(LEFT(SUBSTITUTE(C3105,"'",""),4),MID(SUBSTITUTE(C3105,"'",""),6,2),1),0)+1)</f>
        <v>0</v>
      </c>
      <c r="E3105" s="17">
        <f t="shared" si="1"/>
        <v>156</v>
      </c>
      <c r="F3105" s="17">
        <f t="shared" si="2"/>
        <v>0</v>
      </c>
    </row>
    <row r="3106">
      <c r="A3106" s="5" t="s">
        <v>64</v>
      </c>
      <c r="B3106" s="6">
        <v>156.0</v>
      </c>
      <c r="C3106" s="13" t="s">
        <v>394</v>
      </c>
      <c r="D3106" s="17">
        <f>SUMIFS(ShadowLedger!$D:$D,ShadowLedger!$G:$G,A3106,ShadowLedger!$C:$C,"&gt;="&amp;DATE(LEFT(SUBSTITUTE(C3106,"'",""),4),MID(SUBSTITUTE(C3106,"'",""),6,2),1),ShadowLedger!$C:$C,"&lt;"&amp;EOMONTH(DATE(LEFT(SUBSTITUTE(C3106,"'",""),4),MID(SUBSTITUTE(C3106,"'",""),6,2),1),0)+1)</f>
        <v>0</v>
      </c>
      <c r="E3106" s="17">
        <f t="shared" si="1"/>
        <v>156</v>
      </c>
      <c r="F3106" s="17">
        <f t="shared" si="2"/>
        <v>0</v>
      </c>
    </row>
    <row r="3107">
      <c r="A3107" s="5" t="s">
        <v>70</v>
      </c>
      <c r="B3107" s="6">
        <v>156.0</v>
      </c>
      <c r="C3107" s="13" t="s">
        <v>394</v>
      </c>
      <c r="D3107" s="17">
        <f>SUMIFS(ShadowLedger!$D:$D,ShadowLedger!$G:$G,A3107,ShadowLedger!$C:$C,"&gt;="&amp;DATE(LEFT(SUBSTITUTE(C3107,"'",""),4),MID(SUBSTITUTE(C3107,"'",""),6,2),1),ShadowLedger!$C:$C,"&lt;"&amp;EOMONTH(DATE(LEFT(SUBSTITUTE(C3107,"'",""),4),MID(SUBSTITUTE(C3107,"'",""),6,2),1),0)+1)</f>
        <v>0</v>
      </c>
      <c r="E3107" s="17">
        <f t="shared" si="1"/>
        <v>156</v>
      </c>
      <c r="F3107" s="17">
        <f t="shared" si="2"/>
        <v>0</v>
      </c>
    </row>
    <row r="3108">
      <c r="A3108" s="5" t="s">
        <v>65</v>
      </c>
      <c r="B3108" s="6">
        <v>78.0</v>
      </c>
      <c r="C3108" s="13" t="s">
        <v>394</v>
      </c>
      <c r="D3108" s="17">
        <f>SUMIFS(ShadowLedger!$D:$D,ShadowLedger!$G:$G,A3108,ShadowLedger!$C:$C,"&gt;="&amp;DATE(LEFT(SUBSTITUTE(C3108,"'",""),4),MID(SUBSTITUTE(C3108,"'",""),6,2),1),ShadowLedger!$C:$C,"&lt;"&amp;EOMONTH(DATE(LEFT(SUBSTITUTE(C3108,"'",""),4),MID(SUBSTITUTE(C3108,"'",""),6,2),1),0)+1)</f>
        <v>0</v>
      </c>
      <c r="E3108" s="17">
        <f t="shared" si="1"/>
        <v>78</v>
      </c>
      <c r="F3108" s="17">
        <f t="shared" si="2"/>
        <v>0</v>
      </c>
    </row>
    <row r="3109">
      <c r="A3109" s="5" t="s">
        <v>66</v>
      </c>
      <c r="B3109" s="6">
        <v>78.0</v>
      </c>
      <c r="C3109" s="13" t="s">
        <v>394</v>
      </c>
      <c r="D3109" s="17">
        <f>SUMIFS(ShadowLedger!$D:$D,ShadowLedger!$G:$G,A3109,ShadowLedger!$C:$C,"&gt;="&amp;DATE(LEFT(SUBSTITUTE(C3109,"'",""),4),MID(SUBSTITUTE(C3109,"'",""),6,2),1),ShadowLedger!$C:$C,"&lt;"&amp;EOMONTH(DATE(LEFT(SUBSTITUTE(C3109,"'",""),4),MID(SUBSTITUTE(C3109,"'",""),6,2),1),0)+1)</f>
        <v>0</v>
      </c>
      <c r="E3109" s="17">
        <f t="shared" si="1"/>
        <v>78</v>
      </c>
      <c r="F3109" s="17">
        <f t="shared" si="2"/>
        <v>0</v>
      </c>
    </row>
    <row r="3110">
      <c r="A3110" s="5" t="s">
        <v>67</v>
      </c>
      <c r="B3110" s="6">
        <v>78.0</v>
      </c>
      <c r="C3110" s="13" t="s">
        <v>394</v>
      </c>
      <c r="D3110" s="17">
        <f>SUMIFS(ShadowLedger!$D:$D,ShadowLedger!$G:$G,A3110,ShadowLedger!$C:$C,"&gt;="&amp;DATE(LEFT(SUBSTITUTE(C3110,"'",""),4),MID(SUBSTITUTE(C3110,"'",""),6,2),1),ShadowLedger!$C:$C,"&lt;"&amp;EOMONTH(DATE(LEFT(SUBSTITUTE(C3110,"'",""),4),MID(SUBSTITUTE(C3110,"'",""),6,2),1),0)+1)</f>
        <v>0</v>
      </c>
      <c r="E3110" s="17">
        <f t="shared" si="1"/>
        <v>78</v>
      </c>
      <c r="F3110" s="17">
        <f t="shared" si="2"/>
        <v>0</v>
      </c>
    </row>
    <row r="3111">
      <c r="A3111" s="5" t="s">
        <v>68</v>
      </c>
      <c r="B3111" s="6">
        <v>78.0</v>
      </c>
      <c r="C3111" s="13" t="s">
        <v>394</v>
      </c>
      <c r="D3111" s="17">
        <f>SUMIFS(ShadowLedger!$D:$D,ShadowLedger!$G:$G,A3111,ShadowLedger!$C:$C,"&gt;="&amp;DATE(LEFT(SUBSTITUTE(C3111,"'",""),4),MID(SUBSTITUTE(C3111,"'",""),6,2),1),ShadowLedger!$C:$C,"&lt;"&amp;EOMONTH(DATE(LEFT(SUBSTITUTE(C3111,"'",""),4),MID(SUBSTITUTE(C3111,"'",""),6,2),1),0)+1)</f>
        <v>0</v>
      </c>
      <c r="E3111" s="17">
        <f t="shared" si="1"/>
        <v>78</v>
      </c>
      <c r="F3111" s="17">
        <f t="shared" si="2"/>
        <v>0</v>
      </c>
    </row>
    <row r="3112">
      <c r="A3112" s="5" t="s">
        <v>69</v>
      </c>
      <c r="B3112" s="6">
        <v>0.0</v>
      </c>
      <c r="C3112" s="13" t="s">
        <v>394</v>
      </c>
      <c r="D3112" s="17">
        <f>SUMIFS(ShadowLedger!$D:$D,ShadowLedger!$G:$G,A3112,ShadowLedger!$C:$C,"&gt;="&amp;DATE(LEFT(SUBSTITUTE(C3112,"'",""),4),MID(SUBSTITUTE(C3112,"'",""),6,2),1),ShadowLedger!$C:$C,"&lt;"&amp;EOMONTH(DATE(LEFT(SUBSTITUTE(C3112,"'",""),4),MID(SUBSTITUTE(C3112,"'",""),6,2),1),0)+1)</f>
        <v>0</v>
      </c>
      <c r="E3112" s="17">
        <f t="shared" si="1"/>
        <v>0</v>
      </c>
      <c r="F3112" s="17">
        <f t="shared" si="2"/>
        <v>0</v>
      </c>
    </row>
    <row r="3113">
      <c r="A3113" s="5" t="s">
        <v>54</v>
      </c>
      <c r="B3113" s="6">
        <v>1433.0</v>
      </c>
      <c r="C3113" s="13" t="s">
        <v>395</v>
      </c>
      <c r="D3113" s="17">
        <f>SUMIFS(ShadowLedger!$D:$D,ShadowLedger!$G:$G,A3113,ShadowLedger!$C:$C,"&gt;="&amp;DATE(LEFT(SUBSTITUTE(C3113,"'",""),4),MID(SUBSTITUTE(C3113,"'",""),6,2),1),ShadowLedger!$C:$C,"&lt;"&amp;EOMONTH(DATE(LEFT(SUBSTITUTE(C3113,"'",""),4),MID(SUBSTITUTE(C3113,"'",""),6,2),1),0)+1)</f>
        <v>0</v>
      </c>
      <c r="E3113" s="17">
        <f t="shared" si="1"/>
        <v>1433</v>
      </c>
      <c r="F3113" s="17">
        <f t="shared" si="2"/>
        <v>0</v>
      </c>
    </row>
    <row r="3114">
      <c r="A3114" s="5" t="s">
        <v>55</v>
      </c>
      <c r="B3114" s="6">
        <v>1091.0</v>
      </c>
      <c r="C3114" s="13" t="s">
        <v>395</v>
      </c>
      <c r="D3114" s="17">
        <f>SUMIFS(ShadowLedger!$D:$D,ShadowLedger!$G:$G,A3114,ShadowLedger!$C:$C,"&gt;="&amp;DATE(LEFT(SUBSTITUTE(C3114,"'",""),4),MID(SUBSTITUTE(C3114,"'",""),6,2),1),ShadowLedger!$C:$C,"&lt;"&amp;EOMONTH(DATE(LEFT(SUBSTITUTE(C3114,"'",""),4),MID(SUBSTITUTE(C3114,"'",""),6,2),1),0)+1)</f>
        <v>0</v>
      </c>
      <c r="E3114" s="17">
        <f t="shared" si="1"/>
        <v>1091</v>
      </c>
      <c r="F3114" s="17">
        <f t="shared" si="2"/>
        <v>0</v>
      </c>
    </row>
    <row r="3115">
      <c r="A3115" s="5" t="s">
        <v>56</v>
      </c>
      <c r="B3115" s="6">
        <v>779.0</v>
      </c>
      <c r="C3115" s="13" t="s">
        <v>395</v>
      </c>
      <c r="D3115" s="17">
        <f>SUMIFS(ShadowLedger!$D:$D,ShadowLedger!$G:$G,A3115,ShadowLedger!$C:$C,"&gt;="&amp;DATE(LEFT(SUBSTITUTE(C3115,"'",""),4),MID(SUBSTITUTE(C3115,"'",""),6,2),1),ShadowLedger!$C:$C,"&lt;"&amp;EOMONTH(DATE(LEFT(SUBSTITUTE(C3115,"'",""),4),MID(SUBSTITUTE(C3115,"'",""),6,2),1),0)+1)</f>
        <v>0</v>
      </c>
      <c r="E3115" s="17">
        <f t="shared" si="1"/>
        <v>779</v>
      </c>
      <c r="F3115" s="17">
        <f t="shared" si="2"/>
        <v>0</v>
      </c>
    </row>
    <row r="3116">
      <c r="A3116" s="5" t="s">
        <v>57</v>
      </c>
      <c r="B3116" s="6">
        <v>779.0</v>
      </c>
      <c r="C3116" s="13" t="s">
        <v>395</v>
      </c>
      <c r="D3116" s="17">
        <f>SUMIFS(ShadowLedger!$D:$D,ShadowLedger!$G:$G,A3116,ShadowLedger!$C:$C,"&gt;="&amp;DATE(LEFT(SUBSTITUTE(C3116,"'",""),4),MID(SUBSTITUTE(C3116,"'",""),6,2),1),ShadowLedger!$C:$C,"&lt;"&amp;EOMONTH(DATE(LEFT(SUBSTITUTE(C3116,"'",""),4),MID(SUBSTITUTE(C3116,"'",""),6,2),1),0)+1)</f>
        <v>0</v>
      </c>
      <c r="E3116" s="17">
        <f t="shared" si="1"/>
        <v>779</v>
      </c>
      <c r="F3116" s="17">
        <f t="shared" si="2"/>
        <v>0</v>
      </c>
    </row>
    <row r="3117">
      <c r="A3117" s="5" t="s">
        <v>58</v>
      </c>
      <c r="B3117" s="6">
        <v>623.0</v>
      </c>
      <c r="C3117" s="13" t="s">
        <v>395</v>
      </c>
      <c r="D3117" s="17">
        <f>SUMIFS(ShadowLedger!$D:$D,ShadowLedger!$G:$G,A3117,ShadowLedger!$C:$C,"&gt;="&amp;DATE(LEFT(SUBSTITUTE(C3117,"'",""),4),MID(SUBSTITUTE(C3117,"'",""),6,2),1),ShadowLedger!$C:$C,"&lt;"&amp;EOMONTH(DATE(LEFT(SUBSTITUTE(C3117,"'",""),4),MID(SUBSTITUTE(C3117,"'",""),6,2),1),0)+1)</f>
        <v>0</v>
      </c>
      <c r="E3117" s="17">
        <f t="shared" si="1"/>
        <v>623</v>
      </c>
      <c r="F3117" s="17">
        <f t="shared" si="2"/>
        <v>0</v>
      </c>
    </row>
    <row r="3118">
      <c r="A3118" s="5" t="s">
        <v>59</v>
      </c>
      <c r="B3118" s="6">
        <v>312.0</v>
      </c>
      <c r="C3118" s="13" t="s">
        <v>395</v>
      </c>
      <c r="D3118" s="17">
        <f>SUMIFS(ShadowLedger!$D:$D,ShadowLedger!$G:$G,A3118,ShadowLedger!$C:$C,"&gt;="&amp;DATE(LEFT(SUBSTITUTE(C3118,"'",""),4),MID(SUBSTITUTE(C3118,"'",""),6,2),1),ShadowLedger!$C:$C,"&lt;"&amp;EOMONTH(DATE(LEFT(SUBSTITUTE(C3118,"'",""),4),MID(SUBSTITUTE(C3118,"'",""),6,2),1),0)+1)</f>
        <v>0</v>
      </c>
      <c r="E3118" s="17">
        <f t="shared" si="1"/>
        <v>312</v>
      </c>
      <c r="F3118" s="17">
        <f t="shared" si="2"/>
        <v>0</v>
      </c>
    </row>
    <row r="3119">
      <c r="A3119" s="5" t="s">
        <v>60</v>
      </c>
      <c r="B3119" s="6">
        <v>234.0</v>
      </c>
      <c r="C3119" s="13" t="s">
        <v>395</v>
      </c>
      <c r="D3119" s="17">
        <f>SUMIFS(ShadowLedger!$D:$D,ShadowLedger!$G:$G,A3119,ShadowLedger!$C:$C,"&gt;="&amp;DATE(LEFT(SUBSTITUTE(C3119,"'",""),4),MID(SUBSTITUTE(C3119,"'",""),6,2),1),ShadowLedger!$C:$C,"&lt;"&amp;EOMONTH(DATE(LEFT(SUBSTITUTE(C3119,"'",""),4),MID(SUBSTITUTE(C3119,"'",""),6,2),1),0)+1)</f>
        <v>0</v>
      </c>
      <c r="E3119" s="17">
        <f t="shared" si="1"/>
        <v>234</v>
      </c>
      <c r="F3119" s="17">
        <f t="shared" si="2"/>
        <v>0</v>
      </c>
    </row>
    <row r="3120">
      <c r="A3120" s="5" t="s">
        <v>61</v>
      </c>
      <c r="B3120" s="6">
        <v>187.0</v>
      </c>
      <c r="C3120" s="13" t="s">
        <v>395</v>
      </c>
      <c r="D3120" s="17">
        <f>SUMIFS(ShadowLedger!$D:$D,ShadowLedger!$G:$G,A3120,ShadowLedger!$C:$C,"&gt;="&amp;DATE(LEFT(SUBSTITUTE(C3120,"'",""),4),MID(SUBSTITUTE(C3120,"'",""),6,2),1),ShadowLedger!$C:$C,"&lt;"&amp;EOMONTH(DATE(LEFT(SUBSTITUTE(C3120,"'",""),4),MID(SUBSTITUTE(C3120,"'",""),6,2),1),0)+1)</f>
        <v>0</v>
      </c>
      <c r="E3120" s="17">
        <f t="shared" si="1"/>
        <v>187</v>
      </c>
      <c r="F3120" s="17">
        <f t="shared" si="2"/>
        <v>0</v>
      </c>
    </row>
    <row r="3121">
      <c r="A3121" s="5" t="s">
        <v>62</v>
      </c>
      <c r="B3121" s="6">
        <v>187.0</v>
      </c>
      <c r="C3121" s="13" t="s">
        <v>395</v>
      </c>
      <c r="D3121" s="17">
        <f>SUMIFS(ShadowLedger!$D:$D,ShadowLedger!$G:$G,A3121,ShadowLedger!$C:$C,"&gt;="&amp;DATE(LEFT(SUBSTITUTE(C3121,"'",""),4),MID(SUBSTITUTE(C3121,"'",""),6,2),1),ShadowLedger!$C:$C,"&lt;"&amp;EOMONTH(DATE(LEFT(SUBSTITUTE(C3121,"'",""),4),MID(SUBSTITUTE(C3121,"'",""),6,2),1),0)+1)</f>
        <v>0</v>
      </c>
      <c r="E3121" s="17">
        <f t="shared" si="1"/>
        <v>187</v>
      </c>
      <c r="F3121" s="17">
        <f t="shared" si="2"/>
        <v>0</v>
      </c>
    </row>
    <row r="3122">
      <c r="A3122" s="5" t="s">
        <v>63</v>
      </c>
      <c r="B3122" s="6">
        <v>156.0</v>
      </c>
      <c r="C3122" s="13" t="s">
        <v>395</v>
      </c>
      <c r="D3122" s="17">
        <f>SUMIFS(ShadowLedger!$D:$D,ShadowLedger!$G:$G,A3122,ShadowLedger!$C:$C,"&gt;="&amp;DATE(LEFT(SUBSTITUTE(C3122,"'",""),4),MID(SUBSTITUTE(C3122,"'",""),6,2),1),ShadowLedger!$C:$C,"&lt;"&amp;EOMONTH(DATE(LEFT(SUBSTITUTE(C3122,"'",""),4),MID(SUBSTITUTE(C3122,"'",""),6,2),1),0)+1)</f>
        <v>0</v>
      </c>
      <c r="E3122" s="17">
        <f t="shared" si="1"/>
        <v>156</v>
      </c>
      <c r="F3122" s="17">
        <f t="shared" si="2"/>
        <v>0</v>
      </c>
    </row>
    <row r="3123">
      <c r="A3123" s="5" t="s">
        <v>64</v>
      </c>
      <c r="B3123" s="6">
        <v>156.0</v>
      </c>
      <c r="C3123" s="13" t="s">
        <v>395</v>
      </c>
      <c r="D3123" s="17">
        <f>SUMIFS(ShadowLedger!$D:$D,ShadowLedger!$G:$G,A3123,ShadowLedger!$C:$C,"&gt;="&amp;DATE(LEFT(SUBSTITUTE(C3123,"'",""),4),MID(SUBSTITUTE(C3123,"'",""),6,2),1),ShadowLedger!$C:$C,"&lt;"&amp;EOMONTH(DATE(LEFT(SUBSTITUTE(C3123,"'",""),4),MID(SUBSTITUTE(C3123,"'",""),6,2),1),0)+1)</f>
        <v>0</v>
      </c>
      <c r="E3123" s="17">
        <f t="shared" si="1"/>
        <v>156</v>
      </c>
      <c r="F3123" s="17">
        <f t="shared" si="2"/>
        <v>0</v>
      </c>
    </row>
    <row r="3124">
      <c r="A3124" s="5" t="s">
        <v>70</v>
      </c>
      <c r="B3124" s="6">
        <v>156.0</v>
      </c>
      <c r="C3124" s="13" t="s">
        <v>395</v>
      </c>
      <c r="D3124" s="17">
        <f>SUMIFS(ShadowLedger!$D:$D,ShadowLedger!$G:$G,A3124,ShadowLedger!$C:$C,"&gt;="&amp;DATE(LEFT(SUBSTITUTE(C3124,"'",""),4),MID(SUBSTITUTE(C3124,"'",""),6,2),1),ShadowLedger!$C:$C,"&lt;"&amp;EOMONTH(DATE(LEFT(SUBSTITUTE(C3124,"'",""),4),MID(SUBSTITUTE(C3124,"'",""),6,2),1),0)+1)</f>
        <v>0</v>
      </c>
      <c r="E3124" s="17">
        <f t="shared" si="1"/>
        <v>156</v>
      </c>
      <c r="F3124" s="17">
        <f t="shared" si="2"/>
        <v>0</v>
      </c>
    </row>
    <row r="3125">
      <c r="A3125" s="5" t="s">
        <v>65</v>
      </c>
      <c r="B3125" s="6">
        <v>78.0</v>
      </c>
      <c r="C3125" s="13" t="s">
        <v>395</v>
      </c>
      <c r="D3125" s="17">
        <f>SUMIFS(ShadowLedger!$D:$D,ShadowLedger!$G:$G,A3125,ShadowLedger!$C:$C,"&gt;="&amp;DATE(LEFT(SUBSTITUTE(C3125,"'",""),4),MID(SUBSTITUTE(C3125,"'",""),6,2),1),ShadowLedger!$C:$C,"&lt;"&amp;EOMONTH(DATE(LEFT(SUBSTITUTE(C3125,"'",""),4),MID(SUBSTITUTE(C3125,"'",""),6,2),1),0)+1)</f>
        <v>0</v>
      </c>
      <c r="E3125" s="17">
        <f t="shared" si="1"/>
        <v>78</v>
      </c>
      <c r="F3125" s="17">
        <f t="shared" si="2"/>
        <v>0</v>
      </c>
    </row>
    <row r="3126">
      <c r="A3126" s="5" t="s">
        <v>66</v>
      </c>
      <c r="B3126" s="6">
        <v>78.0</v>
      </c>
      <c r="C3126" s="13" t="s">
        <v>395</v>
      </c>
      <c r="D3126" s="17">
        <f>SUMIFS(ShadowLedger!$D:$D,ShadowLedger!$G:$G,A3126,ShadowLedger!$C:$C,"&gt;="&amp;DATE(LEFT(SUBSTITUTE(C3126,"'",""),4),MID(SUBSTITUTE(C3126,"'",""),6,2),1),ShadowLedger!$C:$C,"&lt;"&amp;EOMONTH(DATE(LEFT(SUBSTITUTE(C3126,"'",""),4),MID(SUBSTITUTE(C3126,"'",""),6,2),1),0)+1)</f>
        <v>0</v>
      </c>
      <c r="E3126" s="17">
        <f t="shared" si="1"/>
        <v>78</v>
      </c>
      <c r="F3126" s="17">
        <f t="shared" si="2"/>
        <v>0</v>
      </c>
    </row>
    <row r="3127">
      <c r="A3127" s="5" t="s">
        <v>67</v>
      </c>
      <c r="B3127" s="6">
        <v>78.0</v>
      </c>
      <c r="C3127" s="13" t="s">
        <v>395</v>
      </c>
      <c r="D3127" s="17">
        <f>SUMIFS(ShadowLedger!$D:$D,ShadowLedger!$G:$G,A3127,ShadowLedger!$C:$C,"&gt;="&amp;DATE(LEFT(SUBSTITUTE(C3127,"'",""),4),MID(SUBSTITUTE(C3127,"'",""),6,2),1),ShadowLedger!$C:$C,"&lt;"&amp;EOMONTH(DATE(LEFT(SUBSTITUTE(C3127,"'",""),4),MID(SUBSTITUTE(C3127,"'",""),6,2),1),0)+1)</f>
        <v>0</v>
      </c>
      <c r="E3127" s="17">
        <f t="shared" si="1"/>
        <v>78</v>
      </c>
      <c r="F3127" s="17">
        <f t="shared" si="2"/>
        <v>0</v>
      </c>
    </row>
    <row r="3128">
      <c r="A3128" s="5" t="s">
        <v>68</v>
      </c>
      <c r="B3128" s="6">
        <v>78.0</v>
      </c>
      <c r="C3128" s="13" t="s">
        <v>395</v>
      </c>
      <c r="D3128" s="17">
        <f>SUMIFS(ShadowLedger!$D:$D,ShadowLedger!$G:$G,A3128,ShadowLedger!$C:$C,"&gt;="&amp;DATE(LEFT(SUBSTITUTE(C3128,"'",""),4),MID(SUBSTITUTE(C3128,"'",""),6,2),1),ShadowLedger!$C:$C,"&lt;"&amp;EOMONTH(DATE(LEFT(SUBSTITUTE(C3128,"'",""),4),MID(SUBSTITUTE(C3128,"'",""),6,2),1),0)+1)</f>
        <v>0</v>
      </c>
      <c r="E3128" s="17">
        <f t="shared" si="1"/>
        <v>78</v>
      </c>
      <c r="F3128" s="17">
        <f t="shared" si="2"/>
        <v>0</v>
      </c>
    </row>
    <row r="3129">
      <c r="A3129" s="5" t="s">
        <v>69</v>
      </c>
      <c r="B3129" s="6">
        <v>0.0</v>
      </c>
      <c r="C3129" s="13" t="s">
        <v>395</v>
      </c>
      <c r="D3129" s="17">
        <f>SUMIFS(ShadowLedger!$D:$D,ShadowLedger!$G:$G,A3129,ShadowLedger!$C:$C,"&gt;="&amp;DATE(LEFT(SUBSTITUTE(C3129,"'",""),4),MID(SUBSTITUTE(C3129,"'",""),6,2),1),ShadowLedger!$C:$C,"&lt;"&amp;EOMONTH(DATE(LEFT(SUBSTITUTE(C3129,"'",""),4),MID(SUBSTITUTE(C3129,"'",""),6,2),1),0)+1)</f>
        <v>0</v>
      </c>
      <c r="E3129" s="17">
        <f t="shared" si="1"/>
        <v>0</v>
      </c>
      <c r="F3129" s="17">
        <f t="shared" si="2"/>
        <v>0</v>
      </c>
    </row>
    <row r="3130">
      <c r="A3130" s="5" t="s">
        <v>54</v>
      </c>
      <c r="B3130" s="6">
        <v>1433.0</v>
      </c>
      <c r="C3130" s="13" t="s">
        <v>396</v>
      </c>
      <c r="D3130" s="17">
        <f>SUMIFS(ShadowLedger!$D:$D,ShadowLedger!$G:$G,A3130,ShadowLedger!$C:$C,"&gt;="&amp;DATE(LEFT(SUBSTITUTE(C3130,"'",""),4),MID(SUBSTITUTE(C3130,"'",""),6,2),1),ShadowLedger!$C:$C,"&lt;"&amp;EOMONTH(DATE(LEFT(SUBSTITUTE(C3130,"'",""),4),MID(SUBSTITUTE(C3130,"'",""),6,2),1),0)+1)</f>
        <v>0</v>
      </c>
      <c r="E3130" s="17">
        <f t="shared" si="1"/>
        <v>1433</v>
      </c>
      <c r="F3130" s="17">
        <f t="shared" si="2"/>
        <v>0</v>
      </c>
    </row>
    <row r="3131">
      <c r="A3131" s="5" t="s">
        <v>55</v>
      </c>
      <c r="B3131" s="6">
        <v>1091.0</v>
      </c>
      <c r="C3131" s="13" t="s">
        <v>396</v>
      </c>
      <c r="D3131" s="17">
        <f>SUMIFS(ShadowLedger!$D:$D,ShadowLedger!$G:$G,A3131,ShadowLedger!$C:$C,"&gt;="&amp;DATE(LEFT(SUBSTITUTE(C3131,"'",""),4),MID(SUBSTITUTE(C3131,"'",""),6,2),1),ShadowLedger!$C:$C,"&lt;"&amp;EOMONTH(DATE(LEFT(SUBSTITUTE(C3131,"'",""),4),MID(SUBSTITUTE(C3131,"'",""),6,2),1),0)+1)</f>
        <v>0</v>
      </c>
      <c r="E3131" s="17">
        <f t="shared" si="1"/>
        <v>1091</v>
      </c>
      <c r="F3131" s="17">
        <f t="shared" si="2"/>
        <v>0</v>
      </c>
    </row>
    <row r="3132">
      <c r="A3132" s="5" t="s">
        <v>56</v>
      </c>
      <c r="B3132" s="6">
        <v>779.0</v>
      </c>
      <c r="C3132" s="13" t="s">
        <v>396</v>
      </c>
      <c r="D3132" s="17">
        <f>SUMIFS(ShadowLedger!$D:$D,ShadowLedger!$G:$G,A3132,ShadowLedger!$C:$C,"&gt;="&amp;DATE(LEFT(SUBSTITUTE(C3132,"'",""),4),MID(SUBSTITUTE(C3132,"'",""),6,2),1),ShadowLedger!$C:$C,"&lt;"&amp;EOMONTH(DATE(LEFT(SUBSTITUTE(C3132,"'",""),4),MID(SUBSTITUTE(C3132,"'",""),6,2),1),0)+1)</f>
        <v>0</v>
      </c>
      <c r="E3132" s="17">
        <f t="shared" si="1"/>
        <v>779</v>
      </c>
      <c r="F3132" s="17">
        <f t="shared" si="2"/>
        <v>0</v>
      </c>
    </row>
    <row r="3133">
      <c r="A3133" s="5" t="s">
        <v>57</v>
      </c>
      <c r="B3133" s="6">
        <v>779.0</v>
      </c>
      <c r="C3133" s="13" t="s">
        <v>396</v>
      </c>
      <c r="D3133" s="17">
        <f>SUMIFS(ShadowLedger!$D:$D,ShadowLedger!$G:$G,A3133,ShadowLedger!$C:$C,"&gt;="&amp;DATE(LEFT(SUBSTITUTE(C3133,"'",""),4),MID(SUBSTITUTE(C3133,"'",""),6,2),1),ShadowLedger!$C:$C,"&lt;"&amp;EOMONTH(DATE(LEFT(SUBSTITUTE(C3133,"'",""),4),MID(SUBSTITUTE(C3133,"'",""),6,2),1),0)+1)</f>
        <v>0</v>
      </c>
      <c r="E3133" s="17">
        <f t="shared" si="1"/>
        <v>779</v>
      </c>
      <c r="F3133" s="17">
        <f t="shared" si="2"/>
        <v>0</v>
      </c>
    </row>
    <row r="3134">
      <c r="A3134" s="5" t="s">
        <v>58</v>
      </c>
      <c r="B3134" s="6">
        <v>623.0</v>
      </c>
      <c r="C3134" s="13" t="s">
        <v>396</v>
      </c>
      <c r="D3134" s="17">
        <f>SUMIFS(ShadowLedger!$D:$D,ShadowLedger!$G:$G,A3134,ShadowLedger!$C:$C,"&gt;="&amp;DATE(LEFT(SUBSTITUTE(C3134,"'",""),4),MID(SUBSTITUTE(C3134,"'",""),6,2),1),ShadowLedger!$C:$C,"&lt;"&amp;EOMONTH(DATE(LEFT(SUBSTITUTE(C3134,"'",""),4),MID(SUBSTITUTE(C3134,"'",""),6,2),1),0)+1)</f>
        <v>0</v>
      </c>
      <c r="E3134" s="17">
        <f t="shared" si="1"/>
        <v>623</v>
      </c>
      <c r="F3134" s="17">
        <f t="shared" si="2"/>
        <v>0</v>
      </c>
    </row>
    <row r="3135">
      <c r="A3135" s="5" t="s">
        <v>59</v>
      </c>
      <c r="B3135" s="6">
        <v>312.0</v>
      </c>
      <c r="C3135" s="13" t="s">
        <v>396</v>
      </c>
      <c r="D3135" s="17">
        <f>SUMIFS(ShadowLedger!$D:$D,ShadowLedger!$G:$G,A3135,ShadowLedger!$C:$C,"&gt;="&amp;DATE(LEFT(SUBSTITUTE(C3135,"'",""),4),MID(SUBSTITUTE(C3135,"'",""),6,2),1),ShadowLedger!$C:$C,"&lt;"&amp;EOMONTH(DATE(LEFT(SUBSTITUTE(C3135,"'",""),4),MID(SUBSTITUTE(C3135,"'",""),6,2),1),0)+1)</f>
        <v>0</v>
      </c>
      <c r="E3135" s="17">
        <f t="shared" si="1"/>
        <v>312</v>
      </c>
      <c r="F3135" s="17">
        <f t="shared" si="2"/>
        <v>0</v>
      </c>
    </row>
    <row r="3136">
      <c r="A3136" s="5" t="s">
        <v>60</v>
      </c>
      <c r="B3136" s="6">
        <v>234.0</v>
      </c>
      <c r="C3136" s="13" t="s">
        <v>396</v>
      </c>
      <c r="D3136" s="17">
        <f>SUMIFS(ShadowLedger!$D:$D,ShadowLedger!$G:$G,A3136,ShadowLedger!$C:$C,"&gt;="&amp;DATE(LEFT(SUBSTITUTE(C3136,"'",""),4),MID(SUBSTITUTE(C3136,"'",""),6,2),1),ShadowLedger!$C:$C,"&lt;"&amp;EOMONTH(DATE(LEFT(SUBSTITUTE(C3136,"'",""),4),MID(SUBSTITUTE(C3136,"'",""),6,2),1),0)+1)</f>
        <v>0</v>
      </c>
      <c r="E3136" s="17">
        <f t="shared" si="1"/>
        <v>234</v>
      </c>
      <c r="F3136" s="17">
        <f t="shared" si="2"/>
        <v>0</v>
      </c>
    </row>
    <row r="3137">
      <c r="A3137" s="5" t="s">
        <v>61</v>
      </c>
      <c r="B3137" s="6">
        <v>187.0</v>
      </c>
      <c r="C3137" s="13" t="s">
        <v>396</v>
      </c>
      <c r="D3137" s="17">
        <f>SUMIFS(ShadowLedger!$D:$D,ShadowLedger!$G:$G,A3137,ShadowLedger!$C:$C,"&gt;="&amp;DATE(LEFT(SUBSTITUTE(C3137,"'",""),4),MID(SUBSTITUTE(C3137,"'",""),6,2),1),ShadowLedger!$C:$C,"&lt;"&amp;EOMONTH(DATE(LEFT(SUBSTITUTE(C3137,"'",""),4),MID(SUBSTITUTE(C3137,"'",""),6,2),1),0)+1)</f>
        <v>0</v>
      </c>
      <c r="E3137" s="17">
        <f t="shared" si="1"/>
        <v>187</v>
      </c>
      <c r="F3137" s="17">
        <f t="shared" si="2"/>
        <v>0</v>
      </c>
    </row>
    <row r="3138">
      <c r="A3138" s="5" t="s">
        <v>62</v>
      </c>
      <c r="B3138" s="6">
        <v>187.0</v>
      </c>
      <c r="C3138" s="13" t="s">
        <v>396</v>
      </c>
      <c r="D3138" s="17">
        <f>SUMIFS(ShadowLedger!$D:$D,ShadowLedger!$G:$G,A3138,ShadowLedger!$C:$C,"&gt;="&amp;DATE(LEFT(SUBSTITUTE(C3138,"'",""),4),MID(SUBSTITUTE(C3138,"'",""),6,2),1),ShadowLedger!$C:$C,"&lt;"&amp;EOMONTH(DATE(LEFT(SUBSTITUTE(C3138,"'",""),4),MID(SUBSTITUTE(C3138,"'",""),6,2),1),0)+1)</f>
        <v>0</v>
      </c>
      <c r="E3138" s="17">
        <f t="shared" si="1"/>
        <v>187</v>
      </c>
      <c r="F3138" s="17">
        <f t="shared" si="2"/>
        <v>0</v>
      </c>
    </row>
    <row r="3139">
      <c r="A3139" s="5" t="s">
        <v>63</v>
      </c>
      <c r="B3139" s="6">
        <v>156.0</v>
      </c>
      <c r="C3139" s="13" t="s">
        <v>396</v>
      </c>
      <c r="D3139" s="17">
        <f>SUMIFS(ShadowLedger!$D:$D,ShadowLedger!$G:$G,A3139,ShadowLedger!$C:$C,"&gt;="&amp;DATE(LEFT(SUBSTITUTE(C3139,"'",""),4),MID(SUBSTITUTE(C3139,"'",""),6,2),1),ShadowLedger!$C:$C,"&lt;"&amp;EOMONTH(DATE(LEFT(SUBSTITUTE(C3139,"'",""),4),MID(SUBSTITUTE(C3139,"'",""),6,2),1),0)+1)</f>
        <v>0</v>
      </c>
      <c r="E3139" s="17">
        <f t="shared" si="1"/>
        <v>156</v>
      </c>
      <c r="F3139" s="17">
        <f t="shared" si="2"/>
        <v>0</v>
      </c>
    </row>
    <row r="3140">
      <c r="A3140" s="5" t="s">
        <v>64</v>
      </c>
      <c r="B3140" s="6">
        <v>156.0</v>
      </c>
      <c r="C3140" s="13" t="s">
        <v>396</v>
      </c>
      <c r="D3140" s="17">
        <f>SUMIFS(ShadowLedger!$D:$D,ShadowLedger!$G:$G,A3140,ShadowLedger!$C:$C,"&gt;="&amp;DATE(LEFT(SUBSTITUTE(C3140,"'",""),4),MID(SUBSTITUTE(C3140,"'",""),6,2),1),ShadowLedger!$C:$C,"&lt;"&amp;EOMONTH(DATE(LEFT(SUBSTITUTE(C3140,"'",""),4),MID(SUBSTITUTE(C3140,"'",""),6,2),1),0)+1)</f>
        <v>0</v>
      </c>
      <c r="E3140" s="17">
        <f t="shared" si="1"/>
        <v>156</v>
      </c>
      <c r="F3140" s="17">
        <f t="shared" si="2"/>
        <v>0</v>
      </c>
    </row>
    <row r="3141">
      <c r="A3141" s="5" t="s">
        <v>70</v>
      </c>
      <c r="B3141" s="6">
        <v>156.0</v>
      </c>
      <c r="C3141" s="13" t="s">
        <v>396</v>
      </c>
      <c r="D3141" s="17">
        <f>SUMIFS(ShadowLedger!$D:$D,ShadowLedger!$G:$G,A3141,ShadowLedger!$C:$C,"&gt;="&amp;DATE(LEFT(SUBSTITUTE(C3141,"'",""),4),MID(SUBSTITUTE(C3141,"'",""),6,2),1),ShadowLedger!$C:$C,"&lt;"&amp;EOMONTH(DATE(LEFT(SUBSTITUTE(C3141,"'",""),4),MID(SUBSTITUTE(C3141,"'",""),6,2),1),0)+1)</f>
        <v>0</v>
      </c>
      <c r="E3141" s="17">
        <f t="shared" si="1"/>
        <v>156</v>
      </c>
      <c r="F3141" s="17">
        <f t="shared" si="2"/>
        <v>0</v>
      </c>
    </row>
    <row r="3142">
      <c r="A3142" s="5" t="s">
        <v>65</v>
      </c>
      <c r="B3142" s="6">
        <v>78.0</v>
      </c>
      <c r="C3142" s="13" t="s">
        <v>396</v>
      </c>
      <c r="D3142" s="17">
        <f>SUMIFS(ShadowLedger!$D:$D,ShadowLedger!$G:$G,A3142,ShadowLedger!$C:$C,"&gt;="&amp;DATE(LEFT(SUBSTITUTE(C3142,"'",""),4),MID(SUBSTITUTE(C3142,"'",""),6,2),1),ShadowLedger!$C:$C,"&lt;"&amp;EOMONTH(DATE(LEFT(SUBSTITUTE(C3142,"'",""),4),MID(SUBSTITUTE(C3142,"'",""),6,2),1),0)+1)</f>
        <v>0</v>
      </c>
      <c r="E3142" s="17">
        <f t="shared" si="1"/>
        <v>78</v>
      </c>
      <c r="F3142" s="17">
        <f t="shared" si="2"/>
        <v>0</v>
      </c>
    </row>
    <row r="3143">
      <c r="A3143" s="5" t="s">
        <v>66</v>
      </c>
      <c r="B3143" s="6">
        <v>78.0</v>
      </c>
      <c r="C3143" s="13" t="s">
        <v>396</v>
      </c>
      <c r="D3143" s="17">
        <f>SUMIFS(ShadowLedger!$D:$D,ShadowLedger!$G:$G,A3143,ShadowLedger!$C:$C,"&gt;="&amp;DATE(LEFT(SUBSTITUTE(C3143,"'",""),4),MID(SUBSTITUTE(C3143,"'",""),6,2),1),ShadowLedger!$C:$C,"&lt;"&amp;EOMONTH(DATE(LEFT(SUBSTITUTE(C3143,"'",""),4),MID(SUBSTITUTE(C3143,"'",""),6,2),1),0)+1)</f>
        <v>0</v>
      </c>
      <c r="E3143" s="17">
        <f t="shared" si="1"/>
        <v>78</v>
      </c>
      <c r="F3143" s="17">
        <f t="shared" si="2"/>
        <v>0</v>
      </c>
    </row>
    <row r="3144">
      <c r="A3144" s="5" t="s">
        <v>67</v>
      </c>
      <c r="B3144" s="6">
        <v>78.0</v>
      </c>
      <c r="C3144" s="13" t="s">
        <v>396</v>
      </c>
      <c r="D3144" s="17">
        <f>SUMIFS(ShadowLedger!$D:$D,ShadowLedger!$G:$G,A3144,ShadowLedger!$C:$C,"&gt;="&amp;DATE(LEFT(SUBSTITUTE(C3144,"'",""),4),MID(SUBSTITUTE(C3144,"'",""),6,2),1),ShadowLedger!$C:$C,"&lt;"&amp;EOMONTH(DATE(LEFT(SUBSTITUTE(C3144,"'",""),4),MID(SUBSTITUTE(C3144,"'",""),6,2),1),0)+1)</f>
        <v>0</v>
      </c>
      <c r="E3144" s="17">
        <f t="shared" si="1"/>
        <v>78</v>
      </c>
      <c r="F3144" s="17">
        <f t="shared" si="2"/>
        <v>0</v>
      </c>
    </row>
    <row r="3145">
      <c r="A3145" s="5" t="s">
        <v>68</v>
      </c>
      <c r="B3145" s="6">
        <v>78.0</v>
      </c>
      <c r="C3145" s="13" t="s">
        <v>396</v>
      </c>
      <c r="D3145" s="17">
        <f>SUMIFS(ShadowLedger!$D:$D,ShadowLedger!$G:$G,A3145,ShadowLedger!$C:$C,"&gt;="&amp;DATE(LEFT(SUBSTITUTE(C3145,"'",""),4),MID(SUBSTITUTE(C3145,"'",""),6,2),1),ShadowLedger!$C:$C,"&lt;"&amp;EOMONTH(DATE(LEFT(SUBSTITUTE(C3145,"'",""),4),MID(SUBSTITUTE(C3145,"'",""),6,2),1),0)+1)</f>
        <v>0</v>
      </c>
      <c r="E3145" s="17">
        <f t="shared" si="1"/>
        <v>78</v>
      </c>
      <c r="F3145" s="17">
        <f t="shared" si="2"/>
        <v>0</v>
      </c>
    </row>
    <row r="3146">
      <c r="A3146" s="5" t="s">
        <v>69</v>
      </c>
      <c r="B3146" s="6">
        <v>0.0</v>
      </c>
      <c r="C3146" s="13" t="s">
        <v>396</v>
      </c>
      <c r="D3146" s="17">
        <f>SUMIFS(ShadowLedger!$D:$D,ShadowLedger!$G:$G,A3146,ShadowLedger!$C:$C,"&gt;="&amp;DATE(LEFT(SUBSTITUTE(C3146,"'",""),4),MID(SUBSTITUTE(C3146,"'",""),6,2),1),ShadowLedger!$C:$C,"&lt;"&amp;EOMONTH(DATE(LEFT(SUBSTITUTE(C3146,"'",""),4),MID(SUBSTITUTE(C3146,"'",""),6,2),1),0)+1)</f>
        <v>0</v>
      </c>
      <c r="E3146" s="17">
        <f t="shared" si="1"/>
        <v>0</v>
      </c>
      <c r="F3146" s="17">
        <f t="shared" si="2"/>
        <v>0</v>
      </c>
    </row>
    <row r="3147">
      <c r="A3147" s="5" t="s">
        <v>54</v>
      </c>
      <c r="B3147" s="6">
        <v>1433.0</v>
      </c>
      <c r="C3147" s="13" t="s">
        <v>397</v>
      </c>
      <c r="D3147" s="17">
        <f>SUMIFS(ShadowLedger!$D:$D,ShadowLedger!$G:$G,A3147,ShadowLedger!$C:$C,"&gt;="&amp;DATE(LEFT(SUBSTITUTE(C3147,"'",""),4),MID(SUBSTITUTE(C3147,"'",""),6,2),1),ShadowLedger!$C:$C,"&lt;"&amp;EOMONTH(DATE(LEFT(SUBSTITUTE(C3147,"'",""),4),MID(SUBSTITUTE(C3147,"'",""),6,2),1),0)+1)</f>
        <v>0</v>
      </c>
      <c r="E3147" s="17">
        <f t="shared" si="1"/>
        <v>1433</v>
      </c>
      <c r="F3147" s="17">
        <f t="shared" si="2"/>
        <v>0</v>
      </c>
    </row>
    <row r="3148">
      <c r="A3148" s="5" t="s">
        <v>55</v>
      </c>
      <c r="B3148" s="6">
        <v>1091.0</v>
      </c>
      <c r="C3148" s="13" t="s">
        <v>397</v>
      </c>
      <c r="D3148" s="17">
        <f>SUMIFS(ShadowLedger!$D:$D,ShadowLedger!$G:$G,A3148,ShadowLedger!$C:$C,"&gt;="&amp;DATE(LEFT(SUBSTITUTE(C3148,"'",""),4),MID(SUBSTITUTE(C3148,"'",""),6,2),1),ShadowLedger!$C:$C,"&lt;"&amp;EOMONTH(DATE(LEFT(SUBSTITUTE(C3148,"'",""),4),MID(SUBSTITUTE(C3148,"'",""),6,2),1),0)+1)</f>
        <v>0</v>
      </c>
      <c r="E3148" s="17">
        <f t="shared" si="1"/>
        <v>1091</v>
      </c>
      <c r="F3148" s="17">
        <f t="shared" si="2"/>
        <v>0</v>
      </c>
    </row>
    <row r="3149">
      <c r="A3149" s="5" t="s">
        <v>56</v>
      </c>
      <c r="B3149" s="6">
        <v>779.0</v>
      </c>
      <c r="C3149" s="13" t="s">
        <v>397</v>
      </c>
      <c r="D3149" s="17">
        <f>SUMIFS(ShadowLedger!$D:$D,ShadowLedger!$G:$G,A3149,ShadowLedger!$C:$C,"&gt;="&amp;DATE(LEFT(SUBSTITUTE(C3149,"'",""),4),MID(SUBSTITUTE(C3149,"'",""),6,2),1),ShadowLedger!$C:$C,"&lt;"&amp;EOMONTH(DATE(LEFT(SUBSTITUTE(C3149,"'",""),4),MID(SUBSTITUTE(C3149,"'",""),6,2),1),0)+1)</f>
        <v>0</v>
      </c>
      <c r="E3149" s="17">
        <f t="shared" si="1"/>
        <v>779</v>
      </c>
      <c r="F3149" s="17">
        <f t="shared" si="2"/>
        <v>0</v>
      </c>
    </row>
    <row r="3150">
      <c r="A3150" s="5" t="s">
        <v>57</v>
      </c>
      <c r="B3150" s="6">
        <v>779.0</v>
      </c>
      <c r="C3150" s="13" t="s">
        <v>397</v>
      </c>
      <c r="D3150" s="17">
        <f>SUMIFS(ShadowLedger!$D:$D,ShadowLedger!$G:$G,A3150,ShadowLedger!$C:$C,"&gt;="&amp;DATE(LEFT(SUBSTITUTE(C3150,"'",""),4),MID(SUBSTITUTE(C3150,"'",""),6,2),1),ShadowLedger!$C:$C,"&lt;"&amp;EOMONTH(DATE(LEFT(SUBSTITUTE(C3150,"'",""),4),MID(SUBSTITUTE(C3150,"'",""),6,2),1),0)+1)</f>
        <v>0</v>
      </c>
      <c r="E3150" s="17">
        <f t="shared" si="1"/>
        <v>779</v>
      </c>
      <c r="F3150" s="17">
        <f t="shared" si="2"/>
        <v>0</v>
      </c>
    </row>
    <row r="3151">
      <c r="A3151" s="5" t="s">
        <v>58</v>
      </c>
      <c r="B3151" s="6">
        <v>623.0</v>
      </c>
      <c r="C3151" s="13" t="s">
        <v>397</v>
      </c>
      <c r="D3151" s="17">
        <f>SUMIFS(ShadowLedger!$D:$D,ShadowLedger!$G:$G,A3151,ShadowLedger!$C:$C,"&gt;="&amp;DATE(LEFT(SUBSTITUTE(C3151,"'",""),4),MID(SUBSTITUTE(C3151,"'",""),6,2),1),ShadowLedger!$C:$C,"&lt;"&amp;EOMONTH(DATE(LEFT(SUBSTITUTE(C3151,"'",""),4),MID(SUBSTITUTE(C3151,"'",""),6,2),1),0)+1)</f>
        <v>0</v>
      </c>
      <c r="E3151" s="17">
        <f t="shared" si="1"/>
        <v>623</v>
      </c>
      <c r="F3151" s="17">
        <f t="shared" si="2"/>
        <v>0</v>
      </c>
    </row>
    <row r="3152">
      <c r="A3152" s="5" t="s">
        <v>59</v>
      </c>
      <c r="B3152" s="6">
        <v>312.0</v>
      </c>
      <c r="C3152" s="13" t="s">
        <v>397</v>
      </c>
      <c r="D3152" s="17">
        <f>SUMIFS(ShadowLedger!$D:$D,ShadowLedger!$G:$G,A3152,ShadowLedger!$C:$C,"&gt;="&amp;DATE(LEFT(SUBSTITUTE(C3152,"'",""),4),MID(SUBSTITUTE(C3152,"'",""),6,2),1),ShadowLedger!$C:$C,"&lt;"&amp;EOMONTH(DATE(LEFT(SUBSTITUTE(C3152,"'",""),4),MID(SUBSTITUTE(C3152,"'",""),6,2),1),0)+1)</f>
        <v>0</v>
      </c>
      <c r="E3152" s="17">
        <f t="shared" si="1"/>
        <v>312</v>
      </c>
      <c r="F3152" s="17">
        <f t="shared" si="2"/>
        <v>0</v>
      </c>
    </row>
    <row r="3153">
      <c r="A3153" s="5" t="s">
        <v>60</v>
      </c>
      <c r="B3153" s="6">
        <v>234.0</v>
      </c>
      <c r="C3153" s="13" t="s">
        <v>397</v>
      </c>
      <c r="D3153" s="17">
        <f>SUMIFS(ShadowLedger!$D:$D,ShadowLedger!$G:$G,A3153,ShadowLedger!$C:$C,"&gt;="&amp;DATE(LEFT(SUBSTITUTE(C3153,"'",""),4),MID(SUBSTITUTE(C3153,"'",""),6,2),1),ShadowLedger!$C:$C,"&lt;"&amp;EOMONTH(DATE(LEFT(SUBSTITUTE(C3153,"'",""),4),MID(SUBSTITUTE(C3153,"'",""),6,2),1),0)+1)</f>
        <v>0</v>
      </c>
      <c r="E3153" s="17">
        <f t="shared" si="1"/>
        <v>234</v>
      </c>
      <c r="F3153" s="17">
        <f t="shared" si="2"/>
        <v>0</v>
      </c>
    </row>
    <row r="3154">
      <c r="A3154" s="5" t="s">
        <v>61</v>
      </c>
      <c r="B3154" s="6">
        <v>187.0</v>
      </c>
      <c r="C3154" s="13" t="s">
        <v>397</v>
      </c>
      <c r="D3154" s="17">
        <f>SUMIFS(ShadowLedger!$D:$D,ShadowLedger!$G:$G,A3154,ShadowLedger!$C:$C,"&gt;="&amp;DATE(LEFT(SUBSTITUTE(C3154,"'",""),4),MID(SUBSTITUTE(C3154,"'",""),6,2),1),ShadowLedger!$C:$C,"&lt;"&amp;EOMONTH(DATE(LEFT(SUBSTITUTE(C3154,"'",""),4),MID(SUBSTITUTE(C3154,"'",""),6,2),1),0)+1)</f>
        <v>0</v>
      </c>
      <c r="E3154" s="17">
        <f t="shared" si="1"/>
        <v>187</v>
      </c>
      <c r="F3154" s="17">
        <f t="shared" si="2"/>
        <v>0</v>
      </c>
    </row>
    <row r="3155">
      <c r="A3155" s="5" t="s">
        <v>62</v>
      </c>
      <c r="B3155" s="6">
        <v>187.0</v>
      </c>
      <c r="C3155" s="13" t="s">
        <v>397</v>
      </c>
      <c r="D3155" s="17">
        <f>SUMIFS(ShadowLedger!$D:$D,ShadowLedger!$G:$G,A3155,ShadowLedger!$C:$C,"&gt;="&amp;DATE(LEFT(SUBSTITUTE(C3155,"'",""),4),MID(SUBSTITUTE(C3155,"'",""),6,2),1),ShadowLedger!$C:$C,"&lt;"&amp;EOMONTH(DATE(LEFT(SUBSTITUTE(C3155,"'",""),4),MID(SUBSTITUTE(C3155,"'",""),6,2),1),0)+1)</f>
        <v>0</v>
      </c>
      <c r="E3155" s="17">
        <f t="shared" si="1"/>
        <v>187</v>
      </c>
      <c r="F3155" s="17">
        <f t="shared" si="2"/>
        <v>0</v>
      </c>
    </row>
    <row r="3156">
      <c r="A3156" s="5" t="s">
        <v>63</v>
      </c>
      <c r="B3156" s="6">
        <v>156.0</v>
      </c>
      <c r="C3156" s="13" t="s">
        <v>397</v>
      </c>
      <c r="D3156" s="17">
        <f>SUMIFS(ShadowLedger!$D:$D,ShadowLedger!$G:$G,A3156,ShadowLedger!$C:$C,"&gt;="&amp;DATE(LEFT(SUBSTITUTE(C3156,"'",""),4),MID(SUBSTITUTE(C3156,"'",""),6,2),1),ShadowLedger!$C:$C,"&lt;"&amp;EOMONTH(DATE(LEFT(SUBSTITUTE(C3156,"'",""),4),MID(SUBSTITUTE(C3156,"'",""),6,2),1),0)+1)</f>
        <v>0</v>
      </c>
      <c r="E3156" s="17">
        <f t="shared" si="1"/>
        <v>156</v>
      </c>
      <c r="F3156" s="17">
        <f t="shared" si="2"/>
        <v>0</v>
      </c>
    </row>
    <row r="3157">
      <c r="A3157" s="5" t="s">
        <v>64</v>
      </c>
      <c r="B3157" s="6">
        <v>156.0</v>
      </c>
      <c r="C3157" s="13" t="s">
        <v>397</v>
      </c>
      <c r="D3157" s="17">
        <f>SUMIFS(ShadowLedger!$D:$D,ShadowLedger!$G:$G,A3157,ShadowLedger!$C:$C,"&gt;="&amp;DATE(LEFT(SUBSTITUTE(C3157,"'",""),4),MID(SUBSTITUTE(C3157,"'",""),6,2),1),ShadowLedger!$C:$C,"&lt;"&amp;EOMONTH(DATE(LEFT(SUBSTITUTE(C3157,"'",""),4),MID(SUBSTITUTE(C3157,"'",""),6,2),1),0)+1)</f>
        <v>0</v>
      </c>
      <c r="E3157" s="17">
        <f t="shared" si="1"/>
        <v>156</v>
      </c>
      <c r="F3157" s="17">
        <f t="shared" si="2"/>
        <v>0</v>
      </c>
    </row>
    <row r="3158">
      <c r="A3158" s="5" t="s">
        <v>70</v>
      </c>
      <c r="B3158" s="6">
        <v>156.0</v>
      </c>
      <c r="C3158" s="13" t="s">
        <v>397</v>
      </c>
      <c r="D3158" s="17">
        <f>SUMIFS(ShadowLedger!$D:$D,ShadowLedger!$G:$G,A3158,ShadowLedger!$C:$C,"&gt;="&amp;DATE(LEFT(SUBSTITUTE(C3158,"'",""),4),MID(SUBSTITUTE(C3158,"'",""),6,2),1),ShadowLedger!$C:$C,"&lt;"&amp;EOMONTH(DATE(LEFT(SUBSTITUTE(C3158,"'",""),4),MID(SUBSTITUTE(C3158,"'",""),6,2),1),0)+1)</f>
        <v>0</v>
      </c>
      <c r="E3158" s="17">
        <f t="shared" si="1"/>
        <v>156</v>
      </c>
      <c r="F3158" s="17">
        <f t="shared" si="2"/>
        <v>0</v>
      </c>
    </row>
    <row r="3159">
      <c r="A3159" s="5" t="s">
        <v>65</v>
      </c>
      <c r="B3159" s="6">
        <v>78.0</v>
      </c>
      <c r="C3159" s="13" t="s">
        <v>397</v>
      </c>
      <c r="D3159" s="17">
        <f>SUMIFS(ShadowLedger!$D:$D,ShadowLedger!$G:$G,A3159,ShadowLedger!$C:$C,"&gt;="&amp;DATE(LEFT(SUBSTITUTE(C3159,"'",""),4),MID(SUBSTITUTE(C3159,"'",""),6,2),1),ShadowLedger!$C:$C,"&lt;"&amp;EOMONTH(DATE(LEFT(SUBSTITUTE(C3159,"'",""),4),MID(SUBSTITUTE(C3159,"'",""),6,2),1),0)+1)</f>
        <v>0</v>
      </c>
      <c r="E3159" s="17">
        <f t="shared" si="1"/>
        <v>78</v>
      </c>
      <c r="F3159" s="17">
        <f t="shared" si="2"/>
        <v>0</v>
      </c>
    </row>
    <row r="3160">
      <c r="A3160" s="5" t="s">
        <v>66</v>
      </c>
      <c r="B3160" s="6">
        <v>78.0</v>
      </c>
      <c r="C3160" s="13" t="s">
        <v>397</v>
      </c>
      <c r="D3160" s="17">
        <f>SUMIFS(ShadowLedger!$D:$D,ShadowLedger!$G:$G,A3160,ShadowLedger!$C:$C,"&gt;="&amp;DATE(LEFT(SUBSTITUTE(C3160,"'",""),4),MID(SUBSTITUTE(C3160,"'",""),6,2),1),ShadowLedger!$C:$C,"&lt;"&amp;EOMONTH(DATE(LEFT(SUBSTITUTE(C3160,"'",""),4),MID(SUBSTITUTE(C3160,"'",""),6,2),1),0)+1)</f>
        <v>0</v>
      </c>
      <c r="E3160" s="17">
        <f t="shared" si="1"/>
        <v>78</v>
      </c>
      <c r="F3160" s="17">
        <f t="shared" si="2"/>
        <v>0</v>
      </c>
    </row>
    <row r="3161">
      <c r="A3161" s="5" t="s">
        <v>67</v>
      </c>
      <c r="B3161" s="6">
        <v>78.0</v>
      </c>
      <c r="C3161" s="13" t="s">
        <v>397</v>
      </c>
      <c r="D3161" s="17">
        <f>SUMIFS(ShadowLedger!$D:$D,ShadowLedger!$G:$G,A3161,ShadowLedger!$C:$C,"&gt;="&amp;DATE(LEFT(SUBSTITUTE(C3161,"'",""),4),MID(SUBSTITUTE(C3161,"'",""),6,2),1),ShadowLedger!$C:$C,"&lt;"&amp;EOMONTH(DATE(LEFT(SUBSTITUTE(C3161,"'",""),4),MID(SUBSTITUTE(C3161,"'",""),6,2),1),0)+1)</f>
        <v>0</v>
      </c>
      <c r="E3161" s="17">
        <f t="shared" si="1"/>
        <v>78</v>
      </c>
      <c r="F3161" s="17">
        <f t="shared" si="2"/>
        <v>0</v>
      </c>
    </row>
    <row r="3162">
      <c r="A3162" s="5" t="s">
        <v>68</v>
      </c>
      <c r="B3162" s="6">
        <v>78.0</v>
      </c>
      <c r="C3162" s="13" t="s">
        <v>397</v>
      </c>
      <c r="D3162" s="17">
        <f>SUMIFS(ShadowLedger!$D:$D,ShadowLedger!$G:$G,A3162,ShadowLedger!$C:$C,"&gt;="&amp;DATE(LEFT(SUBSTITUTE(C3162,"'",""),4),MID(SUBSTITUTE(C3162,"'",""),6,2),1),ShadowLedger!$C:$C,"&lt;"&amp;EOMONTH(DATE(LEFT(SUBSTITUTE(C3162,"'",""),4),MID(SUBSTITUTE(C3162,"'",""),6,2),1),0)+1)</f>
        <v>0</v>
      </c>
      <c r="E3162" s="17">
        <f t="shared" si="1"/>
        <v>78</v>
      </c>
      <c r="F3162" s="17">
        <f t="shared" si="2"/>
        <v>0</v>
      </c>
    </row>
    <row r="3163">
      <c r="A3163" s="5" t="s">
        <v>69</v>
      </c>
      <c r="B3163" s="6">
        <v>0.0</v>
      </c>
      <c r="C3163" s="13" t="s">
        <v>397</v>
      </c>
      <c r="D3163" s="17">
        <f>SUMIFS(ShadowLedger!$D:$D,ShadowLedger!$G:$G,A3163,ShadowLedger!$C:$C,"&gt;="&amp;DATE(LEFT(SUBSTITUTE(C3163,"'",""),4),MID(SUBSTITUTE(C3163,"'",""),6,2),1),ShadowLedger!$C:$C,"&lt;"&amp;EOMONTH(DATE(LEFT(SUBSTITUTE(C3163,"'",""),4),MID(SUBSTITUTE(C3163,"'",""),6,2),1),0)+1)</f>
        <v>0</v>
      </c>
      <c r="E3163" s="17">
        <f t="shared" si="1"/>
        <v>0</v>
      </c>
      <c r="F3163" s="17">
        <f t="shared" si="2"/>
        <v>0</v>
      </c>
    </row>
    <row r="3164">
      <c r="A3164" s="5" t="s">
        <v>54</v>
      </c>
      <c r="B3164" s="6">
        <v>1433.0</v>
      </c>
      <c r="C3164" s="13" t="s">
        <v>398</v>
      </c>
      <c r="D3164" s="17">
        <f>SUMIFS(ShadowLedger!$D:$D,ShadowLedger!$G:$G,A3164,ShadowLedger!$C:$C,"&gt;="&amp;DATE(LEFT(SUBSTITUTE(C3164,"'",""),4),MID(SUBSTITUTE(C3164,"'",""),6,2),1),ShadowLedger!$C:$C,"&lt;"&amp;EOMONTH(DATE(LEFT(SUBSTITUTE(C3164,"'",""),4),MID(SUBSTITUTE(C3164,"'",""),6,2),1),0)+1)</f>
        <v>0</v>
      </c>
      <c r="E3164" s="17">
        <f t="shared" si="1"/>
        <v>1433</v>
      </c>
      <c r="F3164" s="17">
        <f t="shared" si="2"/>
        <v>0</v>
      </c>
    </row>
    <row r="3165">
      <c r="A3165" s="5" t="s">
        <v>55</v>
      </c>
      <c r="B3165" s="6">
        <v>1091.0</v>
      </c>
      <c r="C3165" s="13" t="s">
        <v>398</v>
      </c>
      <c r="D3165" s="17">
        <f>SUMIFS(ShadowLedger!$D:$D,ShadowLedger!$G:$G,A3165,ShadowLedger!$C:$C,"&gt;="&amp;DATE(LEFT(SUBSTITUTE(C3165,"'",""),4),MID(SUBSTITUTE(C3165,"'",""),6,2),1),ShadowLedger!$C:$C,"&lt;"&amp;EOMONTH(DATE(LEFT(SUBSTITUTE(C3165,"'",""),4),MID(SUBSTITUTE(C3165,"'",""),6,2),1),0)+1)</f>
        <v>0</v>
      </c>
      <c r="E3165" s="17">
        <f t="shared" si="1"/>
        <v>1091</v>
      </c>
      <c r="F3165" s="17">
        <f t="shared" si="2"/>
        <v>0</v>
      </c>
    </row>
    <row r="3166">
      <c r="A3166" s="5" t="s">
        <v>56</v>
      </c>
      <c r="B3166" s="6">
        <v>779.0</v>
      </c>
      <c r="C3166" s="13" t="s">
        <v>398</v>
      </c>
      <c r="D3166" s="17">
        <f>SUMIFS(ShadowLedger!$D:$D,ShadowLedger!$G:$G,A3166,ShadowLedger!$C:$C,"&gt;="&amp;DATE(LEFT(SUBSTITUTE(C3166,"'",""),4),MID(SUBSTITUTE(C3166,"'",""),6,2),1),ShadowLedger!$C:$C,"&lt;"&amp;EOMONTH(DATE(LEFT(SUBSTITUTE(C3166,"'",""),4),MID(SUBSTITUTE(C3166,"'",""),6,2),1),0)+1)</f>
        <v>0</v>
      </c>
      <c r="E3166" s="17">
        <f t="shared" si="1"/>
        <v>779</v>
      </c>
      <c r="F3166" s="17">
        <f t="shared" si="2"/>
        <v>0</v>
      </c>
    </row>
    <row r="3167">
      <c r="A3167" s="5" t="s">
        <v>57</v>
      </c>
      <c r="B3167" s="6">
        <v>779.0</v>
      </c>
      <c r="C3167" s="13" t="s">
        <v>398</v>
      </c>
      <c r="D3167" s="17">
        <f>SUMIFS(ShadowLedger!$D:$D,ShadowLedger!$G:$G,A3167,ShadowLedger!$C:$C,"&gt;="&amp;DATE(LEFT(SUBSTITUTE(C3167,"'",""),4),MID(SUBSTITUTE(C3167,"'",""),6,2),1),ShadowLedger!$C:$C,"&lt;"&amp;EOMONTH(DATE(LEFT(SUBSTITUTE(C3167,"'",""),4),MID(SUBSTITUTE(C3167,"'",""),6,2),1),0)+1)</f>
        <v>0</v>
      </c>
      <c r="E3167" s="17">
        <f t="shared" si="1"/>
        <v>779</v>
      </c>
      <c r="F3167" s="17">
        <f t="shared" si="2"/>
        <v>0</v>
      </c>
    </row>
    <row r="3168">
      <c r="A3168" s="5" t="s">
        <v>58</v>
      </c>
      <c r="B3168" s="6">
        <v>623.0</v>
      </c>
      <c r="C3168" s="13" t="s">
        <v>398</v>
      </c>
      <c r="D3168" s="17">
        <f>SUMIFS(ShadowLedger!$D:$D,ShadowLedger!$G:$G,A3168,ShadowLedger!$C:$C,"&gt;="&amp;DATE(LEFT(SUBSTITUTE(C3168,"'",""),4),MID(SUBSTITUTE(C3168,"'",""),6,2),1),ShadowLedger!$C:$C,"&lt;"&amp;EOMONTH(DATE(LEFT(SUBSTITUTE(C3168,"'",""),4),MID(SUBSTITUTE(C3168,"'",""),6,2),1),0)+1)</f>
        <v>0</v>
      </c>
      <c r="E3168" s="17">
        <f t="shared" si="1"/>
        <v>623</v>
      </c>
      <c r="F3168" s="17">
        <f t="shared" si="2"/>
        <v>0</v>
      </c>
    </row>
    <row r="3169">
      <c r="A3169" s="5" t="s">
        <v>59</v>
      </c>
      <c r="B3169" s="6">
        <v>312.0</v>
      </c>
      <c r="C3169" s="13" t="s">
        <v>398</v>
      </c>
      <c r="D3169" s="17">
        <f>SUMIFS(ShadowLedger!$D:$D,ShadowLedger!$G:$G,A3169,ShadowLedger!$C:$C,"&gt;="&amp;DATE(LEFT(SUBSTITUTE(C3169,"'",""),4),MID(SUBSTITUTE(C3169,"'",""),6,2),1),ShadowLedger!$C:$C,"&lt;"&amp;EOMONTH(DATE(LEFT(SUBSTITUTE(C3169,"'",""),4),MID(SUBSTITUTE(C3169,"'",""),6,2),1),0)+1)</f>
        <v>0</v>
      </c>
      <c r="E3169" s="17">
        <f t="shared" si="1"/>
        <v>312</v>
      </c>
      <c r="F3169" s="17">
        <f t="shared" si="2"/>
        <v>0</v>
      </c>
    </row>
    <row r="3170">
      <c r="A3170" s="5" t="s">
        <v>60</v>
      </c>
      <c r="B3170" s="6">
        <v>234.0</v>
      </c>
      <c r="C3170" s="13" t="s">
        <v>398</v>
      </c>
      <c r="D3170" s="17">
        <f>SUMIFS(ShadowLedger!$D:$D,ShadowLedger!$G:$G,A3170,ShadowLedger!$C:$C,"&gt;="&amp;DATE(LEFT(SUBSTITUTE(C3170,"'",""),4),MID(SUBSTITUTE(C3170,"'",""),6,2),1),ShadowLedger!$C:$C,"&lt;"&amp;EOMONTH(DATE(LEFT(SUBSTITUTE(C3170,"'",""),4),MID(SUBSTITUTE(C3170,"'",""),6,2),1),0)+1)</f>
        <v>0</v>
      </c>
      <c r="E3170" s="17">
        <f t="shared" si="1"/>
        <v>234</v>
      </c>
      <c r="F3170" s="17">
        <f t="shared" si="2"/>
        <v>0</v>
      </c>
    </row>
    <row r="3171">
      <c r="A3171" s="5" t="s">
        <v>61</v>
      </c>
      <c r="B3171" s="6">
        <v>187.0</v>
      </c>
      <c r="C3171" s="13" t="s">
        <v>398</v>
      </c>
      <c r="D3171" s="17">
        <f>SUMIFS(ShadowLedger!$D:$D,ShadowLedger!$G:$G,A3171,ShadowLedger!$C:$C,"&gt;="&amp;DATE(LEFT(SUBSTITUTE(C3171,"'",""),4),MID(SUBSTITUTE(C3171,"'",""),6,2),1),ShadowLedger!$C:$C,"&lt;"&amp;EOMONTH(DATE(LEFT(SUBSTITUTE(C3171,"'",""),4),MID(SUBSTITUTE(C3171,"'",""),6,2),1),0)+1)</f>
        <v>0</v>
      </c>
      <c r="E3171" s="17">
        <f t="shared" si="1"/>
        <v>187</v>
      </c>
      <c r="F3171" s="17">
        <f t="shared" si="2"/>
        <v>0</v>
      </c>
    </row>
    <row r="3172">
      <c r="A3172" s="5" t="s">
        <v>62</v>
      </c>
      <c r="B3172" s="6">
        <v>187.0</v>
      </c>
      <c r="C3172" s="13" t="s">
        <v>398</v>
      </c>
      <c r="D3172" s="17">
        <f>SUMIFS(ShadowLedger!$D:$D,ShadowLedger!$G:$G,A3172,ShadowLedger!$C:$C,"&gt;="&amp;DATE(LEFT(SUBSTITUTE(C3172,"'",""),4),MID(SUBSTITUTE(C3172,"'",""),6,2),1),ShadowLedger!$C:$C,"&lt;"&amp;EOMONTH(DATE(LEFT(SUBSTITUTE(C3172,"'",""),4),MID(SUBSTITUTE(C3172,"'",""),6,2),1),0)+1)</f>
        <v>0</v>
      </c>
      <c r="E3172" s="17">
        <f t="shared" si="1"/>
        <v>187</v>
      </c>
      <c r="F3172" s="17">
        <f t="shared" si="2"/>
        <v>0</v>
      </c>
    </row>
    <row r="3173">
      <c r="A3173" s="5" t="s">
        <v>63</v>
      </c>
      <c r="B3173" s="6">
        <v>156.0</v>
      </c>
      <c r="C3173" s="13" t="s">
        <v>398</v>
      </c>
      <c r="D3173" s="17">
        <f>SUMIFS(ShadowLedger!$D:$D,ShadowLedger!$G:$G,A3173,ShadowLedger!$C:$C,"&gt;="&amp;DATE(LEFT(SUBSTITUTE(C3173,"'",""),4),MID(SUBSTITUTE(C3173,"'",""),6,2),1),ShadowLedger!$C:$C,"&lt;"&amp;EOMONTH(DATE(LEFT(SUBSTITUTE(C3173,"'",""),4),MID(SUBSTITUTE(C3173,"'",""),6,2),1),0)+1)</f>
        <v>0</v>
      </c>
      <c r="E3173" s="17">
        <f t="shared" si="1"/>
        <v>156</v>
      </c>
      <c r="F3173" s="17">
        <f t="shared" si="2"/>
        <v>0</v>
      </c>
    </row>
    <row r="3174">
      <c r="A3174" s="5" t="s">
        <v>64</v>
      </c>
      <c r="B3174" s="6">
        <v>156.0</v>
      </c>
      <c r="C3174" s="13" t="s">
        <v>398</v>
      </c>
      <c r="D3174" s="17">
        <f>SUMIFS(ShadowLedger!$D:$D,ShadowLedger!$G:$G,A3174,ShadowLedger!$C:$C,"&gt;="&amp;DATE(LEFT(SUBSTITUTE(C3174,"'",""),4),MID(SUBSTITUTE(C3174,"'",""),6,2),1),ShadowLedger!$C:$C,"&lt;"&amp;EOMONTH(DATE(LEFT(SUBSTITUTE(C3174,"'",""),4),MID(SUBSTITUTE(C3174,"'",""),6,2),1),0)+1)</f>
        <v>0</v>
      </c>
      <c r="E3174" s="17">
        <f t="shared" si="1"/>
        <v>156</v>
      </c>
      <c r="F3174" s="17">
        <f t="shared" si="2"/>
        <v>0</v>
      </c>
    </row>
    <row r="3175">
      <c r="A3175" s="5" t="s">
        <v>70</v>
      </c>
      <c r="B3175" s="6">
        <v>156.0</v>
      </c>
      <c r="C3175" s="13" t="s">
        <v>398</v>
      </c>
      <c r="D3175" s="17">
        <f>SUMIFS(ShadowLedger!$D:$D,ShadowLedger!$G:$G,A3175,ShadowLedger!$C:$C,"&gt;="&amp;DATE(LEFT(SUBSTITUTE(C3175,"'",""),4),MID(SUBSTITUTE(C3175,"'",""),6,2),1),ShadowLedger!$C:$C,"&lt;"&amp;EOMONTH(DATE(LEFT(SUBSTITUTE(C3175,"'",""),4),MID(SUBSTITUTE(C3175,"'",""),6,2),1),0)+1)</f>
        <v>0</v>
      </c>
      <c r="E3175" s="17">
        <f t="shared" si="1"/>
        <v>156</v>
      </c>
      <c r="F3175" s="17">
        <f t="shared" si="2"/>
        <v>0</v>
      </c>
    </row>
    <row r="3176">
      <c r="A3176" s="5" t="s">
        <v>65</v>
      </c>
      <c r="B3176" s="6">
        <v>78.0</v>
      </c>
      <c r="C3176" s="13" t="s">
        <v>398</v>
      </c>
      <c r="D3176" s="17">
        <f>SUMIFS(ShadowLedger!$D:$D,ShadowLedger!$G:$G,A3176,ShadowLedger!$C:$C,"&gt;="&amp;DATE(LEFT(SUBSTITUTE(C3176,"'",""),4),MID(SUBSTITUTE(C3176,"'",""),6,2),1),ShadowLedger!$C:$C,"&lt;"&amp;EOMONTH(DATE(LEFT(SUBSTITUTE(C3176,"'",""),4),MID(SUBSTITUTE(C3176,"'",""),6,2),1),0)+1)</f>
        <v>0</v>
      </c>
      <c r="E3176" s="17">
        <f t="shared" si="1"/>
        <v>78</v>
      </c>
      <c r="F3176" s="17">
        <f t="shared" si="2"/>
        <v>0</v>
      </c>
    </row>
    <row r="3177">
      <c r="A3177" s="5" t="s">
        <v>66</v>
      </c>
      <c r="B3177" s="6">
        <v>78.0</v>
      </c>
      <c r="C3177" s="13" t="s">
        <v>398</v>
      </c>
      <c r="D3177" s="17">
        <f>SUMIFS(ShadowLedger!$D:$D,ShadowLedger!$G:$G,A3177,ShadowLedger!$C:$C,"&gt;="&amp;DATE(LEFT(SUBSTITUTE(C3177,"'",""),4),MID(SUBSTITUTE(C3177,"'",""),6,2),1),ShadowLedger!$C:$C,"&lt;"&amp;EOMONTH(DATE(LEFT(SUBSTITUTE(C3177,"'",""),4),MID(SUBSTITUTE(C3177,"'",""),6,2),1),0)+1)</f>
        <v>0</v>
      </c>
      <c r="E3177" s="17">
        <f t="shared" si="1"/>
        <v>78</v>
      </c>
      <c r="F3177" s="17">
        <f t="shared" si="2"/>
        <v>0</v>
      </c>
    </row>
    <row r="3178">
      <c r="A3178" s="5" t="s">
        <v>67</v>
      </c>
      <c r="B3178" s="6">
        <v>78.0</v>
      </c>
      <c r="C3178" s="13" t="s">
        <v>398</v>
      </c>
      <c r="D3178" s="17">
        <f>SUMIFS(ShadowLedger!$D:$D,ShadowLedger!$G:$G,A3178,ShadowLedger!$C:$C,"&gt;="&amp;DATE(LEFT(SUBSTITUTE(C3178,"'",""),4),MID(SUBSTITUTE(C3178,"'",""),6,2),1),ShadowLedger!$C:$C,"&lt;"&amp;EOMONTH(DATE(LEFT(SUBSTITUTE(C3178,"'",""),4),MID(SUBSTITUTE(C3178,"'",""),6,2),1),0)+1)</f>
        <v>0</v>
      </c>
      <c r="E3178" s="17">
        <f t="shared" si="1"/>
        <v>78</v>
      </c>
      <c r="F3178" s="17">
        <f t="shared" si="2"/>
        <v>0</v>
      </c>
    </row>
    <row r="3179">
      <c r="A3179" s="5" t="s">
        <v>68</v>
      </c>
      <c r="B3179" s="6">
        <v>78.0</v>
      </c>
      <c r="C3179" s="13" t="s">
        <v>398</v>
      </c>
      <c r="D3179" s="17">
        <f>SUMIFS(ShadowLedger!$D:$D,ShadowLedger!$G:$G,A3179,ShadowLedger!$C:$C,"&gt;="&amp;DATE(LEFT(SUBSTITUTE(C3179,"'",""),4),MID(SUBSTITUTE(C3179,"'",""),6,2),1),ShadowLedger!$C:$C,"&lt;"&amp;EOMONTH(DATE(LEFT(SUBSTITUTE(C3179,"'",""),4),MID(SUBSTITUTE(C3179,"'",""),6,2),1),0)+1)</f>
        <v>0</v>
      </c>
      <c r="E3179" s="17">
        <f t="shared" si="1"/>
        <v>78</v>
      </c>
      <c r="F3179" s="17">
        <f t="shared" si="2"/>
        <v>0</v>
      </c>
    </row>
    <row r="3180">
      <c r="A3180" s="5" t="s">
        <v>69</v>
      </c>
      <c r="B3180" s="6">
        <v>0.0</v>
      </c>
      <c r="C3180" s="13" t="s">
        <v>398</v>
      </c>
      <c r="D3180" s="17">
        <f>SUMIFS(ShadowLedger!$D:$D,ShadowLedger!$G:$G,A3180,ShadowLedger!$C:$C,"&gt;="&amp;DATE(LEFT(SUBSTITUTE(C3180,"'",""),4),MID(SUBSTITUTE(C3180,"'",""),6,2),1),ShadowLedger!$C:$C,"&lt;"&amp;EOMONTH(DATE(LEFT(SUBSTITUTE(C3180,"'",""),4),MID(SUBSTITUTE(C3180,"'",""),6,2),1),0)+1)</f>
        <v>0</v>
      </c>
      <c r="E3180" s="17">
        <f t="shared" si="1"/>
        <v>0</v>
      </c>
      <c r="F3180" s="17">
        <f t="shared" si="2"/>
        <v>0</v>
      </c>
    </row>
    <row r="3181">
      <c r="A3181" s="5" t="s">
        <v>54</v>
      </c>
      <c r="B3181" s="6">
        <v>1433.0</v>
      </c>
      <c r="C3181" s="13" t="s">
        <v>399</v>
      </c>
      <c r="D3181" s="17">
        <f>SUMIFS(ShadowLedger!$D:$D,ShadowLedger!$G:$G,A3181,ShadowLedger!$C:$C,"&gt;="&amp;DATE(LEFT(SUBSTITUTE(C3181,"'",""),4),MID(SUBSTITUTE(C3181,"'",""),6,2),1),ShadowLedger!$C:$C,"&lt;"&amp;EOMONTH(DATE(LEFT(SUBSTITUTE(C3181,"'",""),4),MID(SUBSTITUTE(C3181,"'",""),6,2),1),0)+1)</f>
        <v>0</v>
      </c>
      <c r="E3181" s="17">
        <f t="shared" si="1"/>
        <v>1433</v>
      </c>
      <c r="F3181" s="17">
        <f t="shared" si="2"/>
        <v>0</v>
      </c>
    </row>
    <row r="3182">
      <c r="A3182" s="5" t="s">
        <v>55</v>
      </c>
      <c r="B3182" s="6">
        <v>1091.0</v>
      </c>
      <c r="C3182" s="13" t="s">
        <v>399</v>
      </c>
      <c r="D3182" s="17">
        <f>SUMIFS(ShadowLedger!$D:$D,ShadowLedger!$G:$G,A3182,ShadowLedger!$C:$C,"&gt;="&amp;DATE(LEFT(SUBSTITUTE(C3182,"'",""),4),MID(SUBSTITUTE(C3182,"'",""),6,2),1),ShadowLedger!$C:$C,"&lt;"&amp;EOMONTH(DATE(LEFT(SUBSTITUTE(C3182,"'",""),4),MID(SUBSTITUTE(C3182,"'",""),6,2),1),0)+1)</f>
        <v>0</v>
      </c>
      <c r="E3182" s="17">
        <f t="shared" si="1"/>
        <v>1091</v>
      </c>
      <c r="F3182" s="17">
        <f t="shared" si="2"/>
        <v>0</v>
      </c>
    </row>
    <row r="3183">
      <c r="A3183" s="5" t="s">
        <v>56</v>
      </c>
      <c r="B3183" s="6">
        <v>779.0</v>
      </c>
      <c r="C3183" s="13" t="s">
        <v>399</v>
      </c>
      <c r="D3183" s="17">
        <f>SUMIFS(ShadowLedger!$D:$D,ShadowLedger!$G:$G,A3183,ShadowLedger!$C:$C,"&gt;="&amp;DATE(LEFT(SUBSTITUTE(C3183,"'",""),4),MID(SUBSTITUTE(C3183,"'",""),6,2),1),ShadowLedger!$C:$C,"&lt;"&amp;EOMONTH(DATE(LEFT(SUBSTITUTE(C3183,"'",""),4),MID(SUBSTITUTE(C3183,"'",""),6,2),1),0)+1)</f>
        <v>0</v>
      </c>
      <c r="E3183" s="17">
        <f t="shared" si="1"/>
        <v>779</v>
      </c>
      <c r="F3183" s="17">
        <f t="shared" si="2"/>
        <v>0</v>
      </c>
    </row>
    <row r="3184">
      <c r="A3184" s="5" t="s">
        <v>57</v>
      </c>
      <c r="B3184" s="6">
        <v>779.0</v>
      </c>
      <c r="C3184" s="13" t="s">
        <v>399</v>
      </c>
      <c r="D3184" s="17">
        <f>SUMIFS(ShadowLedger!$D:$D,ShadowLedger!$G:$G,A3184,ShadowLedger!$C:$C,"&gt;="&amp;DATE(LEFT(SUBSTITUTE(C3184,"'",""),4),MID(SUBSTITUTE(C3184,"'",""),6,2),1),ShadowLedger!$C:$C,"&lt;"&amp;EOMONTH(DATE(LEFT(SUBSTITUTE(C3184,"'",""),4),MID(SUBSTITUTE(C3184,"'",""),6,2),1),0)+1)</f>
        <v>0</v>
      </c>
      <c r="E3184" s="17">
        <f t="shared" si="1"/>
        <v>779</v>
      </c>
      <c r="F3184" s="17">
        <f t="shared" si="2"/>
        <v>0</v>
      </c>
    </row>
    <row r="3185">
      <c r="A3185" s="5" t="s">
        <v>58</v>
      </c>
      <c r="B3185" s="6">
        <v>623.0</v>
      </c>
      <c r="C3185" s="13" t="s">
        <v>399</v>
      </c>
      <c r="D3185" s="17">
        <f>SUMIFS(ShadowLedger!$D:$D,ShadowLedger!$G:$G,A3185,ShadowLedger!$C:$C,"&gt;="&amp;DATE(LEFT(SUBSTITUTE(C3185,"'",""),4),MID(SUBSTITUTE(C3185,"'",""),6,2),1),ShadowLedger!$C:$C,"&lt;"&amp;EOMONTH(DATE(LEFT(SUBSTITUTE(C3185,"'",""),4),MID(SUBSTITUTE(C3185,"'",""),6,2),1),0)+1)</f>
        <v>0</v>
      </c>
      <c r="E3185" s="17">
        <f t="shared" si="1"/>
        <v>623</v>
      </c>
      <c r="F3185" s="17">
        <f t="shared" si="2"/>
        <v>0</v>
      </c>
    </row>
    <row r="3186">
      <c r="A3186" s="5" t="s">
        <v>59</v>
      </c>
      <c r="B3186" s="6">
        <v>312.0</v>
      </c>
      <c r="C3186" s="13" t="s">
        <v>399</v>
      </c>
      <c r="D3186" s="17">
        <f>SUMIFS(ShadowLedger!$D:$D,ShadowLedger!$G:$G,A3186,ShadowLedger!$C:$C,"&gt;="&amp;DATE(LEFT(SUBSTITUTE(C3186,"'",""),4),MID(SUBSTITUTE(C3186,"'",""),6,2),1),ShadowLedger!$C:$C,"&lt;"&amp;EOMONTH(DATE(LEFT(SUBSTITUTE(C3186,"'",""),4),MID(SUBSTITUTE(C3186,"'",""),6,2),1),0)+1)</f>
        <v>0</v>
      </c>
      <c r="E3186" s="17">
        <f t="shared" si="1"/>
        <v>312</v>
      </c>
      <c r="F3186" s="17">
        <f t="shared" si="2"/>
        <v>0</v>
      </c>
    </row>
    <row r="3187">
      <c r="A3187" s="5" t="s">
        <v>60</v>
      </c>
      <c r="B3187" s="6">
        <v>234.0</v>
      </c>
      <c r="C3187" s="13" t="s">
        <v>399</v>
      </c>
      <c r="D3187" s="17">
        <f>SUMIFS(ShadowLedger!$D:$D,ShadowLedger!$G:$G,A3187,ShadowLedger!$C:$C,"&gt;="&amp;DATE(LEFT(SUBSTITUTE(C3187,"'",""),4),MID(SUBSTITUTE(C3187,"'",""),6,2),1),ShadowLedger!$C:$C,"&lt;"&amp;EOMONTH(DATE(LEFT(SUBSTITUTE(C3187,"'",""),4),MID(SUBSTITUTE(C3187,"'",""),6,2),1),0)+1)</f>
        <v>0</v>
      </c>
      <c r="E3187" s="17">
        <f t="shared" si="1"/>
        <v>234</v>
      </c>
      <c r="F3187" s="17">
        <f t="shared" si="2"/>
        <v>0</v>
      </c>
    </row>
    <row r="3188">
      <c r="A3188" s="5" t="s">
        <v>61</v>
      </c>
      <c r="B3188" s="6">
        <v>187.0</v>
      </c>
      <c r="C3188" s="13" t="s">
        <v>399</v>
      </c>
      <c r="D3188" s="17">
        <f>SUMIFS(ShadowLedger!$D:$D,ShadowLedger!$G:$G,A3188,ShadowLedger!$C:$C,"&gt;="&amp;DATE(LEFT(SUBSTITUTE(C3188,"'",""),4),MID(SUBSTITUTE(C3188,"'",""),6,2),1),ShadowLedger!$C:$C,"&lt;"&amp;EOMONTH(DATE(LEFT(SUBSTITUTE(C3188,"'",""),4),MID(SUBSTITUTE(C3188,"'",""),6,2),1),0)+1)</f>
        <v>0</v>
      </c>
      <c r="E3188" s="17">
        <f t="shared" si="1"/>
        <v>187</v>
      </c>
      <c r="F3188" s="17">
        <f t="shared" si="2"/>
        <v>0</v>
      </c>
    </row>
    <row r="3189">
      <c r="A3189" s="5" t="s">
        <v>62</v>
      </c>
      <c r="B3189" s="6">
        <v>187.0</v>
      </c>
      <c r="C3189" s="13" t="s">
        <v>399</v>
      </c>
      <c r="D3189" s="17">
        <f>SUMIFS(ShadowLedger!$D:$D,ShadowLedger!$G:$G,A3189,ShadowLedger!$C:$C,"&gt;="&amp;DATE(LEFT(SUBSTITUTE(C3189,"'",""),4),MID(SUBSTITUTE(C3189,"'",""),6,2),1),ShadowLedger!$C:$C,"&lt;"&amp;EOMONTH(DATE(LEFT(SUBSTITUTE(C3189,"'",""),4),MID(SUBSTITUTE(C3189,"'",""),6,2),1),0)+1)</f>
        <v>0</v>
      </c>
      <c r="E3189" s="17">
        <f t="shared" si="1"/>
        <v>187</v>
      </c>
      <c r="F3189" s="17">
        <f t="shared" si="2"/>
        <v>0</v>
      </c>
    </row>
    <row r="3190">
      <c r="A3190" s="5" t="s">
        <v>63</v>
      </c>
      <c r="B3190" s="6">
        <v>156.0</v>
      </c>
      <c r="C3190" s="13" t="s">
        <v>399</v>
      </c>
      <c r="D3190" s="17">
        <f>SUMIFS(ShadowLedger!$D:$D,ShadowLedger!$G:$G,A3190,ShadowLedger!$C:$C,"&gt;="&amp;DATE(LEFT(SUBSTITUTE(C3190,"'",""),4),MID(SUBSTITUTE(C3190,"'",""),6,2),1),ShadowLedger!$C:$C,"&lt;"&amp;EOMONTH(DATE(LEFT(SUBSTITUTE(C3190,"'",""),4),MID(SUBSTITUTE(C3190,"'",""),6,2),1),0)+1)</f>
        <v>0</v>
      </c>
      <c r="E3190" s="17">
        <f t="shared" si="1"/>
        <v>156</v>
      </c>
      <c r="F3190" s="17">
        <f t="shared" si="2"/>
        <v>0</v>
      </c>
    </row>
    <row r="3191">
      <c r="A3191" s="5" t="s">
        <v>64</v>
      </c>
      <c r="B3191" s="6">
        <v>156.0</v>
      </c>
      <c r="C3191" s="13" t="s">
        <v>399</v>
      </c>
      <c r="D3191" s="17">
        <f>SUMIFS(ShadowLedger!$D:$D,ShadowLedger!$G:$G,A3191,ShadowLedger!$C:$C,"&gt;="&amp;DATE(LEFT(SUBSTITUTE(C3191,"'",""),4),MID(SUBSTITUTE(C3191,"'",""),6,2),1),ShadowLedger!$C:$C,"&lt;"&amp;EOMONTH(DATE(LEFT(SUBSTITUTE(C3191,"'",""),4),MID(SUBSTITUTE(C3191,"'",""),6,2),1),0)+1)</f>
        <v>0</v>
      </c>
      <c r="E3191" s="17">
        <f t="shared" si="1"/>
        <v>156</v>
      </c>
      <c r="F3191" s="17">
        <f t="shared" si="2"/>
        <v>0</v>
      </c>
    </row>
    <row r="3192">
      <c r="A3192" s="5" t="s">
        <v>70</v>
      </c>
      <c r="B3192" s="6">
        <v>156.0</v>
      </c>
      <c r="C3192" s="13" t="s">
        <v>399</v>
      </c>
      <c r="D3192" s="17">
        <f>SUMIFS(ShadowLedger!$D:$D,ShadowLedger!$G:$G,A3192,ShadowLedger!$C:$C,"&gt;="&amp;DATE(LEFT(SUBSTITUTE(C3192,"'",""),4),MID(SUBSTITUTE(C3192,"'",""),6,2),1),ShadowLedger!$C:$C,"&lt;"&amp;EOMONTH(DATE(LEFT(SUBSTITUTE(C3192,"'",""),4),MID(SUBSTITUTE(C3192,"'",""),6,2),1),0)+1)</f>
        <v>0</v>
      </c>
      <c r="E3192" s="17">
        <f t="shared" si="1"/>
        <v>156</v>
      </c>
      <c r="F3192" s="17">
        <f t="shared" si="2"/>
        <v>0</v>
      </c>
    </row>
    <row r="3193">
      <c r="A3193" s="5" t="s">
        <v>65</v>
      </c>
      <c r="B3193" s="6">
        <v>78.0</v>
      </c>
      <c r="C3193" s="13" t="s">
        <v>399</v>
      </c>
      <c r="D3193" s="17">
        <f>SUMIFS(ShadowLedger!$D:$D,ShadowLedger!$G:$G,A3193,ShadowLedger!$C:$C,"&gt;="&amp;DATE(LEFT(SUBSTITUTE(C3193,"'",""),4),MID(SUBSTITUTE(C3193,"'",""),6,2),1),ShadowLedger!$C:$C,"&lt;"&amp;EOMONTH(DATE(LEFT(SUBSTITUTE(C3193,"'",""),4),MID(SUBSTITUTE(C3193,"'",""),6,2),1),0)+1)</f>
        <v>0</v>
      </c>
      <c r="E3193" s="17">
        <f t="shared" si="1"/>
        <v>78</v>
      </c>
      <c r="F3193" s="17">
        <f t="shared" si="2"/>
        <v>0</v>
      </c>
    </row>
    <row r="3194">
      <c r="A3194" s="5" t="s">
        <v>66</v>
      </c>
      <c r="B3194" s="6">
        <v>78.0</v>
      </c>
      <c r="C3194" s="13" t="s">
        <v>399</v>
      </c>
      <c r="D3194" s="17">
        <f>SUMIFS(ShadowLedger!$D:$D,ShadowLedger!$G:$G,A3194,ShadowLedger!$C:$C,"&gt;="&amp;DATE(LEFT(SUBSTITUTE(C3194,"'",""),4),MID(SUBSTITUTE(C3194,"'",""),6,2),1),ShadowLedger!$C:$C,"&lt;"&amp;EOMONTH(DATE(LEFT(SUBSTITUTE(C3194,"'",""),4),MID(SUBSTITUTE(C3194,"'",""),6,2),1),0)+1)</f>
        <v>0</v>
      </c>
      <c r="E3194" s="17">
        <f t="shared" si="1"/>
        <v>78</v>
      </c>
      <c r="F3194" s="17">
        <f t="shared" si="2"/>
        <v>0</v>
      </c>
    </row>
    <row r="3195">
      <c r="A3195" s="5" t="s">
        <v>67</v>
      </c>
      <c r="B3195" s="6">
        <v>78.0</v>
      </c>
      <c r="C3195" s="13" t="s">
        <v>399</v>
      </c>
      <c r="D3195" s="17">
        <f>SUMIFS(ShadowLedger!$D:$D,ShadowLedger!$G:$G,A3195,ShadowLedger!$C:$C,"&gt;="&amp;DATE(LEFT(SUBSTITUTE(C3195,"'",""),4),MID(SUBSTITUTE(C3195,"'",""),6,2),1),ShadowLedger!$C:$C,"&lt;"&amp;EOMONTH(DATE(LEFT(SUBSTITUTE(C3195,"'",""),4),MID(SUBSTITUTE(C3195,"'",""),6,2),1),0)+1)</f>
        <v>0</v>
      </c>
      <c r="E3195" s="17">
        <f t="shared" si="1"/>
        <v>78</v>
      </c>
      <c r="F3195" s="17">
        <f t="shared" si="2"/>
        <v>0</v>
      </c>
    </row>
    <row r="3196">
      <c r="A3196" s="5" t="s">
        <v>68</v>
      </c>
      <c r="B3196" s="6">
        <v>78.0</v>
      </c>
      <c r="C3196" s="13" t="s">
        <v>399</v>
      </c>
      <c r="D3196" s="17">
        <f>SUMIFS(ShadowLedger!$D:$D,ShadowLedger!$G:$G,A3196,ShadowLedger!$C:$C,"&gt;="&amp;DATE(LEFT(SUBSTITUTE(C3196,"'",""),4),MID(SUBSTITUTE(C3196,"'",""),6,2),1),ShadowLedger!$C:$C,"&lt;"&amp;EOMONTH(DATE(LEFT(SUBSTITUTE(C3196,"'",""),4),MID(SUBSTITUTE(C3196,"'",""),6,2),1),0)+1)</f>
        <v>0</v>
      </c>
      <c r="E3196" s="17">
        <f t="shared" si="1"/>
        <v>78</v>
      </c>
      <c r="F3196" s="17">
        <f t="shared" si="2"/>
        <v>0</v>
      </c>
    </row>
    <row r="3197">
      <c r="A3197" s="5" t="s">
        <v>69</v>
      </c>
      <c r="B3197" s="6">
        <v>0.0</v>
      </c>
      <c r="C3197" s="13" t="s">
        <v>399</v>
      </c>
      <c r="D3197" s="17">
        <f>SUMIFS(ShadowLedger!$D:$D,ShadowLedger!$G:$G,A3197,ShadowLedger!$C:$C,"&gt;="&amp;DATE(LEFT(SUBSTITUTE(C3197,"'",""),4),MID(SUBSTITUTE(C3197,"'",""),6,2),1),ShadowLedger!$C:$C,"&lt;"&amp;EOMONTH(DATE(LEFT(SUBSTITUTE(C3197,"'",""),4),MID(SUBSTITUTE(C3197,"'",""),6,2),1),0)+1)</f>
        <v>0</v>
      </c>
      <c r="E3197" s="17">
        <f t="shared" si="1"/>
        <v>0</v>
      </c>
      <c r="F3197" s="17">
        <f t="shared" si="2"/>
        <v>0</v>
      </c>
    </row>
    <row r="3198">
      <c r="A3198" s="5" t="s">
        <v>54</v>
      </c>
      <c r="B3198" s="6">
        <v>1433.0</v>
      </c>
      <c r="C3198" s="13" t="s">
        <v>400</v>
      </c>
      <c r="D3198" s="17">
        <f>SUMIFS(ShadowLedger!$D:$D,ShadowLedger!$G:$G,A3198,ShadowLedger!$C:$C,"&gt;="&amp;DATE(LEFT(SUBSTITUTE(C3198,"'",""),4),MID(SUBSTITUTE(C3198,"'",""),6,2),1),ShadowLedger!$C:$C,"&lt;"&amp;EOMONTH(DATE(LEFT(SUBSTITUTE(C3198,"'",""),4),MID(SUBSTITUTE(C3198,"'",""),6,2),1),0)+1)</f>
        <v>0</v>
      </c>
      <c r="E3198" s="17">
        <f t="shared" si="1"/>
        <v>1433</v>
      </c>
      <c r="F3198" s="17">
        <f t="shared" si="2"/>
        <v>0</v>
      </c>
    </row>
    <row r="3199">
      <c r="A3199" s="5" t="s">
        <v>55</v>
      </c>
      <c r="B3199" s="6">
        <v>1091.0</v>
      </c>
      <c r="C3199" s="13" t="s">
        <v>400</v>
      </c>
      <c r="D3199" s="17">
        <f>SUMIFS(ShadowLedger!$D:$D,ShadowLedger!$G:$G,A3199,ShadowLedger!$C:$C,"&gt;="&amp;DATE(LEFT(SUBSTITUTE(C3199,"'",""),4),MID(SUBSTITUTE(C3199,"'",""),6,2),1),ShadowLedger!$C:$C,"&lt;"&amp;EOMONTH(DATE(LEFT(SUBSTITUTE(C3199,"'",""),4),MID(SUBSTITUTE(C3199,"'",""),6,2),1),0)+1)</f>
        <v>0</v>
      </c>
      <c r="E3199" s="17">
        <f t="shared" si="1"/>
        <v>1091</v>
      </c>
      <c r="F3199" s="17">
        <f t="shared" si="2"/>
        <v>0</v>
      </c>
    </row>
    <row r="3200">
      <c r="A3200" s="5" t="s">
        <v>56</v>
      </c>
      <c r="B3200" s="6">
        <v>779.0</v>
      </c>
      <c r="C3200" s="13" t="s">
        <v>400</v>
      </c>
      <c r="D3200" s="17">
        <f>SUMIFS(ShadowLedger!$D:$D,ShadowLedger!$G:$G,A3200,ShadowLedger!$C:$C,"&gt;="&amp;DATE(LEFT(SUBSTITUTE(C3200,"'",""),4),MID(SUBSTITUTE(C3200,"'",""),6,2),1),ShadowLedger!$C:$C,"&lt;"&amp;EOMONTH(DATE(LEFT(SUBSTITUTE(C3200,"'",""),4),MID(SUBSTITUTE(C3200,"'",""),6,2),1),0)+1)</f>
        <v>0</v>
      </c>
      <c r="E3200" s="17">
        <f t="shared" si="1"/>
        <v>779</v>
      </c>
      <c r="F3200" s="17">
        <f t="shared" si="2"/>
        <v>0</v>
      </c>
    </row>
    <row r="3201">
      <c r="A3201" s="5" t="s">
        <v>57</v>
      </c>
      <c r="B3201" s="6">
        <v>779.0</v>
      </c>
      <c r="C3201" s="13" t="s">
        <v>400</v>
      </c>
      <c r="D3201" s="17">
        <f>SUMIFS(ShadowLedger!$D:$D,ShadowLedger!$G:$G,A3201,ShadowLedger!$C:$C,"&gt;="&amp;DATE(LEFT(SUBSTITUTE(C3201,"'",""),4),MID(SUBSTITUTE(C3201,"'",""),6,2),1),ShadowLedger!$C:$C,"&lt;"&amp;EOMONTH(DATE(LEFT(SUBSTITUTE(C3201,"'",""),4),MID(SUBSTITUTE(C3201,"'",""),6,2),1),0)+1)</f>
        <v>0</v>
      </c>
      <c r="E3201" s="17">
        <f t="shared" si="1"/>
        <v>779</v>
      </c>
      <c r="F3201" s="17">
        <f t="shared" si="2"/>
        <v>0</v>
      </c>
    </row>
    <row r="3202">
      <c r="A3202" s="5" t="s">
        <v>58</v>
      </c>
      <c r="B3202" s="6">
        <v>623.0</v>
      </c>
      <c r="C3202" s="13" t="s">
        <v>400</v>
      </c>
      <c r="D3202" s="17">
        <f>SUMIFS(ShadowLedger!$D:$D,ShadowLedger!$G:$G,A3202,ShadowLedger!$C:$C,"&gt;="&amp;DATE(LEFT(SUBSTITUTE(C3202,"'",""),4),MID(SUBSTITUTE(C3202,"'",""),6,2),1),ShadowLedger!$C:$C,"&lt;"&amp;EOMONTH(DATE(LEFT(SUBSTITUTE(C3202,"'",""),4),MID(SUBSTITUTE(C3202,"'",""),6,2),1),0)+1)</f>
        <v>0</v>
      </c>
      <c r="E3202" s="17">
        <f t="shared" si="1"/>
        <v>623</v>
      </c>
      <c r="F3202" s="17">
        <f t="shared" si="2"/>
        <v>0</v>
      </c>
    </row>
    <row r="3203">
      <c r="A3203" s="5" t="s">
        <v>59</v>
      </c>
      <c r="B3203" s="6">
        <v>312.0</v>
      </c>
      <c r="C3203" s="13" t="s">
        <v>400</v>
      </c>
      <c r="D3203" s="17">
        <f>SUMIFS(ShadowLedger!$D:$D,ShadowLedger!$G:$G,A3203,ShadowLedger!$C:$C,"&gt;="&amp;DATE(LEFT(SUBSTITUTE(C3203,"'",""),4),MID(SUBSTITUTE(C3203,"'",""),6,2),1),ShadowLedger!$C:$C,"&lt;"&amp;EOMONTH(DATE(LEFT(SUBSTITUTE(C3203,"'",""),4),MID(SUBSTITUTE(C3203,"'",""),6,2),1),0)+1)</f>
        <v>0</v>
      </c>
      <c r="E3203" s="17">
        <f t="shared" si="1"/>
        <v>312</v>
      </c>
      <c r="F3203" s="17">
        <f t="shared" si="2"/>
        <v>0</v>
      </c>
    </row>
    <row r="3204">
      <c r="A3204" s="5" t="s">
        <v>60</v>
      </c>
      <c r="B3204" s="6">
        <v>234.0</v>
      </c>
      <c r="C3204" s="13" t="s">
        <v>400</v>
      </c>
      <c r="D3204" s="17">
        <f>SUMIFS(ShadowLedger!$D:$D,ShadowLedger!$G:$G,A3204,ShadowLedger!$C:$C,"&gt;="&amp;DATE(LEFT(SUBSTITUTE(C3204,"'",""),4),MID(SUBSTITUTE(C3204,"'",""),6,2),1),ShadowLedger!$C:$C,"&lt;"&amp;EOMONTH(DATE(LEFT(SUBSTITUTE(C3204,"'",""),4),MID(SUBSTITUTE(C3204,"'",""),6,2),1),0)+1)</f>
        <v>0</v>
      </c>
      <c r="E3204" s="17">
        <f t="shared" si="1"/>
        <v>234</v>
      </c>
      <c r="F3204" s="17">
        <f t="shared" si="2"/>
        <v>0</v>
      </c>
    </row>
    <row r="3205">
      <c r="A3205" s="5" t="s">
        <v>61</v>
      </c>
      <c r="B3205" s="6">
        <v>187.0</v>
      </c>
      <c r="C3205" s="13" t="s">
        <v>400</v>
      </c>
      <c r="D3205" s="17">
        <f>SUMIFS(ShadowLedger!$D:$D,ShadowLedger!$G:$G,A3205,ShadowLedger!$C:$C,"&gt;="&amp;DATE(LEFT(SUBSTITUTE(C3205,"'",""),4),MID(SUBSTITUTE(C3205,"'",""),6,2),1),ShadowLedger!$C:$C,"&lt;"&amp;EOMONTH(DATE(LEFT(SUBSTITUTE(C3205,"'",""),4),MID(SUBSTITUTE(C3205,"'",""),6,2),1),0)+1)</f>
        <v>0</v>
      </c>
      <c r="E3205" s="17">
        <f t="shared" si="1"/>
        <v>187</v>
      </c>
      <c r="F3205" s="17">
        <f t="shared" si="2"/>
        <v>0</v>
      </c>
    </row>
    <row r="3206">
      <c r="A3206" s="5" t="s">
        <v>62</v>
      </c>
      <c r="B3206" s="6">
        <v>187.0</v>
      </c>
      <c r="C3206" s="13" t="s">
        <v>400</v>
      </c>
      <c r="D3206" s="17">
        <f>SUMIFS(ShadowLedger!$D:$D,ShadowLedger!$G:$G,A3206,ShadowLedger!$C:$C,"&gt;="&amp;DATE(LEFT(SUBSTITUTE(C3206,"'",""),4),MID(SUBSTITUTE(C3206,"'",""),6,2),1),ShadowLedger!$C:$C,"&lt;"&amp;EOMONTH(DATE(LEFT(SUBSTITUTE(C3206,"'",""),4),MID(SUBSTITUTE(C3206,"'",""),6,2),1),0)+1)</f>
        <v>0</v>
      </c>
      <c r="E3206" s="17">
        <f t="shared" si="1"/>
        <v>187</v>
      </c>
      <c r="F3206" s="17">
        <f t="shared" si="2"/>
        <v>0</v>
      </c>
    </row>
    <row r="3207">
      <c r="A3207" s="5" t="s">
        <v>63</v>
      </c>
      <c r="B3207" s="6">
        <v>156.0</v>
      </c>
      <c r="C3207" s="13" t="s">
        <v>400</v>
      </c>
      <c r="D3207" s="17">
        <f>SUMIFS(ShadowLedger!$D:$D,ShadowLedger!$G:$G,A3207,ShadowLedger!$C:$C,"&gt;="&amp;DATE(LEFT(SUBSTITUTE(C3207,"'",""),4),MID(SUBSTITUTE(C3207,"'",""),6,2),1),ShadowLedger!$C:$C,"&lt;"&amp;EOMONTH(DATE(LEFT(SUBSTITUTE(C3207,"'",""),4),MID(SUBSTITUTE(C3207,"'",""),6,2),1),0)+1)</f>
        <v>0</v>
      </c>
      <c r="E3207" s="17">
        <f t="shared" si="1"/>
        <v>156</v>
      </c>
      <c r="F3207" s="17">
        <f t="shared" si="2"/>
        <v>0</v>
      </c>
    </row>
    <row r="3208">
      <c r="A3208" s="5" t="s">
        <v>64</v>
      </c>
      <c r="B3208" s="6">
        <v>156.0</v>
      </c>
      <c r="C3208" s="13" t="s">
        <v>400</v>
      </c>
      <c r="D3208" s="17">
        <f>SUMIFS(ShadowLedger!$D:$D,ShadowLedger!$G:$G,A3208,ShadowLedger!$C:$C,"&gt;="&amp;DATE(LEFT(SUBSTITUTE(C3208,"'",""),4),MID(SUBSTITUTE(C3208,"'",""),6,2),1),ShadowLedger!$C:$C,"&lt;"&amp;EOMONTH(DATE(LEFT(SUBSTITUTE(C3208,"'",""),4),MID(SUBSTITUTE(C3208,"'",""),6,2),1),0)+1)</f>
        <v>0</v>
      </c>
      <c r="E3208" s="17">
        <f t="shared" si="1"/>
        <v>156</v>
      </c>
      <c r="F3208" s="17">
        <f t="shared" si="2"/>
        <v>0</v>
      </c>
    </row>
    <row r="3209">
      <c r="A3209" s="5" t="s">
        <v>70</v>
      </c>
      <c r="B3209" s="6">
        <v>156.0</v>
      </c>
      <c r="C3209" s="13" t="s">
        <v>400</v>
      </c>
      <c r="D3209" s="17">
        <f>SUMIFS(ShadowLedger!$D:$D,ShadowLedger!$G:$G,A3209,ShadowLedger!$C:$C,"&gt;="&amp;DATE(LEFT(SUBSTITUTE(C3209,"'",""),4),MID(SUBSTITUTE(C3209,"'",""),6,2),1),ShadowLedger!$C:$C,"&lt;"&amp;EOMONTH(DATE(LEFT(SUBSTITUTE(C3209,"'",""),4),MID(SUBSTITUTE(C3209,"'",""),6,2),1),0)+1)</f>
        <v>0</v>
      </c>
      <c r="E3209" s="17">
        <f t="shared" si="1"/>
        <v>156</v>
      </c>
      <c r="F3209" s="17">
        <f t="shared" si="2"/>
        <v>0</v>
      </c>
    </row>
    <row r="3210">
      <c r="A3210" s="5" t="s">
        <v>65</v>
      </c>
      <c r="B3210" s="6">
        <v>78.0</v>
      </c>
      <c r="C3210" s="13" t="s">
        <v>400</v>
      </c>
      <c r="D3210" s="17">
        <f>SUMIFS(ShadowLedger!$D:$D,ShadowLedger!$G:$G,A3210,ShadowLedger!$C:$C,"&gt;="&amp;DATE(LEFT(SUBSTITUTE(C3210,"'",""),4),MID(SUBSTITUTE(C3210,"'",""),6,2),1),ShadowLedger!$C:$C,"&lt;"&amp;EOMONTH(DATE(LEFT(SUBSTITUTE(C3210,"'",""),4),MID(SUBSTITUTE(C3210,"'",""),6,2),1),0)+1)</f>
        <v>0</v>
      </c>
      <c r="E3210" s="17">
        <f t="shared" si="1"/>
        <v>78</v>
      </c>
      <c r="F3210" s="17">
        <f t="shared" si="2"/>
        <v>0</v>
      </c>
    </row>
    <row r="3211">
      <c r="A3211" s="5" t="s">
        <v>66</v>
      </c>
      <c r="B3211" s="6">
        <v>78.0</v>
      </c>
      <c r="C3211" s="13" t="s">
        <v>400</v>
      </c>
      <c r="D3211" s="17">
        <f>SUMIFS(ShadowLedger!$D:$D,ShadowLedger!$G:$G,A3211,ShadowLedger!$C:$C,"&gt;="&amp;DATE(LEFT(SUBSTITUTE(C3211,"'",""),4),MID(SUBSTITUTE(C3211,"'",""),6,2),1),ShadowLedger!$C:$C,"&lt;"&amp;EOMONTH(DATE(LEFT(SUBSTITUTE(C3211,"'",""),4),MID(SUBSTITUTE(C3211,"'",""),6,2),1),0)+1)</f>
        <v>0</v>
      </c>
      <c r="E3211" s="17">
        <f t="shared" si="1"/>
        <v>78</v>
      </c>
      <c r="F3211" s="17">
        <f t="shared" si="2"/>
        <v>0</v>
      </c>
    </row>
    <row r="3212">
      <c r="A3212" s="5" t="s">
        <v>67</v>
      </c>
      <c r="B3212" s="6">
        <v>78.0</v>
      </c>
      <c r="C3212" s="13" t="s">
        <v>400</v>
      </c>
      <c r="D3212" s="17">
        <f>SUMIFS(ShadowLedger!$D:$D,ShadowLedger!$G:$G,A3212,ShadowLedger!$C:$C,"&gt;="&amp;DATE(LEFT(SUBSTITUTE(C3212,"'",""),4),MID(SUBSTITUTE(C3212,"'",""),6,2),1),ShadowLedger!$C:$C,"&lt;"&amp;EOMONTH(DATE(LEFT(SUBSTITUTE(C3212,"'",""),4),MID(SUBSTITUTE(C3212,"'",""),6,2),1),0)+1)</f>
        <v>0</v>
      </c>
      <c r="E3212" s="17">
        <f t="shared" si="1"/>
        <v>78</v>
      </c>
      <c r="F3212" s="17">
        <f t="shared" si="2"/>
        <v>0</v>
      </c>
    </row>
    <row r="3213">
      <c r="A3213" s="5" t="s">
        <v>68</v>
      </c>
      <c r="B3213" s="6">
        <v>78.0</v>
      </c>
      <c r="C3213" s="13" t="s">
        <v>400</v>
      </c>
      <c r="D3213" s="17">
        <f>SUMIFS(ShadowLedger!$D:$D,ShadowLedger!$G:$G,A3213,ShadowLedger!$C:$C,"&gt;="&amp;DATE(LEFT(SUBSTITUTE(C3213,"'",""),4),MID(SUBSTITUTE(C3213,"'",""),6,2),1),ShadowLedger!$C:$C,"&lt;"&amp;EOMONTH(DATE(LEFT(SUBSTITUTE(C3213,"'",""),4),MID(SUBSTITUTE(C3213,"'",""),6,2),1),0)+1)</f>
        <v>0</v>
      </c>
      <c r="E3213" s="17">
        <f t="shared" si="1"/>
        <v>78</v>
      </c>
      <c r="F3213" s="17">
        <f t="shared" si="2"/>
        <v>0</v>
      </c>
    </row>
    <row r="3214">
      <c r="A3214" s="5" t="s">
        <v>69</v>
      </c>
      <c r="B3214" s="6">
        <v>0.0</v>
      </c>
      <c r="C3214" s="13" t="s">
        <v>400</v>
      </c>
      <c r="D3214" s="17">
        <f>SUMIFS(ShadowLedger!$D:$D,ShadowLedger!$G:$G,A3214,ShadowLedger!$C:$C,"&gt;="&amp;DATE(LEFT(SUBSTITUTE(C3214,"'",""),4),MID(SUBSTITUTE(C3214,"'",""),6,2),1),ShadowLedger!$C:$C,"&lt;"&amp;EOMONTH(DATE(LEFT(SUBSTITUTE(C3214,"'",""),4),MID(SUBSTITUTE(C3214,"'",""),6,2),1),0)+1)</f>
        <v>0</v>
      </c>
      <c r="E3214" s="17">
        <f t="shared" si="1"/>
        <v>0</v>
      </c>
      <c r="F3214" s="17">
        <f t="shared" si="2"/>
        <v>0</v>
      </c>
    </row>
    <row r="3215">
      <c r="A3215" s="5" t="s">
        <v>54</v>
      </c>
      <c r="B3215" s="6">
        <v>1433.0</v>
      </c>
      <c r="C3215" s="13" t="s">
        <v>401</v>
      </c>
      <c r="D3215" s="17">
        <f>SUMIFS(ShadowLedger!$D:$D,ShadowLedger!$G:$G,A3215,ShadowLedger!$C:$C,"&gt;="&amp;DATE(LEFT(SUBSTITUTE(C3215,"'",""),4),MID(SUBSTITUTE(C3215,"'",""),6,2),1),ShadowLedger!$C:$C,"&lt;"&amp;EOMONTH(DATE(LEFT(SUBSTITUTE(C3215,"'",""),4),MID(SUBSTITUTE(C3215,"'",""),6,2),1),0)+1)</f>
        <v>0</v>
      </c>
      <c r="E3215" s="17">
        <f t="shared" si="1"/>
        <v>1433</v>
      </c>
      <c r="F3215" s="17">
        <f t="shared" si="2"/>
        <v>0</v>
      </c>
    </row>
    <row r="3216">
      <c r="A3216" s="5" t="s">
        <v>55</v>
      </c>
      <c r="B3216" s="6">
        <v>1091.0</v>
      </c>
      <c r="C3216" s="13" t="s">
        <v>401</v>
      </c>
      <c r="D3216" s="17">
        <f>SUMIFS(ShadowLedger!$D:$D,ShadowLedger!$G:$G,A3216,ShadowLedger!$C:$C,"&gt;="&amp;DATE(LEFT(SUBSTITUTE(C3216,"'",""),4),MID(SUBSTITUTE(C3216,"'",""),6,2),1),ShadowLedger!$C:$C,"&lt;"&amp;EOMONTH(DATE(LEFT(SUBSTITUTE(C3216,"'",""),4),MID(SUBSTITUTE(C3216,"'",""),6,2),1),0)+1)</f>
        <v>0</v>
      </c>
      <c r="E3216" s="17">
        <f t="shared" si="1"/>
        <v>1091</v>
      </c>
      <c r="F3216" s="17">
        <f t="shared" si="2"/>
        <v>0</v>
      </c>
    </row>
    <row r="3217">
      <c r="A3217" s="5" t="s">
        <v>56</v>
      </c>
      <c r="B3217" s="6">
        <v>779.0</v>
      </c>
      <c r="C3217" s="13" t="s">
        <v>401</v>
      </c>
      <c r="D3217" s="17">
        <f>SUMIFS(ShadowLedger!$D:$D,ShadowLedger!$G:$G,A3217,ShadowLedger!$C:$C,"&gt;="&amp;DATE(LEFT(SUBSTITUTE(C3217,"'",""),4),MID(SUBSTITUTE(C3217,"'",""),6,2),1),ShadowLedger!$C:$C,"&lt;"&amp;EOMONTH(DATE(LEFT(SUBSTITUTE(C3217,"'",""),4),MID(SUBSTITUTE(C3217,"'",""),6,2),1),0)+1)</f>
        <v>0</v>
      </c>
      <c r="E3217" s="17">
        <f t="shared" si="1"/>
        <v>779</v>
      </c>
      <c r="F3217" s="17">
        <f t="shared" si="2"/>
        <v>0</v>
      </c>
    </row>
    <row r="3218">
      <c r="A3218" s="5" t="s">
        <v>57</v>
      </c>
      <c r="B3218" s="6">
        <v>779.0</v>
      </c>
      <c r="C3218" s="13" t="s">
        <v>401</v>
      </c>
      <c r="D3218" s="17">
        <f>SUMIFS(ShadowLedger!$D:$D,ShadowLedger!$G:$G,A3218,ShadowLedger!$C:$C,"&gt;="&amp;DATE(LEFT(SUBSTITUTE(C3218,"'",""),4),MID(SUBSTITUTE(C3218,"'",""),6,2),1),ShadowLedger!$C:$C,"&lt;"&amp;EOMONTH(DATE(LEFT(SUBSTITUTE(C3218,"'",""),4),MID(SUBSTITUTE(C3218,"'",""),6,2),1),0)+1)</f>
        <v>0</v>
      </c>
      <c r="E3218" s="17">
        <f t="shared" si="1"/>
        <v>779</v>
      </c>
      <c r="F3218" s="17">
        <f t="shared" si="2"/>
        <v>0</v>
      </c>
    </row>
    <row r="3219">
      <c r="A3219" s="5" t="s">
        <v>58</v>
      </c>
      <c r="B3219" s="6">
        <v>623.0</v>
      </c>
      <c r="C3219" s="13" t="s">
        <v>401</v>
      </c>
      <c r="D3219" s="17">
        <f>SUMIFS(ShadowLedger!$D:$D,ShadowLedger!$G:$G,A3219,ShadowLedger!$C:$C,"&gt;="&amp;DATE(LEFT(SUBSTITUTE(C3219,"'",""),4),MID(SUBSTITUTE(C3219,"'",""),6,2),1),ShadowLedger!$C:$C,"&lt;"&amp;EOMONTH(DATE(LEFT(SUBSTITUTE(C3219,"'",""),4),MID(SUBSTITUTE(C3219,"'",""),6,2),1),0)+1)</f>
        <v>0</v>
      </c>
      <c r="E3219" s="17">
        <f t="shared" si="1"/>
        <v>623</v>
      </c>
      <c r="F3219" s="17">
        <f t="shared" si="2"/>
        <v>0</v>
      </c>
    </row>
    <row r="3220">
      <c r="A3220" s="5" t="s">
        <v>59</v>
      </c>
      <c r="B3220" s="6">
        <v>312.0</v>
      </c>
      <c r="C3220" s="13" t="s">
        <v>401</v>
      </c>
      <c r="D3220" s="17">
        <f>SUMIFS(ShadowLedger!$D:$D,ShadowLedger!$G:$G,A3220,ShadowLedger!$C:$C,"&gt;="&amp;DATE(LEFT(SUBSTITUTE(C3220,"'",""),4),MID(SUBSTITUTE(C3220,"'",""),6,2),1),ShadowLedger!$C:$C,"&lt;"&amp;EOMONTH(DATE(LEFT(SUBSTITUTE(C3220,"'",""),4),MID(SUBSTITUTE(C3220,"'",""),6,2),1),0)+1)</f>
        <v>0</v>
      </c>
      <c r="E3220" s="17">
        <f t="shared" si="1"/>
        <v>312</v>
      </c>
      <c r="F3220" s="17">
        <f t="shared" si="2"/>
        <v>0</v>
      </c>
    </row>
    <row r="3221">
      <c r="A3221" s="5" t="s">
        <v>60</v>
      </c>
      <c r="B3221" s="6">
        <v>234.0</v>
      </c>
      <c r="C3221" s="13" t="s">
        <v>401</v>
      </c>
      <c r="D3221" s="17">
        <f>SUMIFS(ShadowLedger!$D:$D,ShadowLedger!$G:$G,A3221,ShadowLedger!$C:$C,"&gt;="&amp;DATE(LEFT(SUBSTITUTE(C3221,"'",""),4),MID(SUBSTITUTE(C3221,"'",""),6,2),1),ShadowLedger!$C:$C,"&lt;"&amp;EOMONTH(DATE(LEFT(SUBSTITUTE(C3221,"'",""),4),MID(SUBSTITUTE(C3221,"'",""),6,2),1),0)+1)</f>
        <v>0</v>
      </c>
      <c r="E3221" s="17">
        <f t="shared" si="1"/>
        <v>234</v>
      </c>
      <c r="F3221" s="17">
        <f t="shared" si="2"/>
        <v>0</v>
      </c>
    </row>
    <row r="3222">
      <c r="A3222" s="5" t="s">
        <v>61</v>
      </c>
      <c r="B3222" s="6">
        <v>187.0</v>
      </c>
      <c r="C3222" s="13" t="s">
        <v>401</v>
      </c>
      <c r="D3222" s="17">
        <f>SUMIFS(ShadowLedger!$D:$D,ShadowLedger!$G:$G,A3222,ShadowLedger!$C:$C,"&gt;="&amp;DATE(LEFT(SUBSTITUTE(C3222,"'",""),4),MID(SUBSTITUTE(C3222,"'",""),6,2),1),ShadowLedger!$C:$C,"&lt;"&amp;EOMONTH(DATE(LEFT(SUBSTITUTE(C3222,"'",""),4),MID(SUBSTITUTE(C3222,"'",""),6,2),1),0)+1)</f>
        <v>0</v>
      </c>
      <c r="E3222" s="17">
        <f t="shared" si="1"/>
        <v>187</v>
      </c>
      <c r="F3222" s="17">
        <f t="shared" si="2"/>
        <v>0</v>
      </c>
    </row>
    <row r="3223">
      <c r="A3223" s="5" t="s">
        <v>62</v>
      </c>
      <c r="B3223" s="6">
        <v>187.0</v>
      </c>
      <c r="C3223" s="13" t="s">
        <v>401</v>
      </c>
      <c r="D3223" s="17">
        <f>SUMIFS(ShadowLedger!$D:$D,ShadowLedger!$G:$G,A3223,ShadowLedger!$C:$C,"&gt;="&amp;DATE(LEFT(SUBSTITUTE(C3223,"'",""),4),MID(SUBSTITUTE(C3223,"'",""),6,2),1),ShadowLedger!$C:$C,"&lt;"&amp;EOMONTH(DATE(LEFT(SUBSTITUTE(C3223,"'",""),4),MID(SUBSTITUTE(C3223,"'",""),6,2),1),0)+1)</f>
        <v>0</v>
      </c>
      <c r="E3223" s="17">
        <f t="shared" si="1"/>
        <v>187</v>
      </c>
      <c r="F3223" s="17">
        <f t="shared" si="2"/>
        <v>0</v>
      </c>
    </row>
    <row r="3224">
      <c r="A3224" s="5" t="s">
        <v>63</v>
      </c>
      <c r="B3224" s="6">
        <v>156.0</v>
      </c>
      <c r="C3224" s="13" t="s">
        <v>401</v>
      </c>
      <c r="D3224" s="17">
        <f>SUMIFS(ShadowLedger!$D:$D,ShadowLedger!$G:$G,A3224,ShadowLedger!$C:$C,"&gt;="&amp;DATE(LEFT(SUBSTITUTE(C3224,"'",""),4),MID(SUBSTITUTE(C3224,"'",""),6,2),1),ShadowLedger!$C:$C,"&lt;"&amp;EOMONTH(DATE(LEFT(SUBSTITUTE(C3224,"'",""),4),MID(SUBSTITUTE(C3224,"'",""),6,2),1),0)+1)</f>
        <v>0</v>
      </c>
      <c r="E3224" s="17">
        <f t="shared" si="1"/>
        <v>156</v>
      </c>
      <c r="F3224" s="17">
        <f t="shared" si="2"/>
        <v>0</v>
      </c>
    </row>
    <row r="3225">
      <c r="A3225" s="5" t="s">
        <v>64</v>
      </c>
      <c r="B3225" s="6">
        <v>156.0</v>
      </c>
      <c r="C3225" s="13" t="s">
        <v>401</v>
      </c>
      <c r="D3225" s="17">
        <f>SUMIFS(ShadowLedger!$D:$D,ShadowLedger!$G:$G,A3225,ShadowLedger!$C:$C,"&gt;="&amp;DATE(LEFT(SUBSTITUTE(C3225,"'",""),4),MID(SUBSTITUTE(C3225,"'",""),6,2),1),ShadowLedger!$C:$C,"&lt;"&amp;EOMONTH(DATE(LEFT(SUBSTITUTE(C3225,"'",""),4),MID(SUBSTITUTE(C3225,"'",""),6,2),1),0)+1)</f>
        <v>0</v>
      </c>
      <c r="E3225" s="17">
        <f t="shared" si="1"/>
        <v>156</v>
      </c>
      <c r="F3225" s="17">
        <f t="shared" si="2"/>
        <v>0</v>
      </c>
    </row>
    <row r="3226">
      <c r="A3226" s="5" t="s">
        <v>70</v>
      </c>
      <c r="B3226" s="6">
        <v>156.0</v>
      </c>
      <c r="C3226" s="13" t="s">
        <v>401</v>
      </c>
      <c r="D3226" s="17">
        <f>SUMIFS(ShadowLedger!$D:$D,ShadowLedger!$G:$G,A3226,ShadowLedger!$C:$C,"&gt;="&amp;DATE(LEFT(SUBSTITUTE(C3226,"'",""),4),MID(SUBSTITUTE(C3226,"'",""),6,2),1),ShadowLedger!$C:$C,"&lt;"&amp;EOMONTH(DATE(LEFT(SUBSTITUTE(C3226,"'",""),4),MID(SUBSTITUTE(C3226,"'",""),6,2),1),0)+1)</f>
        <v>0</v>
      </c>
      <c r="E3226" s="17">
        <f t="shared" si="1"/>
        <v>156</v>
      </c>
      <c r="F3226" s="17">
        <f t="shared" si="2"/>
        <v>0</v>
      </c>
    </row>
    <row r="3227">
      <c r="A3227" s="5" t="s">
        <v>65</v>
      </c>
      <c r="B3227" s="6">
        <v>78.0</v>
      </c>
      <c r="C3227" s="13" t="s">
        <v>401</v>
      </c>
      <c r="D3227" s="17">
        <f>SUMIFS(ShadowLedger!$D:$D,ShadowLedger!$G:$G,A3227,ShadowLedger!$C:$C,"&gt;="&amp;DATE(LEFT(SUBSTITUTE(C3227,"'",""),4),MID(SUBSTITUTE(C3227,"'",""),6,2),1),ShadowLedger!$C:$C,"&lt;"&amp;EOMONTH(DATE(LEFT(SUBSTITUTE(C3227,"'",""),4),MID(SUBSTITUTE(C3227,"'",""),6,2),1),0)+1)</f>
        <v>0</v>
      </c>
      <c r="E3227" s="17">
        <f t="shared" si="1"/>
        <v>78</v>
      </c>
      <c r="F3227" s="17">
        <f t="shared" si="2"/>
        <v>0</v>
      </c>
    </row>
    <row r="3228">
      <c r="A3228" s="5" t="s">
        <v>66</v>
      </c>
      <c r="B3228" s="6">
        <v>78.0</v>
      </c>
      <c r="C3228" s="13" t="s">
        <v>401</v>
      </c>
      <c r="D3228" s="17">
        <f>SUMIFS(ShadowLedger!$D:$D,ShadowLedger!$G:$G,A3228,ShadowLedger!$C:$C,"&gt;="&amp;DATE(LEFT(SUBSTITUTE(C3228,"'",""),4),MID(SUBSTITUTE(C3228,"'",""),6,2),1),ShadowLedger!$C:$C,"&lt;"&amp;EOMONTH(DATE(LEFT(SUBSTITUTE(C3228,"'",""),4),MID(SUBSTITUTE(C3228,"'",""),6,2),1),0)+1)</f>
        <v>0</v>
      </c>
      <c r="E3228" s="17">
        <f t="shared" si="1"/>
        <v>78</v>
      </c>
      <c r="F3228" s="17">
        <f t="shared" si="2"/>
        <v>0</v>
      </c>
    </row>
    <row r="3229">
      <c r="A3229" s="5" t="s">
        <v>67</v>
      </c>
      <c r="B3229" s="6">
        <v>78.0</v>
      </c>
      <c r="C3229" s="13" t="s">
        <v>401</v>
      </c>
      <c r="D3229" s="17">
        <f>SUMIFS(ShadowLedger!$D:$D,ShadowLedger!$G:$G,A3229,ShadowLedger!$C:$C,"&gt;="&amp;DATE(LEFT(SUBSTITUTE(C3229,"'",""),4),MID(SUBSTITUTE(C3229,"'",""),6,2),1),ShadowLedger!$C:$C,"&lt;"&amp;EOMONTH(DATE(LEFT(SUBSTITUTE(C3229,"'",""),4),MID(SUBSTITUTE(C3229,"'",""),6,2),1),0)+1)</f>
        <v>0</v>
      </c>
      <c r="E3229" s="17">
        <f t="shared" si="1"/>
        <v>78</v>
      </c>
      <c r="F3229" s="17">
        <f t="shared" si="2"/>
        <v>0</v>
      </c>
    </row>
    <row r="3230">
      <c r="A3230" s="5" t="s">
        <v>68</v>
      </c>
      <c r="B3230" s="6">
        <v>78.0</v>
      </c>
      <c r="C3230" s="13" t="s">
        <v>401</v>
      </c>
      <c r="D3230" s="17">
        <f>SUMIFS(ShadowLedger!$D:$D,ShadowLedger!$G:$G,A3230,ShadowLedger!$C:$C,"&gt;="&amp;DATE(LEFT(SUBSTITUTE(C3230,"'",""),4),MID(SUBSTITUTE(C3230,"'",""),6,2),1),ShadowLedger!$C:$C,"&lt;"&amp;EOMONTH(DATE(LEFT(SUBSTITUTE(C3230,"'",""),4),MID(SUBSTITUTE(C3230,"'",""),6,2),1),0)+1)</f>
        <v>0</v>
      </c>
      <c r="E3230" s="17">
        <f t="shared" si="1"/>
        <v>78</v>
      </c>
      <c r="F3230" s="17">
        <f t="shared" si="2"/>
        <v>0</v>
      </c>
    </row>
    <row r="3231">
      <c r="A3231" s="5" t="s">
        <v>69</v>
      </c>
      <c r="B3231" s="6">
        <v>0.0</v>
      </c>
      <c r="C3231" s="13" t="s">
        <v>401</v>
      </c>
      <c r="D3231" s="17">
        <f>SUMIFS(ShadowLedger!$D:$D,ShadowLedger!$G:$G,A3231,ShadowLedger!$C:$C,"&gt;="&amp;DATE(LEFT(SUBSTITUTE(C3231,"'",""),4),MID(SUBSTITUTE(C3231,"'",""),6,2),1),ShadowLedger!$C:$C,"&lt;"&amp;EOMONTH(DATE(LEFT(SUBSTITUTE(C3231,"'",""),4),MID(SUBSTITUTE(C3231,"'",""),6,2),1),0)+1)</f>
        <v>0</v>
      </c>
      <c r="E3231" s="17">
        <f t="shared" si="1"/>
        <v>0</v>
      </c>
      <c r="F3231" s="17">
        <f t="shared" si="2"/>
        <v>0</v>
      </c>
    </row>
    <row r="3232">
      <c r="A3232" s="5" t="s">
        <v>54</v>
      </c>
      <c r="B3232" s="6">
        <v>1433.0</v>
      </c>
      <c r="C3232" s="13" t="s">
        <v>402</v>
      </c>
      <c r="D3232" s="17">
        <f>SUMIFS(ShadowLedger!$D:$D,ShadowLedger!$G:$G,A3232,ShadowLedger!$C:$C,"&gt;="&amp;DATE(LEFT(SUBSTITUTE(C3232,"'",""),4),MID(SUBSTITUTE(C3232,"'",""),6,2),1),ShadowLedger!$C:$C,"&lt;"&amp;EOMONTH(DATE(LEFT(SUBSTITUTE(C3232,"'",""),4),MID(SUBSTITUTE(C3232,"'",""),6,2),1),0)+1)</f>
        <v>0</v>
      </c>
      <c r="E3232" s="17">
        <f t="shared" si="1"/>
        <v>1433</v>
      </c>
      <c r="F3232" s="17">
        <f t="shared" si="2"/>
        <v>0</v>
      </c>
    </row>
    <row r="3233">
      <c r="A3233" s="5" t="s">
        <v>55</v>
      </c>
      <c r="B3233" s="6">
        <v>1091.0</v>
      </c>
      <c r="C3233" s="13" t="s">
        <v>402</v>
      </c>
      <c r="D3233" s="17">
        <f>SUMIFS(ShadowLedger!$D:$D,ShadowLedger!$G:$G,A3233,ShadowLedger!$C:$C,"&gt;="&amp;DATE(LEFT(SUBSTITUTE(C3233,"'",""),4),MID(SUBSTITUTE(C3233,"'",""),6,2),1),ShadowLedger!$C:$C,"&lt;"&amp;EOMONTH(DATE(LEFT(SUBSTITUTE(C3233,"'",""),4),MID(SUBSTITUTE(C3233,"'",""),6,2),1),0)+1)</f>
        <v>0</v>
      </c>
      <c r="E3233" s="17">
        <f t="shared" si="1"/>
        <v>1091</v>
      </c>
      <c r="F3233" s="17">
        <f t="shared" si="2"/>
        <v>0</v>
      </c>
    </row>
    <row r="3234">
      <c r="A3234" s="5" t="s">
        <v>56</v>
      </c>
      <c r="B3234" s="6">
        <v>779.0</v>
      </c>
      <c r="C3234" s="13" t="s">
        <v>402</v>
      </c>
      <c r="D3234" s="17">
        <f>SUMIFS(ShadowLedger!$D:$D,ShadowLedger!$G:$G,A3234,ShadowLedger!$C:$C,"&gt;="&amp;DATE(LEFT(SUBSTITUTE(C3234,"'",""),4),MID(SUBSTITUTE(C3234,"'",""),6,2),1),ShadowLedger!$C:$C,"&lt;"&amp;EOMONTH(DATE(LEFT(SUBSTITUTE(C3234,"'",""),4),MID(SUBSTITUTE(C3234,"'",""),6,2),1),0)+1)</f>
        <v>0</v>
      </c>
      <c r="E3234" s="17">
        <f t="shared" si="1"/>
        <v>779</v>
      </c>
      <c r="F3234" s="17">
        <f t="shared" si="2"/>
        <v>0</v>
      </c>
    </row>
    <row r="3235">
      <c r="A3235" s="5" t="s">
        <v>57</v>
      </c>
      <c r="B3235" s="6">
        <v>779.0</v>
      </c>
      <c r="C3235" s="13" t="s">
        <v>402</v>
      </c>
      <c r="D3235" s="17">
        <f>SUMIFS(ShadowLedger!$D:$D,ShadowLedger!$G:$G,A3235,ShadowLedger!$C:$C,"&gt;="&amp;DATE(LEFT(SUBSTITUTE(C3235,"'",""),4),MID(SUBSTITUTE(C3235,"'",""),6,2),1),ShadowLedger!$C:$C,"&lt;"&amp;EOMONTH(DATE(LEFT(SUBSTITUTE(C3235,"'",""),4),MID(SUBSTITUTE(C3235,"'",""),6,2),1),0)+1)</f>
        <v>0</v>
      </c>
      <c r="E3235" s="17">
        <f t="shared" si="1"/>
        <v>779</v>
      </c>
      <c r="F3235" s="17">
        <f t="shared" si="2"/>
        <v>0</v>
      </c>
    </row>
    <row r="3236">
      <c r="A3236" s="5" t="s">
        <v>58</v>
      </c>
      <c r="B3236" s="6">
        <v>623.0</v>
      </c>
      <c r="C3236" s="13" t="s">
        <v>402</v>
      </c>
      <c r="D3236" s="17">
        <f>SUMIFS(ShadowLedger!$D:$D,ShadowLedger!$G:$G,A3236,ShadowLedger!$C:$C,"&gt;="&amp;DATE(LEFT(SUBSTITUTE(C3236,"'",""),4),MID(SUBSTITUTE(C3236,"'",""),6,2),1),ShadowLedger!$C:$C,"&lt;"&amp;EOMONTH(DATE(LEFT(SUBSTITUTE(C3236,"'",""),4),MID(SUBSTITUTE(C3236,"'",""),6,2),1),0)+1)</f>
        <v>0</v>
      </c>
      <c r="E3236" s="17">
        <f t="shared" si="1"/>
        <v>623</v>
      </c>
      <c r="F3236" s="17">
        <f t="shared" si="2"/>
        <v>0</v>
      </c>
    </row>
    <row r="3237">
      <c r="A3237" s="5" t="s">
        <v>59</v>
      </c>
      <c r="B3237" s="6">
        <v>312.0</v>
      </c>
      <c r="C3237" s="13" t="s">
        <v>402</v>
      </c>
      <c r="D3237" s="17">
        <f>SUMIFS(ShadowLedger!$D:$D,ShadowLedger!$G:$G,A3237,ShadowLedger!$C:$C,"&gt;="&amp;DATE(LEFT(SUBSTITUTE(C3237,"'",""),4),MID(SUBSTITUTE(C3237,"'",""),6,2),1),ShadowLedger!$C:$C,"&lt;"&amp;EOMONTH(DATE(LEFT(SUBSTITUTE(C3237,"'",""),4),MID(SUBSTITUTE(C3237,"'",""),6,2),1),0)+1)</f>
        <v>0</v>
      </c>
      <c r="E3237" s="17">
        <f t="shared" si="1"/>
        <v>312</v>
      </c>
      <c r="F3237" s="17">
        <f t="shared" si="2"/>
        <v>0</v>
      </c>
    </row>
    <row r="3238">
      <c r="A3238" s="5" t="s">
        <v>60</v>
      </c>
      <c r="B3238" s="6">
        <v>234.0</v>
      </c>
      <c r="C3238" s="13" t="s">
        <v>402</v>
      </c>
      <c r="D3238" s="17">
        <f>SUMIFS(ShadowLedger!$D:$D,ShadowLedger!$G:$G,A3238,ShadowLedger!$C:$C,"&gt;="&amp;DATE(LEFT(SUBSTITUTE(C3238,"'",""),4),MID(SUBSTITUTE(C3238,"'",""),6,2),1),ShadowLedger!$C:$C,"&lt;"&amp;EOMONTH(DATE(LEFT(SUBSTITUTE(C3238,"'",""),4),MID(SUBSTITUTE(C3238,"'",""),6,2),1),0)+1)</f>
        <v>0</v>
      </c>
      <c r="E3238" s="17">
        <f t="shared" si="1"/>
        <v>234</v>
      </c>
      <c r="F3238" s="17">
        <f t="shared" si="2"/>
        <v>0</v>
      </c>
    </row>
    <row r="3239">
      <c r="A3239" s="5" t="s">
        <v>61</v>
      </c>
      <c r="B3239" s="6">
        <v>187.0</v>
      </c>
      <c r="C3239" s="13" t="s">
        <v>402</v>
      </c>
      <c r="D3239" s="17">
        <f>SUMIFS(ShadowLedger!$D:$D,ShadowLedger!$G:$G,A3239,ShadowLedger!$C:$C,"&gt;="&amp;DATE(LEFT(SUBSTITUTE(C3239,"'",""),4),MID(SUBSTITUTE(C3239,"'",""),6,2),1),ShadowLedger!$C:$C,"&lt;"&amp;EOMONTH(DATE(LEFT(SUBSTITUTE(C3239,"'",""),4),MID(SUBSTITUTE(C3239,"'",""),6,2),1),0)+1)</f>
        <v>0</v>
      </c>
      <c r="E3239" s="17">
        <f t="shared" si="1"/>
        <v>187</v>
      </c>
      <c r="F3239" s="17">
        <f t="shared" si="2"/>
        <v>0</v>
      </c>
    </row>
    <row r="3240">
      <c r="A3240" s="5" t="s">
        <v>62</v>
      </c>
      <c r="B3240" s="6">
        <v>187.0</v>
      </c>
      <c r="C3240" s="13" t="s">
        <v>402</v>
      </c>
      <c r="D3240" s="17">
        <f>SUMIFS(ShadowLedger!$D:$D,ShadowLedger!$G:$G,A3240,ShadowLedger!$C:$C,"&gt;="&amp;DATE(LEFT(SUBSTITUTE(C3240,"'",""),4),MID(SUBSTITUTE(C3240,"'",""),6,2),1),ShadowLedger!$C:$C,"&lt;"&amp;EOMONTH(DATE(LEFT(SUBSTITUTE(C3240,"'",""),4),MID(SUBSTITUTE(C3240,"'",""),6,2),1),0)+1)</f>
        <v>0</v>
      </c>
      <c r="E3240" s="17">
        <f t="shared" si="1"/>
        <v>187</v>
      </c>
      <c r="F3240" s="17">
        <f t="shared" si="2"/>
        <v>0</v>
      </c>
    </row>
    <row r="3241">
      <c r="A3241" s="5" t="s">
        <v>63</v>
      </c>
      <c r="B3241" s="6">
        <v>156.0</v>
      </c>
      <c r="C3241" s="13" t="s">
        <v>402</v>
      </c>
      <c r="D3241" s="17">
        <f>SUMIFS(ShadowLedger!$D:$D,ShadowLedger!$G:$G,A3241,ShadowLedger!$C:$C,"&gt;="&amp;DATE(LEFT(SUBSTITUTE(C3241,"'",""),4),MID(SUBSTITUTE(C3241,"'",""),6,2),1),ShadowLedger!$C:$C,"&lt;"&amp;EOMONTH(DATE(LEFT(SUBSTITUTE(C3241,"'",""),4),MID(SUBSTITUTE(C3241,"'",""),6,2),1),0)+1)</f>
        <v>0</v>
      </c>
      <c r="E3241" s="17">
        <f t="shared" si="1"/>
        <v>156</v>
      </c>
      <c r="F3241" s="17">
        <f t="shared" si="2"/>
        <v>0</v>
      </c>
    </row>
    <row r="3242">
      <c r="A3242" s="5" t="s">
        <v>64</v>
      </c>
      <c r="B3242" s="6">
        <v>156.0</v>
      </c>
      <c r="C3242" s="13" t="s">
        <v>402</v>
      </c>
      <c r="D3242" s="17">
        <f>SUMIFS(ShadowLedger!$D:$D,ShadowLedger!$G:$G,A3242,ShadowLedger!$C:$C,"&gt;="&amp;DATE(LEFT(SUBSTITUTE(C3242,"'",""),4),MID(SUBSTITUTE(C3242,"'",""),6,2),1),ShadowLedger!$C:$C,"&lt;"&amp;EOMONTH(DATE(LEFT(SUBSTITUTE(C3242,"'",""),4),MID(SUBSTITUTE(C3242,"'",""),6,2),1),0)+1)</f>
        <v>0</v>
      </c>
      <c r="E3242" s="17">
        <f t="shared" si="1"/>
        <v>156</v>
      </c>
      <c r="F3242" s="17">
        <f t="shared" si="2"/>
        <v>0</v>
      </c>
    </row>
    <row r="3243">
      <c r="A3243" s="5" t="s">
        <v>70</v>
      </c>
      <c r="B3243" s="6">
        <v>156.0</v>
      </c>
      <c r="C3243" s="13" t="s">
        <v>402</v>
      </c>
      <c r="D3243" s="17">
        <f>SUMIFS(ShadowLedger!$D:$D,ShadowLedger!$G:$G,A3243,ShadowLedger!$C:$C,"&gt;="&amp;DATE(LEFT(SUBSTITUTE(C3243,"'",""),4),MID(SUBSTITUTE(C3243,"'",""),6,2),1),ShadowLedger!$C:$C,"&lt;"&amp;EOMONTH(DATE(LEFT(SUBSTITUTE(C3243,"'",""),4),MID(SUBSTITUTE(C3243,"'",""),6,2),1),0)+1)</f>
        <v>0</v>
      </c>
      <c r="E3243" s="17">
        <f t="shared" si="1"/>
        <v>156</v>
      </c>
      <c r="F3243" s="17">
        <f t="shared" si="2"/>
        <v>0</v>
      </c>
    </row>
    <row r="3244">
      <c r="A3244" s="5" t="s">
        <v>65</v>
      </c>
      <c r="B3244" s="6">
        <v>78.0</v>
      </c>
      <c r="C3244" s="13" t="s">
        <v>402</v>
      </c>
      <c r="D3244" s="17">
        <f>SUMIFS(ShadowLedger!$D:$D,ShadowLedger!$G:$G,A3244,ShadowLedger!$C:$C,"&gt;="&amp;DATE(LEFT(SUBSTITUTE(C3244,"'",""),4),MID(SUBSTITUTE(C3244,"'",""),6,2),1),ShadowLedger!$C:$C,"&lt;"&amp;EOMONTH(DATE(LEFT(SUBSTITUTE(C3244,"'",""),4),MID(SUBSTITUTE(C3244,"'",""),6,2),1),0)+1)</f>
        <v>0</v>
      </c>
      <c r="E3244" s="17">
        <f t="shared" si="1"/>
        <v>78</v>
      </c>
      <c r="F3244" s="17">
        <f t="shared" si="2"/>
        <v>0</v>
      </c>
    </row>
    <row r="3245">
      <c r="A3245" s="5" t="s">
        <v>66</v>
      </c>
      <c r="B3245" s="6">
        <v>78.0</v>
      </c>
      <c r="C3245" s="13" t="s">
        <v>402</v>
      </c>
      <c r="D3245" s="17">
        <f>SUMIFS(ShadowLedger!$D:$D,ShadowLedger!$G:$G,A3245,ShadowLedger!$C:$C,"&gt;="&amp;DATE(LEFT(SUBSTITUTE(C3245,"'",""),4),MID(SUBSTITUTE(C3245,"'",""),6,2),1),ShadowLedger!$C:$C,"&lt;"&amp;EOMONTH(DATE(LEFT(SUBSTITUTE(C3245,"'",""),4),MID(SUBSTITUTE(C3245,"'",""),6,2),1),0)+1)</f>
        <v>0</v>
      </c>
      <c r="E3245" s="17">
        <f t="shared" si="1"/>
        <v>78</v>
      </c>
      <c r="F3245" s="17">
        <f t="shared" si="2"/>
        <v>0</v>
      </c>
    </row>
    <row r="3246">
      <c r="A3246" s="5" t="s">
        <v>67</v>
      </c>
      <c r="B3246" s="6">
        <v>78.0</v>
      </c>
      <c r="C3246" s="13" t="s">
        <v>402</v>
      </c>
      <c r="D3246" s="17">
        <f>SUMIFS(ShadowLedger!$D:$D,ShadowLedger!$G:$G,A3246,ShadowLedger!$C:$C,"&gt;="&amp;DATE(LEFT(SUBSTITUTE(C3246,"'",""),4),MID(SUBSTITUTE(C3246,"'",""),6,2),1),ShadowLedger!$C:$C,"&lt;"&amp;EOMONTH(DATE(LEFT(SUBSTITUTE(C3246,"'",""),4),MID(SUBSTITUTE(C3246,"'",""),6,2),1),0)+1)</f>
        <v>0</v>
      </c>
      <c r="E3246" s="17">
        <f t="shared" si="1"/>
        <v>78</v>
      </c>
      <c r="F3246" s="17">
        <f t="shared" si="2"/>
        <v>0</v>
      </c>
    </row>
    <row r="3247">
      <c r="A3247" s="5" t="s">
        <v>68</v>
      </c>
      <c r="B3247" s="6">
        <v>78.0</v>
      </c>
      <c r="C3247" s="13" t="s">
        <v>402</v>
      </c>
      <c r="D3247" s="17">
        <f>SUMIFS(ShadowLedger!$D:$D,ShadowLedger!$G:$G,A3247,ShadowLedger!$C:$C,"&gt;="&amp;DATE(LEFT(SUBSTITUTE(C3247,"'",""),4),MID(SUBSTITUTE(C3247,"'",""),6,2),1),ShadowLedger!$C:$C,"&lt;"&amp;EOMONTH(DATE(LEFT(SUBSTITUTE(C3247,"'",""),4),MID(SUBSTITUTE(C3247,"'",""),6,2),1),0)+1)</f>
        <v>0</v>
      </c>
      <c r="E3247" s="17">
        <f t="shared" si="1"/>
        <v>78</v>
      </c>
      <c r="F3247" s="17">
        <f t="shared" si="2"/>
        <v>0</v>
      </c>
    </row>
    <row r="3248">
      <c r="A3248" s="5" t="s">
        <v>69</v>
      </c>
      <c r="B3248" s="6">
        <v>0.0</v>
      </c>
      <c r="C3248" s="13" t="s">
        <v>402</v>
      </c>
      <c r="D3248" s="17">
        <f>SUMIFS(ShadowLedger!$D:$D,ShadowLedger!$G:$G,A3248,ShadowLedger!$C:$C,"&gt;="&amp;DATE(LEFT(SUBSTITUTE(C3248,"'",""),4),MID(SUBSTITUTE(C3248,"'",""),6,2),1),ShadowLedger!$C:$C,"&lt;"&amp;EOMONTH(DATE(LEFT(SUBSTITUTE(C3248,"'",""),4),MID(SUBSTITUTE(C3248,"'",""),6,2),1),0)+1)</f>
        <v>0</v>
      </c>
      <c r="E3248" s="17">
        <f t="shared" si="1"/>
        <v>0</v>
      </c>
      <c r="F3248" s="17">
        <f t="shared" si="2"/>
        <v>0</v>
      </c>
    </row>
    <row r="3249">
      <c r="A3249" s="5" t="s">
        <v>54</v>
      </c>
      <c r="B3249" s="6">
        <v>1433.0</v>
      </c>
      <c r="C3249" s="13" t="s">
        <v>403</v>
      </c>
      <c r="D3249" s="17">
        <f>SUMIFS(ShadowLedger!$D:$D,ShadowLedger!$G:$G,A3249,ShadowLedger!$C:$C,"&gt;="&amp;DATE(LEFT(SUBSTITUTE(C3249,"'",""),4),MID(SUBSTITUTE(C3249,"'",""),6,2),1),ShadowLedger!$C:$C,"&lt;"&amp;EOMONTH(DATE(LEFT(SUBSTITUTE(C3249,"'",""),4),MID(SUBSTITUTE(C3249,"'",""),6,2),1),0)+1)</f>
        <v>0</v>
      </c>
      <c r="E3249" s="17">
        <f t="shared" si="1"/>
        <v>1433</v>
      </c>
      <c r="F3249" s="17">
        <f t="shared" si="2"/>
        <v>0</v>
      </c>
    </row>
    <row r="3250">
      <c r="A3250" s="5" t="s">
        <v>55</v>
      </c>
      <c r="B3250" s="6">
        <v>1091.0</v>
      </c>
      <c r="C3250" s="13" t="s">
        <v>403</v>
      </c>
      <c r="D3250" s="17">
        <f>SUMIFS(ShadowLedger!$D:$D,ShadowLedger!$G:$G,A3250,ShadowLedger!$C:$C,"&gt;="&amp;DATE(LEFT(SUBSTITUTE(C3250,"'",""),4),MID(SUBSTITUTE(C3250,"'",""),6,2),1),ShadowLedger!$C:$C,"&lt;"&amp;EOMONTH(DATE(LEFT(SUBSTITUTE(C3250,"'",""),4),MID(SUBSTITUTE(C3250,"'",""),6,2),1),0)+1)</f>
        <v>0</v>
      </c>
      <c r="E3250" s="17">
        <f t="shared" si="1"/>
        <v>1091</v>
      </c>
      <c r="F3250" s="17">
        <f t="shared" si="2"/>
        <v>0</v>
      </c>
    </row>
    <row r="3251">
      <c r="A3251" s="5" t="s">
        <v>56</v>
      </c>
      <c r="B3251" s="6">
        <v>779.0</v>
      </c>
      <c r="C3251" s="13" t="s">
        <v>403</v>
      </c>
      <c r="D3251" s="17">
        <f>SUMIFS(ShadowLedger!$D:$D,ShadowLedger!$G:$G,A3251,ShadowLedger!$C:$C,"&gt;="&amp;DATE(LEFT(SUBSTITUTE(C3251,"'",""),4),MID(SUBSTITUTE(C3251,"'",""),6,2),1),ShadowLedger!$C:$C,"&lt;"&amp;EOMONTH(DATE(LEFT(SUBSTITUTE(C3251,"'",""),4),MID(SUBSTITUTE(C3251,"'",""),6,2),1),0)+1)</f>
        <v>0</v>
      </c>
      <c r="E3251" s="17">
        <f t="shared" si="1"/>
        <v>779</v>
      </c>
      <c r="F3251" s="17">
        <f t="shared" si="2"/>
        <v>0</v>
      </c>
    </row>
    <row r="3252">
      <c r="A3252" s="5" t="s">
        <v>57</v>
      </c>
      <c r="B3252" s="6">
        <v>779.0</v>
      </c>
      <c r="C3252" s="13" t="s">
        <v>403</v>
      </c>
      <c r="D3252" s="17">
        <f>SUMIFS(ShadowLedger!$D:$D,ShadowLedger!$G:$G,A3252,ShadowLedger!$C:$C,"&gt;="&amp;DATE(LEFT(SUBSTITUTE(C3252,"'",""),4),MID(SUBSTITUTE(C3252,"'",""),6,2),1),ShadowLedger!$C:$C,"&lt;"&amp;EOMONTH(DATE(LEFT(SUBSTITUTE(C3252,"'",""),4),MID(SUBSTITUTE(C3252,"'",""),6,2),1),0)+1)</f>
        <v>0</v>
      </c>
      <c r="E3252" s="17">
        <f t="shared" si="1"/>
        <v>779</v>
      </c>
      <c r="F3252" s="17">
        <f t="shared" si="2"/>
        <v>0</v>
      </c>
    </row>
    <row r="3253">
      <c r="A3253" s="5" t="s">
        <v>58</v>
      </c>
      <c r="B3253" s="6">
        <v>623.0</v>
      </c>
      <c r="C3253" s="13" t="s">
        <v>403</v>
      </c>
      <c r="D3253" s="17">
        <f>SUMIFS(ShadowLedger!$D:$D,ShadowLedger!$G:$G,A3253,ShadowLedger!$C:$C,"&gt;="&amp;DATE(LEFT(SUBSTITUTE(C3253,"'",""),4),MID(SUBSTITUTE(C3253,"'",""),6,2),1),ShadowLedger!$C:$C,"&lt;"&amp;EOMONTH(DATE(LEFT(SUBSTITUTE(C3253,"'",""),4),MID(SUBSTITUTE(C3253,"'",""),6,2),1),0)+1)</f>
        <v>0</v>
      </c>
      <c r="E3253" s="17">
        <f t="shared" si="1"/>
        <v>623</v>
      </c>
      <c r="F3253" s="17">
        <f t="shared" si="2"/>
        <v>0</v>
      </c>
    </row>
    <row r="3254">
      <c r="A3254" s="5" t="s">
        <v>59</v>
      </c>
      <c r="B3254" s="6">
        <v>312.0</v>
      </c>
      <c r="C3254" s="13" t="s">
        <v>403</v>
      </c>
      <c r="D3254" s="17">
        <f>SUMIFS(ShadowLedger!$D:$D,ShadowLedger!$G:$G,A3254,ShadowLedger!$C:$C,"&gt;="&amp;DATE(LEFT(SUBSTITUTE(C3254,"'",""),4),MID(SUBSTITUTE(C3254,"'",""),6,2),1),ShadowLedger!$C:$C,"&lt;"&amp;EOMONTH(DATE(LEFT(SUBSTITUTE(C3254,"'",""),4),MID(SUBSTITUTE(C3254,"'",""),6,2),1),0)+1)</f>
        <v>0</v>
      </c>
      <c r="E3254" s="17">
        <f t="shared" si="1"/>
        <v>312</v>
      </c>
      <c r="F3254" s="17">
        <f t="shared" si="2"/>
        <v>0</v>
      </c>
    </row>
    <row r="3255">
      <c r="A3255" s="5" t="s">
        <v>60</v>
      </c>
      <c r="B3255" s="6">
        <v>234.0</v>
      </c>
      <c r="C3255" s="13" t="s">
        <v>403</v>
      </c>
      <c r="D3255" s="17">
        <f>SUMIFS(ShadowLedger!$D:$D,ShadowLedger!$G:$G,A3255,ShadowLedger!$C:$C,"&gt;="&amp;DATE(LEFT(SUBSTITUTE(C3255,"'",""),4),MID(SUBSTITUTE(C3255,"'",""),6,2),1),ShadowLedger!$C:$C,"&lt;"&amp;EOMONTH(DATE(LEFT(SUBSTITUTE(C3255,"'",""),4),MID(SUBSTITUTE(C3255,"'",""),6,2),1),0)+1)</f>
        <v>0</v>
      </c>
      <c r="E3255" s="17">
        <f t="shared" si="1"/>
        <v>234</v>
      </c>
      <c r="F3255" s="17">
        <f t="shared" si="2"/>
        <v>0</v>
      </c>
    </row>
    <row r="3256">
      <c r="A3256" s="5" t="s">
        <v>61</v>
      </c>
      <c r="B3256" s="6">
        <v>187.0</v>
      </c>
      <c r="C3256" s="13" t="s">
        <v>403</v>
      </c>
      <c r="D3256" s="17">
        <f>SUMIFS(ShadowLedger!$D:$D,ShadowLedger!$G:$G,A3256,ShadowLedger!$C:$C,"&gt;="&amp;DATE(LEFT(SUBSTITUTE(C3256,"'",""),4),MID(SUBSTITUTE(C3256,"'",""),6,2),1),ShadowLedger!$C:$C,"&lt;"&amp;EOMONTH(DATE(LEFT(SUBSTITUTE(C3256,"'",""),4),MID(SUBSTITUTE(C3256,"'",""),6,2),1),0)+1)</f>
        <v>0</v>
      </c>
      <c r="E3256" s="17">
        <f t="shared" si="1"/>
        <v>187</v>
      </c>
      <c r="F3256" s="17">
        <f t="shared" si="2"/>
        <v>0</v>
      </c>
    </row>
    <row r="3257">
      <c r="A3257" s="5" t="s">
        <v>62</v>
      </c>
      <c r="B3257" s="6">
        <v>187.0</v>
      </c>
      <c r="C3257" s="13" t="s">
        <v>403</v>
      </c>
      <c r="D3257" s="17">
        <f>SUMIFS(ShadowLedger!$D:$D,ShadowLedger!$G:$G,A3257,ShadowLedger!$C:$C,"&gt;="&amp;DATE(LEFT(SUBSTITUTE(C3257,"'",""),4),MID(SUBSTITUTE(C3257,"'",""),6,2),1),ShadowLedger!$C:$C,"&lt;"&amp;EOMONTH(DATE(LEFT(SUBSTITUTE(C3257,"'",""),4),MID(SUBSTITUTE(C3257,"'",""),6,2),1),0)+1)</f>
        <v>0</v>
      </c>
      <c r="E3257" s="17">
        <f t="shared" si="1"/>
        <v>187</v>
      </c>
      <c r="F3257" s="17">
        <f t="shared" si="2"/>
        <v>0</v>
      </c>
    </row>
    <row r="3258">
      <c r="A3258" s="5" t="s">
        <v>63</v>
      </c>
      <c r="B3258" s="6">
        <v>156.0</v>
      </c>
      <c r="C3258" s="13" t="s">
        <v>403</v>
      </c>
      <c r="D3258" s="17">
        <f>SUMIFS(ShadowLedger!$D:$D,ShadowLedger!$G:$G,A3258,ShadowLedger!$C:$C,"&gt;="&amp;DATE(LEFT(SUBSTITUTE(C3258,"'",""),4),MID(SUBSTITUTE(C3258,"'",""),6,2),1),ShadowLedger!$C:$C,"&lt;"&amp;EOMONTH(DATE(LEFT(SUBSTITUTE(C3258,"'",""),4),MID(SUBSTITUTE(C3258,"'",""),6,2),1),0)+1)</f>
        <v>0</v>
      </c>
      <c r="E3258" s="17">
        <f t="shared" si="1"/>
        <v>156</v>
      </c>
      <c r="F3258" s="17">
        <f t="shared" si="2"/>
        <v>0</v>
      </c>
    </row>
    <row r="3259">
      <c r="A3259" s="5" t="s">
        <v>64</v>
      </c>
      <c r="B3259" s="6">
        <v>156.0</v>
      </c>
      <c r="C3259" s="13" t="s">
        <v>403</v>
      </c>
      <c r="D3259" s="17">
        <f>SUMIFS(ShadowLedger!$D:$D,ShadowLedger!$G:$G,A3259,ShadowLedger!$C:$C,"&gt;="&amp;DATE(LEFT(SUBSTITUTE(C3259,"'",""),4),MID(SUBSTITUTE(C3259,"'",""),6,2),1),ShadowLedger!$C:$C,"&lt;"&amp;EOMONTH(DATE(LEFT(SUBSTITUTE(C3259,"'",""),4),MID(SUBSTITUTE(C3259,"'",""),6,2),1),0)+1)</f>
        <v>0</v>
      </c>
      <c r="E3259" s="17">
        <f t="shared" si="1"/>
        <v>156</v>
      </c>
      <c r="F3259" s="17">
        <f t="shared" si="2"/>
        <v>0</v>
      </c>
    </row>
    <row r="3260">
      <c r="A3260" s="5" t="s">
        <v>70</v>
      </c>
      <c r="B3260" s="6">
        <v>156.0</v>
      </c>
      <c r="C3260" s="13" t="s">
        <v>403</v>
      </c>
      <c r="D3260" s="17">
        <f>SUMIFS(ShadowLedger!$D:$D,ShadowLedger!$G:$G,A3260,ShadowLedger!$C:$C,"&gt;="&amp;DATE(LEFT(SUBSTITUTE(C3260,"'",""),4),MID(SUBSTITUTE(C3260,"'",""),6,2),1),ShadowLedger!$C:$C,"&lt;"&amp;EOMONTH(DATE(LEFT(SUBSTITUTE(C3260,"'",""),4),MID(SUBSTITUTE(C3260,"'",""),6,2),1),0)+1)</f>
        <v>0</v>
      </c>
      <c r="E3260" s="17">
        <f t="shared" si="1"/>
        <v>156</v>
      </c>
      <c r="F3260" s="17">
        <f t="shared" si="2"/>
        <v>0</v>
      </c>
    </row>
    <row r="3261">
      <c r="A3261" s="5" t="s">
        <v>65</v>
      </c>
      <c r="B3261" s="6">
        <v>78.0</v>
      </c>
      <c r="C3261" s="13" t="s">
        <v>403</v>
      </c>
      <c r="D3261" s="17">
        <f>SUMIFS(ShadowLedger!$D:$D,ShadowLedger!$G:$G,A3261,ShadowLedger!$C:$C,"&gt;="&amp;DATE(LEFT(SUBSTITUTE(C3261,"'",""),4),MID(SUBSTITUTE(C3261,"'",""),6,2),1),ShadowLedger!$C:$C,"&lt;"&amp;EOMONTH(DATE(LEFT(SUBSTITUTE(C3261,"'",""),4),MID(SUBSTITUTE(C3261,"'",""),6,2),1),0)+1)</f>
        <v>0</v>
      </c>
      <c r="E3261" s="17">
        <f t="shared" si="1"/>
        <v>78</v>
      </c>
      <c r="F3261" s="17">
        <f t="shared" si="2"/>
        <v>0</v>
      </c>
    </row>
    <row r="3262">
      <c r="A3262" s="5" t="s">
        <v>66</v>
      </c>
      <c r="B3262" s="6">
        <v>78.0</v>
      </c>
      <c r="C3262" s="13" t="s">
        <v>403</v>
      </c>
      <c r="D3262" s="17">
        <f>SUMIFS(ShadowLedger!$D:$D,ShadowLedger!$G:$G,A3262,ShadowLedger!$C:$C,"&gt;="&amp;DATE(LEFT(SUBSTITUTE(C3262,"'",""),4),MID(SUBSTITUTE(C3262,"'",""),6,2),1),ShadowLedger!$C:$C,"&lt;"&amp;EOMONTH(DATE(LEFT(SUBSTITUTE(C3262,"'",""),4),MID(SUBSTITUTE(C3262,"'",""),6,2),1),0)+1)</f>
        <v>0</v>
      </c>
      <c r="E3262" s="17">
        <f t="shared" si="1"/>
        <v>78</v>
      </c>
      <c r="F3262" s="17">
        <f t="shared" si="2"/>
        <v>0</v>
      </c>
    </row>
    <row r="3263">
      <c r="A3263" s="5" t="s">
        <v>67</v>
      </c>
      <c r="B3263" s="6">
        <v>78.0</v>
      </c>
      <c r="C3263" s="13" t="s">
        <v>403</v>
      </c>
      <c r="D3263" s="17">
        <f>SUMIFS(ShadowLedger!$D:$D,ShadowLedger!$G:$G,A3263,ShadowLedger!$C:$C,"&gt;="&amp;DATE(LEFT(SUBSTITUTE(C3263,"'",""),4),MID(SUBSTITUTE(C3263,"'",""),6,2),1),ShadowLedger!$C:$C,"&lt;"&amp;EOMONTH(DATE(LEFT(SUBSTITUTE(C3263,"'",""),4),MID(SUBSTITUTE(C3263,"'",""),6,2),1),0)+1)</f>
        <v>0</v>
      </c>
      <c r="E3263" s="17">
        <f t="shared" si="1"/>
        <v>78</v>
      </c>
      <c r="F3263" s="17">
        <f t="shared" si="2"/>
        <v>0</v>
      </c>
    </row>
    <row r="3264">
      <c r="A3264" s="5" t="s">
        <v>68</v>
      </c>
      <c r="B3264" s="6">
        <v>78.0</v>
      </c>
      <c r="C3264" s="13" t="s">
        <v>403</v>
      </c>
      <c r="D3264" s="17">
        <f>SUMIFS(ShadowLedger!$D:$D,ShadowLedger!$G:$G,A3264,ShadowLedger!$C:$C,"&gt;="&amp;DATE(LEFT(SUBSTITUTE(C3264,"'",""),4),MID(SUBSTITUTE(C3264,"'",""),6,2),1),ShadowLedger!$C:$C,"&lt;"&amp;EOMONTH(DATE(LEFT(SUBSTITUTE(C3264,"'",""),4),MID(SUBSTITUTE(C3264,"'",""),6,2),1),0)+1)</f>
        <v>0</v>
      </c>
      <c r="E3264" s="17">
        <f t="shared" si="1"/>
        <v>78</v>
      </c>
      <c r="F3264" s="17">
        <f t="shared" si="2"/>
        <v>0</v>
      </c>
    </row>
    <row r="3265">
      <c r="A3265" s="5" t="s">
        <v>69</v>
      </c>
      <c r="B3265" s="6">
        <v>0.0</v>
      </c>
      <c r="C3265" s="13" t="s">
        <v>403</v>
      </c>
      <c r="D3265" s="17">
        <f>SUMIFS(ShadowLedger!$D:$D,ShadowLedger!$G:$G,A3265,ShadowLedger!$C:$C,"&gt;="&amp;DATE(LEFT(SUBSTITUTE(C3265,"'",""),4),MID(SUBSTITUTE(C3265,"'",""),6,2),1),ShadowLedger!$C:$C,"&lt;"&amp;EOMONTH(DATE(LEFT(SUBSTITUTE(C3265,"'",""),4),MID(SUBSTITUTE(C3265,"'",""),6,2),1),0)+1)</f>
        <v>0</v>
      </c>
      <c r="E3265" s="17">
        <f t="shared" si="1"/>
        <v>0</v>
      </c>
      <c r="F3265" s="17">
        <f t="shared" si="2"/>
        <v>0</v>
      </c>
    </row>
    <row r="3266">
      <c r="A3266" s="5" t="s">
        <v>54</v>
      </c>
      <c r="B3266" s="6">
        <v>1433.0</v>
      </c>
      <c r="C3266" s="13" t="s">
        <v>404</v>
      </c>
      <c r="D3266" s="17">
        <f>SUMIFS(ShadowLedger!$D:$D,ShadowLedger!$G:$G,A3266,ShadowLedger!$C:$C,"&gt;="&amp;DATE(LEFT(SUBSTITUTE(C3266,"'",""),4),MID(SUBSTITUTE(C3266,"'",""),6,2),1),ShadowLedger!$C:$C,"&lt;"&amp;EOMONTH(DATE(LEFT(SUBSTITUTE(C3266,"'",""),4),MID(SUBSTITUTE(C3266,"'",""),6,2),1),0)+1)</f>
        <v>0</v>
      </c>
      <c r="E3266" s="17">
        <f t="shared" si="1"/>
        <v>1433</v>
      </c>
      <c r="F3266" s="17">
        <f t="shared" si="2"/>
        <v>0</v>
      </c>
    </row>
    <row r="3267">
      <c r="A3267" s="5" t="s">
        <v>55</v>
      </c>
      <c r="B3267" s="6">
        <v>1091.0</v>
      </c>
      <c r="C3267" s="13" t="s">
        <v>404</v>
      </c>
      <c r="D3267" s="17">
        <f>SUMIFS(ShadowLedger!$D:$D,ShadowLedger!$G:$G,A3267,ShadowLedger!$C:$C,"&gt;="&amp;DATE(LEFT(SUBSTITUTE(C3267,"'",""),4),MID(SUBSTITUTE(C3267,"'",""),6,2),1),ShadowLedger!$C:$C,"&lt;"&amp;EOMONTH(DATE(LEFT(SUBSTITUTE(C3267,"'",""),4),MID(SUBSTITUTE(C3267,"'",""),6,2),1),0)+1)</f>
        <v>0</v>
      </c>
      <c r="E3267" s="17">
        <f t="shared" si="1"/>
        <v>1091</v>
      </c>
      <c r="F3267" s="17">
        <f t="shared" si="2"/>
        <v>0</v>
      </c>
    </row>
    <row r="3268">
      <c r="A3268" s="5" t="s">
        <v>56</v>
      </c>
      <c r="B3268" s="6">
        <v>779.0</v>
      </c>
      <c r="C3268" s="13" t="s">
        <v>404</v>
      </c>
      <c r="D3268" s="17">
        <f>SUMIFS(ShadowLedger!$D:$D,ShadowLedger!$G:$G,A3268,ShadowLedger!$C:$C,"&gt;="&amp;DATE(LEFT(SUBSTITUTE(C3268,"'",""),4),MID(SUBSTITUTE(C3268,"'",""),6,2),1),ShadowLedger!$C:$C,"&lt;"&amp;EOMONTH(DATE(LEFT(SUBSTITUTE(C3268,"'",""),4),MID(SUBSTITUTE(C3268,"'",""),6,2),1),0)+1)</f>
        <v>0</v>
      </c>
      <c r="E3268" s="17">
        <f t="shared" si="1"/>
        <v>779</v>
      </c>
      <c r="F3268" s="17">
        <f t="shared" si="2"/>
        <v>0</v>
      </c>
    </row>
    <row r="3269">
      <c r="A3269" s="5" t="s">
        <v>57</v>
      </c>
      <c r="B3269" s="6">
        <v>779.0</v>
      </c>
      <c r="C3269" s="13" t="s">
        <v>404</v>
      </c>
      <c r="D3269" s="17">
        <f>SUMIFS(ShadowLedger!$D:$D,ShadowLedger!$G:$G,A3269,ShadowLedger!$C:$C,"&gt;="&amp;DATE(LEFT(SUBSTITUTE(C3269,"'",""),4),MID(SUBSTITUTE(C3269,"'",""),6,2),1),ShadowLedger!$C:$C,"&lt;"&amp;EOMONTH(DATE(LEFT(SUBSTITUTE(C3269,"'",""),4),MID(SUBSTITUTE(C3269,"'",""),6,2),1),0)+1)</f>
        <v>0</v>
      </c>
      <c r="E3269" s="17">
        <f t="shared" si="1"/>
        <v>779</v>
      </c>
      <c r="F3269" s="17">
        <f t="shared" si="2"/>
        <v>0</v>
      </c>
    </row>
    <row r="3270">
      <c r="A3270" s="5" t="s">
        <v>58</v>
      </c>
      <c r="B3270" s="6">
        <v>623.0</v>
      </c>
      <c r="C3270" s="13" t="s">
        <v>404</v>
      </c>
      <c r="D3270" s="17">
        <f>SUMIFS(ShadowLedger!$D:$D,ShadowLedger!$G:$G,A3270,ShadowLedger!$C:$C,"&gt;="&amp;DATE(LEFT(SUBSTITUTE(C3270,"'",""),4),MID(SUBSTITUTE(C3270,"'",""),6,2),1),ShadowLedger!$C:$C,"&lt;"&amp;EOMONTH(DATE(LEFT(SUBSTITUTE(C3270,"'",""),4),MID(SUBSTITUTE(C3270,"'",""),6,2),1),0)+1)</f>
        <v>0</v>
      </c>
      <c r="E3270" s="17">
        <f t="shared" si="1"/>
        <v>623</v>
      </c>
      <c r="F3270" s="17">
        <f t="shared" si="2"/>
        <v>0</v>
      </c>
    </row>
    <row r="3271">
      <c r="A3271" s="5" t="s">
        <v>59</v>
      </c>
      <c r="B3271" s="6">
        <v>312.0</v>
      </c>
      <c r="C3271" s="13" t="s">
        <v>404</v>
      </c>
      <c r="D3271" s="17">
        <f>SUMIFS(ShadowLedger!$D:$D,ShadowLedger!$G:$G,A3271,ShadowLedger!$C:$C,"&gt;="&amp;DATE(LEFT(SUBSTITUTE(C3271,"'",""),4),MID(SUBSTITUTE(C3271,"'",""),6,2),1),ShadowLedger!$C:$C,"&lt;"&amp;EOMONTH(DATE(LEFT(SUBSTITUTE(C3271,"'",""),4),MID(SUBSTITUTE(C3271,"'",""),6,2),1),0)+1)</f>
        <v>0</v>
      </c>
      <c r="E3271" s="17">
        <f t="shared" si="1"/>
        <v>312</v>
      </c>
      <c r="F3271" s="17">
        <f t="shared" si="2"/>
        <v>0</v>
      </c>
    </row>
    <row r="3272">
      <c r="A3272" s="5" t="s">
        <v>60</v>
      </c>
      <c r="B3272" s="6">
        <v>234.0</v>
      </c>
      <c r="C3272" s="13" t="s">
        <v>404</v>
      </c>
      <c r="D3272" s="17">
        <f>SUMIFS(ShadowLedger!$D:$D,ShadowLedger!$G:$G,A3272,ShadowLedger!$C:$C,"&gt;="&amp;DATE(LEFT(SUBSTITUTE(C3272,"'",""),4),MID(SUBSTITUTE(C3272,"'",""),6,2),1),ShadowLedger!$C:$C,"&lt;"&amp;EOMONTH(DATE(LEFT(SUBSTITUTE(C3272,"'",""),4),MID(SUBSTITUTE(C3272,"'",""),6,2),1),0)+1)</f>
        <v>0</v>
      </c>
      <c r="E3272" s="17">
        <f t="shared" si="1"/>
        <v>234</v>
      </c>
      <c r="F3272" s="17">
        <f t="shared" si="2"/>
        <v>0</v>
      </c>
    </row>
    <row r="3273">
      <c r="A3273" s="5" t="s">
        <v>61</v>
      </c>
      <c r="B3273" s="6">
        <v>187.0</v>
      </c>
      <c r="C3273" s="13" t="s">
        <v>404</v>
      </c>
      <c r="D3273" s="17">
        <f>SUMIFS(ShadowLedger!$D:$D,ShadowLedger!$G:$G,A3273,ShadowLedger!$C:$C,"&gt;="&amp;DATE(LEFT(SUBSTITUTE(C3273,"'",""),4),MID(SUBSTITUTE(C3273,"'",""),6,2),1),ShadowLedger!$C:$C,"&lt;"&amp;EOMONTH(DATE(LEFT(SUBSTITUTE(C3273,"'",""),4),MID(SUBSTITUTE(C3273,"'",""),6,2),1),0)+1)</f>
        <v>0</v>
      </c>
      <c r="E3273" s="17">
        <f t="shared" si="1"/>
        <v>187</v>
      </c>
      <c r="F3273" s="17">
        <f t="shared" si="2"/>
        <v>0</v>
      </c>
    </row>
    <row r="3274">
      <c r="A3274" s="5" t="s">
        <v>62</v>
      </c>
      <c r="B3274" s="6">
        <v>187.0</v>
      </c>
      <c r="C3274" s="13" t="s">
        <v>404</v>
      </c>
      <c r="D3274" s="17">
        <f>SUMIFS(ShadowLedger!$D:$D,ShadowLedger!$G:$G,A3274,ShadowLedger!$C:$C,"&gt;="&amp;DATE(LEFT(SUBSTITUTE(C3274,"'",""),4),MID(SUBSTITUTE(C3274,"'",""),6,2),1),ShadowLedger!$C:$C,"&lt;"&amp;EOMONTH(DATE(LEFT(SUBSTITUTE(C3274,"'",""),4),MID(SUBSTITUTE(C3274,"'",""),6,2),1),0)+1)</f>
        <v>0</v>
      </c>
      <c r="E3274" s="17">
        <f t="shared" si="1"/>
        <v>187</v>
      </c>
      <c r="F3274" s="17">
        <f t="shared" si="2"/>
        <v>0</v>
      </c>
    </row>
    <row r="3275">
      <c r="A3275" s="5" t="s">
        <v>63</v>
      </c>
      <c r="B3275" s="6">
        <v>156.0</v>
      </c>
      <c r="C3275" s="13" t="s">
        <v>404</v>
      </c>
      <c r="D3275" s="17">
        <f>SUMIFS(ShadowLedger!$D:$D,ShadowLedger!$G:$G,A3275,ShadowLedger!$C:$C,"&gt;="&amp;DATE(LEFT(SUBSTITUTE(C3275,"'",""),4),MID(SUBSTITUTE(C3275,"'",""),6,2),1),ShadowLedger!$C:$C,"&lt;"&amp;EOMONTH(DATE(LEFT(SUBSTITUTE(C3275,"'",""),4),MID(SUBSTITUTE(C3275,"'",""),6,2),1),0)+1)</f>
        <v>0</v>
      </c>
      <c r="E3275" s="17">
        <f t="shared" si="1"/>
        <v>156</v>
      </c>
      <c r="F3275" s="17">
        <f t="shared" si="2"/>
        <v>0</v>
      </c>
    </row>
    <row r="3276">
      <c r="A3276" s="5" t="s">
        <v>64</v>
      </c>
      <c r="B3276" s="6">
        <v>156.0</v>
      </c>
      <c r="C3276" s="13" t="s">
        <v>404</v>
      </c>
      <c r="D3276" s="17">
        <f>SUMIFS(ShadowLedger!$D:$D,ShadowLedger!$G:$G,A3276,ShadowLedger!$C:$C,"&gt;="&amp;DATE(LEFT(SUBSTITUTE(C3276,"'",""),4),MID(SUBSTITUTE(C3276,"'",""),6,2),1),ShadowLedger!$C:$C,"&lt;"&amp;EOMONTH(DATE(LEFT(SUBSTITUTE(C3276,"'",""),4),MID(SUBSTITUTE(C3276,"'",""),6,2),1),0)+1)</f>
        <v>0</v>
      </c>
      <c r="E3276" s="17">
        <f t="shared" si="1"/>
        <v>156</v>
      </c>
      <c r="F3276" s="17">
        <f t="shared" si="2"/>
        <v>0</v>
      </c>
    </row>
    <row r="3277">
      <c r="A3277" s="5" t="s">
        <v>70</v>
      </c>
      <c r="B3277" s="6">
        <v>156.0</v>
      </c>
      <c r="C3277" s="13" t="s">
        <v>404</v>
      </c>
      <c r="D3277" s="17">
        <f>SUMIFS(ShadowLedger!$D:$D,ShadowLedger!$G:$G,A3277,ShadowLedger!$C:$C,"&gt;="&amp;DATE(LEFT(SUBSTITUTE(C3277,"'",""),4),MID(SUBSTITUTE(C3277,"'",""),6,2),1),ShadowLedger!$C:$C,"&lt;"&amp;EOMONTH(DATE(LEFT(SUBSTITUTE(C3277,"'",""),4),MID(SUBSTITUTE(C3277,"'",""),6,2),1),0)+1)</f>
        <v>0</v>
      </c>
      <c r="E3277" s="17">
        <f t="shared" si="1"/>
        <v>156</v>
      </c>
      <c r="F3277" s="17">
        <f t="shared" si="2"/>
        <v>0</v>
      </c>
    </row>
    <row r="3278">
      <c r="A3278" s="5" t="s">
        <v>65</v>
      </c>
      <c r="B3278" s="6">
        <v>78.0</v>
      </c>
      <c r="C3278" s="13" t="s">
        <v>404</v>
      </c>
      <c r="D3278" s="17">
        <f>SUMIFS(ShadowLedger!$D:$D,ShadowLedger!$G:$G,A3278,ShadowLedger!$C:$C,"&gt;="&amp;DATE(LEFT(SUBSTITUTE(C3278,"'",""),4),MID(SUBSTITUTE(C3278,"'",""),6,2),1),ShadowLedger!$C:$C,"&lt;"&amp;EOMONTH(DATE(LEFT(SUBSTITUTE(C3278,"'",""),4),MID(SUBSTITUTE(C3278,"'",""),6,2),1),0)+1)</f>
        <v>0</v>
      </c>
      <c r="E3278" s="17">
        <f t="shared" si="1"/>
        <v>78</v>
      </c>
      <c r="F3278" s="17">
        <f t="shared" si="2"/>
        <v>0</v>
      </c>
    </row>
    <row r="3279">
      <c r="A3279" s="5" t="s">
        <v>66</v>
      </c>
      <c r="B3279" s="6">
        <v>78.0</v>
      </c>
      <c r="C3279" s="13" t="s">
        <v>404</v>
      </c>
      <c r="D3279" s="17">
        <f>SUMIFS(ShadowLedger!$D:$D,ShadowLedger!$G:$G,A3279,ShadowLedger!$C:$C,"&gt;="&amp;DATE(LEFT(SUBSTITUTE(C3279,"'",""),4),MID(SUBSTITUTE(C3279,"'",""),6,2),1),ShadowLedger!$C:$C,"&lt;"&amp;EOMONTH(DATE(LEFT(SUBSTITUTE(C3279,"'",""),4),MID(SUBSTITUTE(C3279,"'",""),6,2),1),0)+1)</f>
        <v>0</v>
      </c>
      <c r="E3279" s="17">
        <f t="shared" si="1"/>
        <v>78</v>
      </c>
      <c r="F3279" s="17">
        <f t="shared" si="2"/>
        <v>0</v>
      </c>
    </row>
    <row r="3280">
      <c r="A3280" s="5" t="s">
        <v>67</v>
      </c>
      <c r="B3280" s="6">
        <v>78.0</v>
      </c>
      <c r="C3280" s="13" t="s">
        <v>404</v>
      </c>
      <c r="D3280" s="17">
        <f>SUMIFS(ShadowLedger!$D:$D,ShadowLedger!$G:$G,A3280,ShadowLedger!$C:$C,"&gt;="&amp;DATE(LEFT(SUBSTITUTE(C3280,"'",""),4),MID(SUBSTITUTE(C3280,"'",""),6,2),1),ShadowLedger!$C:$C,"&lt;"&amp;EOMONTH(DATE(LEFT(SUBSTITUTE(C3280,"'",""),4),MID(SUBSTITUTE(C3280,"'",""),6,2),1),0)+1)</f>
        <v>0</v>
      </c>
      <c r="E3280" s="17">
        <f t="shared" si="1"/>
        <v>78</v>
      </c>
      <c r="F3280" s="17">
        <f t="shared" si="2"/>
        <v>0</v>
      </c>
    </row>
    <row r="3281">
      <c r="A3281" s="5" t="s">
        <v>68</v>
      </c>
      <c r="B3281" s="6">
        <v>78.0</v>
      </c>
      <c r="C3281" s="13" t="s">
        <v>404</v>
      </c>
      <c r="D3281" s="17">
        <f>SUMIFS(ShadowLedger!$D:$D,ShadowLedger!$G:$G,A3281,ShadowLedger!$C:$C,"&gt;="&amp;DATE(LEFT(SUBSTITUTE(C3281,"'",""),4),MID(SUBSTITUTE(C3281,"'",""),6,2),1),ShadowLedger!$C:$C,"&lt;"&amp;EOMONTH(DATE(LEFT(SUBSTITUTE(C3281,"'",""),4),MID(SUBSTITUTE(C3281,"'",""),6,2),1),0)+1)</f>
        <v>0</v>
      </c>
      <c r="E3281" s="17">
        <f t="shared" si="1"/>
        <v>78</v>
      </c>
      <c r="F3281" s="17">
        <f t="shared" si="2"/>
        <v>0</v>
      </c>
    </row>
    <row r="3282">
      <c r="A3282" s="5" t="s">
        <v>69</v>
      </c>
      <c r="B3282" s="6">
        <v>0.0</v>
      </c>
      <c r="C3282" s="13" t="s">
        <v>404</v>
      </c>
      <c r="D3282" s="17">
        <f>SUMIFS(ShadowLedger!$D:$D,ShadowLedger!$G:$G,A3282,ShadowLedger!$C:$C,"&gt;="&amp;DATE(LEFT(SUBSTITUTE(C3282,"'",""),4),MID(SUBSTITUTE(C3282,"'",""),6,2),1),ShadowLedger!$C:$C,"&lt;"&amp;EOMONTH(DATE(LEFT(SUBSTITUTE(C3282,"'",""),4),MID(SUBSTITUTE(C3282,"'",""),6,2),1),0)+1)</f>
        <v>0</v>
      </c>
      <c r="E3282" s="17">
        <f t="shared" si="1"/>
        <v>0</v>
      </c>
      <c r="F3282" s="17">
        <f t="shared" si="2"/>
        <v>0</v>
      </c>
    </row>
    <row r="3283">
      <c r="A3283" s="5" t="s">
        <v>54</v>
      </c>
      <c r="B3283" s="6">
        <v>1476.0</v>
      </c>
      <c r="C3283" s="13" t="s">
        <v>405</v>
      </c>
      <c r="D3283" s="17">
        <f>SUMIFS(ShadowLedger!$D:$D,ShadowLedger!$G:$G,A3283,ShadowLedger!$C:$C,"&gt;="&amp;DATE(LEFT(SUBSTITUTE(C3283,"'",""),4),MID(SUBSTITUTE(C3283,"'",""),6,2),1),ShadowLedger!$C:$C,"&lt;"&amp;EOMONTH(DATE(LEFT(SUBSTITUTE(C3283,"'",""),4),MID(SUBSTITUTE(C3283,"'",""),6,2),1),0)+1)</f>
        <v>0</v>
      </c>
      <c r="E3283" s="17">
        <f t="shared" si="1"/>
        <v>1476</v>
      </c>
      <c r="F3283" s="17">
        <f t="shared" si="2"/>
        <v>0</v>
      </c>
    </row>
    <row r="3284">
      <c r="A3284" s="5" t="s">
        <v>55</v>
      </c>
      <c r="B3284" s="6">
        <v>1123.0</v>
      </c>
      <c r="C3284" s="13" t="s">
        <v>405</v>
      </c>
      <c r="D3284" s="17">
        <f>SUMIFS(ShadowLedger!$D:$D,ShadowLedger!$G:$G,A3284,ShadowLedger!$C:$C,"&gt;="&amp;DATE(LEFT(SUBSTITUTE(C3284,"'",""),4),MID(SUBSTITUTE(C3284,"'",""),6,2),1),ShadowLedger!$C:$C,"&lt;"&amp;EOMONTH(DATE(LEFT(SUBSTITUTE(C3284,"'",""),4),MID(SUBSTITUTE(C3284,"'",""),6,2),1),0)+1)</f>
        <v>0</v>
      </c>
      <c r="E3284" s="17">
        <f t="shared" si="1"/>
        <v>1123</v>
      </c>
      <c r="F3284" s="17">
        <f t="shared" si="2"/>
        <v>0</v>
      </c>
    </row>
    <row r="3285">
      <c r="A3285" s="5" t="s">
        <v>56</v>
      </c>
      <c r="B3285" s="6">
        <v>802.0</v>
      </c>
      <c r="C3285" s="13" t="s">
        <v>405</v>
      </c>
      <c r="D3285" s="17">
        <f>SUMIFS(ShadowLedger!$D:$D,ShadowLedger!$G:$G,A3285,ShadowLedger!$C:$C,"&gt;="&amp;DATE(LEFT(SUBSTITUTE(C3285,"'",""),4),MID(SUBSTITUTE(C3285,"'",""),6,2),1),ShadowLedger!$C:$C,"&lt;"&amp;EOMONTH(DATE(LEFT(SUBSTITUTE(C3285,"'",""),4),MID(SUBSTITUTE(C3285,"'",""),6,2),1),0)+1)</f>
        <v>0</v>
      </c>
      <c r="E3285" s="17">
        <f t="shared" si="1"/>
        <v>802</v>
      </c>
      <c r="F3285" s="17">
        <f t="shared" si="2"/>
        <v>0</v>
      </c>
    </row>
    <row r="3286">
      <c r="A3286" s="5" t="s">
        <v>57</v>
      </c>
      <c r="B3286" s="6">
        <v>802.0</v>
      </c>
      <c r="C3286" s="13" t="s">
        <v>405</v>
      </c>
      <c r="D3286" s="17">
        <f>SUMIFS(ShadowLedger!$D:$D,ShadowLedger!$G:$G,A3286,ShadowLedger!$C:$C,"&gt;="&amp;DATE(LEFT(SUBSTITUTE(C3286,"'",""),4),MID(SUBSTITUTE(C3286,"'",""),6,2),1),ShadowLedger!$C:$C,"&lt;"&amp;EOMONTH(DATE(LEFT(SUBSTITUTE(C3286,"'",""),4),MID(SUBSTITUTE(C3286,"'",""),6,2),1),0)+1)</f>
        <v>0</v>
      </c>
      <c r="E3286" s="17">
        <f t="shared" si="1"/>
        <v>802</v>
      </c>
      <c r="F3286" s="17">
        <f t="shared" si="2"/>
        <v>0</v>
      </c>
    </row>
    <row r="3287">
      <c r="A3287" s="5" t="s">
        <v>58</v>
      </c>
      <c r="B3287" s="6">
        <v>642.0</v>
      </c>
      <c r="C3287" s="13" t="s">
        <v>405</v>
      </c>
      <c r="D3287" s="17">
        <f>SUMIFS(ShadowLedger!$D:$D,ShadowLedger!$G:$G,A3287,ShadowLedger!$C:$C,"&gt;="&amp;DATE(LEFT(SUBSTITUTE(C3287,"'",""),4),MID(SUBSTITUTE(C3287,"'",""),6,2),1),ShadowLedger!$C:$C,"&lt;"&amp;EOMONTH(DATE(LEFT(SUBSTITUTE(C3287,"'",""),4),MID(SUBSTITUTE(C3287,"'",""),6,2),1),0)+1)</f>
        <v>0</v>
      </c>
      <c r="E3287" s="17">
        <f t="shared" si="1"/>
        <v>642</v>
      </c>
      <c r="F3287" s="17">
        <f t="shared" si="2"/>
        <v>0</v>
      </c>
    </row>
    <row r="3288">
      <c r="A3288" s="5" t="s">
        <v>59</v>
      </c>
      <c r="B3288" s="6">
        <v>321.0</v>
      </c>
      <c r="C3288" s="13" t="s">
        <v>405</v>
      </c>
      <c r="D3288" s="17">
        <f>SUMIFS(ShadowLedger!$D:$D,ShadowLedger!$G:$G,A3288,ShadowLedger!$C:$C,"&gt;="&amp;DATE(LEFT(SUBSTITUTE(C3288,"'",""),4),MID(SUBSTITUTE(C3288,"'",""),6,2),1),ShadowLedger!$C:$C,"&lt;"&amp;EOMONTH(DATE(LEFT(SUBSTITUTE(C3288,"'",""),4),MID(SUBSTITUTE(C3288,"'",""),6,2),1),0)+1)</f>
        <v>0</v>
      </c>
      <c r="E3288" s="17">
        <f t="shared" si="1"/>
        <v>321</v>
      </c>
      <c r="F3288" s="17">
        <f t="shared" si="2"/>
        <v>0</v>
      </c>
    </row>
    <row r="3289">
      <c r="A3289" s="5" t="s">
        <v>60</v>
      </c>
      <c r="B3289" s="6">
        <v>241.0</v>
      </c>
      <c r="C3289" s="13" t="s">
        <v>405</v>
      </c>
      <c r="D3289" s="17">
        <f>SUMIFS(ShadowLedger!$D:$D,ShadowLedger!$G:$G,A3289,ShadowLedger!$C:$C,"&gt;="&amp;DATE(LEFT(SUBSTITUTE(C3289,"'",""),4),MID(SUBSTITUTE(C3289,"'",""),6,2),1),ShadowLedger!$C:$C,"&lt;"&amp;EOMONTH(DATE(LEFT(SUBSTITUTE(C3289,"'",""),4),MID(SUBSTITUTE(C3289,"'",""),6,2),1),0)+1)</f>
        <v>0</v>
      </c>
      <c r="E3289" s="17">
        <f t="shared" si="1"/>
        <v>241</v>
      </c>
      <c r="F3289" s="17">
        <f t="shared" si="2"/>
        <v>0</v>
      </c>
    </row>
    <row r="3290">
      <c r="A3290" s="5" t="s">
        <v>61</v>
      </c>
      <c r="B3290" s="6">
        <v>193.0</v>
      </c>
      <c r="C3290" s="13" t="s">
        <v>405</v>
      </c>
      <c r="D3290" s="17">
        <f>SUMIFS(ShadowLedger!$D:$D,ShadowLedger!$G:$G,A3290,ShadowLedger!$C:$C,"&gt;="&amp;DATE(LEFT(SUBSTITUTE(C3290,"'",""),4),MID(SUBSTITUTE(C3290,"'",""),6,2),1),ShadowLedger!$C:$C,"&lt;"&amp;EOMONTH(DATE(LEFT(SUBSTITUTE(C3290,"'",""),4),MID(SUBSTITUTE(C3290,"'",""),6,2),1),0)+1)</f>
        <v>0</v>
      </c>
      <c r="E3290" s="17">
        <f t="shared" si="1"/>
        <v>193</v>
      </c>
      <c r="F3290" s="17">
        <f t="shared" si="2"/>
        <v>0</v>
      </c>
    </row>
    <row r="3291">
      <c r="A3291" s="5" t="s">
        <v>62</v>
      </c>
      <c r="B3291" s="6">
        <v>193.0</v>
      </c>
      <c r="C3291" s="13" t="s">
        <v>405</v>
      </c>
      <c r="D3291" s="17">
        <f>SUMIFS(ShadowLedger!$D:$D,ShadowLedger!$G:$G,A3291,ShadowLedger!$C:$C,"&gt;="&amp;DATE(LEFT(SUBSTITUTE(C3291,"'",""),4),MID(SUBSTITUTE(C3291,"'",""),6,2),1),ShadowLedger!$C:$C,"&lt;"&amp;EOMONTH(DATE(LEFT(SUBSTITUTE(C3291,"'",""),4),MID(SUBSTITUTE(C3291,"'",""),6,2),1),0)+1)</f>
        <v>0</v>
      </c>
      <c r="E3291" s="17">
        <f t="shared" si="1"/>
        <v>193</v>
      </c>
      <c r="F3291" s="17">
        <f t="shared" si="2"/>
        <v>0</v>
      </c>
    </row>
    <row r="3292">
      <c r="A3292" s="5" t="s">
        <v>63</v>
      </c>
      <c r="B3292" s="6">
        <v>160.0</v>
      </c>
      <c r="C3292" s="13" t="s">
        <v>405</v>
      </c>
      <c r="D3292" s="17">
        <f>SUMIFS(ShadowLedger!$D:$D,ShadowLedger!$G:$G,A3292,ShadowLedger!$C:$C,"&gt;="&amp;DATE(LEFT(SUBSTITUTE(C3292,"'",""),4),MID(SUBSTITUTE(C3292,"'",""),6,2),1),ShadowLedger!$C:$C,"&lt;"&amp;EOMONTH(DATE(LEFT(SUBSTITUTE(C3292,"'",""),4),MID(SUBSTITUTE(C3292,"'",""),6,2),1),0)+1)</f>
        <v>0</v>
      </c>
      <c r="E3292" s="17">
        <f t="shared" si="1"/>
        <v>160</v>
      </c>
      <c r="F3292" s="17">
        <f t="shared" si="2"/>
        <v>0</v>
      </c>
    </row>
    <row r="3293">
      <c r="A3293" s="5" t="s">
        <v>64</v>
      </c>
      <c r="B3293" s="6">
        <v>160.0</v>
      </c>
      <c r="C3293" s="13" t="s">
        <v>405</v>
      </c>
      <c r="D3293" s="17">
        <f>SUMIFS(ShadowLedger!$D:$D,ShadowLedger!$G:$G,A3293,ShadowLedger!$C:$C,"&gt;="&amp;DATE(LEFT(SUBSTITUTE(C3293,"'",""),4),MID(SUBSTITUTE(C3293,"'",""),6,2),1),ShadowLedger!$C:$C,"&lt;"&amp;EOMONTH(DATE(LEFT(SUBSTITUTE(C3293,"'",""),4),MID(SUBSTITUTE(C3293,"'",""),6,2),1),0)+1)</f>
        <v>0</v>
      </c>
      <c r="E3293" s="17">
        <f t="shared" si="1"/>
        <v>160</v>
      </c>
      <c r="F3293" s="17">
        <f t="shared" si="2"/>
        <v>0</v>
      </c>
    </row>
    <row r="3294">
      <c r="A3294" s="5" t="s">
        <v>70</v>
      </c>
      <c r="B3294" s="6">
        <v>160.0</v>
      </c>
      <c r="C3294" s="13" t="s">
        <v>405</v>
      </c>
      <c r="D3294" s="17">
        <f>SUMIFS(ShadowLedger!$D:$D,ShadowLedger!$G:$G,A3294,ShadowLedger!$C:$C,"&gt;="&amp;DATE(LEFT(SUBSTITUTE(C3294,"'",""),4),MID(SUBSTITUTE(C3294,"'",""),6,2),1),ShadowLedger!$C:$C,"&lt;"&amp;EOMONTH(DATE(LEFT(SUBSTITUTE(C3294,"'",""),4),MID(SUBSTITUTE(C3294,"'",""),6,2),1),0)+1)</f>
        <v>0</v>
      </c>
      <c r="E3294" s="17">
        <f t="shared" si="1"/>
        <v>160</v>
      </c>
      <c r="F3294" s="17">
        <f t="shared" si="2"/>
        <v>0</v>
      </c>
    </row>
    <row r="3295">
      <c r="A3295" s="5" t="s">
        <v>65</v>
      </c>
      <c r="B3295" s="6">
        <v>80.0</v>
      </c>
      <c r="C3295" s="13" t="s">
        <v>405</v>
      </c>
      <c r="D3295" s="17">
        <f>SUMIFS(ShadowLedger!$D:$D,ShadowLedger!$G:$G,A3295,ShadowLedger!$C:$C,"&gt;="&amp;DATE(LEFT(SUBSTITUTE(C3295,"'",""),4),MID(SUBSTITUTE(C3295,"'",""),6,2),1),ShadowLedger!$C:$C,"&lt;"&amp;EOMONTH(DATE(LEFT(SUBSTITUTE(C3295,"'",""),4),MID(SUBSTITUTE(C3295,"'",""),6,2),1),0)+1)</f>
        <v>0</v>
      </c>
      <c r="E3295" s="17">
        <f t="shared" si="1"/>
        <v>80</v>
      </c>
      <c r="F3295" s="17">
        <f t="shared" si="2"/>
        <v>0</v>
      </c>
    </row>
    <row r="3296">
      <c r="A3296" s="5" t="s">
        <v>66</v>
      </c>
      <c r="B3296" s="6">
        <v>80.0</v>
      </c>
      <c r="C3296" s="13" t="s">
        <v>405</v>
      </c>
      <c r="D3296" s="17">
        <f>SUMIFS(ShadowLedger!$D:$D,ShadowLedger!$G:$G,A3296,ShadowLedger!$C:$C,"&gt;="&amp;DATE(LEFT(SUBSTITUTE(C3296,"'",""),4),MID(SUBSTITUTE(C3296,"'",""),6,2),1),ShadowLedger!$C:$C,"&lt;"&amp;EOMONTH(DATE(LEFT(SUBSTITUTE(C3296,"'",""),4),MID(SUBSTITUTE(C3296,"'",""),6,2),1),0)+1)</f>
        <v>0</v>
      </c>
      <c r="E3296" s="17">
        <f t="shared" si="1"/>
        <v>80</v>
      </c>
      <c r="F3296" s="17">
        <f t="shared" si="2"/>
        <v>0</v>
      </c>
    </row>
    <row r="3297">
      <c r="A3297" s="5" t="s">
        <v>67</v>
      </c>
      <c r="B3297" s="6">
        <v>80.0</v>
      </c>
      <c r="C3297" s="13" t="s">
        <v>405</v>
      </c>
      <c r="D3297" s="17">
        <f>SUMIFS(ShadowLedger!$D:$D,ShadowLedger!$G:$G,A3297,ShadowLedger!$C:$C,"&gt;="&amp;DATE(LEFT(SUBSTITUTE(C3297,"'",""),4),MID(SUBSTITUTE(C3297,"'",""),6,2),1),ShadowLedger!$C:$C,"&lt;"&amp;EOMONTH(DATE(LEFT(SUBSTITUTE(C3297,"'",""),4),MID(SUBSTITUTE(C3297,"'",""),6,2),1),0)+1)</f>
        <v>0</v>
      </c>
      <c r="E3297" s="17">
        <f t="shared" si="1"/>
        <v>80</v>
      </c>
      <c r="F3297" s="17">
        <f t="shared" si="2"/>
        <v>0</v>
      </c>
    </row>
    <row r="3298">
      <c r="A3298" s="5" t="s">
        <v>68</v>
      </c>
      <c r="B3298" s="6">
        <v>80.0</v>
      </c>
      <c r="C3298" s="13" t="s">
        <v>405</v>
      </c>
      <c r="D3298" s="17">
        <f>SUMIFS(ShadowLedger!$D:$D,ShadowLedger!$G:$G,A3298,ShadowLedger!$C:$C,"&gt;="&amp;DATE(LEFT(SUBSTITUTE(C3298,"'",""),4),MID(SUBSTITUTE(C3298,"'",""),6,2),1),ShadowLedger!$C:$C,"&lt;"&amp;EOMONTH(DATE(LEFT(SUBSTITUTE(C3298,"'",""),4),MID(SUBSTITUTE(C3298,"'",""),6,2),1),0)+1)</f>
        <v>0</v>
      </c>
      <c r="E3298" s="17">
        <f t="shared" si="1"/>
        <v>80</v>
      </c>
      <c r="F3298" s="17">
        <f t="shared" si="2"/>
        <v>0</v>
      </c>
    </row>
    <row r="3299">
      <c r="A3299" s="5" t="s">
        <v>69</v>
      </c>
      <c r="B3299" s="6">
        <v>0.0</v>
      </c>
      <c r="C3299" s="13" t="s">
        <v>405</v>
      </c>
      <c r="D3299" s="17">
        <f>SUMIFS(ShadowLedger!$D:$D,ShadowLedger!$G:$G,A3299,ShadowLedger!$C:$C,"&gt;="&amp;DATE(LEFT(SUBSTITUTE(C3299,"'",""),4),MID(SUBSTITUTE(C3299,"'",""),6,2),1),ShadowLedger!$C:$C,"&lt;"&amp;EOMONTH(DATE(LEFT(SUBSTITUTE(C3299,"'",""),4),MID(SUBSTITUTE(C3299,"'",""),6,2),1),0)+1)</f>
        <v>0</v>
      </c>
      <c r="E3299" s="17">
        <f t="shared" si="1"/>
        <v>0</v>
      </c>
      <c r="F3299" s="17">
        <f t="shared" si="2"/>
        <v>0</v>
      </c>
    </row>
    <row r="3300">
      <c r="A3300" s="5" t="s">
        <v>54</v>
      </c>
      <c r="B3300" s="6">
        <v>1476.0</v>
      </c>
      <c r="C3300" s="13" t="s">
        <v>406</v>
      </c>
      <c r="D3300" s="17">
        <f>SUMIFS(ShadowLedger!$D:$D,ShadowLedger!$G:$G,A3300,ShadowLedger!$C:$C,"&gt;="&amp;DATE(LEFT(SUBSTITUTE(C3300,"'",""),4),MID(SUBSTITUTE(C3300,"'",""),6,2),1),ShadowLedger!$C:$C,"&lt;"&amp;EOMONTH(DATE(LEFT(SUBSTITUTE(C3300,"'",""),4),MID(SUBSTITUTE(C3300,"'",""),6,2),1),0)+1)</f>
        <v>0</v>
      </c>
      <c r="E3300" s="17">
        <f t="shared" si="1"/>
        <v>1476</v>
      </c>
      <c r="F3300" s="17">
        <f t="shared" si="2"/>
        <v>0</v>
      </c>
    </row>
    <row r="3301">
      <c r="A3301" s="5" t="s">
        <v>55</v>
      </c>
      <c r="B3301" s="6">
        <v>1123.0</v>
      </c>
      <c r="C3301" s="13" t="s">
        <v>406</v>
      </c>
      <c r="D3301" s="17">
        <f>SUMIFS(ShadowLedger!$D:$D,ShadowLedger!$G:$G,A3301,ShadowLedger!$C:$C,"&gt;="&amp;DATE(LEFT(SUBSTITUTE(C3301,"'",""),4),MID(SUBSTITUTE(C3301,"'",""),6,2),1),ShadowLedger!$C:$C,"&lt;"&amp;EOMONTH(DATE(LEFT(SUBSTITUTE(C3301,"'",""),4),MID(SUBSTITUTE(C3301,"'",""),6,2),1),0)+1)</f>
        <v>0</v>
      </c>
      <c r="E3301" s="17">
        <f t="shared" si="1"/>
        <v>1123</v>
      </c>
      <c r="F3301" s="17">
        <f t="shared" si="2"/>
        <v>0</v>
      </c>
    </row>
    <row r="3302">
      <c r="A3302" s="5" t="s">
        <v>56</v>
      </c>
      <c r="B3302" s="6">
        <v>802.0</v>
      </c>
      <c r="C3302" s="13" t="s">
        <v>406</v>
      </c>
      <c r="D3302" s="17">
        <f>SUMIFS(ShadowLedger!$D:$D,ShadowLedger!$G:$G,A3302,ShadowLedger!$C:$C,"&gt;="&amp;DATE(LEFT(SUBSTITUTE(C3302,"'",""),4),MID(SUBSTITUTE(C3302,"'",""),6,2),1),ShadowLedger!$C:$C,"&lt;"&amp;EOMONTH(DATE(LEFT(SUBSTITUTE(C3302,"'",""),4),MID(SUBSTITUTE(C3302,"'",""),6,2),1),0)+1)</f>
        <v>0</v>
      </c>
      <c r="E3302" s="17">
        <f t="shared" si="1"/>
        <v>802</v>
      </c>
      <c r="F3302" s="17">
        <f t="shared" si="2"/>
        <v>0</v>
      </c>
    </row>
    <row r="3303">
      <c r="A3303" s="5" t="s">
        <v>57</v>
      </c>
      <c r="B3303" s="6">
        <v>802.0</v>
      </c>
      <c r="C3303" s="13" t="s">
        <v>406</v>
      </c>
      <c r="D3303" s="17">
        <f>SUMIFS(ShadowLedger!$D:$D,ShadowLedger!$G:$G,A3303,ShadowLedger!$C:$C,"&gt;="&amp;DATE(LEFT(SUBSTITUTE(C3303,"'",""),4),MID(SUBSTITUTE(C3303,"'",""),6,2),1),ShadowLedger!$C:$C,"&lt;"&amp;EOMONTH(DATE(LEFT(SUBSTITUTE(C3303,"'",""),4),MID(SUBSTITUTE(C3303,"'",""),6,2),1),0)+1)</f>
        <v>0</v>
      </c>
      <c r="E3303" s="17">
        <f t="shared" si="1"/>
        <v>802</v>
      </c>
      <c r="F3303" s="17">
        <f t="shared" si="2"/>
        <v>0</v>
      </c>
    </row>
    <row r="3304">
      <c r="A3304" s="5" t="s">
        <v>58</v>
      </c>
      <c r="B3304" s="6">
        <v>642.0</v>
      </c>
      <c r="C3304" s="13" t="s">
        <v>406</v>
      </c>
      <c r="D3304" s="17">
        <f>SUMIFS(ShadowLedger!$D:$D,ShadowLedger!$G:$G,A3304,ShadowLedger!$C:$C,"&gt;="&amp;DATE(LEFT(SUBSTITUTE(C3304,"'",""),4),MID(SUBSTITUTE(C3304,"'",""),6,2),1),ShadowLedger!$C:$C,"&lt;"&amp;EOMONTH(DATE(LEFT(SUBSTITUTE(C3304,"'",""),4),MID(SUBSTITUTE(C3304,"'",""),6,2),1),0)+1)</f>
        <v>0</v>
      </c>
      <c r="E3304" s="17">
        <f t="shared" si="1"/>
        <v>642</v>
      </c>
      <c r="F3304" s="17">
        <f t="shared" si="2"/>
        <v>0</v>
      </c>
    </row>
    <row r="3305">
      <c r="A3305" s="5" t="s">
        <v>59</v>
      </c>
      <c r="B3305" s="6">
        <v>321.0</v>
      </c>
      <c r="C3305" s="13" t="s">
        <v>406</v>
      </c>
      <c r="D3305" s="17">
        <f>SUMIFS(ShadowLedger!$D:$D,ShadowLedger!$G:$G,A3305,ShadowLedger!$C:$C,"&gt;="&amp;DATE(LEFT(SUBSTITUTE(C3305,"'",""),4),MID(SUBSTITUTE(C3305,"'",""),6,2),1),ShadowLedger!$C:$C,"&lt;"&amp;EOMONTH(DATE(LEFT(SUBSTITUTE(C3305,"'",""),4),MID(SUBSTITUTE(C3305,"'",""),6,2),1),0)+1)</f>
        <v>0</v>
      </c>
      <c r="E3305" s="17">
        <f t="shared" si="1"/>
        <v>321</v>
      </c>
      <c r="F3305" s="17">
        <f t="shared" si="2"/>
        <v>0</v>
      </c>
    </row>
    <row r="3306">
      <c r="A3306" s="5" t="s">
        <v>60</v>
      </c>
      <c r="B3306" s="6">
        <v>241.0</v>
      </c>
      <c r="C3306" s="13" t="s">
        <v>406</v>
      </c>
      <c r="D3306" s="17">
        <f>SUMIFS(ShadowLedger!$D:$D,ShadowLedger!$G:$G,A3306,ShadowLedger!$C:$C,"&gt;="&amp;DATE(LEFT(SUBSTITUTE(C3306,"'",""),4),MID(SUBSTITUTE(C3306,"'",""),6,2),1),ShadowLedger!$C:$C,"&lt;"&amp;EOMONTH(DATE(LEFT(SUBSTITUTE(C3306,"'",""),4),MID(SUBSTITUTE(C3306,"'",""),6,2),1),0)+1)</f>
        <v>0</v>
      </c>
      <c r="E3306" s="17">
        <f t="shared" si="1"/>
        <v>241</v>
      </c>
      <c r="F3306" s="17">
        <f t="shared" si="2"/>
        <v>0</v>
      </c>
    </row>
    <row r="3307">
      <c r="A3307" s="5" t="s">
        <v>61</v>
      </c>
      <c r="B3307" s="6">
        <v>193.0</v>
      </c>
      <c r="C3307" s="13" t="s">
        <v>406</v>
      </c>
      <c r="D3307" s="17">
        <f>SUMIFS(ShadowLedger!$D:$D,ShadowLedger!$G:$G,A3307,ShadowLedger!$C:$C,"&gt;="&amp;DATE(LEFT(SUBSTITUTE(C3307,"'",""),4),MID(SUBSTITUTE(C3307,"'",""),6,2),1),ShadowLedger!$C:$C,"&lt;"&amp;EOMONTH(DATE(LEFT(SUBSTITUTE(C3307,"'",""),4),MID(SUBSTITUTE(C3307,"'",""),6,2),1),0)+1)</f>
        <v>0</v>
      </c>
      <c r="E3307" s="17">
        <f t="shared" si="1"/>
        <v>193</v>
      </c>
      <c r="F3307" s="17">
        <f t="shared" si="2"/>
        <v>0</v>
      </c>
    </row>
    <row r="3308">
      <c r="A3308" s="5" t="s">
        <v>62</v>
      </c>
      <c r="B3308" s="6">
        <v>193.0</v>
      </c>
      <c r="C3308" s="13" t="s">
        <v>406</v>
      </c>
      <c r="D3308" s="17">
        <f>SUMIFS(ShadowLedger!$D:$D,ShadowLedger!$G:$G,A3308,ShadowLedger!$C:$C,"&gt;="&amp;DATE(LEFT(SUBSTITUTE(C3308,"'",""),4),MID(SUBSTITUTE(C3308,"'",""),6,2),1),ShadowLedger!$C:$C,"&lt;"&amp;EOMONTH(DATE(LEFT(SUBSTITUTE(C3308,"'",""),4),MID(SUBSTITUTE(C3308,"'",""),6,2),1),0)+1)</f>
        <v>0</v>
      </c>
      <c r="E3308" s="17">
        <f t="shared" si="1"/>
        <v>193</v>
      </c>
      <c r="F3308" s="17">
        <f t="shared" si="2"/>
        <v>0</v>
      </c>
    </row>
    <row r="3309">
      <c r="A3309" s="5" t="s">
        <v>63</v>
      </c>
      <c r="B3309" s="6">
        <v>160.0</v>
      </c>
      <c r="C3309" s="13" t="s">
        <v>406</v>
      </c>
      <c r="D3309" s="17">
        <f>SUMIFS(ShadowLedger!$D:$D,ShadowLedger!$G:$G,A3309,ShadowLedger!$C:$C,"&gt;="&amp;DATE(LEFT(SUBSTITUTE(C3309,"'",""),4),MID(SUBSTITUTE(C3309,"'",""),6,2),1),ShadowLedger!$C:$C,"&lt;"&amp;EOMONTH(DATE(LEFT(SUBSTITUTE(C3309,"'",""),4),MID(SUBSTITUTE(C3309,"'",""),6,2),1),0)+1)</f>
        <v>0</v>
      </c>
      <c r="E3309" s="17">
        <f t="shared" si="1"/>
        <v>160</v>
      </c>
      <c r="F3309" s="17">
        <f t="shared" si="2"/>
        <v>0</v>
      </c>
    </row>
    <row r="3310">
      <c r="A3310" s="5" t="s">
        <v>64</v>
      </c>
      <c r="B3310" s="6">
        <v>160.0</v>
      </c>
      <c r="C3310" s="13" t="s">
        <v>406</v>
      </c>
      <c r="D3310" s="17">
        <f>SUMIFS(ShadowLedger!$D:$D,ShadowLedger!$G:$G,A3310,ShadowLedger!$C:$C,"&gt;="&amp;DATE(LEFT(SUBSTITUTE(C3310,"'",""),4),MID(SUBSTITUTE(C3310,"'",""),6,2),1),ShadowLedger!$C:$C,"&lt;"&amp;EOMONTH(DATE(LEFT(SUBSTITUTE(C3310,"'",""),4),MID(SUBSTITUTE(C3310,"'",""),6,2),1),0)+1)</f>
        <v>0</v>
      </c>
      <c r="E3310" s="17">
        <f t="shared" si="1"/>
        <v>160</v>
      </c>
      <c r="F3310" s="17">
        <f t="shared" si="2"/>
        <v>0</v>
      </c>
    </row>
    <row r="3311">
      <c r="A3311" s="5" t="s">
        <v>70</v>
      </c>
      <c r="B3311" s="6">
        <v>160.0</v>
      </c>
      <c r="C3311" s="13" t="s">
        <v>406</v>
      </c>
      <c r="D3311" s="17">
        <f>SUMIFS(ShadowLedger!$D:$D,ShadowLedger!$G:$G,A3311,ShadowLedger!$C:$C,"&gt;="&amp;DATE(LEFT(SUBSTITUTE(C3311,"'",""),4),MID(SUBSTITUTE(C3311,"'",""),6,2),1),ShadowLedger!$C:$C,"&lt;"&amp;EOMONTH(DATE(LEFT(SUBSTITUTE(C3311,"'",""),4),MID(SUBSTITUTE(C3311,"'",""),6,2),1),0)+1)</f>
        <v>0</v>
      </c>
      <c r="E3311" s="17">
        <f t="shared" si="1"/>
        <v>160</v>
      </c>
      <c r="F3311" s="17">
        <f t="shared" si="2"/>
        <v>0</v>
      </c>
    </row>
    <row r="3312">
      <c r="A3312" s="5" t="s">
        <v>65</v>
      </c>
      <c r="B3312" s="6">
        <v>80.0</v>
      </c>
      <c r="C3312" s="13" t="s">
        <v>406</v>
      </c>
      <c r="D3312" s="17">
        <f>SUMIFS(ShadowLedger!$D:$D,ShadowLedger!$G:$G,A3312,ShadowLedger!$C:$C,"&gt;="&amp;DATE(LEFT(SUBSTITUTE(C3312,"'",""),4),MID(SUBSTITUTE(C3312,"'",""),6,2),1),ShadowLedger!$C:$C,"&lt;"&amp;EOMONTH(DATE(LEFT(SUBSTITUTE(C3312,"'",""),4),MID(SUBSTITUTE(C3312,"'",""),6,2),1),0)+1)</f>
        <v>0</v>
      </c>
      <c r="E3312" s="17">
        <f t="shared" si="1"/>
        <v>80</v>
      </c>
      <c r="F3312" s="17">
        <f t="shared" si="2"/>
        <v>0</v>
      </c>
    </row>
    <row r="3313">
      <c r="A3313" s="5" t="s">
        <v>66</v>
      </c>
      <c r="B3313" s="6">
        <v>80.0</v>
      </c>
      <c r="C3313" s="13" t="s">
        <v>406</v>
      </c>
      <c r="D3313" s="17">
        <f>SUMIFS(ShadowLedger!$D:$D,ShadowLedger!$G:$G,A3313,ShadowLedger!$C:$C,"&gt;="&amp;DATE(LEFT(SUBSTITUTE(C3313,"'",""),4),MID(SUBSTITUTE(C3313,"'",""),6,2),1),ShadowLedger!$C:$C,"&lt;"&amp;EOMONTH(DATE(LEFT(SUBSTITUTE(C3313,"'",""),4),MID(SUBSTITUTE(C3313,"'",""),6,2),1),0)+1)</f>
        <v>0</v>
      </c>
      <c r="E3313" s="17">
        <f t="shared" si="1"/>
        <v>80</v>
      </c>
      <c r="F3313" s="17">
        <f t="shared" si="2"/>
        <v>0</v>
      </c>
    </row>
    <row r="3314">
      <c r="A3314" s="5" t="s">
        <v>67</v>
      </c>
      <c r="B3314" s="6">
        <v>80.0</v>
      </c>
      <c r="C3314" s="13" t="s">
        <v>406</v>
      </c>
      <c r="D3314" s="17">
        <f>SUMIFS(ShadowLedger!$D:$D,ShadowLedger!$G:$G,A3314,ShadowLedger!$C:$C,"&gt;="&amp;DATE(LEFT(SUBSTITUTE(C3314,"'",""),4),MID(SUBSTITUTE(C3314,"'",""),6,2),1),ShadowLedger!$C:$C,"&lt;"&amp;EOMONTH(DATE(LEFT(SUBSTITUTE(C3314,"'",""),4),MID(SUBSTITUTE(C3314,"'",""),6,2),1),0)+1)</f>
        <v>0</v>
      </c>
      <c r="E3314" s="17">
        <f t="shared" si="1"/>
        <v>80</v>
      </c>
      <c r="F3314" s="17">
        <f t="shared" si="2"/>
        <v>0</v>
      </c>
    </row>
    <row r="3315">
      <c r="A3315" s="5" t="s">
        <v>68</v>
      </c>
      <c r="B3315" s="6">
        <v>80.0</v>
      </c>
      <c r="C3315" s="13" t="s">
        <v>406</v>
      </c>
      <c r="D3315" s="17">
        <f>SUMIFS(ShadowLedger!$D:$D,ShadowLedger!$G:$G,A3315,ShadowLedger!$C:$C,"&gt;="&amp;DATE(LEFT(SUBSTITUTE(C3315,"'",""),4),MID(SUBSTITUTE(C3315,"'",""),6,2),1),ShadowLedger!$C:$C,"&lt;"&amp;EOMONTH(DATE(LEFT(SUBSTITUTE(C3315,"'",""),4),MID(SUBSTITUTE(C3315,"'",""),6,2),1),0)+1)</f>
        <v>0</v>
      </c>
      <c r="E3315" s="17">
        <f t="shared" si="1"/>
        <v>80</v>
      </c>
      <c r="F3315" s="17">
        <f t="shared" si="2"/>
        <v>0</v>
      </c>
    </row>
    <row r="3316">
      <c r="A3316" s="5" t="s">
        <v>69</v>
      </c>
      <c r="B3316" s="6">
        <v>0.0</v>
      </c>
      <c r="C3316" s="13" t="s">
        <v>406</v>
      </c>
      <c r="D3316" s="17">
        <f>SUMIFS(ShadowLedger!$D:$D,ShadowLedger!$G:$G,A3316,ShadowLedger!$C:$C,"&gt;="&amp;DATE(LEFT(SUBSTITUTE(C3316,"'",""),4),MID(SUBSTITUTE(C3316,"'",""),6,2),1),ShadowLedger!$C:$C,"&lt;"&amp;EOMONTH(DATE(LEFT(SUBSTITUTE(C3316,"'",""),4),MID(SUBSTITUTE(C3316,"'",""),6,2),1),0)+1)</f>
        <v>0</v>
      </c>
      <c r="E3316" s="17">
        <f t="shared" si="1"/>
        <v>0</v>
      </c>
      <c r="F3316" s="17">
        <f t="shared" si="2"/>
        <v>0</v>
      </c>
    </row>
    <row r="3317">
      <c r="A3317" s="5" t="s">
        <v>54</v>
      </c>
      <c r="B3317" s="6">
        <v>1476.0</v>
      </c>
      <c r="C3317" s="13" t="s">
        <v>407</v>
      </c>
      <c r="D3317" s="17">
        <f>SUMIFS(ShadowLedger!$D:$D,ShadowLedger!$G:$G,A3317,ShadowLedger!$C:$C,"&gt;="&amp;DATE(LEFT(SUBSTITUTE(C3317,"'",""),4),MID(SUBSTITUTE(C3317,"'",""),6,2),1),ShadowLedger!$C:$C,"&lt;"&amp;EOMONTH(DATE(LEFT(SUBSTITUTE(C3317,"'",""),4),MID(SUBSTITUTE(C3317,"'",""),6,2),1),0)+1)</f>
        <v>0</v>
      </c>
      <c r="E3317" s="17">
        <f t="shared" si="1"/>
        <v>1476</v>
      </c>
      <c r="F3317" s="17">
        <f t="shared" si="2"/>
        <v>0</v>
      </c>
    </row>
    <row r="3318">
      <c r="A3318" s="5" t="s">
        <v>55</v>
      </c>
      <c r="B3318" s="6">
        <v>1123.0</v>
      </c>
      <c r="C3318" s="13" t="s">
        <v>407</v>
      </c>
      <c r="D3318" s="17">
        <f>SUMIFS(ShadowLedger!$D:$D,ShadowLedger!$G:$G,A3318,ShadowLedger!$C:$C,"&gt;="&amp;DATE(LEFT(SUBSTITUTE(C3318,"'",""),4),MID(SUBSTITUTE(C3318,"'",""),6,2),1),ShadowLedger!$C:$C,"&lt;"&amp;EOMONTH(DATE(LEFT(SUBSTITUTE(C3318,"'",""),4),MID(SUBSTITUTE(C3318,"'",""),6,2),1),0)+1)</f>
        <v>0</v>
      </c>
      <c r="E3318" s="17">
        <f t="shared" si="1"/>
        <v>1123</v>
      </c>
      <c r="F3318" s="17">
        <f t="shared" si="2"/>
        <v>0</v>
      </c>
    </row>
    <row r="3319">
      <c r="A3319" s="5" t="s">
        <v>56</v>
      </c>
      <c r="B3319" s="6">
        <v>802.0</v>
      </c>
      <c r="C3319" s="13" t="s">
        <v>407</v>
      </c>
      <c r="D3319" s="17">
        <f>SUMIFS(ShadowLedger!$D:$D,ShadowLedger!$G:$G,A3319,ShadowLedger!$C:$C,"&gt;="&amp;DATE(LEFT(SUBSTITUTE(C3319,"'",""),4),MID(SUBSTITUTE(C3319,"'",""),6,2),1),ShadowLedger!$C:$C,"&lt;"&amp;EOMONTH(DATE(LEFT(SUBSTITUTE(C3319,"'",""),4),MID(SUBSTITUTE(C3319,"'",""),6,2),1),0)+1)</f>
        <v>0</v>
      </c>
      <c r="E3319" s="17">
        <f t="shared" si="1"/>
        <v>802</v>
      </c>
      <c r="F3319" s="17">
        <f t="shared" si="2"/>
        <v>0</v>
      </c>
    </row>
    <row r="3320">
      <c r="A3320" s="5" t="s">
        <v>57</v>
      </c>
      <c r="B3320" s="6">
        <v>802.0</v>
      </c>
      <c r="C3320" s="13" t="s">
        <v>407</v>
      </c>
      <c r="D3320" s="17">
        <f>SUMIFS(ShadowLedger!$D:$D,ShadowLedger!$G:$G,A3320,ShadowLedger!$C:$C,"&gt;="&amp;DATE(LEFT(SUBSTITUTE(C3320,"'",""),4),MID(SUBSTITUTE(C3320,"'",""),6,2),1),ShadowLedger!$C:$C,"&lt;"&amp;EOMONTH(DATE(LEFT(SUBSTITUTE(C3320,"'",""),4),MID(SUBSTITUTE(C3320,"'",""),6,2),1),0)+1)</f>
        <v>0</v>
      </c>
      <c r="E3320" s="17">
        <f t="shared" si="1"/>
        <v>802</v>
      </c>
      <c r="F3320" s="17">
        <f t="shared" si="2"/>
        <v>0</v>
      </c>
    </row>
    <row r="3321">
      <c r="A3321" s="5" t="s">
        <v>58</v>
      </c>
      <c r="B3321" s="6">
        <v>642.0</v>
      </c>
      <c r="C3321" s="13" t="s">
        <v>407</v>
      </c>
      <c r="D3321" s="17">
        <f>SUMIFS(ShadowLedger!$D:$D,ShadowLedger!$G:$G,A3321,ShadowLedger!$C:$C,"&gt;="&amp;DATE(LEFT(SUBSTITUTE(C3321,"'",""),4),MID(SUBSTITUTE(C3321,"'",""),6,2),1),ShadowLedger!$C:$C,"&lt;"&amp;EOMONTH(DATE(LEFT(SUBSTITUTE(C3321,"'",""),4),MID(SUBSTITUTE(C3321,"'",""),6,2),1),0)+1)</f>
        <v>0</v>
      </c>
      <c r="E3321" s="17">
        <f t="shared" si="1"/>
        <v>642</v>
      </c>
      <c r="F3321" s="17">
        <f t="shared" si="2"/>
        <v>0</v>
      </c>
    </row>
    <row r="3322">
      <c r="A3322" s="5" t="s">
        <v>59</v>
      </c>
      <c r="B3322" s="6">
        <v>321.0</v>
      </c>
      <c r="C3322" s="13" t="s">
        <v>407</v>
      </c>
      <c r="D3322" s="17">
        <f>SUMIFS(ShadowLedger!$D:$D,ShadowLedger!$G:$G,A3322,ShadowLedger!$C:$C,"&gt;="&amp;DATE(LEFT(SUBSTITUTE(C3322,"'",""),4),MID(SUBSTITUTE(C3322,"'",""),6,2),1),ShadowLedger!$C:$C,"&lt;"&amp;EOMONTH(DATE(LEFT(SUBSTITUTE(C3322,"'",""),4),MID(SUBSTITUTE(C3322,"'",""),6,2),1),0)+1)</f>
        <v>0</v>
      </c>
      <c r="E3322" s="17">
        <f t="shared" si="1"/>
        <v>321</v>
      </c>
      <c r="F3322" s="17">
        <f t="shared" si="2"/>
        <v>0</v>
      </c>
    </row>
    <row r="3323">
      <c r="A3323" s="5" t="s">
        <v>60</v>
      </c>
      <c r="B3323" s="6">
        <v>241.0</v>
      </c>
      <c r="C3323" s="13" t="s">
        <v>407</v>
      </c>
      <c r="D3323" s="17">
        <f>SUMIFS(ShadowLedger!$D:$D,ShadowLedger!$G:$G,A3323,ShadowLedger!$C:$C,"&gt;="&amp;DATE(LEFT(SUBSTITUTE(C3323,"'",""),4),MID(SUBSTITUTE(C3323,"'",""),6,2),1),ShadowLedger!$C:$C,"&lt;"&amp;EOMONTH(DATE(LEFT(SUBSTITUTE(C3323,"'",""),4),MID(SUBSTITUTE(C3323,"'",""),6,2),1),0)+1)</f>
        <v>0</v>
      </c>
      <c r="E3323" s="17">
        <f t="shared" si="1"/>
        <v>241</v>
      </c>
      <c r="F3323" s="17">
        <f t="shared" si="2"/>
        <v>0</v>
      </c>
    </row>
    <row r="3324">
      <c r="A3324" s="5" t="s">
        <v>61</v>
      </c>
      <c r="B3324" s="6">
        <v>193.0</v>
      </c>
      <c r="C3324" s="13" t="s">
        <v>407</v>
      </c>
      <c r="D3324" s="17">
        <f>SUMIFS(ShadowLedger!$D:$D,ShadowLedger!$G:$G,A3324,ShadowLedger!$C:$C,"&gt;="&amp;DATE(LEFT(SUBSTITUTE(C3324,"'",""),4),MID(SUBSTITUTE(C3324,"'",""),6,2),1),ShadowLedger!$C:$C,"&lt;"&amp;EOMONTH(DATE(LEFT(SUBSTITUTE(C3324,"'",""),4),MID(SUBSTITUTE(C3324,"'",""),6,2),1),0)+1)</f>
        <v>0</v>
      </c>
      <c r="E3324" s="17">
        <f t="shared" si="1"/>
        <v>193</v>
      </c>
      <c r="F3324" s="17">
        <f t="shared" si="2"/>
        <v>0</v>
      </c>
    </row>
    <row r="3325">
      <c r="A3325" s="5" t="s">
        <v>62</v>
      </c>
      <c r="B3325" s="6">
        <v>193.0</v>
      </c>
      <c r="C3325" s="13" t="s">
        <v>407</v>
      </c>
      <c r="D3325" s="17">
        <f>SUMIFS(ShadowLedger!$D:$D,ShadowLedger!$G:$G,A3325,ShadowLedger!$C:$C,"&gt;="&amp;DATE(LEFT(SUBSTITUTE(C3325,"'",""),4),MID(SUBSTITUTE(C3325,"'",""),6,2),1),ShadowLedger!$C:$C,"&lt;"&amp;EOMONTH(DATE(LEFT(SUBSTITUTE(C3325,"'",""),4),MID(SUBSTITUTE(C3325,"'",""),6,2),1),0)+1)</f>
        <v>0</v>
      </c>
      <c r="E3325" s="17">
        <f t="shared" si="1"/>
        <v>193</v>
      </c>
      <c r="F3325" s="17">
        <f t="shared" si="2"/>
        <v>0</v>
      </c>
    </row>
    <row r="3326">
      <c r="A3326" s="5" t="s">
        <v>63</v>
      </c>
      <c r="B3326" s="6">
        <v>160.0</v>
      </c>
      <c r="C3326" s="13" t="s">
        <v>407</v>
      </c>
      <c r="D3326" s="17">
        <f>SUMIFS(ShadowLedger!$D:$D,ShadowLedger!$G:$G,A3326,ShadowLedger!$C:$C,"&gt;="&amp;DATE(LEFT(SUBSTITUTE(C3326,"'",""),4),MID(SUBSTITUTE(C3326,"'",""),6,2),1),ShadowLedger!$C:$C,"&lt;"&amp;EOMONTH(DATE(LEFT(SUBSTITUTE(C3326,"'",""),4),MID(SUBSTITUTE(C3326,"'",""),6,2),1),0)+1)</f>
        <v>0</v>
      </c>
      <c r="E3326" s="17">
        <f t="shared" si="1"/>
        <v>160</v>
      </c>
      <c r="F3326" s="17">
        <f t="shared" si="2"/>
        <v>0</v>
      </c>
    </row>
    <row r="3327">
      <c r="A3327" s="5" t="s">
        <v>64</v>
      </c>
      <c r="B3327" s="6">
        <v>160.0</v>
      </c>
      <c r="C3327" s="13" t="s">
        <v>407</v>
      </c>
      <c r="D3327" s="17">
        <f>SUMIFS(ShadowLedger!$D:$D,ShadowLedger!$G:$G,A3327,ShadowLedger!$C:$C,"&gt;="&amp;DATE(LEFT(SUBSTITUTE(C3327,"'",""),4),MID(SUBSTITUTE(C3327,"'",""),6,2),1),ShadowLedger!$C:$C,"&lt;"&amp;EOMONTH(DATE(LEFT(SUBSTITUTE(C3327,"'",""),4),MID(SUBSTITUTE(C3327,"'",""),6,2),1),0)+1)</f>
        <v>0</v>
      </c>
      <c r="E3327" s="17">
        <f t="shared" si="1"/>
        <v>160</v>
      </c>
      <c r="F3327" s="17">
        <f t="shared" si="2"/>
        <v>0</v>
      </c>
    </row>
    <row r="3328">
      <c r="A3328" s="5" t="s">
        <v>70</v>
      </c>
      <c r="B3328" s="6">
        <v>160.0</v>
      </c>
      <c r="C3328" s="13" t="s">
        <v>407</v>
      </c>
      <c r="D3328" s="17">
        <f>SUMIFS(ShadowLedger!$D:$D,ShadowLedger!$G:$G,A3328,ShadowLedger!$C:$C,"&gt;="&amp;DATE(LEFT(SUBSTITUTE(C3328,"'",""),4),MID(SUBSTITUTE(C3328,"'",""),6,2),1),ShadowLedger!$C:$C,"&lt;"&amp;EOMONTH(DATE(LEFT(SUBSTITUTE(C3328,"'",""),4),MID(SUBSTITUTE(C3328,"'",""),6,2),1),0)+1)</f>
        <v>0</v>
      </c>
      <c r="E3328" s="17">
        <f t="shared" si="1"/>
        <v>160</v>
      </c>
      <c r="F3328" s="17">
        <f t="shared" si="2"/>
        <v>0</v>
      </c>
    </row>
    <row r="3329">
      <c r="A3329" s="5" t="s">
        <v>65</v>
      </c>
      <c r="B3329" s="6">
        <v>80.0</v>
      </c>
      <c r="C3329" s="13" t="s">
        <v>407</v>
      </c>
      <c r="D3329" s="17">
        <f>SUMIFS(ShadowLedger!$D:$D,ShadowLedger!$G:$G,A3329,ShadowLedger!$C:$C,"&gt;="&amp;DATE(LEFT(SUBSTITUTE(C3329,"'",""),4),MID(SUBSTITUTE(C3329,"'",""),6,2),1),ShadowLedger!$C:$C,"&lt;"&amp;EOMONTH(DATE(LEFT(SUBSTITUTE(C3329,"'",""),4),MID(SUBSTITUTE(C3329,"'",""),6,2),1),0)+1)</f>
        <v>0</v>
      </c>
      <c r="E3329" s="17">
        <f t="shared" si="1"/>
        <v>80</v>
      </c>
      <c r="F3329" s="17">
        <f t="shared" si="2"/>
        <v>0</v>
      </c>
    </row>
    <row r="3330">
      <c r="A3330" s="5" t="s">
        <v>66</v>
      </c>
      <c r="B3330" s="6">
        <v>80.0</v>
      </c>
      <c r="C3330" s="13" t="s">
        <v>407</v>
      </c>
      <c r="D3330" s="17">
        <f>SUMIFS(ShadowLedger!$D:$D,ShadowLedger!$G:$G,A3330,ShadowLedger!$C:$C,"&gt;="&amp;DATE(LEFT(SUBSTITUTE(C3330,"'",""),4),MID(SUBSTITUTE(C3330,"'",""),6,2),1),ShadowLedger!$C:$C,"&lt;"&amp;EOMONTH(DATE(LEFT(SUBSTITUTE(C3330,"'",""),4),MID(SUBSTITUTE(C3330,"'",""),6,2),1),0)+1)</f>
        <v>0</v>
      </c>
      <c r="E3330" s="17">
        <f t="shared" si="1"/>
        <v>80</v>
      </c>
      <c r="F3330" s="17">
        <f t="shared" si="2"/>
        <v>0</v>
      </c>
    </row>
    <row r="3331">
      <c r="A3331" s="5" t="s">
        <v>67</v>
      </c>
      <c r="B3331" s="6">
        <v>80.0</v>
      </c>
      <c r="C3331" s="13" t="s">
        <v>407</v>
      </c>
      <c r="D3331" s="17">
        <f>SUMIFS(ShadowLedger!$D:$D,ShadowLedger!$G:$G,A3331,ShadowLedger!$C:$C,"&gt;="&amp;DATE(LEFT(SUBSTITUTE(C3331,"'",""),4),MID(SUBSTITUTE(C3331,"'",""),6,2),1),ShadowLedger!$C:$C,"&lt;"&amp;EOMONTH(DATE(LEFT(SUBSTITUTE(C3331,"'",""),4),MID(SUBSTITUTE(C3331,"'",""),6,2),1),0)+1)</f>
        <v>0</v>
      </c>
      <c r="E3331" s="17">
        <f t="shared" si="1"/>
        <v>80</v>
      </c>
      <c r="F3331" s="17">
        <f t="shared" si="2"/>
        <v>0</v>
      </c>
    </row>
    <row r="3332">
      <c r="A3332" s="5" t="s">
        <v>68</v>
      </c>
      <c r="B3332" s="6">
        <v>80.0</v>
      </c>
      <c r="C3332" s="13" t="s">
        <v>407</v>
      </c>
      <c r="D3332" s="17">
        <f>SUMIFS(ShadowLedger!$D:$D,ShadowLedger!$G:$G,A3332,ShadowLedger!$C:$C,"&gt;="&amp;DATE(LEFT(SUBSTITUTE(C3332,"'",""),4),MID(SUBSTITUTE(C3332,"'",""),6,2),1),ShadowLedger!$C:$C,"&lt;"&amp;EOMONTH(DATE(LEFT(SUBSTITUTE(C3332,"'",""),4),MID(SUBSTITUTE(C3332,"'",""),6,2),1),0)+1)</f>
        <v>0</v>
      </c>
      <c r="E3332" s="17">
        <f t="shared" si="1"/>
        <v>80</v>
      </c>
      <c r="F3332" s="17">
        <f t="shared" si="2"/>
        <v>0</v>
      </c>
    </row>
    <row r="3333">
      <c r="A3333" s="5" t="s">
        <v>69</v>
      </c>
      <c r="B3333" s="6">
        <v>0.0</v>
      </c>
      <c r="C3333" s="13" t="s">
        <v>407</v>
      </c>
      <c r="D3333" s="17">
        <f>SUMIFS(ShadowLedger!$D:$D,ShadowLedger!$G:$G,A3333,ShadowLedger!$C:$C,"&gt;="&amp;DATE(LEFT(SUBSTITUTE(C3333,"'",""),4),MID(SUBSTITUTE(C3333,"'",""),6,2),1),ShadowLedger!$C:$C,"&lt;"&amp;EOMONTH(DATE(LEFT(SUBSTITUTE(C3333,"'",""),4),MID(SUBSTITUTE(C3333,"'",""),6,2),1),0)+1)</f>
        <v>0</v>
      </c>
      <c r="E3333" s="17">
        <f t="shared" si="1"/>
        <v>0</v>
      </c>
      <c r="F3333" s="17">
        <f t="shared" si="2"/>
        <v>0</v>
      </c>
    </row>
    <row r="3334">
      <c r="A3334" s="5" t="s">
        <v>54</v>
      </c>
      <c r="B3334" s="6">
        <v>1476.0</v>
      </c>
      <c r="C3334" s="13" t="s">
        <v>408</v>
      </c>
      <c r="D3334" s="17">
        <f>SUMIFS(ShadowLedger!$D:$D,ShadowLedger!$G:$G,A3334,ShadowLedger!$C:$C,"&gt;="&amp;DATE(LEFT(SUBSTITUTE(C3334,"'",""),4),MID(SUBSTITUTE(C3334,"'",""),6,2),1),ShadowLedger!$C:$C,"&lt;"&amp;EOMONTH(DATE(LEFT(SUBSTITUTE(C3334,"'",""),4),MID(SUBSTITUTE(C3334,"'",""),6,2),1),0)+1)</f>
        <v>0</v>
      </c>
      <c r="E3334" s="17">
        <f t="shared" si="1"/>
        <v>1476</v>
      </c>
      <c r="F3334" s="17">
        <f t="shared" si="2"/>
        <v>0</v>
      </c>
    </row>
    <row r="3335">
      <c r="A3335" s="5" t="s">
        <v>55</v>
      </c>
      <c r="B3335" s="6">
        <v>1123.0</v>
      </c>
      <c r="C3335" s="13" t="s">
        <v>408</v>
      </c>
      <c r="D3335" s="17">
        <f>SUMIFS(ShadowLedger!$D:$D,ShadowLedger!$G:$G,A3335,ShadowLedger!$C:$C,"&gt;="&amp;DATE(LEFT(SUBSTITUTE(C3335,"'",""),4),MID(SUBSTITUTE(C3335,"'",""),6,2),1),ShadowLedger!$C:$C,"&lt;"&amp;EOMONTH(DATE(LEFT(SUBSTITUTE(C3335,"'",""),4),MID(SUBSTITUTE(C3335,"'",""),6,2),1),0)+1)</f>
        <v>0</v>
      </c>
      <c r="E3335" s="17">
        <f t="shared" si="1"/>
        <v>1123</v>
      </c>
      <c r="F3335" s="17">
        <f t="shared" si="2"/>
        <v>0</v>
      </c>
    </row>
    <row r="3336">
      <c r="A3336" s="5" t="s">
        <v>56</v>
      </c>
      <c r="B3336" s="6">
        <v>802.0</v>
      </c>
      <c r="C3336" s="13" t="s">
        <v>408</v>
      </c>
      <c r="D3336" s="17">
        <f>SUMIFS(ShadowLedger!$D:$D,ShadowLedger!$G:$G,A3336,ShadowLedger!$C:$C,"&gt;="&amp;DATE(LEFT(SUBSTITUTE(C3336,"'",""),4),MID(SUBSTITUTE(C3336,"'",""),6,2),1),ShadowLedger!$C:$C,"&lt;"&amp;EOMONTH(DATE(LEFT(SUBSTITUTE(C3336,"'",""),4),MID(SUBSTITUTE(C3336,"'",""),6,2),1),0)+1)</f>
        <v>0</v>
      </c>
      <c r="E3336" s="17">
        <f t="shared" si="1"/>
        <v>802</v>
      </c>
      <c r="F3336" s="17">
        <f t="shared" si="2"/>
        <v>0</v>
      </c>
    </row>
    <row r="3337">
      <c r="A3337" s="5" t="s">
        <v>57</v>
      </c>
      <c r="B3337" s="6">
        <v>802.0</v>
      </c>
      <c r="C3337" s="13" t="s">
        <v>408</v>
      </c>
      <c r="D3337" s="17">
        <f>SUMIFS(ShadowLedger!$D:$D,ShadowLedger!$G:$G,A3337,ShadowLedger!$C:$C,"&gt;="&amp;DATE(LEFT(SUBSTITUTE(C3337,"'",""),4),MID(SUBSTITUTE(C3337,"'",""),6,2),1),ShadowLedger!$C:$C,"&lt;"&amp;EOMONTH(DATE(LEFT(SUBSTITUTE(C3337,"'",""),4),MID(SUBSTITUTE(C3337,"'",""),6,2),1),0)+1)</f>
        <v>0</v>
      </c>
      <c r="E3337" s="17">
        <f t="shared" si="1"/>
        <v>802</v>
      </c>
      <c r="F3337" s="17">
        <f t="shared" si="2"/>
        <v>0</v>
      </c>
    </row>
    <row r="3338">
      <c r="A3338" s="5" t="s">
        <v>58</v>
      </c>
      <c r="B3338" s="6">
        <v>642.0</v>
      </c>
      <c r="C3338" s="13" t="s">
        <v>408</v>
      </c>
      <c r="D3338" s="17">
        <f>SUMIFS(ShadowLedger!$D:$D,ShadowLedger!$G:$G,A3338,ShadowLedger!$C:$C,"&gt;="&amp;DATE(LEFT(SUBSTITUTE(C3338,"'",""),4),MID(SUBSTITUTE(C3338,"'",""),6,2),1),ShadowLedger!$C:$C,"&lt;"&amp;EOMONTH(DATE(LEFT(SUBSTITUTE(C3338,"'",""),4),MID(SUBSTITUTE(C3338,"'",""),6,2),1),0)+1)</f>
        <v>0</v>
      </c>
      <c r="E3338" s="17">
        <f t="shared" si="1"/>
        <v>642</v>
      </c>
      <c r="F3338" s="17">
        <f t="shared" si="2"/>
        <v>0</v>
      </c>
    </row>
    <row r="3339">
      <c r="A3339" s="5" t="s">
        <v>59</v>
      </c>
      <c r="B3339" s="6">
        <v>321.0</v>
      </c>
      <c r="C3339" s="13" t="s">
        <v>408</v>
      </c>
      <c r="D3339" s="17">
        <f>SUMIFS(ShadowLedger!$D:$D,ShadowLedger!$G:$G,A3339,ShadowLedger!$C:$C,"&gt;="&amp;DATE(LEFT(SUBSTITUTE(C3339,"'",""),4),MID(SUBSTITUTE(C3339,"'",""),6,2),1),ShadowLedger!$C:$C,"&lt;"&amp;EOMONTH(DATE(LEFT(SUBSTITUTE(C3339,"'",""),4),MID(SUBSTITUTE(C3339,"'",""),6,2),1),0)+1)</f>
        <v>0</v>
      </c>
      <c r="E3339" s="17">
        <f t="shared" si="1"/>
        <v>321</v>
      </c>
      <c r="F3339" s="17">
        <f t="shared" si="2"/>
        <v>0</v>
      </c>
    </row>
    <row r="3340">
      <c r="A3340" s="5" t="s">
        <v>60</v>
      </c>
      <c r="B3340" s="6">
        <v>241.0</v>
      </c>
      <c r="C3340" s="13" t="s">
        <v>408</v>
      </c>
      <c r="D3340" s="17">
        <f>SUMIFS(ShadowLedger!$D:$D,ShadowLedger!$G:$G,A3340,ShadowLedger!$C:$C,"&gt;="&amp;DATE(LEFT(SUBSTITUTE(C3340,"'",""),4),MID(SUBSTITUTE(C3340,"'",""),6,2),1),ShadowLedger!$C:$C,"&lt;"&amp;EOMONTH(DATE(LEFT(SUBSTITUTE(C3340,"'",""),4),MID(SUBSTITUTE(C3340,"'",""),6,2),1),0)+1)</f>
        <v>0</v>
      </c>
      <c r="E3340" s="17">
        <f t="shared" si="1"/>
        <v>241</v>
      </c>
      <c r="F3340" s="17">
        <f t="shared" si="2"/>
        <v>0</v>
      </c>
    </row>
    <row r="3341">
      <c r="A3341" s="5" t="s">
        <v>61</v>
      </c>
      <c r="B3341" s="6">
        <v>193.0</v>
      </c>
      <c r="C3341" s="13" t="s">
        <v>408</v>
      </c>
      <c r="D3341" s="17">
        <f>SUMIFS(ShadowLedger!$D:$D,ShadowLedger!$G:$G,A3341,ShadowLedger!$C:$C,"&gt;="&amp;DATE(LEFT(SUBSTITUTE(C3341,"'",""),4),MID(SUBSTITUTE(C3341,"'",""),6,2),1),ShadowLedger!$C:$C,"&lt;"&amp;EOMONTH(DATE(LEFT(SUBSTITUTE(C3341,"'",""),4),MID(SUBSTITUTE(C3341,"'",""),6,2),1),0)+1)</f>
        <v>0</v>
      </c>
      <c r="E3341" s="17">
        <f t="shared" si="1"/>
        <v>193</v>
      </c>
      <c r="F3341" s="17">
        <f t="shared" si="2"/>
        <v>0</v>
      </c>
    </row>
    <row r="3342">
      <c r="A3342" s="5" t="s">
        <v>62</v>
      </c>
      <c r="B3342" s="6">
        <v>193.0</v>
      </c>
      <c r="C3342" s="13" t="s">
        <v>408</v>
      </c>
      <c r="D3342" s="17">
        <f>SUMIFS(ShadowLedger!$D:$D,ShadowLedger!$G:$G,A3342,ShadowLedger!$C:$C,"&gt;="&amp;DATE(LEFT(SUBSTITUTE(C3342,"'",""),4),MID(SUBSTITUTE(C3342,"'",""),6,2),1),ShadowLedger!$C:$C,"&lt;"&amp;EOMONTH(DATE(LEFT(SUBSTITUTE(C3342,"'",""),4),MID(SUBSTITUTE(C3342,"'",""),6,2),1),0)+1)</f>
        <v>0</v>
      </c>
      <c r="E3342" s="17">
        <f t="shared" si="1"/>
        <v>193</v>
      </c>
      <c r="F3342" s="17">
        <f t="shared" si="2"/>
        <v>0</v>
      </c>
    </row>
    <row r="3343">
      <c r="A3343" s="5" t="s">
        <v>63</v>
      </c>
      <c r="B3343" s="6">
        <v>160.0</v>
      </c>
      <c r="C3343" s="13" t="s">
        <v>408</v>
      </c>
      <c r="D3343" s="17">
        <f>SUMIFS(ShadowLedger!$D:$D,ShadowLedger!$G:$G,A3343,ShadowLedger!$C:$C,"&gt;="&amp;DATE(LEFT(SUBSTITUTE(C3343,"'",""),4),MID(SUBSTITUTE(C3343,"'",""),6,2),1),ShadowLedger!$C:$C,"&lt;"&amp;EOMONTH(DATE(LEFT(SUBSTITUTE(C3343,"'",""),4),MID(SUBSTITUTE(C3343,"'",""),6,2),1),0)+1)</f>
        <v>0</v>
      </c>
      <c r="E3343" s="17">
        <f t="shared" si="1"/>
        <v>160</v>
      </c>
      <c r="F3343" s="17">
        <f t="shared" si="2"/>
        <v>0</v>
      </c>
    </row>
    <row r="3344">
      <c r="A3344" s="5" t="s">
        <v>64</v>
      </c>
      <c r="B3344" s="6">
        <v>160.0</v>
      </c>
      <c r="C3344" s="13" t="s">
        <v>408</v>
      </c>
      <c r="D3344" s="17">
        <f>SUMIFS(ShadowLedger!$D:$D,ShadowLedger!$G:$G,A3344,ShadowLedger!$C:$C,"&gt;="&amp;DATE(LEFT(SUBSTITUTE(C3344,"'",""),4),MID(SUBSTITUTE(C3344,"'",""),6,2),1),ShadowLedger!$C:$C,"&lt;"&amp;EOMONTH(DATE(LEFT(SUBSTITUTE(C3344,"'",""),4),MID(SUBSTITUTE(C3344,"'",""),6,2),1),0)+1)</f>
        <v>0</v>
      </c>
      <c r="E3344" s="17">
        <f t="shared" si="1"/>
        <v>160</v>
      </c>
      <c r="F3344" s="17">
        <f t="shared" si="2"/>
        <v>0</v>
      </c>
    </row>
    <row r="3345">
      <c r="A3345" s="5" t="s">
        <v>70</v>
      </c>
      <c r="B3345" s="6">
        <v>160.0</v>
      </c>
      <c r="C3345" s="13" t="s">
        <v>408</v>
      </c>
      <c r="D3345" s="17">
        <f>SUMIFS(ShadowLedger!$D:$D,ShadowLedger!$G:$G,A3345,ShadowLedger!$C:$C,"&gt;="&amp;DATE(LEFT(SUBSTITUTE(C3345,"'",""),4),MID(SUBSTITUTE(C3345,"'",""),6,2),1),ShadowLedger!$C:$C,"&lt;"&amp;EOMONTH(DATE(LEFT(SUBSTITUTE(C3345,"'",""),4),MID(SUBSTITUTE(C3345,"'",""),6,2),1),0)+1)</f>
        <v>0</v>
      </c>
      <c r="E3345" s="17">
        <f t="shared" si="1"/>
        <v>160</v>
      </c>
      <c r="F3345" s="17">
        <f t="shared" si="2"/>
        <v>0</v>
      </c>
    </row>
    <row r="3346">
      <c r="A3346" s="5" t="s">
        <v>65</v>
      </c>
      <c r="B3346" s="6">
        <v>80.0</v>
      </c>
      <c r="C3346" s="13" t="s">
        <v>408</v>
      </c>
      <c r="D3346" s="17">
        <f>SUMIFS(ShadowLedger!$D:$D,ShadowLedger!$G:$G,A3346,ShadowLedger!$C:$C,"&gt;="&amp;DATE(LEFT(SUBSTITUTE(C3346,"'",""),4),MID(SUBSTITUTE(C3346,"'",""),6,2),1),ShadowLedger!$C:$C,"&lt;"&amp;EOMONTH(DATE(LEFT(SUBSTITUTE(C3346,"'",""),4),MID(SUBSTITUTE(C3346,"'",""),6,2),1),0)+1)</f>
        <v>0</v>
      </c>
      <c r="E3346" s="17">
        <f t="shared" si="1"/>
        <v>80</v>
      </c>
      <c r="F3346" s="17">
        <f t="shared" si="2"/>
        <v>0</v>
      </c>
    </row>
    <row r="3347">
      <c r="A3347" s="5" t="s">
        <v>66</v>
      </c>
      <c r="B3347" s="6">
        <v>80.0</v>
      </c>
      <c r="C3347" s="13" t="s">
        <v>408</v>
      </c>
      <c r="D3347" s="17">
        <f>SUMIFS(ShadowLedger!$D:$D,ShadowLedger!$G:$G,A3347,ShadowLedger!$C:$C,"&gt;="&amp;DATE(LEFT(SUBSTITUTE(C3347,"'",""),4),MID(SUBSTITUTE(C3347,"'",""),6,2),1),ShadowLedger!$C:$C,"&lt;"&amp;EOMONTH(DATE(LEFT(SUBSTITUTE(C3347,"'",""),4),MID(SUBSTITUTE(C3347,"'",""),6,2),1),0)+1)</f>
        <v>0</v>
      </c>
      <c r="E3347" s="17">
        <f t="shared" si="1"/>
        <v>80</v>
      </c>
      <c r="F3347" s="17">
        <f t="shared" si="2"/>
        <v>0</v>
      </c>
    </row>
    <row r="3348">
      <c r="A3348" s="5" t="s">
        <v>67</v>
      </c>
      <c r="B3348" s="6">
        <v>80.0</v>
      </c>
      <c r="C3348" s="13" t="s">
        <v>408</v>
      </c>
      <c r="D3348" s="17">
        <f>SUMIFS(ShadowLedger!$D:$D,ShadowLedger!$G:$G,A3348,ShadowLedger!$C:$C,"&gt;="&amp;DATE(LEFT(SUBSTITUTE(C3348,"'",""),4),MID(SUBSTITUTE(C3348,"'",""),6,2),1),ShadowLedger!$C:$C,"&lt;"&amp;EOMONTH(DATE(LEFT(SUBSTITUTE(C3348,"'",""),4),MID(SUBSTITUTE(C3348,"'",""),6,2),1),0)+1)</f>
        <v>0</v>
      </c>
      <c r="E3348" s="17">
        <f t="shared" si="1"/>
        <v>80</v>
      </c>
      <c r="F3348" s="17">
        <f t="shared" si="2"/>
        <v>0</v>
      </c>
    </row>
    <row r="3349">
      <c r="A3349" s="5" t="s">
        <v>68</v>
      </c>
      <c r="B3349" s="6">
        <v>80.0</v>
      </c>
      <c r="C3349" s="13" t="s">
        <v>408</v>
      </c>
      <c r="D3349" s="17">
        <f>SUMIFS(ShadowLedger!$D:$D,ShadowLedger!$G:$G,A3349,ShadowLedger!$C:$C,"&gt;="&amp;DATE(LEFT(SUBSTITUTE(C3349,"'",""),4),MID(SUBSTITUTE(C3349,"'",""),6,2),1),ShadowLedger!$C:$C,"&lt;"&amp;EOMONTH(DATE(LEFT(SUBSTITUTE(C3349,"'",""),4),MID(SUBSTITUTE(C3349,"'",""),6,2),1),0)+1)</f>
        <v>0</v>
      </c>
      <c r="E3349" s="17">
        <f t="shared" si="1"/>
        <v>80</v>
      </c>
      <c r="F3349" s="17">
        <f t="shared" si="2"/>
        <v>0</v>
      </c>
    </row>
    <row r="3350">
      <c r="A3350" s="5" t="s">
        <v>69</v>
      </c>
      <c r="B3350" s="6">
        <v>0.0</v>
      </c>
      <c r="C3350" s="13" t="s">
        <v>408</v>
      </c>
      <c r="D3350" s="17">
        <f>SUMIFS(ShadowLedger!$D:$D,ShadowLedger!$G:$G,A3350,ShadowLedger!$C:$C,"&gt;="&amp;DATE(LEFT(SUBSTITUTE(C3350,"'",""),4),MID(SUBSTITUTE(C3350,"'",""),6,2),1),ShadowLedger!$C:$C,"&lt;"&amp;EOMONTH(DATE(LEFT(SUBSTITUTE(C3350,"'",""),4),MID(SUBSTITUTE(C3350,"'",""),6,2),1),0)+1)</f>
        <v>0</v>
      </c>
      <c r="E3350" s="17">
        <f t="shared" si="1"/>
        <v>0</v>
      </c>
      <c r="F3350" s="17">
        <f t="shared" si="2"/>
        <v>0</v>
      </c>
    </row>
    <row r="3351">
      <c r="A3351" s="5" t="s">
        <v>54</v>
      </c>
      <c r="B3351" s="6">
        <v>1476.0</v>
      </c>
      <c r="C3351" s="13" t="s">
        <v>409</v>
      </c>
      <c r="D3351" s="17">
        <f>SUMIFS(ShadowLedger!$D:$D,ShadowLedger!$G:$G,A3351,ShadowLedger!$C:$C,"&gt;="&amp;DATE(LEFT(SUBSTITUTE(C3351,"'",""),4),MID(SUBSTITUTE(C3351,"'",""),6,2),1),ShadowLedger!$C:$C,"&lt;"&amp;EOMONTH(DATE(LEFT(SUBSTITUTE(C3351,"'",""),4),MID(SUBSTITUTE(C3351,"'",""),6,2),1),0)+1)</f>
        <v>0</v>
      </c>
      <c r="E3351" s="17">
        <f t="shared" si="1"/>
        <v>1476</v>
      </c>
      <c r="F3351" s="17">
        <f t="shared" si="2"/>
        <v>0</v>
      </c>
    </row>
    <row r="3352">
      <c r="A3352" s="5" t="s">
        <v>55</v>
      </c>
      <c r="B3352" s="6">
        <v>1123.0</v>
      </c>
      <c r="C3352" s="13" t="s">
        <v>409</v>
      </c>
      <c r="D3352" s="17">
        <f>SUMIFS(ShadowLedger!$D:$D,ShadowLedger!$G:$G,A3352,ShadowLedger!$C:$C,"&gt;="&amp;DATE(LEFT(SUBSTITUTE(C3352,"'",""),4),MID(SUBSTITUTE(C3352,"'",""),6,2),1),ShadowLedger!$C:$C,"&lt;"&amp;EOMONTH(DATE(LEFT(SUBSTITUTE(C3352,"'",""),4),MID(SUBSTITUTE(C3352,"'",""),6,2),1),0)+1)</f>
        <v>0</v>
      </c>
      <c r="E3352" s="17">
        <f t="shared" si="1"/>
        <v>1123</v>
      </c>
      <c r="F3352" s="17">
        <f t="shared" si="2"/>
        <v>0</v>
      </c>
    </row>
    <row r="3353">
      <c r="A3353" s="5" t="s">
        <v>56</v>
      </c>
      <c r="B3353" s="6">
        <v>802.0</v>
      </c>
      <c r="C3353" s="13" t="s">
        <v>409</v>
      </c>
      <c r="D3353" s="17">
        <f>SUMIFS(ShadowLedger!$D:$D,ShadowLedger!$G:$G,A3353,ShadowLedger!$C:$C,"&gt;="&amp;DATE(LEFT(SUBSTITUTE(C3353,"'",""),4),MID(SUBSTITUTE(C3353,"'",""),6,2),1),ShadowLedger!$C:$C,"&lt;"&amp;EOMONTH(DATE(LEFT(SUBSTITUTE(C3353,"'",""),4),MID(SUBSTITUTE(C3353,"'",""),6,2),1),0)+1)</f>
        <v>0</v>
      </c>
      <c r="E3353" s="17">
        <f t="shared" si="1"/>
        <v>802</v>
      </c>
      <c r="F3353" s="17">
        <f t="shared" si="2"/>
        <v>0</v>
      </c>
    </row>
    <row r="3354">
      <c r="A3354" s="5" t="s">
        <v>57</v>
      </c>
      <c r="B3354" s="6">
        <v>802.0</v>
      </c>
      <c r="C3354" s="13" t="s">
        <v>409</v>
      </c>
      <c r="D3354" s="17">
        <f>SUMIFS(ShadowLedger!$D:$D,ShadowLedger!$G:$G,A3354,ShadowLedger!$C:$C,"&gt;="&amp;DATE(LEFT(SUBSTITUTE(C3354,"'",""),4),MID(SUBSTITUTE(C3354,"'",""),6,2),1),ShadowLedger!$C:$C,"&lt;"&amp;EOMONTH(DATE(LEFT(SUBSTITUTE(C3354,"'",""),4),MID(SUBSTITUTE(C3354,"'",""),6,2),1),0)+1)</f>
        <v>0</v>
      </c>
      <c r="E3354" s="17">
        <f t="shared" si="1"/>
        <v>802</v>
      </c>
      <c r="F3354" s="17">
        <f t="shared" si="2"/>
        <v>0</v>
      </c>
    </row>
    <row r="3355">
      <c r="A3355" s="5" t="s">
        <v>58</v>
      </c>
      <c r="B3355" s="6">
        <v>642.0</v>
      </c>
      <c r="C3355" s="13" t="s">
        <v>409</v>
      </c>
      <c r="D3355" s="17">
        <f>SUMIFS(ShadowLedger!$D:$D,ShadowLedger!$G:$G,A3355,ShadowLedger!$C:$C,"&gt;="&amp;DATE(LEFT(SUBSTITUTE(C3355,"'",""),4),MID(SUBSTITUTE(C3355,"'",""),6,2),1),ShadowLedger!$C:$C,"&lt;"&amp;EOMONTH(DATE(LEFT(SUBSTITUTE(C3355,"'",""),4),MID(SUBSTITUTE(C3355,"'",""),6,2),1),0)+1)</f>
        <v>0</v>
      </c>
      <c r="E3355" s="17">
        <f t="shared" si="1"/>
        <v>642</v>
      </c>
      <c r="F3355" s="17">
        <f t="shared" si="2"/>
        <v>0</v>
      </c>
    </row>
    <row r="3356">
      <c r="A3356" s="5" t="s">
        <v>59</v>
      </c>
      <c r="B3356" s="6">
        <v>321.0</v>
      </c>
      <c r="C3356" s="13" t="s">
        <v>409</v>
      </c>
      <c r="D3356" s="17">
        <f>SUMIFS(ShadowLedger!$D:$D,ShadowLedger!$G:$G,A3356,ShadowLedger!$C:$C,"&gt;="&amp;DATE(LEFT(SUBSTITUTE(C3356,"'",""),4),MID(SUBSTITUTE(C3356,"'",""),6,2),1),ShadowLedger!$C:$C,"&lt;"&amp;EOMONTH(DATE(LEFT(SUBSTITUTE(C3356,"'",""),4),MID(SUBSTITUTE(C3356,"'",""),6,2),1),0)+1)</f>
        <v>0</v>
      </c>
      <c r="E3356" s="17">
        <f t="shared" si="1"/>
        <v>321</v>
      </c>
      <c r="F3356" s="17">
        <f t="shared" si="2"/>
        <v>0</v>
      </c>
    </row>
    <row r="3357">
      <c r="A3357" s="5" t="s">
        <v>60</v>
      </c>
      <c r="B3357" s="6">
        <v>241.0</v>
      </c>
      <c r="C3357" s="13" t="s">
        <v>409</v>
      </c>
      <c r="D3357" s="17">
        <f>SUMIFS(ShadowLedger!$D:$D,ShadowLedger!$G:$G,A3357,ShadowLedger!$C:$C,"&gt;="&amp;DATE(LEFT(SUBSTITUTE(C3357,"'",""),4),MID(SUBSTITUTE(C3357,"'",""),6,2),1),ShadowLedger!$C:$C,"&lt;"&amp;EOMONTH(DATE(LEFT(SUBSTITUTE(C3357,"'",""),4),MID(SUBSTITUTE(C3357,"'",""),6,2),1),0)+1)</f>
        <v>0</v>
      </c>
      <c r="E3357" s="17">
        <f t="shared" si="1"/>
        <v>241</v>
      </c>
      <c r="F3357" s="17">
        <f t="shared" si="2"/>
        <v>0</v>
      </c>
    </row>
    <row r="3358">
      <c r="A3358" s="5" t="s">
        <v>61</v>
      </c>
      <c r="B3358" s="6">
        <v>193.0</v>
      </c>
      <c r="C3358" s="13" t="s">
        <v>409</v>
      </c>
      <c r="D3358" s="17">
        <f>SUMIFS(ShadowLedger!$D:$D,ShadowLedger!$G:$G,A3358,ShadowLedger!$C:$C,"&gt;="&amp;DATE(LEFT(SUBSTITUTE(C3358,"'",""),4),MID(SUBSTITUTE(C3358,"'",""),6,2),1),ShadowLedger!$C:$C,"&lt;"&amp;EOMONTH(DATE(LEFT(SUBSTITUTE(C3358,"'",""),4),MID(SUBSTITUTE(C3358,"'",""),6,2),1),0)+1)</f>
        <v>0</v>
      </c>
      <c r="E3358" s="17">
        <f t="shared" si="1"/>
        <v>193</v>
      </c>
      <c r="F3358" s="17">
        <f t="shared" si="2"/>
        <v>0</v>
      </c>
    </row>
    <row r="3359">
      <c r="A3359" s="5" t="s">
        <v>62</v>
      </c>
      <c r="B3359" s="6">
        <v>193.0</v>
      </c>
      <c r="C3359" s="13" t="s">
        <v>409</v>
      </c>
      <c r="D3359" s="17">
        <f>SUMIFS(ShadowLedger!$D:$D,ShadowLedger!$G:$G,A3359,ShadowLedger!$C:$C,"&gt;="&amp;DATE(LEFT(SUBSTITUTE(C3359,"'",""),4),MID(SUBSTITUTE(C3359,"'",""),6,2),1),ShadowLedger!$C:$C,"&lt;"&amp;EOMONTH(DATE(LEFT(SUBSTITUTE(C3359,"'",""),4),MID(SUBSTITUTE(C3359,"'",""),6,2),1),0)+1)</f>
        <v>0</v>
      </c>
      <c r="E3359" s="17">
        <f t="shared" si="1"/>
        <v>193</v>
      </c>
      <c r="F3359" s="17">
        <f t="shared" si="2"/>
        <v>0</v>
      </c>
    </row>
    <row r="3360">
      <c r="A3360" s="5" t="s">
        <v>63</v>
      </c>
      <c r="B3360" s="6">
        <v>160.0</v>
      </c>
      <c r="C3360" s="13" t="s">
        <v>409</v>
      </c>
      <c r="D3360" s="17">
        <f>SUMIFS(ShadowLedger!$D:$D,ShadowLedger!$G:$G,A3360,ShadowLedger!$C:$C,"&gt;="&amp;DATE(LEFT(SUBSTITUTE(C3360,"'",""),4),MID(SUBSTITUTE(C3360,"'",""),6,2),1),ShadowLedger!$C:$C,"&lt;"&amp;EOMONTH(DATE(LEFT(SUBSTITUTE(C3360,"'",""),4),MID(SUBSTITUTE(C3360,"'",""),6,2),1),0)+1)</f>
        <v>0</v>
      </c>
      <c r="E3360" s="17">
        <f t="shared" si="1"/>
        <v>160</v>
      </c>
      <c r="F3360" s="17">
        <f t="shared" si="2"/>
        <v>0</v>
      </c>
    </row>
    <row r="3361">
      <c r="A3361" s="5" t="s">
        <v>64</v>
      </c>
      <c r="B3361" s="6">
        <v>160.0</v>
      </c>
      <c r="C3361" s="13" t="s">
        <v>409</v>
      </c>
      <c r="D3361" s="17">
        <f>SUMIFS(ShadowLedger!$D:$D,ShadowLedger!$G:$G,A3361,ShadowLedger!$C:$C,"&gt;="&amp;DATE(LEFT(SUBSTITUTE(C3361,"'",""),4),MID(SUBSTITUTE(C3361,"'",""),6,2),1),ShadowLedger!$C:$C,"&lt;"&amp;EOMONTH(DATE(LEFT(SUBSTITUTE(C3361,"'",""),4),MID(SUBSTITUTE(C3361,"'",""),6,2),1),0)+1)</f>
        <v>0</v>
      </c>
      <c r="E3361" s="17">
        <f t="shared" si="1"/>
        <v>160</v>
      </c>
      <c r="F3361" s="17">
        <f t="shared" si="2"/>
        <v>0</v>
      </c>
    </row>
    <row r="3362">
      <c r="A3362" s="5" t="s">
        <v>70</v>
      </c>
      <c r="B3362" s="6">
        <v>160.0</v>
      </c>
      <c r="C3362" s="13" t="s">
        <v>409</v>
      </c>
      <c r="D3362" s="17">
        <f>SUMIFS(ShadowLedger!$D:$D,ShadowLedger!$G:$G,A3362,ShadowLedger!$C:$C,"&gt;="&amp;DATE(LEFT(SUBSTITUTE(C3362,"'",""),4),MID(SUBSTITUTE(C3362,"'",""),6,2),1),ShadowLedger!$C:$C,"&lt;"&amp;EOMONTH(DATE(LEFT(SUBSTITUTE(C3362,"'",""),4),MID(SUBSTITUTE(C3362,"'",""),6,2),1),0)+1)</f>
        <v>0</v>
      </c>
      <c r="E3362" s="17">
        <f t="shared" si="1"/>
        <v>160</v>
      </c>
      <c r="F3362" s="17">
        <f t="shared" si="2"/>
        <v>0</v>
      </c>
    </row>
    <row r="3363">
      <c r="A3363" s="5" t="s">
        <v>65</v>
      </c>
      <c r="B3363" s="6">
        <v>80.0</v>
      </c>
      <c r="C3363" s="13" t="s">
        <v>409</v>
      </c>
      <c r="D3363" s="17">
        <f>SUMIFS(ShadowLedger!$D:$D,ShadowLedger!$G:$G,A3363,ShadowLedger!$C:$C,"&gt;="&amp;DATE(LEFT(SUBSTITUTE(C3363,"'",""),4),MID(SUBSTITUTE(C3363,"'",""),6,2),1),ShadowLedger!$C:$C,"&lt;"&amp;EOMONTH(DATE(LEFT(SUBSTITUTE(C3363,"'",""),4),MID(SUBSTITUTE(C3363,"'",""),6,2),1),0)+1)</f>
        <v>0</v>
      </c>
      <c r="E3363" s="17">
        <f t="shared" si="1"/>
        <v>80</v>
      </c>
      <c r="F3363" s="17">
        <f t="shared" si="2"/>
        <v>0</v>
      </c>
    </row>
    <row r="3364">
      <c r="A3364" s="5" t="s">
        <v>66</v>
      </c>
      <c r="B3364" s="6">
        <v>80.0</v>
      </c>
      <c r="C3364" s="13" t="s">
        <v>409</v>
      </c>
      <c r="D3364" s="17">
        <f>SUMIFS(ShadowLedger!$D:$D,ShadowLedger!$G:$G,A3364,ShadowLedger!$C:$C,"&gt;="&amp;DATE(LEFT(SUBSTITUTE(C3364,"'",""),4),MID(SUBSTITUTE(C3364,"'",""),6,2),1),ShadowLedger!$C:$C,"&lt;"&amp;EOMONTH(DATE(LEFT(SUBSTITUTE(C3364,"'",""),4),MID(SUBSTITUTE(C3364,"'",""),6,2),1),0)+1)</f>
        <v>0</v>
      </c>
      <c r="E3364" s="17">
        <f t="shared" si="1"/>
        <v>80</v>
      </c>
      <c r="F3364" s="17">
        <f t="shared" si="2"/>
        <v>0</v>
      </c>
    </row>
    <row r="3365">
      <c r="A3365" s="5" t="s">
        <v>67</v>
      </c>
      <c r="B3365" s="6">
        <v>80.0</v>
      </c>
      <c r="C3365" s="13" t="s">
        <v>409</v>
      </c>
      <c r="D3365" s="17">
        <f>SUMIFS(ShadowLedger!$D:$D,ShadowLedger!$G:$G,A3365,ShadowLedger!$C:$C,"&gt;="&amp;DATE(LEFT(SUBSTITUTE(C3365,"'",""),4),MID(SUBSTITUTE(C3365,"'",""),6,2),1),ShadowLedger!$C:$C,"&lt;"&amp;EOMONTH(DATE(LEFT(SUBSTITUTE(C3365,"'",""),4),MID(SUBSTITUTE(C3365,"'",""),6,2),1),0)+1)</f>
        <v>0</v>
      </c>
      <c r="E3365" s="17">
        <f t="shared" si="1"/>
        <v>80</v>
      </c>
      <c r="F3365" s="17">
        <f t="shared" si="2"/>
        <v>0</v>
      </c>
    </row>
    <row r="3366">
      <c r="A3366" s="5" t="s">
        <v>68</v>
      </c>
      <c r="B3366" s="6">
        <v>80.0</v>
      </c>
      <c r="C3366" s="13" t="s">
        <v>409</v>
      </c>
      <c r="D3366" s="17">
        <f>SUMIFS(ShadowLedger!$D:$D,ShadowLedger!$G:$G,A3366,ShadowLedger!$C:$C,"&gt;="&amp;DATE(LEFT(SUBSTITUTE(C3366,"'",""),4),MID(SUBSTITUTE(C3366,"'",""),6,2),1),ShadowLedger!$C:$C,"&lt;"&amp;EOMONTH(DATE(LEFT(SUBSTITUTE(C3366,"'",""),4),MID(SUBSTITUTE(C3366,"'",""),6,2),1),0)+1)</f>
        <v>0</v>
      </c>
      <c r="E3366" s="17">
        <f t="shared" si="1"/>
        <v>80</v>
      </c>
      <c r="F3366" s="17">
        <f t="shared" si="2"/>
        <v>0</v>
      </c>
    </row>
    <row r="3367">
      <c r="A3367" s="5" t="s">
        <v>69</v>
      </c>
      <c r="B3367" s="6">
        <v>0.0</v>
      </c>
      <c r="C3367" s="13" t="s">
        <v>409</v>
      </c>
      <c r="D3367" s="17">
        <f>SUMIFS(ShadowLedger!$D:$D,ShadowLedger!$G:$G,A3367,ShadowLedger!$C:$C,"&gt;="&amp;DATE(LEFT(SUBSTITUTE(C3367,"'",""),4),MID(SUBSTITUTE(C3367,"'",""),6,2),1),ShadowLedger!$C:$C,"&lt;"&amp;EOMONTH(DATE(LEFT(SUBSTITUTE(C3367,"'",""),4),MID(SUBSTITUTE(C3367,"'",""),6,2),1),0)+1)</f>
        <v>0</v>
      </c>
      <c r="E3367" s="17">
        <f t="shared" si="1"/>
        <v>0</v>
      </c>
      <c r="F3367" s="17">
        <f t="shared" si="2"/>
        <v>0</v>
      </c>
    </row>
    <row r="3368">
      <c r="A3368" s="5" t="s">
        <v>54</v>
      </c>
      <c r="B3368" s="6">
        <v>1476.0</v>
      </c>
      <c r="C3368" s="13" t="s">
        <v>410</v>
      </c>
      <c r="D3368" s="17">
        <f>SUMIFS(ShadowLedger!$D:$D,ShadowLedger!$G:$G,A3368,ShadowLedger!$C:$C,"&gt;="&amp;DATE(LEFT(SUBSTITUTE(C3368,"'",""),4),MID(SUBSTITUTE(C3368,"'",""),6,2),1),ShadowLedger!$C:$C,"&lt;"&amp;EOMONTH(DATE(LEFT(SUBSTITUTE(C3368,"'",""),4),MID(SUBSTITUTE(C3368,"'",""),6,2),1),0)+1)</f>
        <v>0</v>
      </c>
      <c r="E3368" s="17">
        <f t="shared" si="1"/>
        <v>1476</v>
      </c>
      <c r="F3368" s="17">
        <f t="shared" si="2"/>
        <v>0</v>
      </c>
    </row>
    <row r="3369">
      <c r="A3369" s="5" t="s">
        <v>55</v>
      </c>
      <c r="B3369" s="6">
        <v>1123.0</v>
      </c>
      <c r="C3369" s="13" t="s">
        <v>410</v>
      </c>
      <c r="D3369" s="17">
        <f>SUMIFS(ShadowLedger!$D:$D,ShadowLedger!$G:$G,A3369,ShadowLedger!$C:$C,"&gt;="&amp;DATE(LEFT(SUBSTITUTE(C3369,"'",""),4),MID(SUBSTITUTE(C3369,"'",""),6,2),1),ShadowLedger!$C:$C,"&lt;"&amp;EOMONTH(DATE(LEFT(SUBSTITUTE(C3369,"'",""),4),MID(SUBSTITUTE(C3369,"'",""),6,2),1),0)+1)</f>
        <v>0</v>
      </c>
      <c r="E3369" s="17">
        <f t="shared" si="1"/>
        <v>1123</v>
      </c>
      <c r="F3369" s="17">
        <f t="shared" si="2"/>
        <v>0</v>
      </c>
    </row>
    <row r="3370">
      <c r="A3370" s="5" t="s">
        <v>56</v>
      </c>
      <c r="B3370" s="6">
        <v>802.0</v>
      </c>
      <c r="C3370" s="13" t="s">
        <v>410</v>
      </c>
      <c r="D3370" s="17">
        <f>SUMIFS(ShadowLedger!$D:$D,ShadowLedger!$G:$G,A3370,ShadowLedger!$C:$C,"&gt;="&amp;DATE(LEFT(SUBSTITUTE(C3370,"'",""),4),MID(SUBSTITUTE(C3370,"'",""),6,2),1),ShadowLedger!$C:$C,"&lt;"&amp;EOMONTH(DATE(LEFT(SUBSTITUTE(C3370,"'",""),4),MID(SUBSTITUTE(C3370,"'",""),6,2),1),0)+1)</f>
        <v>0</v>
      </c>
      <c r="E3370" s="17">
        <f t="shared" si="1"/>
        <v>802</v>
      </c>
      <c r="F3370" s="17">
        <f t="shared" si="2"/>
        <v>0</v>
      </c>
    </row>
    <row r="3371">
      <c r="A3371" s="5" t="s">
        <v>57</v>
      </c>
      <c r="B3371" s="6">
        <v>802.0</v>
      </c>
      <c r="C3371" s="13" t="s">
        <v>410</v>
      </c>
      <c r="D3371" s="17">
        <f>SUMIFS(ShadowLedger!$D:$D,ShadowLedger!$G:$G,A3371,ShadowLedger!$C:$C,"&gt;="&amp;DATE(LEFT(SUBSTITUTE(C3371,"'",""),4),MID(SUBSTITUTE(C3371,"'",""),6,2),1),ShadowLedger!$C:$C,"&lt;"&amp;EOMONTH(DATE(LEFT(SUBSTITUTE(C3371,"'",""),4),MID(SUBSTITUTE(C3371,"'",""),6,2),1),0)+1)</f>
        <v>0</v>
      </c>
      <c r="E3371" s="17">
        <f t="shared" si="1"/>
        <v>802</v>
      </c>
      <c r="F3371" s="17">
        <f t="shared" si="2"/>
        <v>0</v>
      </c>
    </row>
    <row r="3372">
      <c r="A3372" s="5" t="s">
        <v>58</v>
      </c>
      <c r="B3372" s="6">
        <v>642.0</v>
      </c>
      <c r="C3372" s="13" t="s">
        <v>410</v>
      </c>
      <c r="D3372" s="17">
        <f>SUMIFS(ShadowLedger!$D:$D,ShadowLedger!$G:$G,A3372,ShadowLedger!$C:$C,"&gt;="&amp;DATE(LEFT(SUBSTITUTE(C3372,"'",""),4),MID(SUBSTITUTE(C3372,"'",""),6,2),1),ShadowLedger!$C:$C,"&lt;"&amp;EOMONTH(DATE(LEFT(SUBSTITUTE(C3372,"'",""),4),MID(SUBSTITUTE(C3372,"'",""),6,2),1),0)+1)</f>
        <v>0</v>
      </c>
      <c r="E3372" s="17">
        <f t="shared" si="1"/>
        <v>642</v>
      </c>
      <c r="F3372" s="17">
        <f t="shared" si="2"/>
        <v>0</v>
      </c>
    </row>
    <row r="3373">
      <c r="A3373" s="5" t="s">
        <v>59</v>
      </c>
      <c r="B3373" s="6">
        <v>321.0</v>
      </c>
      <c r="C3373" s="13" t="s">
        <v>410</v>
      </c>
      <c r="D3373" s="17">
        <f>SUMIFS(ShadowLedger!$D:$D,ShadowLedger!$G:$G,A3373,ShadowLedger!$C:$C,"&gt;="&amp;DATE(LEFT(SUBSTITUTE(C3373,"'",""),4),MID(SUBSTITUTE(C3373,"'",""),6,2),1),ShadowLedger!$C:$C,"&lt;"&amp;EOMONTH(DATE(LEFT(SUBSTITUTE(C3373,"'",""),4),MID(SUBSTITUTE(C3373,"'",""),6,2),1),0)+1)</f>
        <v>0</v>
      </c>
      <c r="E3373" s="17">
        <f t="shared" si="1"/>
        <v>321</v>
      </c>
      <c r="F3373" s="17">
        <f t="shared" si="2"/>
        <v>0</v>
      </c>
    </row>
    <row r="3374">
      <c r="A3374" s="5" t="s">
        <v>60</v>
      </c>
      <c r="B3374" s="6">
        <v>241.0</v>
      </c>
      <c r="C3374" s="13" t="s">
        <v>410</v>
      </c>
      <c r="D3374" s="17">
        <f>SUMIFS(ShadowLedger!$D:$D,ShadowLedger!$G:$G,A3374,ShadowLedger!$C:$C,"&gt;="&amp;DATE(LEFT(SUBSTITUTE(C3374,"'",""),4),MID(SUBSTITUTE(C3374,"'",""),6,2),1),ShadowLedger!$C:$C,"&lt;"&amp;EOMONTH(DATE(LEFT(SUBSTITUTE(C3374,"'",""),4),MID(SUBSTITUTE(C3374,"'",""),6,2),1),0)+1)</f>
        <v>0</v>
      </c>
      <c r="E3374" s="17">
        <f t="shared" si="1"/>
        <v>241</v>
      </c>
      <c r="F3374" s="17">
        <f t="shared" si="2"/>
        <v>0</v>
      </c>
    </row>
    <row r="3375">
      <c r="A3375" s="5" t="s">
        <v>61</v>
      </c>
      <c r="B3375" s="6">
        <v>193.0</v>
      </c>
      <c r="C3375" s="13" t="s">
        <v>410</v>
      </c>
      <c r="D3375" s="17">
        <f>SUMIFS(ShadowLedger!$D:$D,ShadowLedger!$G:$G,A3375,ShadowLedger!$C:$C,"&gt;="&amp;DATE(LEFT(SUBSTITUTE(C3375,"'",""),4),MID(SUBSTITUTE(C3375,"'",""),6,2),1),ShadowLedger!$C:$C,"&lt;"&amp;EOMONTH(DATE(LEFT(SUBSTITUTE(C3375,"'",""),4),MID(SUBSTITUTE(C3375,"'",""),6,2),1),0)+1)</f>
        <v>0</v>
      </c>
      <c r="E3375" s="17">
        <f t="shared" si="1"/>
        <v>193</v>
      </c>
      <c r="F3375" s="17">
        <f t="shared" si="2"/>
        <v>0</v>
      </c>
    </row>
    <row r="3376">
      <c r="A3376" s="5" t="s">
        <v>62</v>
      </c>
      <c r="B3376" s="6">
        <v>193.0</v>
      </c>
      <c r="C3376" s="13" t="s">
        <v>410</v>
      </c>
      <c r="D3376" s="17">
        <f>SUMIFS(ShadowLedger!$D:$D,ShadowLedger!$G:$G,A3376,ShadowLedger!$C:$C,"&gt;="&amp;DATE(LEFT(SUBSTITUTE(C3376,"'",""),4),MID(SUBSTITUTE(C3376,"'",""),6,2),1),ShadowLedger!$C:$C,"&lt;"&amp;EOMONTH(DATE(LEFT(SUBSTITUTE(C3376,"'",""),4),MID(SUBSTITUTE(C3376,"'",""),6,2),1),0)+1)</f>
        <v>0</v>
      </c>
      <c r="E3376" s="17">
        <f t="shared" si="1"/>
        <v>193</v>
      </c>
      <c r="F3376" s="17">
        <f t="shared" si="2"/>
        <v>0</v>
      </c>
    </row>
    <row r="3377">
      <c r="A3377" s="5" t="s">
        <v>63</v>
      </c>
      <c r="B3377" s="6">
        <v>160.0</v>
      </c>
      <c r="C3377" s="13" t="s">
        <v>410</v>
      </c>
      <c r="D3377" s="17">
        <f>SUMIFS(ShadowLedger!$D:$D,ShadowLedger!$G:$G,A3377,ShadowLedger!$C:$C,"&gt;="&amp;DATE(LEFT(SUBSTITUTE(C3377,"'",""),4),MID(SUBSTITUTE(C3377,"'",""),6,2),1),ShadowLedger!$C:$C,"&lt;"&amp;EOMONTH(DATE(LEFT(SUBSTITUTE(C3377,"'",""),4),MID(SUBSTITUTE(C3377,"'",""),6,2),1),0)+1)</f>
        <v>0</v>
      </c>
      <c r="E3377" s="17">
        <f t="shared" si="1"/>
        <v>160</v>
      </c>
      <c r="F3377" s="17">
        <f t="shared" si="2"/>
        <v>0</v>
      </c>
    </row>
    <row r="3378">
      <c r="A3378" s="5" t="s">
        <v>64</v>
      </c>
      <c r="B3378" s="6">
        <v>160.0</v>
      </c>
      <c r="C3378" s="13" t="s">
        <v>410</v>
      </c>
      <c r="D3378" s="17">
        <f>SUMIFS(ShadowLedger!$D:$D,ShadowLedger!$G:$G,A3378,ShadowLedger!$C:$C,"&gt;="&amp;DATE(LEFT(SUBSTITUTE(C3378,"'",""),4),MID(SUBSTITUTE(C3378,"'",""),6,2),1),ShadowLedger!$C:$C,"&lt;"&amp;EOMONTH(DATE(LEFT(SUBSTITUTE(C3378,"'",""),4),MID(SUBSTITUTE(C3378,"'",""),6,2),1),0)+1)</f>
        <v>0</v>
      </c>
      <c r="E3378" s="17">
        <f t="shared" si="1"/>
        <v>160</v>
      </c>
      <c r="F3378" s="17">
        <f t="shared" si="2"/>
        <v>0</v>
      </c>
    </row>
    <row r="3379">
      <c r="A3379" s="5" t="s">
        <v>70</v>
      </c>
      <c r="B3379" s="6">
        <v>160.0</v>
      </c>
      <c r="C3379" s="13" t="s">
        <v>410</v>
      </c>
      <c r="D3379" s="17">
        <f>SUMIFS(ShadowLedger!$D:$D,ShadowLedger!$G:$G,A3379,ShadowLedger!$C:$C,"&gt;="&amp;DATE(LEFT(SUBSTITUTE(C3379,"'",""),4),MID(SUBSTITUTE(C3379,"'",""),6,2),1),ShadowLedger!$C:$C,"&lt;"&amp;EOMONTH(DATE(LEFT(SUBSTITUTE(C3379,"'",""),4),MID(SUBSTITUTE(C3379,"'",""),6,2),1),0)+1)</f>
        <v>0</v>
      </c>
      <c r="E3379" s="17">
        <f t="shared" si="1"/>
        <v>160</v>
      </c>
      <c r="F3379" s="17">
        <f t="shared" si="2"/>
        <v>0</v>
      </c>
    </row>
    <row r="3380">
      <c r="A3380" s="5" t="s">
        <v>65</v>
      </c>
      <c r="B3380" s="6">
        <v>80.0</v>
      </c>
      <c r="C3380" s="13" t="s">
        <v>410</v>
      </c>
      <c r="D3380" s="17">
        <f>SUMIFS(ShadowLedger!$D:$D,ShadowLedger!$G:$G,A3380,ShadowLedger!$C:$C,"&gt;="&amp;DATE(LEFT(SUBSTITUTE(C3380,"'",""),4),MID(SUBSTITUTE(C3380,"'",""),6,2),1),ShadowLedger!$C:$C,"&lt;"&amp;EOMONTH(DATE(LEFT(SUBSTITUTE(C3380,"'",""),4),MID(SUBSTITUTE(C3380,"'",""),6,2),1),0)+1)</f>
        <v>0</v>
      </c>
      <c r="E3380" s="17">
        <f t="shared" si="1"/>
        <v>80</v>
      </c>
      <c r="F3380" s="17">
        <f t="shared" si="2"/>
        <v>0</v>
      </c>
    </row>
    <row r="3381">
      <c r="A3381" s="5" t="s">
        <v>66</v>
      </c>
      <c r="B3381" s="6">
        <v>80.0</v>
      </c>
      <c r="C3381" s="13" t="s">
        <v>410</v>
      </c>
      <c r="D3381" s="17">
        <f>SUMIFS(ShadowLedger!$D:$D,ShadowLedger!$G:$G,A3381,ShadowLedger!$C:$C,"&gt;="&amp;DATE(LEFT(SUBSTITUTE(C3381,"'",""),4),MID(SUBSTITUTE(C3381,"'",""),6,2),1),ShadowLedger!$C:$C,"&lt;"&amp;EOMONTH(DATE(LEFT(SUBSTITUTE(C3381,"'",""),4),MID(SUBSTITUTE(C3381,"'",""),6,2),1),0)+1)</f>
        <v>0</v>
      </c>
      <c r="E3381" s="17">
        <f t="shared" si="1"/>
        <v>80</v>
      </c>
      <c r="F3381" s="17">
        <f t="shared" si="2"/>
        <v>0</v>
      </c>
    </row>
    <row r="3382">
      <c r="A3382" s="5" t="s">
        <v>67</v>
      </c>
      <c r="B3382" s="6">
        <v>80.0</v>
      </c>
      <c r="C3382" s="13" t="s">
        <v>410</v>
      </c>
      <c r="D3382" s="17">
        <f>SUMIFS(ShadowLedger!$D:$D,ShadowLedger!$G:$G,A3382,ShadowLedger!$C:$C,"&gt;="&amp;DATE(LEFT(SUBSTITUTE(C3382,"'",""),4),MID(SUBSTITUTE(C3382,"'",""),6,2),1),ShadowLedger!$C:$C,"&lt;"&amp;EOMONTH(DATE(LEFT(SUBSTITUTE(C3382,"'",""),4),MID(SUBSTITUTE(C3382,"'",""),6,2),1),0)+1)</f>
        <v>0</v>
      </c>
      <c r="E3382" s="17">
        <f t="shared" si="1"/>
        <v>80</v>
      </c>
      <c r="F3382" s="17">
        <f t="shared" si="2"/>
        <v>0</v>
      </c>
    </row>
    <row r="3383">
      <c r="A3383" s="5" t="s">
        <v>68</v>
      </c>
      <c r="B3383" s="6">
        <v>80.0</v>
      </c>
      <c r="C3383" s="13" t="s">
        <v>410</v>
      </c>
      <c r="D3383" s="17">
        <f>SUMIFS(ShadowLedger!$D:$D,ShadowLedger!$G:$G,A3383,ShadowLedger!$C:$C,"&gt;="&amp;DATE(LEFT(SUBSTITUTE(C3383,"'",""),4),MID(SUBSTITUTE(C3383,"'",""),6,2),1),ShadowLedger!$C:$C,"&lt;"&amp;EOMONTH(DATE(LEFT(SUBSTITUTE(C3383,"'",""),4),MID(SUBSTITUTE(C3383,"'",""),6,2),1),0)+1)</f>
        <v>0</v>
      </c>
      <c r="E3383" s="17">
        <f t="shared" si="1"/>
        <v>80</v>
      </c>
      <c r="F3383" s="17">
        <f t="shared" si="2"/>
        <v>0</v>
      </c>
    </row>
    <row r="3384">
      <c r="A3384" s="5" t="s">
        <v>69</v>
      </c>
      <c r="B3384" s="6">
        <v>0.0</v>
      </c>
      <c r="C3384" s="13" t="s">
        <v>410</v>
      </c>
      <c r="D3384" s="17">
        <f>SUMIFS(ShadowLedger!$D:$D,ShadowLedger!$G:$G,A3384,ShadowLedger!$C:$C,"&gt;="&amp;DATE(LEFT(SUBSTITUTE(C3384,"'",""),4),MID(SUBSTITUTE(C3384,"'",""),6,2),1),ShadowLedger!$C:$C,"&lt;"&amp;EOMONTH(DATE(LEFT(SUBSTITUTE(C3384,"'",""),4),MID(SUBSTITUTE(C3384,"'",""),6,2),1),0)+1)</f>
        <v>0</v>
      </c>
      <c r="E3384" s="17">
        <f t="shared" si="1"/>
        <v>0</v>
      </c>
      <c r="F3384" s="17">
        <f t="shared" si="2"/>
        <v>0</v>
      </c>
    </row>
    <row r="3385">
      <c r="A3385" s="5" t="s">
        <v>54</v>
      </c>
      <c r="B3385" s="6">
        <v>1476.0</v>
      </c>
      <c r="C3385" s="13" t="s">
        <v>411</v>
      </c>
      <c r="D3385" s="17">
        <f>SUMIFS(ShadowLedger!$D:$D,ShadowLedger!$G:$G,A3385,ShadowLedger!$C:$C,"&gt;="&amp;DATE(LEFT(SUBSTITUTE(C3385,"'",""),4),MID(SUBSTITUTE(C3385,"'",""),6,2),1),ShadowLedger!$C:$C,"&lt;"&amp;EOMONTH(DATE(LEFT(SUBSTITUTE(C3385,"'",""),4),MID(SUBSTITUTE(C3385,"'",""),6,2),1),0)+1)</f>
        <v>0</v>
      </c>
      <c r="E3385" s="17">
        <f t="shared" si="1"/>
        <v>1476</v>
      </c>
      <c r="F3385" s="17">
        <f t="shared" si="2"/>
        <v>0</v>
      </c>
    </row>
    <row r="3386">
      <c r="A3386" s="5" t="s">
        <v>55</v>
      </c>
      <c r="B3386" s="6">
        <v>1123.0</v>
      </c>
      <c r="C3386" s="13" t="s">
        <v>411</v>
      </c>
      <c r="D3386" s="17">
        <f>SUMIFS(ShadowLedger!$D:$D,ShadowLedger!$G:$G,A3386,ShadowLedger!$C:$C,"&gt;="&amp;DATE(LEFT(SUBSTITUTE(C3386,"'",""),4),MID(SUBSTITUTE(C3386,"'",""),6,2),1),ShadowLedger!$C:$C,"&lt;"&amp;EOMONTH(DATE(LEFT(SUBSTITUTE(C3386,"'",""),4),MID(SUBSTITUTE(C3386,"'",""),6,2),1),0)+1)</f>
        <v>0</v>
      </c>
      <c r="E3386" s="17">
        <f t="shared" si="1"/>
        <v>1123</v>
      </c>
      <c r="F3386" s="17">
        <f t="shared" si="2"/>
        <v>0</v>
      </c>
    </row>
    <row r="3387">
      <c r="A3387" s="5" t="s">
        <v>56</v>
      </c>
      <c r="B3387" s="6">
        <v>802.0</v>
      </c>
      <c r="C3387" s="13" t="s">
        <v>411</v>
      </c>
      <c r="D3387" s="17">
        <f>SUMIFS(ShadowLedger!$D:$D,ShadowLedger!$G:$G,A3387,ShadowLedger!$C:$C,"&gt;="&amp;DATE(LEFT(SUBSTITUTE(C3387,"'",""),4),MID(SUBSTITUTE(C3387,"'",""),6,2),1),ShadowLedger!$C:$C,"&lt;"&amp;EOMONTH(DATE(LEFT(SUBSTITUTE(C3387,"'",""),4),MID(SUBSTITUTE(C3387,"'",""),6,2),1),0)+1)</f>
        <v>0</v>
      </c>
      <c r="E3387" s="17">
        <f t="shared" si="1"/>
        <v>802</v>
      </c>
      <c r="F3387" s="17">
        <f t="shared" si="2"/>
        <v>0</v>
      </c>
    </row>
    <row r="3388">
      <c r="A3388" s="5" t="s">
        <v>57</v>
      </c>
      <c r="B3388" s="6">
        <v>802.0</v>
      </c>
      <c r="C3388" s="13" t="s">
        <v>411</v>
      </c>
      <c r="D3388" s="17">
        <f>SUMIFS(ShadowLedger!$D:$D,ShadowLedger!$G:$G,A3388,ShadowLedger!$C:$C,"&gt;="&amp;DATE(LEFT(SUBSTITUTE(C3388,"'",""),4),MID(SUBSTITUTE(C3388,"'",""),6,2),1),ShadowLedger!$C:$C,"&lt;"&amp;EOMONTH(DATE(LEFT(SUBSTITUTE(C3388,"'",""),4),MID(SUBSTITUTE(C3388,"'",""),6,2),1),0)+1)</f>
        <v>0</v>
      </c>
      <c r="E3388" s="17">
        <f t="shared" si="1"/>
        <v>802</v>
      </c>
      <c r="F3388" s="17">
        <f t="shared" si="2"/>
        <v>0</v>
      </c>
    </row>
    <row r="3389">
      <c r="A3389" s="5" t="s">
        <v>58</v>
      </c>
      <c r="B3389" s="6">
        <v>642.0</v>
      </c>
      <c r="C3389" s="13" t="s">
        <v>411</v>
      </c>
      <c r="D3389" s="17">
        <f>SUMIFS(ShadowLedger!$D:$D,ShadowLedger!$G:$G,A3389,ShadowLedger!$C:$C,"&gt;="&amp;DATE(LEFT(SUBSTITUTE(C3389,"'",""),4),MID(SUBSTITUTE(C3389,"'",""),6,2),1),ShadowLedger!$C:$C,"&lt;"&amp;EOMONTH(DATE(LEFT(SUBSTITUTE(C3389,"'",""),4),MID(SUBSTITUTE(C3389,"'",""),6,2),1),0)+1)</f>
        <v>0</v>
      </c>
      <c r="E3389" s="17">
        <f t="shared" si="1"/>
        <v>642</v>
      </c>
      <c r="F3389" s="17">
        <f t="shared" si="2"/>
        <v>0</v>
      </c>
    </row>
    <row r="3390">
      <c r="A3390" s="5" t="s">
        <v>59</v>
      </c>
      <c r="B3390" s="6">
        <v>321.0</v>
      </c>
      <c r="C3390" s="13" t="s">
        <v>411</v>
      </c>
      <c r="D3390" s="17">
        <f>SUMIFS(ShadowLedger!$D:$D,ShadowLedger!$G:$G,A3390,ShadowLedger!$C:$C,"&gt;="&amp;DATE(LEFT(SUBSTITUTE(C3390,"'",""),4),MID(SUBSTITUTE(C3390,"'",""),6,2),1),ShadowLedger!$C:$C,"&lt;"&amp;EOMONTH(DATE(LEFT(SUBSTITUTE(C3390,"'",""),4),MID(SUBSTITUTE(C3390,"'",""),6,2),1),0)+1)</f>
        <v>0</v>
      </c>
      <c r="E3390" s="17">
        <f t="shared" si="1"/>
        <v>321</v>
      </c>
      <c r="F3390" s="17">
        <f t="shared" si="2"/>
        <v>0</v>
      </c>
    </row>
    <row r="3391">
      <c r="A3391" s="5" t="s">
        <v>60</v>
      </c>
      <c r="B3391" s="6">
        <v>241.0</v>
      </c>
      <c r="C3391" s="13" t="s">
        <v>411</v>
      </c>
      <c r="D3391" s="17">
        <f>SUMIFS(ShadowLedger!$D:$D,ShadowLedger!$G:$G,A3391,ShadowLedger!$C:$C,"&gt;="&amp;DATE(LEFT(SUBSTITUTE(C3391,"'",""),4),MID(SUBSTITUTE(C3391,"'",""),6,2),1),ShadowLedger!$C:$C,"&lt;"&amp;EOMONTH(DATE(LEFT(SUBSTITUTE(C3391,"'",""),4),MID(SUBSTITUTE(C3391,"'",""),6,2),1),0)+1)</f>
        <v>0</v>
      </c>
      <c r="E3391" s="17">
        <f t="shared" si="1"/>
        <v>241</v>
      </c>
      <c r="F3391" s="17">
        <f t="shared" si="2"/>
        <v>0</v>
      </c>
    </row>
    <row r="3392">
      <c r="A3392" s="5" t="s">
        <v>61</v>
      </c>
      <c r="B3392" s="6">
        <v>193.0</v>
      </c>
      <c r="C3392" s="13" t="s">
        <v>411</v>
      </c>
      <c r="D3392" s="17">
        <f>SUMIFS(ShadowLedger!$D:$D,ShadowLedger!$G:$G,A3392,ShadowLedger!$C:$C,"&gt;="&amp;DATE(LEFT(SUBSTITUTE(C3392,"'",""),4),MID(SUBSTITUTE(C3392,"'",""),6,2),1),ShadowLedger!$C:$C,"&lt;"&amp;EOMONTH(DATE(LEFT(SUBSTITUTE(C3392,"'",""),4),MID(SUBSTITUTE(C3392,"'",""),6,2),1),0)+1)</f>
        <v>0</v>
      </c>
      <c r="E3392" s="17">
        <f t="shared" si="1"/>
        <v>193</v>
      </c>
      <c r="F3392" s="17">
        <f t="shared" si="2"/>
        <v>0</v>
      </c>
    </row>
    <row r="3393">
      <c r="A3393" s="5" t="s">
        <v>62</v>
      </c>
      <c r="B3393" s="6">
        <v>193.0</v>
      </c>
      <c r="C3393" s="13" t="s">
        <v>411</v>
      </c>
      <c r="D3393" s="17">
        <f>SUMIFS(ShadowLedger!$D:$D,ShadowLedger!$G:$G,A3393,ShadowLedger!$C:$C,"&gt;="&amp;DATE(LEFT(SUBSTITUTE(C3393,"'",""),4),MID(SUBSTITUTE(C3393,"'",""),6,2),1),ShadowLedger!$C:$C,"&lt;"&amp;EOMONTH(DATE(LEFT(SUBSTITUTE(C3393,"'",""),4),MID(SUBSTITUTE(C3393,"'",""),6,2),1),0)+1)</f>
        <v>0</v>
      </c>
      <c r="E3393" s="17">
        <f t="shared" si="1"/>
        <v>193</v>
      </c>
      <c r="F3393" s="17">
        <f t="shared" si="2"/>
        <v>0</v>
      </c>
    </row>
    <row r="3394">
      <c r="A3394" s="5" t="s">
        <v>63</v>
      </c>
      <c r="B3394" s="6">
        <v>160.0</v>
      </c>
      <c r="C3394" s="13" t="s">
        <v>411</v>
      </c>
      <c r="D3394" s="17">
        <f>SUMIFS(ShadowLedger!$D:$D,ShadowLedger!$G:$G,A3394,ShadowLedger!$C:$C,"&gt;="&amp;DATE(LEFT(SUBSTITUTE(C3394,"'",""),4),MID(SUBSTITUTE(C3394,"'",""),6,2),1),ShadowLedger!$C:$C,"&lt;"&amp;EOMONTH(DATE(LEFT(SUBSTITUTE(C3394,"'",""),4),MID(SUBSTITUTE(C3394,"'",""),6,2),1),0)+1)</f>
        <v>0</v>
      </c>
      <c r="E3394" s="17">
        <f t="shared" si="1"/>
        <v>160</v>
      </c>
      <c r="F3394" s="17">
        <f t="shared" si="2"/>
        <v>0</v>
      </c>
    </row>
    <row r="3395">
      <c r="A3395" s="5" t="s">
        <v>64</v>
      </c>
      <c r="B3395" s="6">
        <v>160.0</v>
      </c>
      <c r="C3395" s="13" t="s">
        <v>411</v>
      </c>
      <c r="D3395" s="17">
        <f>SUMIFS(ShadowLedger!$D:$D,ShadowLedger!$G:$G,A3395,ShadowLedger!$C:$C,"&gt;="&amp;DATE(LEFT(SUBSTITUTE(C3395,"'",""),4),MID(SUBSTITUTE(C3395,"'",""),6,2),1),ShadowLedger!$C:$C,"&lt;"&amp;EOMONTH(DATE(LEFT(SUBSTITUTE(C3395,"'",""),4),MID(SUBSTITUTE(C3395,"'",""),6,2),1),0)+1)</f>
        <v>0</v>
      </c>
      <c r="E3395" s="17">
        <f t="shared" si="1"/>
        <v>160</v>
      </c>
      <c r="F3395" s="17">
        <f t="shared" si="2"/>
        <v>0</v>
      </c>
    </row>
    <row r="3396">
      <c r="A3396" s="5" t="s">
        <v>70</v>
      </c>
      <c r="B3396" s="6">
        <v>160.0</v>
      </c>
      <c r="C3396" s="13" t="s">
        <v>411</v>
      </c>
      <c r="D3396" s="17">
        <f>SUMIFS(ShadowLedger!$D:$D,ShadowLedger!$G:$G,A3396,ShadowLedger!$C:$C,"&gt;="&amp;DATE(LEFT(SUBSTITUTE(C3396,"'",""),4),MID(SUBSTITUTE(C3396,"'",""),6,2),1),ShadowLedger!$C:$C,"&lt;"&amp;EOMONTH(DATE(LEFT(SUBSTITUTE(C3396,"'",""),4),MID(SUBSTITUTE(C3396,"'",""),6,2),1),0)+1)</f>
        <v>0</v>
      </c>
      <c r="E3396" s="17">
        <f t="shared" si="1"/>
        <v>160</v>
      </c>
      <c r="F3396" s="17">
        <f t="shared" si="2"/>
        <v>0</v>
      </c>
    </row>
    <row r="3397">
      <c r="A3397" s="5" t="s">
        <v>65</v>
      </c>
      <c r="B3397" s="6">
        <v>80.0</v>
      </c>
      <c r="C3397" s="13" t="s">
        <v>411</v>
      </c>
      <c r="D3397" s="17">
        <f>SUMIFS(ShadowLedger!$D:$D,ShadowLedger!$G:$G,A3397,ShadowLedger!$C:$C,"&gt;="&amp;DATE(LEFT(SUBSTITUTE(C3397,"'",""),4),MID(SUBSTITUTE(C3397,"'",""),6,2),1),ShadowLedger!$C:$C,"&lt;"&amp;EOMONTH(DATE(LEFT(SUBSTITUTE(C3397,"'",""),4),MID(SUBSTITUTE(C3397,"'",""),6,2),1),0)+1)</f>
        <v>0</v>
      </c>
      <c r="E3397" s="17">
        <f t="shared" si="1"/>
        <v>80</v>
      </c>
      <c r="F3397" s="17">
        <f t="shared" si="2"/>
        <v>0</v>
      </c>
    </row>
    <row r="3398">
      <c r="A3398" s="5" t="s">
        <v>66</v>
      </c>
      <c r="B3398" s="6">
        <v>80.0</v>
      </c>
      <c r="C3398" s="13" t="s">
        <v>411</v>
      </c>
      <c r="D3398" s="17">
        <f>SUMIFS(ShadowLedger!$D:$D,ShadowLedger!$G:$G,A3398,ShadowLedger!$C:$C,"&gt;="&amp;DATE(LEFT(SUBSTITUTE(C3398,"'",""),4),MID(SUBSTITUTE(C3398,"'",""),6,2),1),ShadowLedger!$C:$C,"&lt;"&amp;EOMONTH(DATE(LEFT(SUBSTITUTE(C3398,"'",""),4),MID(SUBSTITUTE(C3398,"'",""),6,2),1),0)+1)</f>
        <v>0</v>
      </c>
      <c r="E3398" s="17">
        <f t="shared" si="1"/>
        <v>80</v>
      </c>
      <c r="F3398" s="17">
        <f t="shared" si="2"/>
        <v>0</v>
      </c>
    </row>
    <row r="3399">
      <c r="A3399" s="5" t="s">
        <v>67</v>
      </c>
      <c r="B3399" s="6">
        <v>80.0</v>
      </c>
      <c r="C3399" s="13" t="s">
        <v>411</v>
      </c>
      <c r="D3399" s="17">
        <f>SUMIFS(ShadowLedger!$D:$D,ShadowLedger!$G:$G,A3399,ShadowLedger!$C:$C,"&gt;="&amp;DATE(LEFT(SUBSTITUTE(C3399,"'",""),4),MID(SUBSTITUTE(C3399,"'",""),6,2),1),ShadowLedger!$C:$C,"&lt;"&amp;EOMONTH(DATE(LEFT(SUBSTITUTE(C3399,"'",""),4),MID(SUBSTITUTE(C3399,"'",""),6,2),1),0)+1)</f>
        <v>0</v>
      </c>
      <c r="E3399" s="17">
        <f t="shared" si="1"/>
        <v>80</v>
      </c>
      <c r="F3399" s="17">
        <f t="shared" si="2"/>
        <v>0</v>
      </c>
    </row>
    <row r="3400">
      <c r="A3400" s="5" t="s">
        <v>68</v>
      </c>
      <c r="B3400" s="6">
        <v>80.0</v>
      </c>
      <c r="C3400" s="13" t="s">
        <v>411</v>
      </c>
      <c r="D3400" s="17">
        <f>SUMIFS(ShadowLedger!$D:$D,ShadowLedger!$G:$G,A3400,ShadowLedger!$C:$C,"&gt;="&amp;DATE(LEFT(SUBSTITUTE(C3400,"'",""),4),MID(SUBSTITUTE(C3400,"'",""),6,2),1),ShadowLedger!$C:$C,"&lt;"&amp;EOMONTH(DATE(LEFT(SUBSTITUTE(C3400,"'",""),4),MID(SUBSTITUTE(C3400,"'",""),6,2),1),0)+1)</f>
        <v>0</v>
      </c>
      <c r="E3400" s="17">
        <f t="shared" si="1"/>
        <v>80</v>
      </c>
      <c r="F3400" s="17">
        <f t="shared" si="2"/>
        <v>0</v>
      </c>
    </row>
    <row r="3401">
      <c r="A3401" s="5" t="s">
        <v>69</v>
      </c>
      <c r="B3401" s="6">
        <v>0.0</v>
      </c>
      <c r="C3401" s="13" t="s">
        <v>411</v>
      </c>
      <c r="D3401" s="17">
        <f>SUMIFS(ShadowLedger!$D:$D,ShadowLedger!$G:$G,A3401,ShadowLedger!$C:$C,"&gt;="&amp;DATE(LEFT(SUBSTITUTE(C3401,"'",""),4),MID(SUBSTITUTE(C3401,"'",""),6,2),1),ShadowLedger!$C:$C,"&lt;"&amp;EOMONTH(DATE(LEFT(SUBSTITUTE(C3401,"'",""),4),MID(SUBSTITUTE(C3401,"'",""),6,2),1),0)+1)</f>
        <v>0</v>
      </c>
      <c r="E3401" s="17">
        <f t="shared" si="1"/>
        <v>0</v>
      </c>
      <c r="F3401" s="17">
        <f t="shared" si="2"/>
        <v>0</v>
      </c>
    </row>
    <row r="3402">
      <c r="A3402" s="5" t="s">
        <v>54</v>
      </c>
      <c r="B3402" s="6">
        <v>1476.0</v>
      </c>
      <c r="C3402" s="13" t="s">
        <v>412</v>
      </c>
      <c r="D3402" s="17">
        <f>SUMIFS(ShadowLedger!$D:$D,ShadowLedger!$G:$G,A3402,ShadowLedger!$C:$C,"&gt;="&amp;DATE(LEFT(SUBSTITUTE(C3402,"'",""),4),MID(SUBSTITUTE(C3402,"'",""),6,2),1),ShadowLedger!$C:$C,"&lt;"&amp;EOMONTH(DATE(LEFT(SUBSTITUTE(C3402,"'",""),4),MID(SUBSTITUTE(C3402,"'",""),6,2),1),0)+1)</f>
        <v>0</v>
      </c>
      <c r="E3402" s="17">
        <f t="shared" si="1"/>
        <v>1476</v>
      </c>
      <c r="F3402" s="17">
        <f t="shared" si="2"/>
        <v>0</v>
      </c>
    </row>
    <row r="3403">
      <c r="A3403" s="5" t="s">
        <v>55</v>
      </c>
      <c r="B3403" s="6">
        <v>1123.0</v>
      </c>
      <c r="C3403" s="13" t="s">
        <v>412</v>
      </c>
      <c r="D3403" s="17">
        <f>SUMIFS(ShadowLedger!$D:$D,ShadowLedger!$G:$G,A3403,ShadowLedger!$C:$C,"&gt;="&amp;DATE(LEFT(SUBSTITUTE(C3403,"'",""),4),MID(SUBSTITUTE(C3403,"'",""),6,2),1),ShadowLedger!$C:$C,"&lt;"&amp;EOMONTH(DATE(LEFT(SUBSTITUTE(C3403,"'",""),4),MID(SUBSTITUTE(C3403,"'",""),6,2),1),0)+1)</f>
        <v>0</v>
      </c>
      <c r="E3403" s="17">
        <f t="shared" si="1"/>
        <v>1123</v>
      </c>
      <c r="F3403" s="17">
        <f t="shared" si="2"/>
        <v>0</v>
      </c>
    </row>
    <row r="3404">
      <c r="A3404" s="5" t="s">
        <v>56</v>
      </c>
      <c r="B3404" s="6">
        <v>802.0</v>
      </c>
      <c r="C3404" s="13" t="s">
        <v>412</v>
      </c>
      <c r="D3404" s="17">
        <f>SUMIFS(ShadowLedger!$D:$D,ShadowLedger!$G:$G,A3404,ShadowLedger!$C:$C,"&gt;="&amp;DATE(LEFT(SUBSTITUTE(C3404,"'",""),4),MID(SUBSTITUTE(C3404,"'",""),6,2),1),ShadowLedger!$C:$C,"&lt;"&amp;EOMONTH(DATE(LEFT(SUBSTITUTE(C3404,"'",""),4),MID(SUBSTITUTE(C3404,"'",""),6,2),1),0)+1)</f>
        <v>0</v>
      </c>
      <c r="E3404" s="17">
        <f t="shared" si="1"/>
        <v>802</v>
      </c>
      <c r="F3404" s="17">
        <f t="shared" si="2"/>
        <v>0</v>
      </c>
    </row>
    <row r="3405">
      <c r="A3405" s="5" t="s">
        <v>57</v>
      </c>
      <c r="B3405" s="6">
        <v>802.0</v>
      </c>
      <c r="C3405" s="13" t="s">
        <v>412</v>
      </c>
      <c r="D3405" s="17">
        <f>SUMIFS(ShadowLedger!$D:$D,ShadowLedger!$G:$G,A3405,ShadowLedger!$C:$C,"&gt;="&amp;DATE(LEFT(SUBSTITUTE(C3405,"'",""),4),MID(SUBSTITUTE(C3405,"'",""),6,2),1),ShadowLedger!$C:$C,"&lt;"&amp;EOMONTH(DATE(LEFT(SUBSTITUTE(C3405,"'",""),4),MID(SUBSTITUTE(C3405,"'",""),6,2),1),0)+1)</f>
        <v>0</v>
      </c>
      <c r="E3405" s="17">
        <f t="shared" si="1"/>
        <v>802</v>
      </c>
      <c r="F3405" s="17">
        <f t="shared" si="2"/>
        <v>0</v>
      </c>
    </row>
    <row r="3406">
      <c r="A3406" s="5" t="s">
        <v>58</v>
      </c>
      <c r="B3406" s="6">
        <v>642.0</v>
      </c>
      <c r="C3406" s="13" t="s">
        <v>412</v>
      </c>
      <c r="D3406" s="17">
        <f>SUMIFS(ShadowLedger!$D:$D,ShadowLedger!$G:$G,A3406,ShadowLedger!$C:$C,"&gt;="&amp;DATE(LEFT(SUBSTITUTE(C3406,"'",""),4),MID(SUBSTITUTE(C3406,"'",""),6,2),1),ShadowLedger!$C:$C,"&lt;"&amp;EOMONTH(DATE(LEFT(SUBSTITUTE(C3406,"'",""),4),MID(SUBSTITUTE(C3406,"'",""),6,2),1),0)+1)</f>
        <v>0</v>
      </c>
      <c r="E3406" s="17">
        <f t="shared" si="1"/>
        <v>642</v>
      </c>
      <c r="F3406" s="17">
        <f t="shared" si="2"/>
        <v>0</v>
      </c>
    </row>
    <row r="3407">
      <c r="A3407" s="5" t="s">
        <v>59</v>
      </c>
      <c r="B3407" s="6">
        <v>321.0</v>
      </c>
      <c r="C3407" s="13" t="s">
        <v>412</v>
      </c>
      <c r="D3407" s="17">
        <f>SUMIFS(ShadowLedger!$D:$D,ShadowLedger!$G:$G,A3407,ShadowLedger!$C:$C,"&gt;="&amp;DATE(LEFT(SUBSTITUTE(C3407,"'",""),4),MID(SUBSTITUTE(C3407,"'",""),6,2),1),ShadowLedger!$C:$C,"&lt;"&amp;EOMONTH(DATE(LEFT(SUBSTITUTE(C3407,"'",""),4),MID(SUBSTITUTE(C3407,"'",""),6,2),1),0)+1)</f>
        <v>0</v>
      </c>
      <c r="E3407" s="17">
        <f t="shared" si="1"/>
        <v>321</v>
      </c>
      <c r="F3407" s="17">
        <f t="shared" si="2"/>
        <v>0</v>
      </c>
    </row>
    <row r="3408">
      <c r="A3408" s="5" t="s">
        <v>60</v>
      </c>
      <c r="B3408" s="6">
        <v>241.0</v>
      </c>
      <c r="C3408" s="13" t="s">
        <v>412</v>
      </c>
      <c r="D3408" s="17">
        <f>SUMIFS(ShadowLedger!$D:$D,ShadowLedger!$G:$G,A3408,ShadowLedger!$C:$C,"&gt;="&amp;DATE(LEFT(SUBSTITUTE(C3408,"'",""),4),MID(SUBSTITUTE(C3408,"'",""),6,2),1),ShadowLedger!$C:$C,"&lt;"&amp;EOMONTH(DATE(LEFT(SUBSTITUTE(C3408,"'",""),4),MID(SUBSTITUTE(C3408,"'",""),6,2),1),0)+1)</f>
        <v>0</v>
      </c>
      <c r="E3408" s="17">
        <f t="shared" si="1"/>
        <v>241</v>
      </c>
      <c r="F3408" s="17">
        <f t="shared" si="2"/>
        <v>0</v>
      </c>
    </row>
    <row r="3409">
      <c r="A3409" s="5" t="s">
        <v>61</v>
      </c>
      <c r="B3409" s="6">
        <v>193.0</v>
      </c>
      <c r="C3409" s="13" t="s">
        <v>412</v>
      </c>
      <c r="D3409" s="17">
        <f>SUMIFS(ShadowLedger!$D:$D,ShadowLedger!$G:$G,A3409,ShadowLedger!$C:$C,"&gt;="&amp;DATE(LEFT(SUBSTITUTE(C3409,"'",""),4),MID(SUBSTITUTE(C3409,"'",""),6,2),1),ShadowLedger!$C:$C,"&lt;"&amp;EOMONTH(DATE(LEFT(SUBSTITUTE(C3409,"'",""),4),MID(SUBSTITUTE(C3409,"'",""),6,2),1),0)+1)</f>
        <v>0</v>
      </c>
      <c r="E3409" s="17">
        <f t="shared" si="1"/>
        <v>193</v>
      </c>
      <c r="F3409" s="17">
        <f t="shared" si="2"/>
        <v>0</v>
      </c>
    </row>
    <row r="3410">
      <c r="A3410" s="5" t="s">
        <v>62</v>
      </c>
      <c r="B3410" s="6">
        <v>193.0</v>
      </c>
      <c r="C3410" s="13" t="s">
        <v>412</v>
      </c>
      <c r="D3410" s="17">
        <f>SUMIFS(ShadowLedger!$D:$D,ShadowLedger!$G:$G,A3410,ShadowLedger!$C:$C,"&gt;="&amp;DATE(LEFT(SUBSTITUTE(C3410,"'",""),4),MID(SUBSTITUTE(C3410,"'",""),6,2),1),ShadowLedger!$C:$C,"&lt;"&amp;EOMONTH(DATE(LEFT(SUBSTITUTE(C3410,"'",""),4),MID(SUBSTITUTE(C3410,"'",""),6,2),1),0)+1)</f>
        <v>0</v>
      </c>
      <c r="E3410" s="17">
        <f t="shared" si="1"/>
        <v>193</v>
      </c>
      <c r="F3410" s="17">
        <f t="shared" si="2"/>
        <v>0</v>
      </c>
    </row>
    <row r="3411">
      <c r="A3411" s="5" t="s">
        <v>63</v>
      </c>
      <c r="B3411" s="6">
        <v>160.0</v>
      </c>
      <c r="C3411" s="13" t="s">
        <v>412</v>
      </c>
      <c r="D3411" s="17">
        <f>SUMIFS(ShadowLedger!$D:$D,ShadowLedger!$G:$G,A3411,ShadowLedger!$C:$C,"&gt;="&amp;DATE(LEFT(SUBSTITUTE(C3411,"'",""),4),MID(SUBSTITUTE(C3411,"'",""),6,2),1),ShadowLedger!$C:$C,"&lt;"&amp;EOMONTH(DATE(LEFT(SUBSTITUTE(C3411,"'",""),4),MID(SUBSTITUTE(C3411,"'",""),6,2),1),0)+1)</f>
        <v>0</v>
      </c>
      <c r="E3411" s="17">
        <f t="shared" si="1"/>
        <v>160</v>
      </c>
      <c r="F3411" s="17">
        <f t="shared" si="2"/>
        <v>0</v>
      </c>
    </row>
    <row r="3412">
      <c r="A3412" s="5" t="s">
        <v>64</v>
      </c>
      <c r="B3412" s="6">
        <v>160.0</v>
      </c>
      <c r="C3412" s="13" t="s">
        <v>412</v>
      </c>
      <c r="D3412" s="17">
        <f>SUMIFS(ShadowLedger!$D:$D,ShadowLedger!$G:$G,A3412,ShadowLedger!$C:$C,"&gt;="&amp;DATE(LEFT(SUBSTITUTE(C3412,"'",""),4),MID(SUBSTITUTE(C3412,"'",""),6,2),1),ShadowLedger!$C:$C,"&lt;"&amp;EOMONTH(DATE(LEFT(SUBSTITUTE(C3412,"'",""),4),MID(SUBSTITUTE(C3412,"'",""),6,2),1),0)+1)</f>
        <v>0</v>
      </c>
      <c r="E3412" s="17">
        <f t="shared" si="1"/>
        <v>160</v>
      </c>
      <c r="F3412" s="17">
        <f t="shared" si="2"/>
        <v>0</v>
      </c>
    </row>
    <row r="3413">
      <c r="A3413" s="5" t="s">
        <v>70</v>
      </c>
      <c r="B3413" s="6">
        <v>160.0</v>
      </c>
      <c r="C3413" s="13" t="s">
        <v>412</v>
      </c>
      <c r="D3413" s="17">
        <f>SUMIFS(ShadowLedger!$D:$D,ShadowLedger!$G:$G,A3413,ShadowLedger!$C:$C,"&gt;="&amp;DATE(LEFT(SUBSTITUTE(C3413,"'",""),4),MID(SUBSTITUTE(C3413,"'",""),6,2),1),ShadowLedger!$C:$C,"&lt;"&amp;EOMONTH(DATE(LEFT(SUBSTITUTE(C3413,"'",""),4),MID(SUBSTITUTE(C3413,"'",""),6,2),1),0)+1)</f>
        <v>0</v>
      </c>
      <c r="E3413" s="17">
        <f t="shared" si="1"/>
        <v>160</v>
      </c>
      <c r="F3413" s="17">
        <f t="shared" si="2"/>
        <v>0</v>
      </c>
    </row>
    <row r="3414">
      <c r="A3414" s="5" t="s">
        <v>65</v>
      </c>
      <c r="B3414" s="6">
        <v>80.0</v>
      </c>
      <c r="C3414" s="13" t="s">
        <v>412</v>
      </c>
      <c r="D3414" s="17">
        <f>SUMIFS(ShadowLedger!$D:$D,ShadowLedger!$G:$G,A3414,ShadowLedger!$C:$C,"&gt;="&amp;DATE(LEFT(SUBSTITUTE(C3414,"'",""),4),MID(SUBSTITUTE(C3414,"'",""),6,2),1),ShadowLedger!$C:$C,"&lt;"&amp;EOMONTH(DATE(LEFT(SUBSTITUTE(C3414,"'",""),4),MID(SUBSTITUTE(C3414,"'",""),6,2),1),0)+1)</f>
        <v>0</v>
      </c>
      <c r="E3414" s="17">
        <f t="shared" si="1"/>
        <v>80</v>
      </c>
      <c r="F3414" s="17">
        <f t="shared" si="2"/>
        <v>0</v>
      </c>
    </row>
    <row r="3415">
      <c r="A3415" s="5" t="s">
        <v>66</v>
      </c>
      <c r="B3415" s="6">
        <v>80.0</v>
      </c>
      <c r="C3415" s="13" t="s">
        <v>412</v>
      </c>
      <c r="D3415" s="17">
        <f>SUMIFS(ShadowLedger!$D:$D,ShadowLedger!$G:$G,A3415,ShadowLedger!$C:$C,"&gt;="&amp;DATE(LEFT(SUBSTITUTE(C3415,"'",""),4),MID(SUBSTITUTE(C3415,"'",""),6,2),1),ShadowLedger!$C:$C,"&lt;"&amp;EOMONTH(DATE(LEFT(SUBSTITUTE(C3415,"'",""),4),MID(SUBSTITUTE(C3415,"'",""),6,2),1),0)+1)</f>
        <v>0</v>
      </c>
      <c r="E3415" s="17">
        <f t="shared" si="1"/>
        <v>80</v>
      </c>
      <c r="F3415" s="17">
        <f t="shared" si="2"/>
        <v>0</v>
      </c>
    </row>
    <row r="3416">
      <c r="A3416" s="5" t="s">
        <v>67</v>
      </c>
      <c r="B3416" s="6">
        <v>80.0</v>
      </c>
      <c r="C3416" s="13" t="s">
        <v>412</v>
      </c>
      <c r="D3416" s="17">
        <f>SUMIFS(ShadowLedger!$D:$D,ShadowLedger!$G:$G,A3416,ShadowLedger!$C:$C,"&gt;="&amp;DATE(LEFT(SUBSTITUTE(C3416,"'",""),4),MID(SUBSTITUTE(C3416,"'",""),6,2),1),ShadowLedger!$C:$C,"&lt;"&amp;EOMONTH(DATE(LEFT(SUBSTITUTE(C3416,"'",""),4),MID(SUBSTITUTE(C3416,"'",""),6,2),1),0)+1)</f>
        <v>0</v>
      </c>
      <c r="E3416" s="17">
        <f t="shared" si="1"/>
        <v>80</v>
      </c>
      <c r="F3416" s="17">
        <f t="shared" si="2"/>
        <v>0</v>
      </c>
    </row>
    <row r="3417">
      <c r="A3417" s="5" t="s">
        <v>68</v>
      </c>
      <c r="B3417" s="6">
        <v>80.0</v>
      </c>
      <c r="C3417" s="13" t="s">
        <v>412</v>
      </c>
      <c r="D3417" s="17">
        <f>SUMIFS(ShadowLedger!$D:$D,ShadowLedger!$G:$G,A3417,ShadowLedger!$C:$C,"&gt;="&amp;DATE(LEFT(SUBSTITUTE(C3417,"'",""),4),MID(SUBSTITUTE(C3417,"'",""),6,2),1),ShadowLedger!$C:$C,"&lt;"&amp;EOMONTH(DATE(LEFT(SUBSTITUTE(C3417,"'",""),4),MID(SUBSTITUTE(C3417,"'",""),6,2),1),0)+1)</f>
        <v>0</v>
      </c>
      <c r="E3417" s="17">
        <f t="shared" si="1"/>
        <v>80</v>
      </c>
      <c r="F3417" s="17">
        <f t="shared" si="2"/>
        <v>0</v>
      </c>
    </row>
    <row r="3418">
      <c r="A3418" s="5" t="s">
        <v>69</v>
      </c>
      <c r="B3418" s="6">
        <v>0.0</v>
      </c>
      <c r="C3418" s="13" t="s">
        <v>412</v>
      </c>
      <c r="D3418" s="17">
        <f>SUMIFS(ShadowLedger!$D:$D,ShadowLedger!$G:$G,A3418,ShadowLedger!$C:$C,"&gt;="&amp;DATE(LEFT(SUBSTITUTE(C3418,"'",""),4),MID(SUBSTITUTE(C3418,"'",""),6,2),1),ShadowLedger!$C:$C,"&lt;"&amp;EOMONTH(DATE(LEFT(SUBSTITUTE(C3418,"'",""),4),MID(SUBSTITUTE(C3418,"'",""),6,2),1),0)+1)</f>
        <v>0</v>
      </c>
      <c r="E3418" s="17">
        <f t="shared" si="1"/>
        <v>0</v>
      </c>
      <c r="F3418" s="17">
        <f t="shared" si="2"/>
        <v>0</v>
      </c>
    </row>
    <row r="3419">
      <c r="A3419" s="5" t="s">
        <v>54</v>
      </c>
      <c r="B3419" s="6">
        <v>1476.0</v>
      </c>
      <c r="C3419" s="13" t="s">
        <v>413</v>
      </c>
      <c r="D3419" s="17">
        <f>SUMIFS(ShadowLedger!$D:$D,ShadowLedger!$G:$G,A3419,ShadowLedger!$C:$C,"&gt;="&amp;DATE(LEFT(SUBSTITUTE(C3419,"'",""),4),MID(SUBSTITUTE(C3419,"'",""),6,2),1),ShadowLedger!$C:$C,"&lt;"&amp;EOMONTH(DATE(LEFT(SUBSTITUTE(C3419,"'",""),4),MID(SUBSTITUTE(C3419,"'",""),6,2),1),0)+1)</f>
        <v>0</v>
      </c>
      <c r="E3419" s="17">
        <f t="shared" si="1"/>
        <v>1476</v>
      </c>
      <c r="F3419" s="17">
        <f t="shared" si="2"/>
        <v>0</v>
      </c>
    </row>
    <row r="3420">
      <c r="A3420" s="5" t="s">
        <v>55</v>
      </c>
      <c r="B3420" s="6">
        <v>1123.0</v>
      </c>
      <c r="C3420" s="13" t="s">
        <v>413</v>
      </c>
      <c r="D3420" s="17">
        <f>SUMIFS(ShadowLedger!$D:$D,ShadowLedger!$G:$G,A3420,ShadowLedger!$C:$C,"&gt;="&amp;DATE(LEFT(SUBSTITUTE(C3420,"'",""),4),MID(SUBSTITUTE(C3420,"'",""),6,2),1),ShadowLedger!$C:$C,"&lt;"&amp;EOMONTH(DATE(LEFT(SUBSTITUTE(C3420,"'",""),4),MID(SUBSTITUTE(C3420,"'",""),6,2),1),0)+1)</f>
        <v>0</v>
      </c>
      <c r="E3420" s="17">
        <f t="shared" si="1"/>
        <v>1123</v>
      </c>
      <c r="F3420" s="17">
        <f t="shared" si="2"/>
        <v>0</v>
      </c>
    </row>
    <row r="3421">
      <c r="A3421" s="5" t="s">
        <v>56</v>
      </c>
      <c r="B3421" s="6">
        <v>802.0</v>
      </c>
      <c r="C3421" s="13" t="s">
        <v>413</v>
      </c>
      <c r="D3421" s="17">
        <f>SUMIFS(ShadowLedger!$D:$D,ShadowLedger!$G:$G,A3421,ShadowLedger!$C:$C,"&gt;="&amp;DATE(LEFT(SUBSTITUTE(C3421,"'",""),4),MID(SUBSTITUTE(C3421,"'",""),6,2),1),ShadowLedger!$C:$C,"&lt;"&amp;EOMONTH(DATE(LEFT(SUBSTITUTE(C3421,"'",""),4),MID(SUBSTITUTE(C3421,"'",""),6,2),1),0)+1)</f>
        <v>0</v>
      </c>
      <c r="E3421" s="17">
        <f t="shared" si="1"/>
        <v>802</v>
      </c>
      <c r="F3421" s="17">
        <f t="shared" si="2"/>
        <v>0</v>
      </c>
    </row>
    <row r="3422">
      <c r="A3422" s="5" t="s">
        <v>57</v>
      </c>
      <c r="B3422" s="6">
        <v>802.0</v>
      </c>
      <c r="C3422" s="13" t="s">
        <v>413</v>
      </c>
      <c r="D3422" s="17">
        <f>SUMIFS(ShadowLedger!$D:$D,ShadowLedger!$G:$G,A3422,ShadowLedger!$C:$C,"&gt;="&amp;DATE(LEFT(SUBSTITUTE(C3422,"'",""),4),MID(SUBSTITUTE(C3422,"'",""),6,2),1),ShadowLedger!$C:$C,"&lt;"&amp;EOMONTH(DATE(LEFT(SUBSTITUTE(C3422,"'",""),4),MID(SUBSTITUTE(C3422,"'",""),6,2),1),0)+1)</f>
        <v>0</v>
      </c>
      <c r="E3422" s="17">
        <f t="shared" si="1"/>
        <v>802</v>
      </c>
      <c r="F3422" s="17">
        <f t="shared" si="2"/>
        <v>0</v>
      </c>
    </row>
    <row r="3423">
      <c r="A3423" s="5" t="s">
        <v>58</v>
      </c>
      <c r="B3423" s="6">
        <v>642.0</v>
      </c>
      <c r="C3423" s="13" t="s">
        <v>413</v>
      </c>
      <c r="D3423" s="17">
        <f>SUMIFS(ShadowLedger!$D:$D,ShadowLedger!$G:$G,A3423,ShadowLedger!$C:$C,"&gt;="&amp;DATE(LEFT(SUBSTITUTE(C3423,"'",""),4),MID(SUBSTITUTE(C3423,"'",""),6,2),1),ShadowLedger!$C:$C,"&lt;"&amp;EOMONTH(DATE(LEFT(SUBSTITUTE(C3423,"'",""),4),MID(SUBSTITUTE(C3423,"'",""),6,2),1),0)+1)</f>
        <v>0</v>
      </c>
      <c r="E3423" s="17">
        <f t="shared" si="1"/>
        <v>642</v>
      </c>
      <c r="F3423" s="17">
        <f t="shared" si="2"/>
        <v>0</v>
      </c>
    </row>
    <row r="3424">
      <c r="A3424" s="5" t="s">
        <v>59</v>
      </c>
      <c r="B3424" s="6">
        <v>321.0</v>
      </c>
      <c r="C3424" s="13" t="s">
        <v>413</v>
      </c>
      <c r="D3424" s="17">
        <f>SUMIFS(ShadowLedger!$D:$D,ShadowLedger!$G:$G,A3424,ShadowLedger!$C:$C,"&gt;="&amp;DATE(LEFT(SUBSTITUTE(C3424,"'",""),4),MID(SUBSTITUTE(C3424,"'",""),6,2),1),ShadowLedger!$C:$C,"&lt;"&amp;EOMONTH(DATE(LEFT(SUBSTITUTE(C3424,"'",""),4),MID(SUBSTITUTE(C3424,"'",""),6,2),1),0)+1)</f>
        <v>0</v>
      </c>
      <c r="E3424" s="17">
        <f t="shared" si="1"/>
        <v>321</v>
      </c>
      <c r="F3424" s="17">
        <f t="shared" si="2"/>
        <v>0</v>
      </c>
    </row>
    <row r="3425">
      <c r="A3425" s="5" t="s">
        <v>60</v>
      </c>
      <c r="B3425" s="6">
        <v>241.0</v>
      </c>
      <c r="C3425" s="13" t="s">
        <v>413</v>
      </c>
      <c r="D3425" s="17">
        <f>SUMIFS(ShadowLedger!$D:$D,ShadowLedger!$G:$G,A3425,ShadowLedger!$C:$C,"&gt;="&amp;DATE(LEFT(SUBSTITUTE(C3425,"'",""),4),MID(SUBSTITUTE(C3425,"'",""),6,2),1),ShadowLedger!$C:$C,"&lt;"&amp;EOMONTH(DATE(LEFT(SUBSTITUTE(C3425,"'",""),4),MID(SUBSTITUTE(C3425,"'",""),6,2),1),0)+1)</f>
        <v>0</v>
      </c>
      <c r="E3425" s="17">
        <f t="shared" si="1"/>
        <v>241</v>
      </c>
      <c r="F3425" s="17">
        <f t="shared" si="2"/>
        <v>0</v>
      </c>
    </row>
    <row r="3426">
      <c r="A3426" s="5" t="s">
        <v>61</v>
      </c>
      <c r="B3426" s="6">
        <v>193.0</v>
      </c>
      <c r="C3426" s="13" t="s">
        <v>413</v>
      </c>
      <c r="D3426" s="17">
        <f>SUMIFS(ShadowLedger!$D:$D,ShadowLedger!$G:$G,A3426,ShadowLedger!$C:$C,"&gt;="&amp;DATE(LEFT(SUBSTITUTE(C3426,"'",""),4),MID(SUBSTITUTE(C3426,"'",""),6,2),1),ShadowLedger!$C:$C,"&lt;"&amp;EOMONTH(DATE(LEFT(SUBSTITUTE(C3426,"'",""),4),MID(SUBSTITUTE(C3426,"'",""),6,2),1),0)+1)</f>
        <v>0</v>
      </c>
      <c r="E3426" s="17">
        <f t="shared" si="1"/>
        <v>193</v>
      </c>
      <c r="F3426" s="17">
        <f t="shared" si="2"/>
        <v>0</v>
      </c>
    </row>
    <row r="3427">
      <c r="A3427" s="5" t="s">
        <v>62</v>
      </c>
      <c r="B3427" s="6">
        <v>193.0</v>
      </c>
      <c r="C3427" s="13" t="s">
        <v>413</v>
      </c>
      <c r="D3427" s="17">
        <f>SUMIFS(ShadowLedger!$D:$D,ShadowLedger!$G:$G,A3427,ShadowLedger!$C:$C,"&gt;="&amp;DATE(LEFT(SUBSTITUTE(C3427,"'",""),4),MID(SUBSTITUTE(C3427,"'",""),6,2),1),ShadowLedger!$C:$C,"&lt;"&amp;EOMONTH(DATE(LEFT(SUBSTITUTE(C3427,"'",""),4),MID(SUBSTITUTE(C3427,"'",""),6,2),1),0)+1)</f>
        <v>0</v>
      </c>
      <c r="E3427" s="17">
        <f t="shared" si="1"/>
        <v>193</v>
      </c>
      <c r="F3427" s="17">
        <f t="shared" si="2"/>
        <v>0</v>
      </c>
    </row>
    <row r="3428">
      <c r="A3428" s="5" t="s">
        <v>63</v>
      </c>
      <c r="B3428" s="6">
        <v>160.0</v>
      </c>
      <c r="C3428" s="13" t="s">
        <v>413</v>
      </c>
      <c r="D3428" s="17">
        <f>SUMIFS(ShadowLedger!$D:$D,ShadowLedger!$G:$G,A3428,ShadowLedger!$C:$C,"&gt;="&amp;DATE(LEFT(SUBSTITUTE(C3428,"'",""),4),MID(SUBSTITUTE(C3428,"'",""),6,2),1),ShadowLedger!$C:$C,"&lt;"&amp;EOMONTH(DATE(LEFT(SUBSTITUTE(C3428,"'",""),4),MID(SUBSTITUTE(C3428,"'",""),6,2),1),0)+1)</f>
        <v>0</v>
      </c>
      <c r="E3428" s="17">
        <f t="shared" si="1"/>
        <v>160</v>
      </c>
      <c r="F3428" s="17">
        <f t="shared" si="2"/>
        <v>0</v>
      </c>
    </row>
    <row r="3429">
      <c r="A3429" s="5" t="s">
        <v>64</v>
      </c>
      <c r="B3429" s="6">
        <v>160.0</v>
      </c>
      <c r="C3429" s="13" t="s">
        <v>413</v>
      </c>
      <c r="D3429" s="17">
        <f>SUMIFS(ShadowLedger!$D:$D,ShadowLedger!$G:$G,A3429,ShadowLedger!$C:$C,"&gt;="&amp;DATE(LEFT(SUBSTITUTE(C3429,"'",""),4),MID(SUBSTITUTE(C3429,"'",""),6,2),1),ShadowLedger!$C:$C,"&lt;"&amp;EOMONTH(DATE(LEFT(SUBSTITUTE(C3429,"'",""),4),MID(SUBSTITUTE(C3429,"'",""),6,2),1),0)+1)</f>
        <v>0</v>
      </c>
      <c r="E3429" s="17">
        <f t="shared" si="1"/>
        <v>160</v>
      </c>
      <c r="F3429" s="17">
        <f t="shared" si="2"/>
        <v>0</v>
      </c>
    </row>
    <row r="3430">
      <c r="A3430" s="5" t="s">
        <v>70</v>
      </c>
      <c r="B3430" s="6">
        <v>160.0</v>
      </c>
      <c r="C3430" s="13" t="s">
        <v>413</v>
      </c>
      <c r="D3430" s="17">
        <f>SUMIFS(ShadowLedger!$D:$D,ShadowLedger!$G:$G,A3430,ShadowLedger!$C:$C,"&gt;="&amp;DATE(LEFT(SUBSTITUTE(C3430,"'",""),4),MID(SUBSTITUTE(C3430,"'",""),6,2),1),ShadowLedger!$C:$C,"&lt;"&amp;EOMONTH(DATE(LEFT(SUBSTITUTE(C3430,"'",""),4),MID(SUBSTITUTE(C3430,"'",""),6,2),1),0)+1)</f>
        <v>0</v>
      </c>
      <c r="E3430" s="17">
        <f t="shared" si="1"/>
        <v>160</v>
      </c>
      <c r="F3430" s="17">
        <f t="shared" si="2"/>
        <v>0</v>
      </c>
    </row>
    <row r="3431">
      <c r="A3431" s="5" t="s">
        <v>65</v>
      </c>
      <c r="B3431" s="6">
        <v>80.0</v>
      </c>
      <c r="C3431" s="13" t="s">
        <v>413</v>
      </c>
      <c r="D3431" s="17">
        <f>SUMIFS(ShadowLedger!$D:$D,ShadowLedger!$G:$G,A3431,ShadowLedger!$C:$C,"&gt;="&amp;DATE(LEFT(SUBSTITUTE(C3431,"'",""),4),MID(SUBSTITUTE(C3431,"'",""),6,2),1),ShadowLedger!$C:$C,"&lt;"&amp;EOMONTH(DATE(LEFT(SUBSTITUTE(C3431,"'",""),4),MID(SUBSTITUTE(C3431,"'",""),6,2),1),0)+1)</f>
        <v>0</v>
      </c>
      <c r="E3431" s="17">
        <f t="shared" si="1"/>
        <v>80</v>
      </c>
      <c r="F3431" s="17">
        <f t="shared" si="2"/>
        <v>0</v>
      </c>
    </row>
    <row r="3432">
      <c r="A3432" s="5" t="s">
        <v>66</v>
      </c>
      <c r="B3432" s="6">
        <v>80.0</v>
      </c>
      <c r="C3432" s="13" t="s">
        <v>413</v>
      </c>
      <c r="D3432" s="17">
        <f>SUMIFS(ShadowLedger!$D:$D,ShadowLedger!$G:$G,A3432,ShadowLedger!$C:$C,"&gt;="&amp;DATE(LEFT(SUBSTITUTE(C3432,"'",""),4),MID(SUBSTITUTE(C3432,"'",""),6,2),1),ShadowLedger!$C:$C,"&lt;"&amp;EOMONTH(DATE(LEFT(SUBSTITUTE(C3432,"'",""),4),MID(SUBSTITUTE(C3432,"'",""),6,2),1),0)+1)</f>
        <v>0</v>
      </c>
      <c r="E3432" s="17">
        <f t="shared" si="1"/>
        <v>80</v>
      </c>
      <c r="F3432" s="17">
        <f t="shared" si="2"/>
        <v>0</v>
      </c>
    </row>
    <row r="3433">
      <c r="A3433" s="5" t="s">
        <v>67</v>
      </c>
      <c r="B3433" s="6">
        <v>80.0</v>
      </c>
      <c r="C3433" s="13" t="s">
        <v>413</v>
      </c>
      <c r="D3433" s="17">
        <f>SUMIFS(ShadowLedger!$D:$D,ShadowLedger!$G:$G,A3433,ShadowLedger!$C:$C,"&gt;="&amp;DATE(LEFT(SUBSTITUTE(C3433,"'",""),4),MID(SUBSTITUTE(C3433,"'",""),6,2),1),ShadowLedger!$C:$C,"&lt;"&amp;EOMONTH(DATE(LEFT(SUBSTITUTE(C3433,"'",""),4),MID(SUBSTITUTE(C3433,"'",""),6,2),1),0)+1)</f>
        <v>0</v>
      </c>
      <c r="E3433" s="17">
        <f t="shared" si="1"/>
        <v>80</v>
      </c>
      <c r="F3433" s="17">
        <f t="shared" si="2"/>
        <v>0</v>
      </c>
    </row>
    <row r="3434">
      <c r="A3434" s="5" t="s">
        <v>68</v>
      </c>
      <c r="B3434" s="6">
        <v>80.0</v>
      </c>
      <c r="C3434" s="13" t="s">
        <v>413</v>
      </c>
      <c r="D3434" s="17">
        <f>SUMIFS(ShadowLedger!$D:$D,ShadowLedger!$G:$G,A3434,ShadowLedger!$C:$C,"&gt;="&amp;DATE(LEFT(SUBSTITUTE(C3434,"'",""),4),MID(SUBSTITUTE(C3434,"'",""),6,2),1),ShadowLedger!$C:$C,"&lt;"&amp;EOMONTH(DATE(LEFT(SUBSTITUTE(C3434,"'",""),4),MID(SUBSTITUTE(C3434,"'",""),6,2),1),0)+1)</f>
        <v>0</v>
      </c>
      <c r="E3434" s="17">
        <f t="shared" si="1"/>
        <v>80</v>
      </c>
      <c r="F3434" s="17">
        <f t="shared" si="2"/>
        <v>0</v>
      </c>
    </row>
    <row r="3435">
      <c r="A3435" s="5" t="s">
        <v>69</v>
      </c>
      <c r="B3435" s="6">
        <v>0.0</v>
      </c>
      <c r="C3435" s="13" t="s">
        <v>413</v>
      </c>
      <c r="D3435" s="17">
        <f>SUMIFS(ShadowLedger!$D:$D,ShadowLedger!$G:$G,A3435,ShadowLedger!$C:$C,"&gt;="&amp;DATE(LEFT(SUBSTITUTE(C3435,"'",""),4),MID(SUBSTITUTE(C3435,"'",""),6,2),1),ShadowLedger!$C:$C,"&lt;"&amp;EOMONTH(DATE(LEFT(SUBSTITUTE(C3435,"'",""),4),MID(SUBSTITUTE(C3435,"'",""),6,2),1),0)+1)</f>
        <v>0</v>
      </c>
      <c r="E3435" s="17">
        <f t="shared" si="1"/>
        <v>0</v>
      </c>
      <c r="F3435" s="17">
        <f t="shared" si="2"/>
        <v>0</v>
      </c>
    </row>
    <row r="3436">
      <c r="A3436" s="5" t="s">
        <v>54</v>
      </c>
      <c r="B3436" s="6">
        <v>1476.0</v>
      </c>
      <c r="C3436" s="13" t="s">
        <v>414</v>
      </c>
      <c r="D3436" s="17">
        <f>SUMIFS(ShadowLedger!$D:$D,ShadowLedger!$G:$G,A3436,ShadowLedger!$C:$C,"&gt;="&amp;DATE(LEFT(SUBSTITUTE(C3436,"'",""),4),MID(SUBSTITUTE(C3436,"'",""),6,2),1),ShadowLedger!$C:$C,"&lt;"&amp;EOMONTH(DATE(LEFT(SUBSTITUTE(C3436,"'",""),4),MID(SUBSTITUTE(C3436,"'",""),6,2),1),0)+1)</f>
        <v>0</v>
      </c>
      <c r="E3436" s="17">
        <f t="shared" si="1"/>
        <v>1476</v>
      </c>
      <c r="F3436" s="17">
        <f t="shared" si="2"/>
        <v>0</v>
      </c>
    </row>
    <row r="3437">
      <c r="A3437" s="5" t="s">
        <v>55</v>
      </c>
      <c r="B3437" s="6">
        <v>1123.0</v>
      </c>
      <c r="C3437" s="13" t="s">
        <v>414</v>
      </c>
      <c r="D3437" s="17">
        <f>SUMIFS(ShadowLedger!$D:$D,ShadowLedger!$G:$G,A3437,ShadowLedger!$C:$C,"&gt;="&amp;DATE(LEFT(SUBSTITUTE(C3437,"'",""),4),MID(SUBSTITUTE(C3437,"'",""),6,2),1),ShadowLedger!$C:$C,"&lt;"&amp;EOMONTH(DATE(LEFT(SUBSTITUTE(C3437,"'",""),4),MID(SUBSTITUTE(C3437,"'",""),6,2),1),0)+1)</f>
        <v>0</v>
      </c>
      <c r="E3437" s="17">
        <f t="shared" si="1"/>
        <v>1123</v>
      </c>
      <c r="F3437" s="17">
        <f t="shared" si="2"/>
        <v>0</v>
      </c>
    </row>
    <row r="3438">
      <c r="A3438" s="5" t="s">
        <v>56</v>
      </c>
      <c r="B3438" s="6">
        <v>802.0</v>
      </c>
      <c r="C3438" s="13" t="s">
        <v>414</v>
      </c>
      <c r="D3438" s="17">
        <f>SUMIFS(ShadowLedger!$D:$D,ShadowLedger!$G:$G,A3438,ShadowLedger!$C:$C,"&gt;="&amp;DATE(LEFT(SUBSTITUTE(C3438,"'",""),4),MID(SUBSTITUTE(C3438,"'",""),6,2),1),ShadowLedger!$C:$C,"&lt;"&amp;EOMONTH(DATE(LEFT(SUBSTITUTE(C3438,"'",""),4),MID(SUBSTITUTE(C3438,"'",""),6,2),1),0)+1)</f>
        <v>0</v>
      </c>
      <c r="E3438" s="17">
        <f t="shared" si="1"/>
        <v>802</v>
      </c>
      <c r="F3438" s="17">
        <f t="shared" si="2"/>
        <v>0</v>
      </c>
    </row>
    <row r="3439">
      <c r="A3439" s="5" t="s">
        <v>57</v>
      </c>
      <c r="B3439" s="6">
        <v>802.0</v>
      </c>
      <c r="C3439" s="13" t="s">
        <v>414</v>
      </c>
      <c r="D3439" s="17">
        <f>SUMIFS(ShadowLedger!$D:$D,ShadowLedger!$G:$G,A3439,ShadowLedger!$C:$C,"&gt;="&amp;DATE(LEFT(SUBSTITUTE(C3439,"'",""),4),MID(SUBSTITUTE(C3439,"'",""),6,2),1),ShadowLedger!$C:$C,"&lt;"&amp;EOMONTH(DATE(LEFT(SUBSTITUTE(C3439,"'",""),4),MID(SUBSTITUTE(C3439,"'",""),6,2),1),0)+1)</f>
        <v>0</v>
      </c>
      <c r="E3439" s="17">
        <f t="shared" si="1"/>
        <v>802</v>
      </c>
      <c r="F3439" s="17">
        <f t="shared" si="2"/>
        <v>0</v>
      </c>
    </row>
    <row r="3440">
      <c r="A3440" s="5" t="s">
        <v>58</v>
      </c>
      <c r="B3440" s="6">
        <v>642.0</v>
      </c>
      <c r="C3440" s="13" t="s">
        <v>414</v>
      </c>
      <c r="D3440" s="17">
        <f>SUMIFS(ShadowLedger!$D:$D,ShadowLedger!$G:$G,A3440,ShadowLedger!$C:$C,"&gt;="&amp;DATE(LEFT(SUBSTITUTE(C3440,"'",""),4),MID(SUBSTITUTE(C3440,"'",""),6,2),1),ShadowLedger!$C:$C,"&lt;"&amp;EOMONTH(DATE(LEFT(SUBSTITUTE(C3440,"'",""),4),MID(SUBSTITUTE(C3440,"'",""),6,2),1),0)+1)</f>
        <v>0</v>
      </c>
      <c r="E3440" s="17">
        <f t="shared" si="1"/>
        <v>642</v>
      </c>
      <c r="F3440" s="17">
        <f t="shared" si="2"/>
        <v>0</v>
      </c>
    </row>
    <row r="3441">
      <c r="A3441" s="5" t="s">
        <v>59</v>
      </c>
      <c r="B3441" s="6">
        <v>321.0</v>
      </c>
      <c r="C3441" s="13" t="s">
        <v>414</v>
      </c>
      <c r="D3441" s="17">
        <f>SUMIFS(ShadowLedger!$D:$D,ShadowLedger!$G:$G,A3441,ShadowLedger!$C:$C,"&gt;="&amp;DATE(LEFT(SUBSTITUTE(C3441,"'",""),4),MID(SUBSTITUTE(C3441,"'",""),6,2),1),ShadowLedger!$C:$C,"&lt;"&amp;EOMONTH(DATE(LEFT(SUBSTITUTE(C3441,"'",""),4),MID(SUBSTITUTE(C3441,"'",""),6,2),1),0)+1)</f>
        <v>0</v>
      </c>
      <c r="E3441" s="17">
        <f t="shared" si="1"/>
        <v>321</v>
      </c>
      <c r="F3441" s="17">
        <f t="shared" si="2"/>
        <v>0</v>
      </c>
    </row>
    <row r="3442">
      <c r="A3442" s="5" t="s">
        <v>60</v>
      </c>
      <c r="B3442" s="6">
        <v>241.0</v>
      </c>
      <c r="C3442" s="13" t="s">
        <v>414</v>
      </c>
      <c r="D3442" s="17">
        <f>SUMIFS(ShadowLedger!$D:$D,ShadowLedger!$G:$G,A3442,ShadowLedger!$C:$C,"&gt;="&amp;DATE(LEFT(SUBSTITUTE(C3442,"'",""),4),MID(SUBSTITUTE(C3442,"'",""),6,2),1),ShadowLedger!$C:$C,"&lt;"&amp;EOMONTH(DATE(LEFT(SUBSTITUTE(C3442,"'",""),4),MID(SUBSTITUTE(C3442,"'",""),6,2),1),0)+1)</f>
        <v>0</v>
      </c>
      <c r="E3442" s="17">
        <f t="shared" si="1"/>
        <v>241</v>
      </c>
      <c r="F3442" s="17">
        <f t="shared" si="2"/>
        <v>0</v>
      </c>
    </row>
    <row r="3443">
      <c r="A3443" s="5" t="s">
        <v>61</v>
      </c>
      <c r="B3443" s="6">
        <v>193.0</v>
      </c>
      <c r="C3443" s="13" t="s">
        <v>414</v>
      </c>
      <c r="D3443" s="17">
        <f>SUMIFS(ShadowLedger!$D:$D,ShadowLedger!$G:$G,A3443,ShadowLedger!$C:$C,"&gt;="&amp;DATE(LEFT(SUBSTITUTE(C3443,"'",""),4),MID(SUBSTITUTE(C3443,"'",""),6,2),1),ShadowLedger!$C:$C,"&lt;"&amp;EOMONTH(DATE(LEFT(SUBSTITUTE(C3443,"'",""),4),MID(SUBSTITUTE(C3443,"'",""),6,2),1),0)+1)</f>
        <v>0</v>
      </c>
      <c r="E3443" s="17">
        <f t="shared" si="1"/>
        <v>193</v>
      </c>
      <c r="F3443" s="17">
        <f t="shared" si="2"/>
        <v>0</v>
      </c>
    </row>
    <row r="3444">
      <c r="A3444" s="5" t="s">
        <v>62</v>
      </c>
      <c r="B3444" s="6">
        <v>193.0</v>
      </c>
      <c r="C3444" s="13" t="s">
        <v>414</v>
      </c>
      <c r="D3444" s="17">
        <f>SUMIFS(ShadowLedger!$D:$D,ShadowLedger!$G:$G,A3444,ShadowLedger!$C:$C,"&gt;="&amp;DATE(LEFT(SUBSTITUTE(C3444,"'",""),4),MID(SUBSTITUTE(C3444,"'",""),6,2),1),ShadowLedger!$C:$C,"&lt;"&amp;EOMONTH(DATE(LEFT(SUBSTITUTE(C3444,"'",""),4),MID(SUBSTITUTE(C3444,"'",""),6,2),1),0)+1)</f>
        <v>0</v>
      </c>
      <c r="E3444" s="17">
        <f t="shared" si="1"/>
        <v>193</v>
      </c>
      <c r="F3444" s="17">
        <f t="shared" si="2"/>
        <v>0</v>
      </c>
    </row>
    <row r="3445">
      <c r="A3445" s="5" t="s">
        <v>63</v>
      </c>
      <c r="B3445" s="6">
        <v>160.0</v>
      </c>
      <c r="C3445" s="13" t="s">
        <v>414</v>
      </c>
      <c r="D3445" s="17">
        <f>SUMIFS(ShadowLedger!$D:$D,ShadowLedger!$G:$G,A3445,ShadowLedger!$C:$C,"&gt;="&amp;DATE(LEFT(SUBSTITUTE(C3445,"'",""),4),MID(SUBSTITUTE(C3445,"'",""),6,2),1),ShadowLedger!$C:$C,"&lt;"&amp;EOMONTH(DATE(LEFT(SUBSTITUTE(C3445,"'",""),4),MID(SUBSTITUTE(C3445,"'",""),6,2),1),0)+1)</f>
        <v>0</v>
      </c>
      <c r="E3445" s="17">
        <f t="shared" si="1"/>
        <v>160</v>
      </c>
      <c r="F3445" s="17">
        <f t="shared" si="2"/>
        <v>0</v>
      </c>
    </row>
    <row r="3446">
      <c r="A3446" s="5" t="s">
        <v>64</v>
      </c>
      <c r="B3446" s="6">
        <v>160.0</v>
      </c>
      <c r="C3446" s="13" t="s">
        <v>414</v>
      </c>
      <c r="D3446" s="17">
        <f>SUMIFS(ShadowLedger!$D:$D,ShadowLedger!$G:$G,A3446,ShadowLedger!$C:$C,"&gt;="&amp;DATE(LEFT(SUBSTITUTE(C3446,"'",""),4),MID(SUBSTITUTE(C3446,"'",""),6,2),1),ShadowLedger!$C:$C,"&lt;"&amp;EOMONTH(DATE(LEFT(SUBSTITUTE(C3446,"'",""),4),MID(SUBSTITUTE(C3446,"'",""),6,2),1),0)+1)</f>
        <v>0</v>
      </c>
      <c r="E3446" s="17">
        <f t="shared" si="1"/>
        <v>160</v>
      </c>
      <c r="F3446" s="17">
        <f t="shared" si="2"/>
        <v>0</v>
      </c>
    </row>
    <row r="3447">
      <c r="A3447" s="5" t="s">
        <v>70</v>
      </c>
      <c r="B3447" s="6">
        <v>160.0</v>
      </c>
      <c r="C3447" s="13" t="s">
        <v>414</v>
      </c>
      <c r="D3447" s="17">
        <f>SUMIFS(ShadowLedger!$D:$D,ShadowLedger!$G:$G,A3447,ShadowLedger!$C:$C,"&gt;="&amp;DATE(LEFT(SUBSTITUTE(C3447,"'",""),4),MID(SUBSTITUTE(C3447,"'",""),6,2),1),ShadowLedger!$C:$C,"&lt;"&amp;EOMONTH(DATE(LEFT(SUBSTITUTE(C3447,"'",""),4),MID(SUBSTITUTE(C3447,"'",""),6,2),1),0)+1)</f>
        <v>0</v>
      </c>
      <c r="E3447" s="17">
        <f t="shared" si="1"/>
        <v>160</v>
      </c>
      <c r="F3447" s="17">
        <f t="shared" si="2"/>
        <v>0</v>
      </c>
    </row>
    <row r="3448">
      <c r="A3448" s="5" t="s">
        <v>65</v>
      </c>
      <c r="B3448" s="6">
        <v>80.0</v>
      </c>
      <c r="C3448" s="13" t="s">
        <v>414</v>
      </c>
      <c r="D3448" s="17">
        <f>SUMIFS(ShadowLedger!$D:$D,ShadowLedger!$G:$G,A3448,ShadowLedger!$C:$C,"&gt;="&amp;DATE(LEFT(SUBSTITUTE(C3448,"'",""),4),MID(SUBSTITUTE(C3448,"'",""),6,2),1),ShadowLedger!$C:$C,"&lt;"&amp;EOMONTH(DATE(LEFT(SUBSTITUTE(C3448,"'",""),4),MID(SUBSTITUTE(C3448,"'",""),6,2),1),0)+1)</f>
        <v>0</v>
      </c>
      <c r="E3448" s="17">
        <f t="shared" si="1"/>
        <v>80</v>
      </c>
      <c r="F3448" s="17">
        <f t="shared" si="2"/>
        <v>0</v>
      </c>
    </row>
    <row r="3449">
      <c r="A3449" s="5" t="s">
        <v>66</v>
      </c>
      <c r="B3449" s="6">
        <v>80.0</v>
      </c>
      <c r="C3449" s="13" t="s">
        <v>414</v>
      </c>
      <c r="D3449" s="17">
        <f>SUMIFS(ShadowLedger!$D:$D,ShadowLedger!$G:$G,A3449,ShadowLedger!$C:$C,"&gt;="&amp;DATE(LEFT(SUBSTITUTE(C3449,"'",""),4),MID(SUBSTITUTE(C3449,"'",""),6,2),1),ShadowLedger!$C:$C,"&lt;"&amp;EOMONTH(DATE(LEFT(SUBSTITUTE(C3449,"'",""),4),MID(SUBSTITUTE(C3449,"'",""),6,2),1),0)+1)</f>
        <v>0</v>
      </c>
      <c r="E3449" s="17">
        <f t="shared" si="1"/>
        <v>80</v>
      </c>
      <c r="F3449" s="17">
        <f t="shared" si="2"/>
        <v>0</v>
      </c>
    </row>
    <row r="3450">
      <c r="A3450" s="5" t="s">
        <v>67</v>
      </c>
      <c r="B3450" s="6">
        <v>80.0</v>
      </c>
      <c r="C3450" s="13" t="s">
        <v>414</v>
      </c>
      <c r="D3450" s="17">
        <f>SUMIFS(ShadowLedger!$D:$D,ShadowLedger!$G:$G,A3450,ShadowLedger!$C:$C,"&gt;="&amp;DATE(LEFT(SUBSTITUTE(C3450,"'",""),4),MID(SUBSTITUTE(C3450,"'",""),6,2),1),ShadowLedger!$C:$C,"&lt;"&amp;EOMONTH(DATE(LEFT(SUBSTITUTE(C3450,"'",""),4),MID(SUBSTITUTE(C3450,"'",""),6,2),1),0)+1)</f>
        <v>0</v>
      </c>
      <c r="E3450" s="17">
        <f t="shared" si="1"/>
        <v>80</v>
      </c>
      <c r="F3450" s="17">
        <f t="shared" si="2"/>
        <v>0</v>
      </c>
    </row>
    <row r="3451">
      <c r="A3451" s="5" t="s">
        <v>68</v>
      </c>
      <c r="B3451" s="6">
        <v>80.0</v>
      </c>
      <c r="C3451" s="13" t="s">
        <v>414</v>
      </c>
      <c r="D3451" s="17">
        <f>SUMIFS(ShadowLedger!$D:$D,ShadowLedger!$G:$G,A3451,ShadowLedger!$C:$C,"&gt;="&amp;DATE(LEFT(SUBSTITUTE(C3451,"'",""),4),MID(SUBSTITUTE(C3451,"'",""),6,2),1),ShadowLedger!$C:$C,"&lt;"&amp;EOMONTH(DATE(LEFT(SUBSTITUTE(C3451,"'",""),4),MID(SUBSTITUTE(C3451,"'",""),6,2),1),0)+1)</f>
        <v>0</v>
      </c>
      <c r="E3451" s="17">
        <f t="shared" si="1"/>
        <v>80</v>
      </c>
      <c r="F3451" s="17">
        <f t="shared" si="2"/>
        <v>0</v>
      </c>
    </row>
    <row r="3452">
      <c r="A3452" s="5" t="s">
        <v>69</v>
      </c>
      <c r="B3452" s="6">
        <v>0.0</v>
      </c>
      <c r="C3452" s="13" t="s">
        <v>414</v>
      </c>
      <c r="D3452" s="17">
        <f>SUMIFS(ShadowLedger!$D:$D,ShadowLedger!$G:$G,A3452,ShadowLedger!$C:$C,"&gt;="&amp;DATE(LEFT(SUBSTITUTE(C3452,"'",""),4),MID(SUBSTITUTE(C3452,"'",""),6,2),1),ShadowLedger!$C:$C,"&lt;"&amp;EOMONTH(DATE(LEFT(SUBSTITUTE(C3452,"'",""),4),MID(SUBSTITUTE(C3452,"'",""),6,2),1),0)+1)</f>
        <v>0</v>
      </c>
      <c r="E3452" s="17">
        <f t="shared" si="1"/>
        <v>0</v>
      </c>
      <c r="F3452" s="17">
        <f t="shared" si="2"/>
        <v>0</v>
      </c>
    </row>
    <row r="3453">
      <c r="A3453" s="5" t="s">
        <v>54</v>
      </c>
      <c r="B3453" s="6">
        <v>1476.0</v>
      </c>
      <c r="C3453" s="13" t="s">
        <v>415</v>
      </c>
      <c r="D3453" s="17">
        <f>SUMIFS(ShadowLedger!$D:$D,ShadowLedger!$G:$G,A3453,ShadowLedger!$C:$C,"&gt;="&amp;DATE(LEFT(SUBSTITUTE(C3453,"'",""),4),MID(SUBSTITUTE(C3453,"'",""),6,2),1),ShadowLedger!$C:$C,"&lt;"&amp;EOMONTH(DATE(LEFT(SUBSTITUTE(C3453,"'",""),4),MID(SUBSTITUTE(C3453,"'",""),6,2),1),0)+1)</f>
        <v>0</v>
      </c>
      <c r="E3453" s="17">
        <f t="shared" si="1"/>
        <v>1476</v>
      </c>
      <c r="F3453" s="17">
        <f t="shared" si="2"/>
        <v>0</v>
      </c>
    </row>
    <row r="3454">
      <c r="A3454" s="5" t="s">
        <v>55</v>
      </c>
      <c r="B3454" s="6">
        <v>1123.0</v>
      </c>
      <c r="C3454" s="13" t="s">
        <v>415</v>
      </c>
      <c r="D3454" s="17">
        <f>SUMIFS(ShadowLedger!$D:$D,ShadowLedger!$G:$G,A3454,ShadowLedger!$C:$C,"&gt;="&amp;DATE(LEFT(SUBSTITUTE(C3454,"'",""),4),MID(SUBSTITUTE(C3454,"'",""),6,2),1),ShadowLedger!$C:$C,"&lt;"&amp;EOMONTH(DATE(LEFT(SUBSTITUTE(C3454,"'",""),4),MID(SUBSTITUTE(C3454,"'",""),6,2),1),0)+1)</f>
        <v>0</v>
      </c>
      <c r="E3454" s="17">
        <f t="shared" si="1"/>
        <v>1123</v>
      </c>
      <c r="F3454" s="17">
        <f t="shared" si="2"/>
        <v>0</v>
      </c>
    </row>
    <row r="3455">
      <c r="A3455" s="5" t="s">
        <v>56</v>
      </c>
      <c r="B3455" s="6">
        <v>802.0</v>
      </c>
      <c r="C3455" s="13" t="s">
        <v>415</v>
      </c>
      <c r="D3455" s="17">
        <f>SUMIFS(ShadowLedger!$D:$D,ShadowLedger!$G:$G,A3455,ShadowLedger!$C:$C,"&gt;="&amp;DATE(LEFT(SUBSTITUTE(C3455,"'",""),4),MID(SUBSTITUTE(C3455,"'",""),6,2),1),ShadowLedger!$C:$C,"&lt;"&amp;EOMONTH(DATE(LEFT(SUBSTITUTE(C3455,"'",""),4),MID(SUBSTITUTE(C3455,"'",""),6,2),1),0)+1)</f>
        <v>0</v>
      </c>
      <c r="E3455" s="17">
        <f t="shared" si="1"/>
        <v>802</v>
      </c>
      <c r="F3455" s="17">
        <f t="shared" si="2"/>
        <v>0</v>
      </c>
    </row>
    <row r="3456">
      <c r="A3456" s="5" t="s">
        <v>57</v>
      </c>
      <c r="B3456" s="6">
        <v>802.0</v>
      </c>
      <c r="C3456" s="13" t="s">
        <v>415</v>
      </c>
      <c r="D3456" s="17">
        <f>SUMIFS(ShadowLedger!$D:$D,ShadowLedger!$G:$G,A3456,ShadowLedger!$C:$C,"&gt;="&amp;DATE(LEFT(SUBSTITUTE(C3456,"'",""),4),MID(SUBSTITUTE(C3456,"'",""),6,2),1),ShadowLedger!$C:$C,"&lt;"&amp;EOMONTH(DATE(LEFT(SUBSTITUTE(C3456,"'",""),4),MID(SUBSTITUTE(C3456,"'",""),6,2),1),0)+1)</f>
        <v>0</v>
      </c>
      <c r="E3456" s="17">
        <f t="shared" si="1"/>
        <v>802</v>
      </c>
      <c r="F3456" s="17">
        <f t="shared" si="2"/>
        <v>0</v>
      </c>
    </row>
    <row r="3457">
      <c r="A3457" s="5" t="s">
        <v>58</v>
      </c>
      <c r="B3457" s="6">
        <v>642.0</v>
      </c>
      <c r="C3457" s="13" t="s">
        <v>415</v>
      </c>
      <c r="D3457" s="17">
        <f>SUMIFS(ShadowLedger!$D:$D,ShadowLedger!$G:$G,A3457,ShadowLedger!$C:$C,"&gt;="&amp;DATE(LEFT(SUBSTITUTE(C3457,"'",""),4),MID(SUBSTITUTE(C3457,"'",""),6,2),1),ShadowLedger!$C:$C,"&lt;"&amp;EOMONTH(DATE(LEFT(SUBSTITUTE(C3457,"'",""),4),MID(SUBSTITUTE(C3457,"'",""),6,2),1),0)+1)</f>
        <v>0</v>
      </c>
      <c r="E3457" s="17">
        <f t="shared" si="1"/>
        <v>642</v>
      </c>
      <c r="F3457" s="17">
        <f t="shared" si="2"/>
        <v>0</v>
      </c>
    </row>
    <row r="3458">
      <c r="A3458" s="5" t="s">
        <v>59</v>
      </c>
      <c r="B3458" s="6">
        <v>321.0</v>
      </c>
      <c r="C3458" s="13" t="s">
        <v>415</v>
      </c>
      <c r="D3458" s="17">
        <f>SUMIFS(ShadowLedger!$D:$D,ShadowLedger!$G:$G,A3458,ShadowLedger!$C:$C,"&gt;="&amp;DATE(LEFT(SUBSTITUTE(C3458,"'",""),4),MID(SUBSTITUTE(C3458,"'",""),6,2),1),ShadowLedger!$C:$C,"&lt;"&amp;EOMONTH(DATE(LEFT(SUBSTITUTE(C3458,"'",""),4),MID(SUBSTITUTE(C3458,"'",""),6,2),1),0)+1)</f>
        <v>0</v>
      </c>
      <c r="E3458" s="17">
        <f t="shared" si="1"/>
        <v>321</v>
      </c>
      <c r="F3458" s="17">
        <f t="shared" si="2"/>
        <v>0</v>
      </c>
    </row>
    <row r="3459">
      <c r="A3459" s="5" t="s">
        <v>60</v>
      </c>
      <c r="B3459" s="6">
        <v>241.0</v>
      </c>
      <c r="C3459" s="13" t="s">
        <v>415</v>
      </c>
      <c r="D3459" s="17">
        <f>SUMIFS(ShadowLedger!$D:$D,ShadowLedger!$G:$G,A3459,ShadowLedger!$C:$C,"&gt;="&amp;DATE(LEFT(SUBSTITUTE(C3459,"'",""),4),MID(SUBSTITUTE(C3459,"'",""),6,2),1),ShadowLedger!$C:$C,"&lt;"&amp;EOMONTH(DATE(LEFT(SUBSTITUTE(C3459,"'",""),4),MID(SUBSTITUTE(C3459,"'",""),6,2),1),0)+1)</f>
        <v>0</v>
      </c>
      <c r="E3459" s="17">
        <f t="shared" si="1"/>
        <v>241</v>
      </c>
      <c r="F3459" s="17">
        <f t="shared" si="2"/>
        <v>0</v>
      </c>
    </row>
    <row r="3460">
      <c r="A3460" s="5" t="s">
        <v>61</v>
      </c>
      <c r="B3460" s="6">
        <v>193.0</v>
      </c>
      <c r="C3460" s="13" t="s">
        <v>415</v>
      </c>
      <c r="D3460" s="17">
        <f>SUMIFS(ShadowLedger!$D:$D,ShadowLedger!$G:$G,A3460,ShadowLedger!$C:$C,"&gt;="&amp;DATE(LEFT(SUBSTITUTE(C3460,"'",""),4),MID(SUBSTITUTE(C3460,"'",""),6,2),1),ShadowLedger!$C:$C,"&lt;"&amp;EOMONTH(DATE(LEFT(SUBSTITUTE(C3460,"'",""),4),MID(SUBSTITUTE(C3460,"'",""),6,2),1),0)+1)</f>
        <v>0</v>
      </c>
      <c r="E3460" s="17">
        <f t="shared" si="1"/>
        <v>193</v>
      </c>
      <c r="F3460" s="17">
        <f t="shared" si="2"/>
        <v>0</v>
      </c>
    </row>
    <row r="3461">
      <c r="A3461" s="5" t="s">
        <v>62</v>
      </c>
      <c r="B3461" s="6">
        <v>193.0</v>
      </c>
      <c r="C3461" s="13" t="s">
        <v>415</v>
      </c>
      <c r="D3461" s="17">
        <f>SUMIFS(ShadowLedger!$D:$D,ShadowLedger!$G:$G,A3461,ShadowLedger!$C:$C,"&gt;="&amp;DATE(LEFT(SUBSTITUTE(C3461,"'",""),4),MID(SUBSTITUTE(C3461,"'",""),6,2),1),ShadowLedger!$C:$C,"&lt;"&amp;EOMONTH(DATE(LEFT(SUBSTITUTE(C3461,"'",""),4),MID(SUBSTITUTE(C3461,"'",""),6,2),1),0)+1)</f>
        <v>0</v>
      </c>
      <c r="E3461" s="17">
        <f t="shared" si="1"/>
        <v>193</v>
      </c>
      <c r="F3461" s="17">
        <f t="shared" si="2"/>
        <v>0</v>
      </c>
    </row>
    <row r="3462">
      <c r="A3462" s="5" t="s">
        <v>63</v>
      </c>
      <c r="B3462" s="6">
        <v>160.0</v>
      </c>
      <c r="C3462" s="13" t="s">
        <v>415</v>
      </c>
      <c r="D3462" s="17">
        <f>SUMIFS(ShadowLedger!$D:$D,ShadowLedger!$G:$G,A3462,ShadowLedger!$C:$C,"&gt;="&amp;DATE(LEFT(SUBSTITUTE(C3462,"'",""),4),MID(SUBSTITUTE(C3462,"'",""),6,2),1),ShadowLedger!$C:$C,"&lt;"&amp;EOMONTH(DATE(LEFT(SUBSTITUTE(C3462,"'",""),4),MID(SUBSTITUTE(C3462,"'",""),6,2),1),0)+1)</f>
        <v>0</v>
      </c>
      <c r="E3462" s="17">
        <f t="shared" si="1"/>
        <v>160</v>
      </c>
      <c r="F3462" s="17">
        <f t="shared" si="2"/>
        <v>0</v>
      </c>
    </row>
    <row r="3463">
      <c r="A3463" s="5" t="s">
        <v>64</v>
      </c>
      <c r="B3463" s="6">
        <v>160.0</v>
      </c>
      <c r="C3463" s="13" t="s">
        <v>415</v>
      </c>
      <c r="D3463" s="17">
        <f>SUMIFS(ShadowLedger!$D:$D,ShadowLedger!$G:$G,A3463,ShadowLedger!$C:$C,"&gt;="&amp;DATE(LEFT(SUBSTITUTE(C3463,"'",""),4),MID(SUBSTITUTE(C3463,"'",""),6,2),1),ShadowLedger!$C:$C,"&lt;"&amp;EOMONTH(DATE(LEFT(SUBSTITUTE(C3463,"'",""),4),MID(SUBSTITUTE(C3463,"'",""),6,2),1),0)+1)</f>
        <v>0</v>
      </c>
      <c r="E3463" s="17">
        <f t="shared" si="1"/>
        <v>160</v>
      </c>
      <c r="F3463" s="17">
        <f t="shared" si="2"/>
        <v>0</v>
      </c>
    </row>
    <row r="3464">
      <c r="A3464" s="5" t="s">
        <v>70</v>
      </c>
      <c r="B3464" s="6">
        <v>160.0</v>
      </c>
      <c r="C3464" s="13" t="s">
        <v>415</v>
      </c>
      <c r="D3464" s="17">
        <f>SUMIFS(ShadowLedger!$D:$D,ShadowLedger!$G:$G,A3464,ShadowLedger!$C:$C,"&gt;="&amp;DATE(LEFT(SUBSTITUTE(C3464,"'",""),4),MID(SUBSTITUTE(C3464,"'",""),6,2),1),ShadowLedger!$C:$C,"&lt;"&amp;EOMONTH(DATE(LEFT(SUBSTITUTE(C3464,"'",""),4),MID(SUBSTITUTE(C3464,"'",""),6,2),1),0)+1)</f>
        <v>0</v>
      </c>
      <c r="E3464" s="17">
        <f t="shared" si="1"/>
        <v>160</v>
      </c>
      <c r="F3464" s="17">
        <f t="shared" si="2"/>
        <v>0</v>
      </c>
    </row>
    <row r="3465">
      <c r="A3465" s="5" t="s">
        <v>65</v>
      </c>
      <c r="B3465" s="6">
        <v>80.0</v>
      </c>
      <c r="C3465" s="13" t="s">
        <v>415</v>
      </c>
      <c r="D3465" s="17">
        <f>SUMIFS(ShadowLedger!$D:$D,ShadowLedger!$G:$G,A3465,ShadowLedger!$C:$C,"&gt;="&amp;DATE(LEFT(SUBSTITUTE(C3465,"'",""),4),MID(SUBSTITUTE(C3465,"'",""),6,2),1),ShadowLedger!$C:$C,"&lt;"&amp;EOMONTH(DATE(LEFT(SUBSTITUTE(C3465,"'",""),4),MID(SUBSTITUTE(C3465,"'",""),6,2),1),0)+1)</f>
        <v>0</v>
      </c>
      <c r="E3465" s="17">
        <f t="shared" si="1"/>
        <v>80</v>
      </c>
      <c r="F3465" s="17">
        <f t="shared" si="2"/>
        <v>0</v>
      </c>
    </row>
    <row r="3466">
      <c r="A3466" s="5" t="s">
        <v>66</v>
      </c>
      <c r="B3466" s="6">
        <v>80.0</v>
      </c>
      <c r="C3466" s="13" t="s">
        <v>415</v>
      </c>
      <c r="D3466" s="17">
        <f>SUMIFS(ShadowLedger!$D:$D,ShadowLedger!$G:$G,A3466,ShadowLedger!$C:$C,"&gt;="&amp;DATE(LEFT(SUBSTITUTE(C3466,"'",""),4),MID(SUBSTITUTE(C3466,"'",""),6,2),1),ShadowLedger!$C:$C,"&lt;"&amp;EOMONTH(DATE(LEFT(SUBSTITUTE(C3466,"'",""),4),MID(SUBSTITUTE(C3466,"'",""),6,2),1),0)+1)</f>
        <v>0</v>
      </c>
      <c r="E3466" s="17">
        <f t="shared" si="1"/>
        <v>80</v>
      </c>
      <c r="F3466" s="17">
        <f t="shared" si="2"/>
        <v>0</v>
      </c>
    </row>
    <row r="3467">
      <c r="A3467" s="5" t="s">
        <v>67</v>
      </c>
      <c r="B3467" s="6">
        <v>80.0</v>
      </c>
      <c r="C3467" s="13" t="s">
        <v>415</v>
      </c>
      <c r="D3467" s="17">
        <f>SUMIFS(ShadowLedger!$D:$D,ShadowLedger!$G:$G,A3467,ShadowLedger!$C:$C,"&gt;="&amp;DATE(LEFT(SUBSTITUTE(C3467,"'",""),4),MID(SUBSTITUTE(C3467,"'",""),6,2),1),ShadowLedger!$C:$C,"&lt;"&amp;EOMONTH(DATE(LEFT(SUBSTITUTE(C3467,"'",""),4),MID(SUBSTITUTE(C3467,"'",""),6,2),1),0)+1)</f>
        <v>0</v>
      </c>
      <c r="E3467" s="17">
        <f t="shared" si="1"/>
        <v>80</v>
      </c>
      <c r="F3467" s="17">
        <f t="shared" si="2"/>
        <v>0</v>
      </c>
    </row>
    <row r="3468">
      <c r="A3468" s="5" t="s">
        <v>68</v>
      </c>
      <c r="B3468" s="6">
        <v>80.0</v>
      </c>
      <c r="C3468" s="13" t="s">
        <v>415</v>
      </c>
      <c r="D3468" s="17">
        <f>SUMIFS(ShadowLedger!$D:$D,ShadowLedger!$G:$G,A3468,ShadowLedger!$C:$C,"&gt;="&amp;DATE(LEFT(SUBSTITUTE(C3468,"'",""),4),MID(SUBSTITUTE(C3468,"'",""),6,2),1),ShadowLedger!$C:$C,"&lt;"&amp;EOMONTH(DATE(LEFT(SUBSTITUTE(C3468,"'",""),4),MID(SUBSTITUTE(C3468,"'",""),6,2),1),0)+1)</f>
        <v>0</v>
      </c>
      <c r="E3468" s="17">
        <f t="shared" si="1"/>
        <v>80</v>
      </c>
      <c r="F3468" s="17">
        <f t="shared" si="2"/>
        <v>0</v>
      </c>
    </row>
    <row r="3469">
      <c r="A3469" s="5" t="s">
        <v>69</v>
      </c>
      <c r="B3469" s="6">
        <v>0.0</v>
      </c>
      <c r="C3469" s="13" t="s">
        <v>415</v>
      </c>
      <c r="D3469" s="17">
        <f>SUMIFS(ShadowLedger!$D:$D,ShadowLedger!$G:$G,A3469,ShadowLedger!$C:$C,"&gt;="&amp;DATE(LEFT(SUBSTITUTE(C3469,"'",""),4),MID(SUBSTITUTE(C3469,"'",""),6,2),1),ShadowLedger!$C:$C,"&lt;"&amp;EOMONTH(DATE(LEFT(SUBSTITUTE(C3469,"'",""),4),MID(SUBSTITUTE(C3469,"'",""),6,2),1),0)+1)</f>
        <v>0</v>
      </c>
      <c r="E3469" s="17">
        <f t="shared" si="1"/>
        <v>0</v>
      </c>
      <c r="F3469" s="17">
        <f t="shared" si="2"/>
        <v>0</v>
      </c>
    </row>
    <row r="3470">
      <c r="A3470" s="5" t="s">
        <v>54</v>
      </c>
      <c r="B3470" s="6">
        <v>1476.0</v>
      </c>
      <c r="C3470" s="13" t="s">
        <v>416</v>
      </c>
      <c r="D3470" s="17">
        <f>SUMIFS(ShadowLedger!$D:$D,ShadowLedger!$G:$G,A3470,ShadowLedger!$C:$C,"&gt;="&amp;DATE(LEFT(SUBSTITUTE(C3470,"'",""),4),MID(SUBSTITUTE(C3470,"'",""),6,2),1),ShadowLedger!$C:$C,"&lt;"&amp;EOMONTH(DATE(LEFT(SUBSTITUTE(C3470,"'",""),4),MID(SUBSTITUTE(C3470,"'",""),6,2),1),0)+1)</f>
        <v>0</v>
      </c>
      <c r="E3470" s="17">
        <f t="shared" si="1"/>
        <v>1476</v>
      </c>
      <c r="F3470" s="17">
        <f t="shared" si="2"/>
        <v>0</v>
      </c>
    </row>
    <row r="3471">
      <c r="A3471" s="5" t="s">
        <v>55</v>
      </c>
      <c r="B3471" s="6">
        <v>1123.0</v>
      </c>
      <c r="C3471" s="13" t="s">
        <v>416</v>
      </c>
      <c r="D3471" s="17">
        <f>SUMIFS(ShadowLedger!$D:$D,ShadowLedger!$G:$G,A3471,ShadowLedger!$C:$C,"&gt;="&amp;DATE(LEFT(SUBSTITUTE(C3471,"'",""),4),MID(SUBSTITUTE(C3471,"'",""),6,2),1),ShadowLedger!$C:$C,"&lt;"&amp;EOMONTH(DATE(LEFT(SUBSTITUTE(C3471,"'",""),4),MID(SUBSTITUTE(C3471,"'",""),6,2),1),0)+1)</f>
        <v>0</v>
      </c>
      <c r="E3471" s="17">
        <f t="shared" si="1"/>
        <v>1123</v>
      </c>
      <c r="F3471" s="17">
        <f t="shared" si="2"/>
        <v>0</v>
      </c>
    </row>
    <row r="3472">
      <c r="A3472" s="5" t="s">
        <v>56</v>
      </c>
      <c r="B3472" s="6">
        <v>802.0</v>
      </c>
      <c r="C3472" s="13" t="s">
        <v>416</v>
      </c>
      <c r="D3472" s="17">
        <f>SUMIFS(ShadowLedger!$D:$D,ShadowLedger!$G:$G,A3472,ShadowLedger!$C:$C,"&gt;="&amp;DATE(LEFT(SUBSTITUTE(C3472,"'",""),4),MID(SUBSTITUTE(C3472,"'",""),6,2),1),ShadowLedger!$C:$C,"&lt;"&amp;EOMONTH(DATE(LEFT(SUBSTITUTE(C3472,"'",""),4),MID(SUBSTITUTE(C3472,"'",""),6,2),1),0)+1)</f>
        <v>0</v>
      </c>
      <c r="E3472" s="17">
        <f t="shared" si="1"/>
        <v>802</v>
      </c>
      <c r="F3472" s="17">
        <f t="shared" si="2"/>
        <v>0</v>
      </c>
    </row>
    <row r="3473">
      <c r="A3473" s="5" t="s">
        <v>57</v>
      </c>
      <c r="B3473" s="6">
        <v>802.0</v>
      </c>
      <c r="C3473" s="13" t="s">
        <v>416</v>
      </c>
      <c r="D3473" s="17">
        <f>SUMIFS(ShadowLedger!$D:$D,ShadowLedger!$G:$G,A3473,ShadowLedger!$C:$C,"&gt;="&amp;DATE(LEFT(SUBSTITUTE(C3473,"'",""),4),MID(SUBSTITUTE(C3473,"'",""),6,2),1),ShadowLedger!$C:$C,"&lt;"&amp;EOMONTH(DATE(LEFT(SUBSTITUTE(C3473,"'",""),4),MID(SUBSTITUTE(C3473,"'",""),6,2),1),0)+1)</f>
        <v>0</v>
      </c>
      <c r="E3473" s="17">
        <f t="shared" si="1"/>
        <v>802</v>
      </c>
      <c r="F3473" s="17">
        <f t="shared" si="2"/>
        <v>0</v>
      </c>
    </row>
    <row r="3474">
      <c r="A3474" s="5" t="s">
        <v>58</v>
      </c>
      <c r="B3474" s="6">
        <v>642.0</v>
      </c>
      <c r="C3474" s="13" t="s">
        <v>416</v>
      </c>
      <c r="D3474" s="17">
        <f>SUMIFS(ShadowLedger!$D:$D,ShadowLedger!$G:$G,A3474,ShadowLedger!$C:$C,"&gt;="&amp;DATE(LEFT(SUBSTITUTE(C3474,"'",""),4),MID(SUBSTITUTE(C3474,"'",""),6,2),1),ShadowLedger!$C:$C,"&lt;"&amp;EOMONTH(DATE(LEFT(SUBSTITUTE(C3474,"'",""),4),MID(SUBSTITUTE(C3474,"'",""),6,2),1),0)+1)</f>
        <v>0</v>
      </c>
      <c r="E3474" s="17">
        <f t="shared" si="1"/>
        <v>642</v>
      </c>
      <c r="F3474" s="17">
        <f t="shared" si="2"/>
        <v>0</v>
      </c>
    </row>
    <row r="3475">
      <c r="A3475" s="5" t="s">
        <v>59</v>
      </c>
      <c r="B3475" s="6">
        <v>321.0</v>
      </c>
      <c r="C3475" s="13" t="s">
        <v>416</v>
      </c>
      <c r="D3475" s="17">
        <f>SUMIFS(ShadowLedger!$D:$D,ShadowLedger!$G:$G,A3475,ShadowLedger!$C:$C,"&gt;="&amp;DATE(LEFT(SUBSTITUTE(C3475,"'",""),4),MID(SUBSTITUTE(C3475,"'",""),6,2),1),ShadowLedger!$C:$C,"&lt;"&amp;EOMONTH(DATE(LEFT(SUBSTITUTE(C3475,"'",""),4),MID(SUBSTITUTE(C3475,"'",""),6,2),1),0)+1)</f>
        <v>0</v>
      </c>
      <c r="E3475" s="17">
        <f t="shared" si="1"/>
        <v>321</v>
      </c>
      <c r="F3475" s="17">
        <f t="shared" si="2"/>
        <v>0</v>
      </c>
    </row>
    <row r="3476">
      <c r="A3476" s="5" t="s">
        <v>60</v>
      </c>
      <c r="B3476" s="6">
        <v>241.0</v>
      </c>
      <c r="C3476" s="13" t="s">
        <v>416</v>
      </c>
      <c r="D3476" s="17">
        <f>SUMIFS(ShadowLedger!$D:$D,ShadowLedger!$G:$G,A3476,ShadowLedger!$C:$C,"&gt;="&amp;DATE(LEFT(SUBSTITUTE(C3476,"'",""),4),MID(SUBSTITUTE(C3476,"'",""),6,2),1),ShadowLedger!$C:$C,"&lt;"&amp;EOMONTH(DATE(LEFT(SUBSTITUTE(C3476,"'",""),4),MID(SUBSTITUTE(C3476,"'",""),6,2),1),0)+1)</f>
        <v>0</v>
      </c>
      <c r="E3476" s="17">
        <f t="shared" si="1"/>
        <v>241</v>
      </c>
      <c r="F3476" s="17">
        <f t="shared" si="2"/>
        <v>0</v>
      </c>
    </row>
    <row r="3477">
      <c r="A3477" s="5" t="s">
        <v>61</v>
      </c>
      <c r="B3477" s="6">
        <v>193.0</v>
      </c>
      <c r="C3477" s="13" t="s">
        <v>416</v>
      </c>
      <c r="D3477" s="17">
        <f>SUMIFS(ShadowLedger!$D:$D,ShadowLedger!$G:$G,A3477,ShadowLedger!$C:$C,"&gt;="&amp;DATE(LEFT(SUBSTITUTE(C3477,"'",""),4),MID(SUBSTITUTE(C3477,"'",""),6,2),1),ShadowLedger!$C:$C,"&lt;"&amp;EOMONTH(DATE(LEFT(SUBSTITUTE(C3477,"'",""),4),MID(SUBSTITUTE(C3477,"'",""),6,2),1),0)+1)</f>
        <v>0</v>
      </c>
      <c r="E3477" s="17">
        <f t="shared" si="1"/>
        <v>193</v>
      </c>
      <c r="F3477" s="17">
        <f t="shared" si="2"/>
        <v>0</v>
      </c>
    </row>
    <row r="3478">
      <c r="A3478" s="5" t="s">
        <v>62</v>
      </c>
      <c r="B3478" s="6">
        <v>193.0</v>
      </c>
      <c r="C3478" s="13" t="s">
        <v>416</v>
      </c>
      <c r="D3478" s="17">
        <f>SUMIFS(ShadowLedger!$D:$D,ShadowLedger!$G:$G,A3478,ShadowLedger!$C:$C,"&gt;="&amp;DATE(LEFT(SUBSTITUTE(C3478,"'",""),4),MID(SUBSTITUTE(C3478,"'",""),6,2),1),ShadowLedger!$C:$C,"&lt;"&amp;EOMONTH(DATE(LEFT(SUBSTITUTE(C3478,"'",""),4),MID(SUBSTITUTE(C3478,"'",""),6,2),1),0)+1)</f>
        <v>0</v>
      </c>
      <c r="E3478" s="17">
        <f t="shared" si="1"/>
        <v>193</v>
      </c>
      <c r="F3478" s="17">
        <f t="shared" si="2"/>
        <v>0</v>
      </c>
    </row>
    <row r="3479">
      <c r="A3479" s="5" t="s">
        <v>63</v>
      </c>
      <c r="B3479" s="6">
        <v>160.0</v>
      </c>
      <c r="C3479" s="13" t="s">
        <v>416</v>
      </c>
      <c r="D3479" s="17">
        <f>SUMIFS(ShadowLedger!$D:$D,ShadowLedger!$G:$G,A3479,ShadowLedger!$C:$C,"&gt;="&amp;DATE(LEFT(SUBSTITUTE(C3479,"'",""),4),MID(SUBSTITUTE(C3479,"'",""),6,2),1),ShadowLedger!$C:$C,"&lt;"&amp;EOMONTH(DATE(LEFT(SUBSTITUTE(C3479,"'",""),4),MID(SUBSTITUTE(C3479,"'",""),6,2),1),0)+1)</f>
        <v>0</v>
      </c>
      <c r="E3479" s="17">
        <f t="shared" si="1"/>
        <v>160</v>
      </c>
      <c r="F3479" s="17">
        <f t="shared" si="2"/>
        <v>0</v>
      </c>
    </row>
    <row r="3480">
      <c r="A3480" s="5" t="s">
        <v>64</v>
      </c>
      <c r="B3480" s="6">
        <v>160.0</v>
      </c>
      <c r="C3480" s="13" t="s">
        <v>416</v>
      </c>
      <c r="D3480" s="17">
        <f>SUMIFS(ShadowLedger!$D:$D,ShadowLedger!$G:$G,A3480,ShadowLedger!$C:$C,"&gt;="&amp;DATE(LEFT(SUBSTITUTE(C3480,"'",""),4),MID(SUBSTITUTE(C3480,"'",""),6,2),1),ShadowLedger!$C:$C,"&lt;"&amp;EOMONTH(DATE(LEFT(SUBSTITUTE(C3480,"'",""),4),MID(SUBSTITUTE(C3480,"'",""),6,2),1),0)+1)</f>
        <v>0</v>
      </c>
      <c r="E3480" s="17">
        <f t="shared" si="1"/>
        <v>160</v>
      </c>
      <c r="F3480" s="17">
        <f t="shared" si="2"/>
        <v>0</v>
      </c>
    </row>
    <row r="3481">
      <c r="A3481" s="5" t="s">
        <v>70</v>
      </c>
      <c r="B3481" s="6">
        <v>160.0</v>
      </c>
      <c r="C3481" s="13" t="s">
        <v>416</v>
      </c>
      <c r="D3481" s="17">
        <f>SUMIFS(ShadowLedger!$D:$D,ShadowLedger!$G:$G,A3481,ShadowLedger!$C:$C,"&gt;="&amp;DATE(LEFT(SUBSTITUTE(C3481,"'",""),4),MID(SUBSTITUTE(C3481,"'",""),6,2),1),ShadowLedger!$C:$C,"&lt;"&amp;EOMONTH(DATE(LEFT(SUBSTITUTE(C3481,"'",""),4),MID(SUBSTITUTE(C3481,"'",""),6,2),1),0)+1)</f>
        <v>0</v>
      </c>
      <c r="E3481" s="17">
        <f t="shared" si="1"/>
        <v>160</v>
      </c>
      <c r="F3481" s="17">
        <f t="shared" si="2"/>
        <v>0</v>
      </c>
    </row>
    <row r="3482">
      <c r="A3482" s="5" t="s">
        <v>65</v>
      </c>
      <c r="B3482" s="6">
        <v>80.0</v>
      </c>
      <c r="C3482" s="13" t="s">
        <v>416</v>
      </c>
      <c r="D3482" s="17">
        <f>SUMIFS(ShadowLedger!$D:$D,ShadowLedger!$G:$G,A3482,ShadowLedger!$C:$C,"&gt;="&amp;DATE(LEFT(SUBSTITUTE(C3482,"'",""),4),MID(SUBSTITUTE(C3482,"'",""),6,2),1),ShadowLedger!$C:$C,"&lt;"&amp;EOMONTH(DATE(LEFT(SUBSTITUTE(C3482,"'",""),4),MID(SUBSTITUTE(C3482,"'",""),6,2),1),0)+1)</f>
        <v>0</v>
      </c>
      <c r="E3482" s="17">
        <f t="shared" si="1"/>
        <v>80</v>
      </c>
      <c r="F3482" s="17">
        <f t="shared" si="2"/>
        <v>0</v>
      </c>
    </row>
    <row r="3483">
      <c r="A3483" s="5" t="s">
        <v>66</v>
      </c>
      <c r="B3483" s="6">
        <v>80.0</v>
      </c>
      <c r="C3483" s="13" t="s">
        <v>416</v>
      </c>
      <c r="D3483" s="17">
        <f>SUMIFS(ShadowLedger!$D:$D,ShadowLedger!$G:$G,A3483,ShadowLedger!$C:$C,"&gt;="&amp;DATE(LEFT(SUBSTITUTE(C3483,"'",""),4),MID(SUBSTITUTE(C3483,"'",""),6,2),1),ShadowLedger!$C:$C,"&lt;"&amp;EOMONTH(DATE(LEFT(SUBSTITUTE(C3483,"'",""),4),MID(SUBSTITUTE(C3483,"'",""),6,2),1),0)+1)</f>
        <v>0</v>
      </c>
      <c r="E3483" s="17">
        <f t="shared" si="1"/>
        <v>80</v>
      </c>
      <c r="F3483" s="17">
        <f t="shared" si="2"/>
        <v>0</v>
      </c>
    </row>
    <row r="3484">
      <c r="A3484" s="5" t="s">
        <v>67</v>
      </c>
      <c r="B3484" s="6">
        <v>80.0</v>
      </c>
      <c r="C3484" s="13" t="s">
        <v>416</v>
      </c>
      <c r="D3484" s="17">
        <f>SUMIFS(ShadowLedger!$D:$D,ShadowLedger!$G:$G,A3484,ShadowLedger!$C:$C,"&gt;="&amp;DATE(LEFT(SUBSTITUTE(C3484,"'",""),4),MID(SUBSTITUTE(C3484,"'",""),6,2),1),ShadowLedger!$C:$C,"&lt;"&amp;EOMONTH(DATE(LEFT(SUBSTITUTE(C3484,"'",""),4),MID(SUBSTITUTE(C3484,"'",""),6,2),1),0)+1)</f>
        <v>0</v>
      </c>
      <c r="E3484" s="17">
        <f t="shared" si="1"/>
        <v>80</v>
      </c>
      <c r="F3484" s="17">
        <f t="shared" si="2"/>
        <v>0</v>
      </c>
    </row>
    <row r="3485">
      <c r="A3485" s="5" t="s">
        <v>68</v>
      </c>
      <c r="B3485" s="6">
        <v>80.0</v>
      </c>
      <c r="C3485" s="13" t="s">
        <v>416</v>
      </c>
      <c r="D3485" s="17">
        <f>SUMIFS(ShadowLedger!$D:$D,ShadowLedger!$G:$G,A3485,ShadowLedger!$C:$C,"&gt;="&amp;DATE(LEFT(SUBSTITUTE(C3485,"'",""),4),MID(SUBSTITUTE(C3485,"'",""),6,2),1),ShadowLedger!$C:$C,"&lt;"&amp;EOMONTH(DATE(LEFT(SUBSTITUTE(C3485,"'",""),4),MID(SUBSTITUTE(C3485,"'",""),6,2),1),0)+1)</f>
        <v>0</v>
      </c>
      <c r="E3485" s="17">
        <f t="shared" si="1"/>
        <v>80</v>
      </c>
      <c r="F3485" s="17">
        <f t="shared" si="2"/>
        <v>0</v>
      </c>
    </row>
    <row r="3486">
      <c r="A3486" s="5" t="s">
        <v>69</v>
      </c>
      <c r="B3486" s="6">
        <v>0.0</v>
      </c>
      <c r="C3486" s="13" t="s">
        <v>416</v>
      </c>
      <c r="D3486" s="17">
        <f>SUMIFS(ShadowLedger!$D:$D,ShadowLedger!$G:$G,A3486,ShadowLedger!$C:$C,"&gt;="&amp;DATE(LEFT(SUBSTITUTE(C3486,"'",""),4),MID(SUBSTITUTE(C3486,"'",""),6,2),1),ShadowLedger!$C:$C,"&lt;"&amp;EOMONTH(DATE(LEFT(SUBSTITUTE(C3486,"'",""),4),MID(SUBSTITUTE(C3486,"'",""),6,2),1),0)+1)</f>
        <v>0</v>
      </c>
      <c r="E3486" s="17">
        <f t="shared" si="1"/>
        <v>0</v>
      </c>
      <c r="F3486" s="17">
        <f t="shared" si="2"/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139</v>
      </c>
      <c r="B1" s="8" t="s">
        <v>417</v>
      </c>
      <c r="C1" s="5" t="s">
        <v>418</v>
      </c>
      <c r="D1" s="5" t="s">
        <v>419</v>
      </c>
      <c r="E1" s="5" t="s">
        <v>420</v>
      </c>
      <c r="F1" s="5" t="s">
        <v>421</v>
      </c>
    </row>
    <row r="2">
      <c r="A2" s="5" t="s">
        <v>54</v>
      </c>
      <c r="B2" s="12">
        <v>920.0</v>
      </c>
      <c r="C2" s="14">
        <f>SUMIFS(ShadowLedger!D:D,ShadowLedger!G:G,A2,ShadowLedger!O:O,TEXT(TODAY(),"YYYY-MM"))</f>
        <v>913</v>
      </c>
      <c r="D2" s="14">
        <f t="shared" ref="D2:D18" si="1">B2-C2
</f>
        <v>7</v>
      </c>
      <c r="E2" s="18">
        <f t="shared" ref="E2:E19" si="2">IF(B2&gt;0,C2/B2,0)</f>
        <v>0.9923913043</v>
      </c>
      <c r="F2" s="19" t="str">
        <f t="shared" ref="F2:F19" si="3">IF(E2&gt;=1,"🔴 OVER",IF(E2&gt;=0.8,"🟠 WARNING",IF(E2&gt;=0.5,"🟡 INFO","🟢 OK")))</f>
        <v>🟠 WARNING</v>
      </c>
    </row>
    <row r="3">
      <c r="A3" s="5" t="s">
        <v>55</v>
      </c>
      <c r="B3" s="12">
        <v>700.0</v>
      </c>
      <c r="C3" s="14">
        <f>SUMIFS(ShadowLedger!D:D,ShadowLedger!G:G,A3,ShadowLedger!O:O,TEXT(TODAY(),"YYYY-MM"))</f>
        <v>229.57</v>
      </c>
      <c r="D3" s="14">
        <f t="shared" si="1"/>
        <v>470.43</v>
      </c>
      <c r="E3" s="18">
        <f t="shared" si="2"/>
        <v>0.3279571429</v>
      </c>
      <c r="F3" s="19" t="str">
        <f t="shared" si="3"/>
        <v>🟢 OK</v>
      </c>
    </row>
    <row r="4">
      <c r="A4" s="5" t="s">
        <v>56</v>
      </c>
      <c r="B4" s="12">
        <v>500.0</v>
      </c>
      <c r="C4" s="14">
        <f>SUMIFS(ShadowLedger!D:D,ShadowLedger!G:G,A4,ShadowLedger!O:O,TEXT(TODAY(),"YYYY-MM"))</f>
        <v>907.1</v>
      </c>
      <c r="D4" s="14">
        <f t="shared" si="1"/>
        <v>-407.1</v>
      </c>
      <c r="E4" s="18">
        <f t="shared" si="2"/>
        <v>1.8142</v>
      </c>
      <c r="F4" s="19" t="str">
        <f t="shared" si="3"/>
        <v>🔴 OVER</v>
      </c>
    </row>
    <row r="5">
      <c r="A5" s="5" t="s">
        <v>57</v>
      </c>
      <c r="B5" s="12">
        <v>500.0</v>
      </c>
      <c r="C5" s="14">
        <f>SUMIFS(ShadowLedger!D:D,ShadowLedger!G:G,A5,ShadowLedger!O:O,TEXT(TODAY(),"YYYY-MM"))</f>
        <v>55</v>
      </c>
      <c r="D5" s="14">
        <f t="shared" si="1"/>
        <v>445</v>
      </c>
      <c r="E5" s="18">
        <f t="shared" si="2"/>
        <v>0.11</v>
      </c>
      <c r="F5" s="19" t="str">
        <f t="shared" si="3"/>
        <v>🟢 OK</v>
      </c>
    </row>
    <row r="6">
      <c r="A6" s="5" t="s">
        <v>58</v>
      </c>
      <c r="B6" s="12">
        <v>400.0</v>
      </c>
      <c r="C6" s="14">
        <f>SUMIFS(ShadowLedger!D:D,ShadowLedger!G:G,A6,ShadowLedger!O:O,TEXT(TODAY(),"YYYY-MM"))</f>
        <v>882</v>
      </c>
      <c r="D6" s="14">
        <f t="shared" si="1"/>
        <v>-482</v>
      </c>
      <c r="E6" s="18">
        <f t="shared" si="2"/>
        <v>2.205</v>
      </c>
      <c r="F6" s="19" t="str">
        <f t="shared" si="3"/>
        <v>🔴 OVER</v>
      </c>
    </row>
    <row r="7">
      <c r="A7" s="5" t="s">
        <v>59</v>
      </c>
      <c r="B7" s="12">
        <v>200.0</v>
      </c>
      <c r="C7" s="14">
        <f>SUMIFS(ShadowLedger!D:D,ShadowLedger!G:G,A7,ShadowLedger!O:O,TEXT(TODAY(),"YYYY-MM"))</f>
        <v>457.21</v>
      </c>
      <c r="D7" s="14">
        <f t="shared" si="1"/>
        <v>-257.21</v>
      </c>
      <c r="E7" s="18">
        <f t="shared" si="2"/>
        <v>2.28605</v>
      </c>
      <c r="F7" s="19" t="str">
        <f t="shared" si="3"/>
        <v>🔴 OVER</v>
      </c>
    </row>
    <row r="8">
      <c r="A8" s="5" t="s">
        <v>60</v>
      </c>
      <c r="B8" s="12">
        <v>150.0</v>
      </c>
      <c r="C8" s="14">
        <f>SUMIFS(ShadowLedger!D:D,ShadowLedger!G:G,A8,ShadowLedger!O:O,TEXT(TODAY(),"YYYY-MM"))</f>
        <v>792.58</v>
      </c>
      <c r="D8" s="14">
        <f t="shared" si="1"/>
        <v>-642.58</v>
      </c>
      <c r="E8" s="18">
        <f t="shared" si="2"/>
        <v>5.283866667</v>
      </c>
      <c r="F8" s="19" t="str">
        <f t="shared" si="3"/>
        <v>🔴 OVER</v>
      </c>
    </row>
    <row r="9">
      <c r="A9" s="5" t="s">
        <v>61</v>
      </c>
      <c r="B9" s="12">
        <v>120.0</v>
      </c>
      <c r="C9" s="14">
        <f>SUMIFS(ShadowLedger!D:D,ShadowLedger!G:G,A9,ShadowLedger!O:O,TEXT(TODAY(),"YYYY-MM"))</f>
        <v>0</v>
      </c>
      <c r="D9" s="14">
        <f t="shared" si="1"/>
        <v>120</v>
      </c>
      <c r="E9" s="18">
        <f t="shared" si="2"/>
        <v>0</v>
      </c>
      <c r="F9" s="19" t="str">
        <f t="shared" si="3"/>
        <v>🟢 OK</v>
      </c>
    </row>
    <row r="10">
      <c r="A10" s="5" t="s">
        <v>62</v>
      </c>
      <c r="B10" s="12">
        <v>120.0</v>
      </c>
      <c r="C10" s="14">
        <f>SUMIFS(ShadowLedger!D:D,ShadowLedger!G:G,A10,ShadowLedger!O:O,TEXT(TODAY(),"YYYY-MM"))</f>
        <v>160.5</v>
      </c>
      <c r="D10" s="14">
        <f t="shared" si="1"/>
        <v>-40.5</v>
      </c>
      <c r="E10" s="18">
        <f t="shared" si="2"/>
        <v>1.3375</v>
      </c>
      <c r="F10" s="19" t="str">
        <f t="shared" si="3"/>
        <v>🔴 OVER</v>
      </c>
    </row>
    <row r="11">
      <c r="A11" s="5" t="s">
        <v>63</v>
      </c>
      <c r="B11" s="12">
        <v>100.0</v>
      </c>
      <c r="C11" s="14">
        <f>SUMIFS(ShadowLedger!D:D,ShadowLedger!G:G,A11,ShadowLedger!O:O,TEXT(TODAY(),"YYYY-MM"))</f>
        <v>524.45</v>
      </c>
      <c r="D11" s="14">
        <f t="shared" si="1"/>
        <v>-424.45</v>
      </c>
      <c r="E11" s="18">
        <f t="shared" si="2"/>
        <v>5.2445</v>
      </c>
      <c r="F11" s="19" t="str">
        <f t="shared" si="3"/>
        <v>🔴 OVER</v>
      </c>
    </row>
    <row r="12">
      <c r="A12" s="5" t="s">
        <v>64</v>
      </c>
      <c r="B12" s="12">
        <v>100.0</v>
      </c>
      <c r="C12" s="14">
        <f>SUMIFS(ShadowLedger!D:D,ShadowLedger!G:G,A12,ShadowLedger!O:O,TEXT(TODAY(),"YYYY-MM"))</f>
        <v>0</v>
      </c>
      <c r="D12" s="14">
        <f t="shared" si="1"/>
        <v>100</v>
      </c>
      <c r="E12" s="18">
        <f t="shared" si="2"/>
        <v>0</v>
      </c>
      <c r="F12" s="19" t="str">
        <f t="shared" si="3"/>
        <v>🟢 OK</v>
      </c>
    </row>
    <row r="13">
      <c r="A13" s="5" t="s">
        <v>70</v>
      </c>
      <c r="B13" s="12">
        <v>100.0</v>
      </c>
      <c r="C13" s="14">
        <f>SUMIFS(ShadowLedger!D:D,ShadowLedger!G:G,A13,ShadowLedger!O:O,TEXT(TODAY(),"YYYY-MM"))</f>
        <v>67.37</v>
      </c>
      <c r="D13" s="14">
        <f t="shared" si="1"/>
        <v>32.63</v>
      </c>
      <c r="E13" s="18">
        <f t="shared" si="2"/>
        <v>0.6737</v>
      </c>
      <c r="F13" s="19" t="str">
        <f t="shared" si="3"/>
        <v>🟡 INFO</v>
      </c>
    </row>
    <row r="14">
      <c r="A14" s="5" t="s">
        <v>65</v>
      </c>
      <c r="B14" s="12">
        <v>50.0</v>
      </c>
      <c r="C14" s="14">
        <f>SUMIFS(ShadowLedger!D:D,ShadowLedger!G:G,A14,ShadowLedger!O:O,TEXT(TODAY(),"YYYY-MM"))</f>
        <v>123.5</v>
      </c>
      <c r="D14" s="14">
        <f t="shared" si="1"/>
        <v>-73.5</v>
      </c>
      <c r="E14" s="18">
        <f t="shared" si="2"/>
        <v>2.47</v>
      </c>
      <c r="F14" s="19" t="str">
        <f t="shared" si="3"/>
        <v>🔴 OVER</v>
      </c>
    </row>
    <row r="15">
      <c r="A15" s="5" t="s">
        <v>66</v>
      </c>
      <c r="B15" s="12">
        <v>50.0</v>
      </c>
      <c r="C15" s="14">
        <f>SUMIFS(ShadowLedger!D:D,ShadowLedger!G:G,A15,ShadowLedger!O:O,TEXT(TODAY(),"YYYY-MM"))</f>
        <v>257</v>
      </c>
      <c r="D15" s="14">
        <f t="shared" si="1"/>
        <v>-207</v>
      </c>
      <c r="E15" s="18">
        <f t="shared" si="2"/>
        <v>5.14</v>
      </c>
      <c r="F15" s="19" t="str">
        <f t="shared" si="3"/>
        <v>🔴 OVER</v>
      </c>
    </row>
    <row r="16">
      <c r="A16" s="5" t="s">
        <v>67</v>
      </c>
      <c r="B16" s="12">
        <v>50.0</v>
      </c>
      <c r="C16" s="14">
        <f>SUMIFS(ShadowLedger!D:D,ShadowLedger!G:G,A16,ShadowLedger!O:O,TEXT(TODAY(),"YYYY-MM"))</f>
        <v>48.74</v>
      </c>
      <c r="D16" s="14">
        <f t="shared" si="1"/>
        <v>1.26</v>
      </c>
      <c r="E16" s="18">
        <f t="shared" si="2"/>
        <v>0.9748</v>
      </c>
      <c r="F16" s="19" t="str">
        <f t="shared" si="3"/>
        <v>🟠 WARNING</v>
      </c>
    </row>
    <row r="17">
      <c r="A17" s="5" t="s">
        <v>68</v>
      </c>
      <c r="B17" s="12">
        <v>50.0</v>
      </c>
      <c r="C17" s="14">
        <f>SUMIFS(ShadowLedger!D:D,ShadowLedger!G:G,A17,ShadowLedger!O:O,TEXT(TODAY(),"YYYY-MM"))</f>
        <v>494.36</v>
      </c>
      <c r="D17" s="14">
        <f t="shared" si="1"/>
        <v>-444.36</v>
      </c>
      <c r="E17" s="18">
        <f t="shared" si="2"/>
        <v>9.8872</v>
      </c>
      <c r="F17" s="19" t="str">
        <f t="shared" si="3"/>
        <v>🔴 OVER</v>
      </c>
    </row>
    <row r="18">
      <c r="A18" s="5" t="s">
        <v>69</v>
      </c>
      <c r="B18" s="12">
        <v>0.0</v>
      </c>
      <c r="C18" s="14">
        <f>SUMIFS(ShadowLedger!D:D,ShadowLedger!G:G,A18,ShadowLedger!O:O,TEXT(TODAY(),"YYYY-MM"))</f>
        <v>2210.76</v>
      </c>
      <c r="D18" s="14">
        <f t="shared" si="1"/>
        <v>-2210.76</v>
      </c>
      <c r="E18" s="18">
        <f t="shared" si="2"/>
        <v>0</v>
      </c>
      <c r="F18" s="19" t="str">
        <f t="shared" si="3"/>
        <v>🟢 OK</v>
      </c>
    </row>
    <row r="19">
      <c r="B19" s="20">
        <f t="shared" ref="B19:D19" si="4">SUM(B2:B18)</f>
        <v>4110</v>
      </c>
      <c r="C19" s="20">
        <f t="shared" si="4"/>
        <v>8123.14</v>
      </c>
      <c r="D19" s="20">
        <f t="shared" si="4"/>
        <v>-4013.14</v>
      </c>
      <c r="E19" s="21">
        <f t="shared" si="2"/>
        <v>1.97643309</v>
      </c>
      <c r="F19" s="22" t="str">
        <f t="shared" si="3"/>
        <v>🔴 OVER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20.57"/>
    <col customWidth="1" min="5" max="5" width="40.86"/>
  </cols>
  <sheetData>
    <row r="1">
      <c r="A1" s="8" t="s">
        <v>422</v>
      </c>
      <c r="B1" s="8" t="s">
        <v>423</v>
      </c>
      <c r="C1" s="8" t="s">
        <v>424</v>
      </c>
      <c r="D1" s="8" t="s">
        <v>425</v>
      </c>
      <c r="E1" s="8" t="s">
        <v>426</v>
      </c>
      <c r="F1" s="8" t="s">
        <v>427</v>
      </c>
      <c r="G1" s="8" t="s">
        <v>139</v>
      </c>
      <c r="H1" s="8" t="s">
        <v>428</v>
      </c>
      <c r="I1" s="8" t="s">
        <v>429</v>
      </c>
      <c r="J1" s="8" t="s">
        <v>430</v>
      </c>
      <c r="K1" s="8" t="s">
        <v>431</v>
      </c>
      <c r="L1" s="8" t="s">
        <v>432</v>
      </c>
      <c r="M1" s="8" t="s">
        <v>433</v>
      </c>
      <c r="N1" s="8" t="s">
        <v>434</v>
      </c>
      <c r="O1" s="23" t="s">
        <v>435</v>
      </c>
    </row>
    <row r="2">
      <c r="A2" s="5" t="s">
        <v>436</v>
      </c>
      <c r="B2" s="24">
        <v>46009.66570601852</v>
      </c>
      <c r="C2" s="24">
        <v>46009.66570601852</v>
      </c>
      <c r="D2" s="6">
        <v>10.0</v>
      </c>
      <c r="E2" s="5" t="s">
        <v>437</v>
      </c>
      <c r="G2" s="5" t="s">
        <v>60</v>
      </c>
      <c r="H2" s="5" t="s">
        <v>438</v>
      </c>
      <c r="I2" s="5" t="s">
        <v>438</v>
      </c>
      <c r="J2" s="5" t="s">
        <v>439</v>
      </c>
      <c r="K2" s="5" t="s">
        <v>440</v>
      </c>
      <c r="L2" s="5" t="b">
        <v>0</v>
      </c>
      <c r="N2" s="5" t="s">
        <v>441</v>
      </c>
      <c r="O2" s="13" t="s">
        <v>212</v>
      </c>
    </row>
    <row r="3">
      <c r="A3" s="5" t="s">
        <v>442</v>
      </c>
      <c r="B3" s="24">
        <v>46009.66622685185</v>
      </c>
      <c r="C3" s="24">
        <v>46009.66622685185</v>
      </c>
      <c r="D3" s="6">
        <v>122.0</v>
      </c>
      <c r="E3" s="5" t="s">
        <v>443</v>
      </c>
      <c r="G3" s="5" t="s">
        <v>60</v>
      </c>
      <c r="H3" s="5" t="s">
        <v>438</v>
      </c>
      <c r="I3" s="5" t="s">
        <v>438</v>
      </c>
      <c r="J3" s="5" t="s">
        <v>439</v>
      </c>
      <c r="K3" s="5" t="s">
        <v>440</v>
      </c>
      <c r="L3" s="5" t="b">
        <v>0</v>
      </c>
      <c r="N3" s="5" t="s">
        <v>444</v>
      </c>
      <c r="O3" s="13" t="s">
        <v>212</v>
      </c>
    </row>
    <row r="4">
      <c r="A4" s="5" t="s">
        <v>445</v>
      </c>
      <c r="B4" s="24">
        <v>46009.66678240741</v>
      </c>
      <c r="C4" s="24">
        <v>46009.66678240741</v>
      </c>
      <c r="D4" s="6">
        <v>4.8</v>
      </c>
      <c r="E4" s="5" t="s">
        <v>446</v>
      </c>
      <c r="G4" s="5" t="s">
        <v>60</v>
      </c>
      <c r="H4" s="5" t="s">
        <v>438</v>
      </c>
      <c r="I4" s="5" t="s">
        <v>438</v>
      </c>
      <c r="J4" s="5" t="s">
        <v>439</v>
      </c>
      <c r="K4" s="5" t="s">
        <v>440</v>
      </c>
      <c r="L4" s="5" t="b">
        <v>0</v>
      </c>
      <c r="N4" s="5" t="s">
        <v>447</v>
      </c>
      <c r="O4" s="13" t="s">
        <v>212</v>
      </c>
    </row>
    <row r="5">
      <c r="A5" s="5" t="s">
        <v>448</v>
      </c>
      <c r="B5" s="24">
        <v>46009.66730324074</v>
      </c>
      <c r="C5" s="24">
        <v>46009.66730324074</v>
      </c>
      <c r="D5" s="6">
        <v>5.4</v>
      </c>
      <c r="E5" s="5" t="s">
        <v>449</v>
      </c>
      <c r="G5" s="5" t="s">
        <v>60</v>
      </c>
      <c r="H5" s="5" t="s">
        <v>438</v>
      </c>
      <c r="I5" s="5" t="s">
        <v>438</v>
      </c>
      <c r="J5" s="5" t="s">
        <v>439</v>
      </c>
      <c r="K5" s="5" t="s">
        <v>440</v>
      </c>
      <c r="L5" s="5" t="b">
        <v>0</v>
      </c>
      <c r="N5" s="5" t="s">
        <v>450</v>
      </c>
      <c r="O5" s="13" t="s">
        <v>212</v>
      </c>
    </row>
    <row r="6">
      <c r="A6" s="5" t="s">
        <v>451</v>
      </c>
      <c r="B6" s="24">
        <v>46009.68306712963</v>
      </c>
      <c r="C6" s="24">
        <v>46009.68306712963</v>
      </c>
      <c r="D6" s="6">
        <v>13.1</v>
      </c>
      <c r="E6" s="5" t="s">
        <v>452</v>
      </c>
      <c r="G6" s="5" t="s">
        <v>60</v>
      </c>
      <c r="H6" s="5" t="s">
        <v>438</v>
      </c>
      <c r="I6" s="5" t="s">
        <v>438</v>
      </c>
      <c r="J6" s="5" t="s">
        <v>439</v>
      </c>
      <c r="K6" s="5" t="s">
        <v>440</v>
      </c>
      <c r="L6" s="5" t="b">
        <v>0</v>
      </c>
      <c r="N6" s="5" t="s">
        <v>453</v>
      </c>
      <c r="O6" s="13" t="s">
        <v>212</v>
      </c>
    </row>
    <row r="7">
      <c r="A7" s="5" t="s">
        <v>454</v>
      </c>
      <c r="B7" s="24">
        <v>46009.871458333335</v>
      </c>
      <c r="C7" s="24">
        <v>46009.871458333335</v>
      </c>
      <c r="D7" s="6">
        <v>24.0</v>
      </c>
      <c r="E7" s="5" t="s">
        <v>455</v>
      </c>
      <c r="G7" s="5" t="s">
        <v>60</v>
      </c>
      <c r="H7" s="5" t="s">
        <v>456</v>
      </c>
      <c r="I7" s="5" t="s">
        <v>438</v>
      </c>
      <c r="J7" s="5" t="s">
        <v>439</v>
      </c>
      <c r="K7" s="5" t="s">
        <v>457</v>
      </c>
      <c r="L7" s="5" t="b">
        <v>1</v>
      </c>
      <c r="M7" s="24">
        <v>46009.871458333335</v>
      </c>
      <c r="N7" s="5" t="s">
        <v>458</v>
      </c>
      <c r="O7" s="13" t="s">
        <v>212</v>
      </c>
    </row>
    <row r="8">
      <c r="A8" s="5" t="s">
        <v>459</v>
      </c>
      <c r="B8" s="24">
        <v>46009.87186342593</v>
      </c>
      <c r="C8" s="24">
        <v>46009.87186342593</v>
      </c>
      <c r="D8" s="6">
        <v>14.0</v>
      </c>
      <c r="E8" s="5" t="s">
        <v>460</v>
      </c>
      <c r="G8" s="5" t="s">
        <v>60</v>
      </c>
      <c r="H8" s="5" t="s">
        <v>456</v>
      </c>
      <c r="I8" s="5" t="s">
        <v>438</v>
      </c>
      <c r="J8" s="5" t="s">
        <v>439</v>
      </c>
      <c r="K8" s="5" t="s">
        <v>440</v>
      </c>
      <c r="L8" s="5" t="b">
        <v>0</v>
      </c>
      <c r="N8" s="5" t="s">
        <v>461</v>
      </c>
      <c r="O8" s="13" t="s">
        <v>212</v>
      </c>
    </row>
    <row r="9">
      <c r="A9" s="5" t="s">
        <v>462</v>
      </c>
      <c r="B9" s="24">
        <v>46010.82707175926</v>
      </c>
      <c r="C9" s="24">
        <v>46010.82707175926</v>
      </c>
      <c r="D9" s="6">
        <v>95.28</v>
      </c>
      <c r="E9" s="5" t="s">
        <v>463</v>
      </c>
      <c r="G9" s="5" t="s">
        <v>60</v>
      </c>
      <c r="H9" s="5" t="s">
        <v>438</v>
      </c>
      <c r="I9" s="5" t="s">
        <v>438</v>
      </c>
      <c r="J9" s="5" t="s">
        <v>439</v>
      </c>
      <c r="K9" s="5" t="s">
        <v>440</v>
      </c>
      <c r="L9" s="5" t="b">
        <v>0</v>
      </c>
      <c r="N9" s="5" t="s">
        <v>464</v>
      </c>
      <c r="O9" s="13" t="s">
        <v>212</v>
      </c>
    </row>
    <row r="10">
      <c r="A10" s="5" t="s">
        <v>465</v>
      </c>
      <c r="B10" s="24">
        <v>46012.69207175926</v>
      </c>
      <c r="C10" s="24">
        <v>46011.5</v>
      </c>
      <c r="D10" s="6">
        <v>225.8</v>
      </c>
      <c r="E10" s="5" t="s">
        <v>466</v>
      </c>
      <c r="G10" s="5" t="s">
        <v>60</v>
      </c>
      <c r="H10" s="5" t="s">
        <v>438</v>
      </c>
      <c r="I10" s="5" t="s">
        <v>438</v>
      </c>
      <c r="J10" s="5" t="s">
        <v>439</v>
      </c>
      <c r="K10" s="5" t="s">
        <v>440</v>
      </c>
      <c r="L10" s="5" t="b">
        <v>0</v>
      </c>
      <c r="N10" s="5" t="s">
        <v>467</v>
      </c>
      <c r="O10" s="13" t="s">
        <v>212</v>
      </c>
    </row>
    <row r="11">
      <c r="A11" s="5" t="s">
        <v>468</v>
      </c>
      <c r="B11" s="24">
        <v>46012.692407407405</v>
      </c>
      <c r="C11" s="24">
        <v>46012.692407407405</v>
      </c>
      <c r="D11" s="6">
        <v>10.4</v>
      </c>
      <c r="E11" s="5" t="s">
        <v>466</v>
      </c>
      <c r="G11" s="5" t="s">
        <v>60</v>
      </c>
      <c r="H11" s="5" t="s">
        <v>438</v>
      </c>
      <c r="I11" s="5" t="s">
        <v>438</v>
      </c>
      <c r="J11" s="5" t="s">
        <v>439</v>
      </c>
      <c r="K11" s="5" t="s">
        <v>440</v>
      </c>
      <c r="L11" s="5" t="b">
        <v>0</v>
      </c>
      <c r="N11" s="5" t="s">
        <v>469</v>
      </c>
      <c r="O11" s="13" t="s">
        <v>212</v>
      </c>
    </row>
    <row r="12">
      <c r="A12" s="5" t="s">
        <v>470</v>
      </c>
      <c r="B12" s="24">
        <v>46013.52846064815</v>
      </c>
      <c r="C12" s="24">
        <v>46013.52846064815</v>
      </c>
      <c r="D12" s="6">
        <v>158.0</v>
      </c>
      <c r="E12" s="5" t="s">
        <v>471</v>
      </c>
      <c r="G12" s="5" t="s">
        <v>63</v>
      </c>
      <c r="H12" s="5" t="s">
        <v>456</v>
      </c>
      <c r="I12" s="5" t="s">
        <v>456</v>
      </c>
      <c r="J12" s="5" t="s">
        <v>439</v>
      </c>
      <c r="K12" s="5" t="s">
        <v>440</v>
      </c>
      <c r="L12" s="5" t="b">
        <v>0</v>
      </c>
      <c r="N12" s="5" t="s">
        <v>472</v>
      </c>
      <c r="O12" s="13" t="s">
        <v>212</v>
      </c>
    </row>
    <row r="13">
      <c r="A13" s="5" t="s">
        <v>473</v>
      </c>
      <c r="B13" s="24">
        <v>46013.52903935185</v>
      </c>
      <c r="C13" s="24">
        <v>46013.52903935185</v>
      </c>
      <c r="D13" s="6">
        <v>89.0</v>
      </c>
      <c r="E13" s="5" t="s">
        <v>474</v>
      </c>
      <c r="G13" s="5" t="s">
        <v>66</v>
      </c>
      <c r="H13" s="5" t="s">
        <v>456</v>
      </c>
      <c r="I13" s="5" t="s">
        <v>456</v>
      </c>
      <c r="J13" s="5" t="s">
        <v>439</v>
      </c>
      <c r="K13" s="5" t="s">
        <v>457</v>
      </c>
      <c r="L13" s="5" t="b">
        <v>1</v>
      </c>
      <c r="M13" s="24">
        <v>46013.52903935185</v>
      </c>
      <c r="N13" s="5" t="s">
        <v>475</v>
      </c>
      <c r="O13" s="13" t="s">
        <v>212</v>
      </c>
    </row>
    <row r="14">
      <c r="A14" s="5" t="s">
        <v>476</v>
      </c>
      <c r="B14" s="24">
        <v>46013.5296875</v>
      </c>
      <c r="C14" s="24">
        <v>46013.5296875</v>
      </c>
      <c r="D14" s="6">
        <v>19.5</v>
      </c>
      <c r="E14" s="5" t="s">
        <v>146</v>
      </c>
      <c r="G14" s="5" t="s">
        <v>56</v>
      </c>
      <c r="H14" s="5" t="s">
        <v>456</v>
      </c>
      <c r="I14" s="5" t="s">
        <v>456</v>
      </c>
      <c r="J14" s="5" t="s">
        <v>439</v>
      </c>
      <c r="K14" s="5" t="s">
        <v>440</v>
      </c>
      <c r="L14" s="5" t="b">
        <v>0</v>
      </c>
      <c r="N14" s="5" t="s">
        <v>477</v>
      </c>
      <c r="O14" s="13" t="s">
        <v>212</v>
      </c>
    </row>
    <row r="15">
      <c r="A15" s="5" t="s">
        <v>478</v>
      </c>
      <c r="B15" s="24">
        <v>46013.706458333334</v>
      </c>
      <c r="C15" s="24">
        <v>46013.706458333334</v>
      </c>
      <c r="D15" s="6">
        <v>14.0</v>
      </c>
      <c r="E15" s="5" t="s">
        <v>479</v>
      </c>
      <c r="G15" s="5" t="s">
        <v>65</v>
      </c>
      <c r="H15" s="5" t="s">
        <v>438</v>
      </c>
      <c r="I15" s="5" t="s">
        <v>438</v>
      </c>
      <c r="J15" s="5" t="s">
        <v>439</v>
      </c>
      <c r="K15" s="5" t="s">
        <v>440</v>
      </c>
      <c r="L15" s="5" t="b">
        <v>0</v>
      </c>
      <c r="N15" s="5" t="s">
        <v>480</v>
      </c>
      <c r="O15" s="13" t="s">
        <v>212</v>
      </c>
    </row>
    <row r="16">
      <c r="A16" s="5" t="s">
        <v>481</v>
      </c>
      <c r="B16" s="24">
        <v>46013.94577546296</v>
      </c>
      <c r="C16" s="24">
        <v>46013.94577546296</v>
      </c>
      <c r="D16" s="6">
        <v>22.0</v>
      </c>
      <c r="E16" s="5" t="s">
        <v>482</v>
      </c>
      <c r="G16" s="5" t="s">
        <v>67</v>
      </c>
      <c r="H16" s="5" t="s">
        <v>438</v>
      </c>
      <c r="I16" s="5" t="s">
        <v>438</v>
      </c>
      <c r="J16" s="5" t="s">
        <v>439</v>
      </c>
      <c r="K16" s="5" t="s">
        <v>440</v>
      </c>
      <c r="L16" s="5" t="b">
        <v>0</v>
      </c>
      <c r="N16" s="5" t="s">
        <v>483</v>
      </c>
      <c r="O16" s="13" t="s">
        <v>212</v>
      </c>
    </row>
    <row r="17">
      <c r="A17" s="5" t="s">
        <v>484</v>
      </c>
      <c r="B17" s="24">
        <v>46013.945856481485</v>
      </c>
      <c r="C17" s="24">
        <v>46013.945856481485</v>
      </c>
      <c r="D17" s="6">
        <v>10.0</v>
      </c>
      <c r="E17" s="5" t="s">
        <v>485</v>
      </c>
      <c r="G17" s="5" t="s">
        <v>67</v>
      </c>
      <c r="H17" s="5" t="s">
        <v>438</v>
      </c>
      <c r="I17" s="5" t="s">
        <v>438</v>
      </c>
      <c r="J17" s="5" t="s">
        <v>439</v>
      </c>
      <c r="K17" s="5" t="s">
        <v>440</v>
      </c>
      <c r="L17" s="5" t="b">
        <v>0</v>
      </c>
      <c r="N17" s="5" t="s">
        <v>486</v>
      </c>
      <c r="O17" s="13" t="s">
        <v>212</v>
      </c>
    </row>
    <row r="18">
      <c r="A18" s="5" t="s">
        <v>487</v>
      </c>
      <c r="B18" s="24">
        <v>46014.31103009259</v>
      </c>
      <c r="C18" s="24">
        <v>46006.5</v>
      </c>
      <c r="D18" s="6">
        <v>913.0</v>
      </c>
      <c r="E18" s="5" t="s">
        <v>488</v>
      </c>
      <c r="G18" s="5" t="s">
        <v>54</v>
      </c>
      <c r="H18" s="5" t="s">
        <v>438</v>
      </c>
      <c r="I18" s="5" t="s">
        <v>438</v>
      </c>
      <c r="J18" s="5" t="s">
        <v>439</v>
      </c>
      <c r="K18" s="5" t="s">
        <v>457</v>
      </c>
      <c r="L18" s="5" t="b">
        <v>1</v>
      </c>
      <c r="M18" s="24">
        <v>46014.31103009259</v>
      </c>
      <c r="N18" s="5" t="s">
        <v>489</v>
      </c>
      <c r="O18" s="13" t="s">
        <v>212</v>
      </c>
    </row>
    <row r="19">
      <c r="A19" s="5" t="s">
        <v>490</v>
      </c>
      <c r="B19" s="24">
        <v>46014.312893518516</v>
      </c>
      <c r="C19" s="24">
        <v>45992.5</v>
      </c>
      <c r="D19" s="6">
        <v>327.95</v>
      </c>
      <c r="E19" s="5" t="s">
        <v>491</v>
      </c>
      <c r="F19" s="5" t="s">
        <v>492</v>
      </c>
      <c r="G19" s="5" t="s">
        <v>68</v>
      </c>
      <c r="H19" s="5" t="s">
        <v>438</v>
      </c>
      <c r="I19" s="5" t="s">
        <v>438</v>
      </c>
      <c r="J19" s="5" t="s">
        <v>439</v>
      </c>
      <c r="K19" s="5" t="s">
        <v>457</v>
      </c>
      <c r="L19" s="5" t="b">
        <v>1</v>
      </c>
      <c r="M19" s="24">
        <v>46014.312893518516</v>
      </c>
      <c r="N19" s="5" t="s">
        <v>493</v>
      </c>
      <c r="O19" s="13" t="s">
        <v>212</v>
      </c>
    </row>
    <row r="20">
      <c r="A20" s="5" t="s">
        <v>494</v>
      </c>
      <c r="B20" s="24">
        <v>46014.31291666667</v>
      </c>
      <c r="C20" s="24">
        <v>45992.5</v>
      </c>
      <c r="D20" s="6">
        <v>229.57</v>
      </c>
      <c r="E20" s="5" t="s">
        <v>495</v>
      </c>
      <c r="F20" s="5" t="s">
        <v>496</v>
      </c>
      <c r="G20" s="5" t="s">
        <v>55</v>
      </c>
      <c r="H20" s="5" t="s">
        <v>438</v>
      </c>
      <c r="I20" s="5" t="s">
        <v>438</v>
      </c>
      <c r="J20" s="5" t="s">
        <v>439</v>
      </c>
      <c r="K20" s="5" t="s">
        <v>457</v>
      </c>
      <c r="L20" s="5" t="b">
        <v>1</v>
      </c>
      <c r="M20" s="24">
        <v>46014.31291666667</v>
      </c>
      <c r="N20" s="5" t="s">
        <v>497</v>
      </c>
      <c r="O20" s="13" t="s">
        <v>212</v>
      </c>
    </row>
    <row r="21">
      <c r="A21" s="5" t="s">
        <v>498</v>
      </c>
      <c r="B21" s="24">
        <v>46014.32944444445</v>
      </c>
      <c r="C21" s="24">
        <v>45992.5</v>
      </c>
      <c r="D21" s="6">
        <v>166.41</v>
      </c>
      <c r="E21" s="5" t="s">
        <v>499</v>
      </c>
      <c r="G21" s="5" t="s">
        <v>68</v>
      </c>
      <c r="H21" s="5" t="s">
        <v>456</v>
      </c>
      <c r="I21" s="5" t="s">
        <v>438</v>
      </c>
      <c r="J21" s="5" t="s">
        <v>439</v>
      </c>
      <c r="K21" s="5" t="s">
        <v>457</v>
      </c>
      <c r="L21" s="5" t="b">
        <v>1</v>
      </c>
      <c r="M21" s="24">
        <v>46014.32944444445</v>
      </c>
      <c r="N21" s="5" t="s">
        <v>500</v>
      </c>
      <c r="O21" s="13" t="s">
        <v>212</v>
      </c>
    </row>
    <row r="22">
      <c r="A22" s="5" t="s">
        <v>501</v>
      </c>
      <c r="B22" s="24">
        <v>46014.32947916666</v>
      </c>
      <c r="C22" s="24">
        <v>45992.5</v>
      </c>
      <c r="D22" s="6">
        <v>5.0</v>
      </c>
      <c r="E22" s="5" t="s">
        <v>502</v>
      </c>
      <c r="G22" s="5" t="s">
        <v>62</v>
      </c>
      <c r="H22" s="5" t="s">
        <v>456</v>
      </c>
      <c r="I22" s="5" t="s">
        <v>438</v>
      </c>
      <c r="J22" s="5" t="s">
        <v>439</v>
      </c>
      <c r="K22" s="5" t="s">
        <v>440</v>
      </c>
      <c r="L22" s="5" t="b">
        <v>0</v>
      </c>
      <c r="N22" s="5" t="s">
        <v>503</v>
      </c>
      <c r="O22" s="13" t="s">
        <v>212</v>
      </c>
    </row>
    <row r="23">
      <c r="A23" s="5" t="s">
        <v>504</v>
      </c>
      <c r="B23" s="24">
        <v>46014.32949074074</v>
      </c>
      <c r="C23" s="24">
        <v>45994.5</v>
      </c>
      <c r="D23" s="6">
        <v>12.0</v>
      </c>
      <c r="E23" s="5" t="s">
        <v>505</v>
      </c>
      <c r="G23" s="5" t="s">
        <v>67</v>
      </c>
      <c r="H23" s="5" t="s">
        <v>456</v>
      </c>
      <c r="I23" s="5" t="s">
        <v>438</v>
      </c>
      <c r="J23" s="5" t="s">
        <v>439</v>
      </c>
      <c r="K23" s="5" t="s">
        <v>457</v>
      </c>
      <c r="L23" s="5" t="b">
        <v>1</v>
      </c>
      <c r="M23" s="24">
        <v>46014.32949074074</v>
      </c>
      <c r="N23" s="5" t="s">
        <v>506</v>
      </c>
      <c r="O23" s="13" t="s">
        <v>212</v>
      </c>
    </row>
    <row r="24">
      <c r="A24" s="5" t="s">
        <v>507</v>
      </c>
      <c r="B24" s="24">
        <v>46014.329513888886</v>
      </c>
      <c r="C24" s="24">
        <v>45996.5</v>
      </c>
      <c r="D24" s="6">
        <v>13.0</v>
      </c>
      <c r="E24" s="5" t="s">
        <v>508</v>
      </c>
      <c r="G24" s="5" t="s">
        <v>62</v>
      </c>
      <c r="H24" s="5" t="s">
        <v>456</v>
      </c>
      <c r="I24" s="5" t="s">
        <v>438</v>
      </c>
      <c r="J24" s="5" t="s">
        <v>439</v>
      </c>
      <c r="K24" s="5" t="s">
        <v>440</v>
      </c>
      <c r="L24" s="5" t="b">
        <v>0</v>
      </c>
      <c r="N24" s="5" t="s">
        <v>509</v>
      </c>
      <c r="O24" s="13" t="s">
        <v>212</v>
      </c>
    </row>
    <row r="25">
      <c r="A25" s="5" t="s">
        <v>510</v>
      </c>
      <c r="B25" s="24">
        <v>46014.32953703704</v>
      </c>
      <c r="C25" s="24">
        <v>45997.5</v>
      </c>
      <c r="D25" s="6">
        <v>3.0</v>
      </c>
      <c r="E25" s="5" t="s">
        <v>511</v>
      </c>
      <c r="G25" s="5" t="s">
        <v>62</v>
      </c>
      <c r="H25" s="5" t="s">
        <v>456</v>
      </c>
      <c r="I25" s="5" t="s">
        <v>438</v>
      </c>
      <c r="J25" s="5" t="s">
        <v>439</v>
      </c>
      <c r="K25" s="5" t="s">
        <v>440</v>
      </c>
      <c r="L25" s="5" t="b">
        <v>0</v>
      </c>
      <c r="N25" s="5" t="s">
        <v>512</v>
      </c>
      <c r="O25" s="13" t="s">
        <v>212</v>
      </c>
    </row>
    <row r="26">
      <c r="A26" s="5" t="s">
        <v>513</v>
      </c>
      <c r="B26" s="24">
        <v>46014.32954861111</v>
      </c>
      <c r="C26" s="24">
        <v>46006.5</v>
      </c>
      <c r="D26" s="6">
        <v>55.0</v>
      </c>
      <c r="E26" s="5" t="s">
        <v>514</v>
      </c>
      <c r="G26" s="5" t="s">
        <v>57</v>
      </c>
      <c r="H26" s="5" t="s">
        <v>456</v>
      </c>
      <c r="I26" s="5" t="s">
        <v>438</v>
      </c>
      <c r="J26" s="5" t="s">
        <v>439</v>
      </c>
      <c r="K26" s="5" t="s">
        <v>457</v>
      </c>
      <c r="L26" s="5" t="b">
        <v>1</v>
      </c>
      <c r="M26" s="24">
        <v>46014.32954861111</v>
      </c>
      <c r="N26" s="5" t="s">
        <v>515</v>
      </c>
      <c r="O26" s="13" t="s">
        <v>212</v>
      </c>
    </row>
    <row r="27">
      <c r="A27" s="5" t="s">
        <v>516</v>
      </c>
      <c r="B27" s="24">
        <v>46014.329560185186</v>
      </c>
      <c r="C27" s="24">
        <v>46007.5</v>
      </c>
      <c r="D27" s="6">
        <v>450.0</v>
      </c>
      <c r="E27" s="5" t="s">
        <v>517</v>
      </c>
      <c r="G27" s="5" t="s">
        <v>58</v>
      </c>
      <c r="H27" s="5" t="s">
        <v>456</v>
      </c>
      <c r="I27" s="5" t="s">
        <v>438</v>
      </c>
      <c r="J27" s="5" t="s">
        <v>439</v>
      </c>
      <c r="K27" s="5" t="s">
        <v>440</v>
      </c>
      <c r="L27" s="5" t="b">
        <v>0</v>
      </c>
      <c r="N27" s="5" t="s">
        <v>518</v>
      </c>
      <c r="O27" s="13" t="s">
        <v>212</v>
      </c>
    </row>
    <row r="28">
      <c r="A28" s="5" t="s">
        <v>519</v>
      </c>
      <c r="B28" s="24">
        <v>46014.32957175926</v>
      </c>
      <c r="C28" s="24">
        <v>46007.5</v>
      </c>
      <c r="D28" s="6">
        <v>48.5</v>
      </c>
      <c r="E28" s="5" t="s">
        <v>520</v>
      </c>
      <c r="G28" s="5" t="s">
        <v>63</v>
      </c>
      <c r="H28" s="5" t="s">
        <v>456</v>
      </c>
      <c r="I28" s="5" t="s">
        <v>438</v>
      </c>
      <c r="J28" s="5" t="s">
        <v>439</v>
      </c>
      <c r="K28" s="5" t="s">
        <v>457</v>
      </c>
      <c r="L28" s="5" t="b">
        <v>1</v>
      </c>
      <c r="M28" s="24">
        <v>46014.32957175926</v>
      </c>
      <c r="N28" s="5" t="s">
        <v>521</v>
      </c>
      <c r="O28" s="13" t="s">
        <v>212</v>
      </c>
    </row>
    <row r="29">
      <c r="A29" s="5" t="s">
        <v>522</v>
      </c>
      <c r="B29" s="24">
        <v>46014.32959490741</v>
      </c>
      <c r="C29" s="24">
        <v>46008.5</v>
      </c>
      <c r="D29" s="6">
        <v>56.0</v>
      </c>
      <c r="E29" s="5" t="s">
        <v>523</v>
      </c>
      <c r="G29" s="5" t="s">
        <v>59</v>
      </c>
      <c r="H29" s="5" t="s">
        <v>456</v>
      </c>
      <c r="I29" s="5" t="s">
        <v>438</v>
      </c>
      <c r="J29" s="5" t="s">
        <v>439</v>
      </c>
      <c r="K29" s="5" t="s">
        <v>457</v>
      </c>
      <c r="L29" s="5" t="b">
        <v>1</v>
      </c>
      <c r="M29" s="24">
        <v>46014.32959490741</v>
      </c>
      <c r="N29" s="5" t="s">
        <v>524</v>
      </c>
      <c r="O29" s="13" t="s">
        <v>212</v>
      </c>
    </row>
    <row r="30">
      <c r="A30" s="5" t="s">
        <v>525</v>
      </c>
      <c r="B30" s="24">
        <v>46014.32960648148</v>
      </c>
      <c r="C30" s="24">
        <v>45992.5</v>
      </c>
      <c r="D30" s="6">
        <v>101.83</v>
      </c>
      <c r="E30" s="5" t="s">
        <v>151</v>
      </c>
      <c r="G30" s="5" t="s">
        <v>56</v>
      </c>
      <c r="H30" s="5" t="s">
        <v>456</v>
      </c>
      <c r="I30" s="5" t="s">
        <v>438</v>
      </c>
      <c r="J30" s="5" t="s">
        <v>439</v>
      </c>
      <c r="K30" s="5" t="s">
        <v>440</v>
      </c>
      <c r="L30" s="5" t="b">
        <v>0</v>
      </c>
      <c r="N30" s="5" t="s">
        <v>526</v>
      </c>
      <c r="O30" s="13" t="s">
        <v>212</v>
      </c>
    </row>
    <row r="31">
      <c r="A31" s="5" t="s">
        <v>527</v>
      </c>
      <c r="B31" s="24">
        <v>46014.329618055555</v>
      </c>
      <c r="C31" s="24">
        <v>45993.5</v>
      </c>
      <c r="D31" s="6">
        <v>47.0</v>
      </c>
      <c r="E31" s="5" t="s">
        <v>143</v>
      </c>
      <c r="G31" s="5" t="s">
        <v>56</v>
      </c>
      <c r="H31" s="5" t="s">
        <v>456</v>
      </c>
      <c r="I31" s="5" t="s">
        <v>438</v>
      </c>
      <c r="J31" s="5" t="s">
        <v>439</v>
      </c>
      <c r="K31" s="5" t="s">
        <v>440</v>
      </c>
      <c r="L31" s="5" t="b">
        <v>0</v>
      </c>
      <c r="N31" s="5" t="s">
        <v>528</v>
      </c>
      <c r="O31" s="13" t="s">
        <v>212</v>
      </c>
    </row>
    <row r="32">
      <c r="A32" s="5" t="s">
        <v>529</v>
      </c>
      <c r="B32" s="24">
        <v>46014.3296412037</v>
      </c>
      <c r="C32" s="24">
        <v>45993.5</v>
      </c>
      <c r="D32" s="6">
        <v>2137.76</v>
      </c>
      <c r="E32" s="5" t="s">
        <v>530</v>
      </c>
      <c r="G32" s="5" t="s">
        <v>69</v>
      </c>
      <c r="H32" s="5" t="s">
        <v>456</v>
      </c>
      <c r="I32" s="5" t="s">
        <v>438</v>
      </c>
      <c r="J32" s="5" t="s">
        <v>439</v>
      </c>
      <c r="K32" s="5" t="s">
        <v>457</v>
      </c>
      <c r="L32" s="5" t="b">
        <v>1</v>
      </c>
      <c r="M32" s="24">
        <v>46014.3296412037</v>
      </c>
      <c r="N32" s="5" t="s">
        <v>531</v>
      </c>
      <c r="O32" s="13" t="s">
        <v>212</v>
      </c>
    </row>
    <row r="33">
      <c r="A33" s="5" t="s">
        <v>532</v>
      </c>
      <c r="B33" s="24">
        <v>46014.329664351855</v>
      </c>
      <c r="C33" s="24">
        <v>45993.5</v>
      </c>
      <c r="D33" s="6">
        <v>73.0</v>
      </c>
      <c r="E33" s="5" t="s">
        <v>533</v>
      </c>
      <c r="G33" s="5" t="s">
        <v>69</v>
      </c>
      <c r="H33" s="5" t="s">
        <v>456</v>
      </c>
      <c r="I33" s="5" t="s">
        <v>438</v>
      </c>
      <c r="J33" s="5" t="s">
        <v>439</v>
      </c>
      <c r="K33" s="5" t="s">
        <v>457</v>
      </c>
      <c r="L33" s="5" t="b">
        <v>1</v>
      </c>
      <c r="M33" s="24">
        <v>46014.329664351855</v>
      </c>
      <c r="N33" s="5" t="s">
        <v>534</v>
      </c>
      <c r="O33" s="13" t="s">
        <v>212</v>
      </c>
    </row>
    <row r="34">
      <c r="A34" s="5" t="s">
        <v>535</v>
      </c>
      <c r="B34" s="24">
        <v>46014.329675925925</v>
      </c>
      <c r="C34" s="24">
        <v>45996.5</v>
      </c>
      <c r="D34" s="6">
        <v>206.0</v>
      </c>
      <c r="E34" s="5" t="s">
        <v>152</v>
      </c>
      <c r="G34" s="5" t="s">
        <v>56</v>
      </c>
      <c r="H34" s="5" t="s">
        <v>456</v>
      </c>
      <c r="I34" s="5" t="s">
        <v>438</v>
      </c>
      <c r="J34" s="5" t="s">
        <v>439</v>
      </c>
      <c r="K34" s="5" t="s">
        <v>440</v>
      </c>
      <c r="L34" s="5" t="b">
        <v>0</v>
      </c>
      <c r="N34" s="5" t="s">
        <v>536</v>
      </c>
      <c r="O34" s="13" t="s">
        <v>212</v>
      </c>
    </row>
    <row r="35">
      <c r="A35" s="5" t="s">
        <v>537</v>
      </c>
      <c r="B35" s="24">
        <v>46014.32969907407</v>
      </c>
      <c r="C35" s="24">
        <v>45997.5</v>
      </c>
      <c r="D35" s="6">
        <v>15.0</v>
      </c>
      <c r="E35" s="5" t="s">
        <v>538</v>
      </c>
      <c r="G35" s="5" t="s">
        <v>70</v>
      </c>
      <c r="H35" s="5" t="s">
        <v>456</v>
      </c>
      <c r="I35" s="5" t="s">
        <v>438</v>
      </c>
      <c r="J35" s="5" t="s">
        <v>439</v>
      </c>
      <c r="K35" s="5" t="s">
        <v>440</v>
      </c>
      <c r="L35" s="5" t="b">
        <v>0</v>
      </c>
      <c r="N35" s="5" t="s">
        <v>539</v>
      </c>
      <c r="O35" s="13" t="s">
        <v>212</v>
      </c>
    </row>
    <row r="36">
      <c r="A36" s="5" t="s">
        <v>540</v>
      </c>
      <c r="B36" s="24">
        <v>46014.32969907407</v>
      </c>
      <c r="C36" s="24">
        <v>45999.5</v>
      </c>
      <c r="D36" s="6">
        <v>40.7</v>
      </c>
      <c r="E36" s="5" t="s">
        <v>541</v>
      </c>
      <c r="G36" s="5" t="s">
        <v>60</v>
      </c>
      <c r="H36" s="5" t="s">
        <v>456</v>
      </c>
      <c r="I36" s="5" t="s">
        <v>438</v>
      </c>
      <c r="J36" s="5" t="s">
        <v>439</v>
      </c>
      <c r="K36" s="5" t="s">
        <v>457</v>
      </c>
      <c r="L36" s="5" t="b">
        <v>1</v>
      </c>
      <c r="M36" s="24">
        <v>46014.32969907407</v>
      </c>
      <c r="N36" s="5" t="s">
        <v>542</v>
      </c>
      <c r="O36" s="13" t="s">
        <v>212</v>
      </c>
    </row>
    <row r="37">
      <c r="A37" s="5" t="s">
        <v>543</v>
      </c>
      <c r="B37" s="24">
        <v>46014.32971064815</v>
      </c>
      <c r="C37" s="24">
        <v>46002.5</v>
      </c>
      <c r="D37" s="6">
        <v>60.0</v>
      </c>
      <c r="E37" s="5" t="s">
        <v>544</v>
      </c>
      <c r="G37" s="5" t="s">
        <v>56</v>
      </c>
      <c r="H37" s="5" t="s">
        <v>456</v>
      </c>
      <c r="I37" s="5" t="s">
        <v>438</v>
      </c>
      <c r="J37" s="5" t="s">
        <v>439</v>
      </c>
      <c r="K37" s="5" t="s">
        <v>440</v>
      </c>
      <c r="L37" s="5" t="b">
        <v>0</v>
      </c>
      <c r="N37" s="5" t="s">
        <v>545</v>
      </c>
      <c r="O37" s="13" t="s">
        <v>212</v>
      </c>
    </row>
    <row r="38">
      <c r="A38" s="5" t="s">
        <v>546</v>
      </c>
      <c r="B38" s="24">
        <v>46014.329722222225</v>
      </c>
      <c r="C38" s="24">
        <v>46006.5</v>
      </c>
      <c r="D38" s="6">
        <v>12.36</v>
      </c>
      <c r="E38" s="5" t="s">
        <v>146</v>
      </c>
      <c r="G38" s="5" t="s">
        <v>56</v>
      </c>
      <c r="H38" s="5" t="s">
        <v>456</v>
      </c>
      <c r="I38" s="5" t="s">
        <v>438</v>
      </c>
      <c r="J38" s="5" t="s">
        <v>439</v>
      </c>
      <c r="K38" s="5" t="s">
        <v>440</v>
      </c>
      <c r="L38" s="5" t="b">
        <v>0</v>
      </c>
      <c r="N38" s="5" t="s">
        <v>547</v>
      </c>
      <c r="O38" s="13" t="s">
        <v>212</v>
      </c>
    </row>
    <row r="39">
      <c r="A39" s="5" t="s">
        <v>548</v>
      </c>
      <c r="B39" s="24">
        <v>46014.329733796294</v>
      </c>
      <c r="C39" s="24">
        <v>46007.5</v>
      </c>
      <c r="D39" s="6">
        <v>142.25</v>
      </c>
      <c r="E39" s="5" t="s">
        <v>549</v>
      </c>
      <c r="G39" s="5" t="s">
        <v>63</v>
      </c>
      <c r="H39" s="5" t="s">
        <v>456</v>
      </c>
      <c r="I39" s="5" t="s">
        <v>438</v>
      </c>
      <c r="J39" s="5" t="s">
        <v>439</v>
      </c>
      <c r="K39" s="5" t="s">
        <v>457</v>
      </c>
      <c r="L39" s="5" t="b">
        <v>1</v>
      </c>
      <c r="M39" s="24">
        <v>46014.329733796294</v>
      </c>
      <c r="N39" s="5" t="s">
        <v>550</v>
      </c>
      <c r="O39" s="13" t="s">
        <v>212</v>
      </c>
    </row>
    <row r="40">
      <c r="A40" s="5" t="s">
        <v>551</v>
      </c>
      <c r="B40" s="24">
        <v>46014.330983796295</v>
      </c>
      <c r="C40" s="24">
        <v>45992.5</v>
      </c>
      <c r="D40" s="6">
        <v>392.0</v>
      </c>
      <c r="E40" s="5" t="s">
        <v>552</v>
      </c>
      <c r="G40" s="5" t="s">
        <v>58</v>
      </c>
      <c r="H40" s="5" t="s">
        <v>438</v>
      </c>
      <c r="I40" s="5" t="s">
        <v>438</v>
      </c>
      <c r="J40" s="5" t="s">
        <v>439</v>
      </c>
      <c r="K40" s="5" t="s">
        <v>457</v>
      </c>
      <c r="L40" s="5" t="b">
        <v>1</v>
      </c>
      <c r="M40" s="24">
        <v>46014.330983796295</v>
      </c>
      <c r="N40" s="5" t="s">
        <v>553</v>
      </c>
      <c r="O40" s="13" t="s">
        <v>212</v>
      </c>
    </row>
    <row r="41">
      <c r="A41" s="5" t="s">
        <v>554</v>
      </c>
      <c r="B41" s="24">
        <v>46014.33975694444</v>
      </c>
      <c r="C41" s="24">
        <v>46007.5</v>
      </c>
      <c r="D41" s="6">
        <v>18.0</v>
      </c>
      <c r="E41" s="5" t="s">
        <v>555</v>
      </c>
      <c r="G41" s="5" t="s">
        <v>63</v>
      </c>
      <c r="H41" s="5" t="s">
        <v>438</v>
      </c>
      <c r="I41" s="5" t="s">
        <v>438</v>
      </c>
      <c r="J41" s="5" t="s">
        <v>439</v>
      </c>
      <c r="K41" s="5" t="s">
        <v>457</v>
      </c>
      <c r="L41" s="5" t="b">
        <v>1</v>
      </c>
      <c r="M41" s="24">
        <v>46014.33975694444</v>
      </c>
      <c r="N41" s="5" t="s">
        <v>556</v>
      </c>
      <c r="O41" s="13" t="s">
        <v>212</v>
      </c>
    </row>
    <row r="42">
      <c r="A42" s="5" t="s">
        <v>557</v>
      </c>
      <c r="B42" s="24">
        <v>46014.339780092596</v>
      </c>
      <c r="C42" s="24">
        <v>45996.5</v>
      </c>
      <c r="D42" s="6">
        <v>10.0</v>
      </c>
      <c r="E42" s="5" t="s">
        <v>152</v>
      </c>
      <c r="G42" s="5" t="s">
        <v>56</v>
      </c>
      <c r="H42" s="5" t="s">
        <v>438</v>
      </c>
      <c r="I42" s="5" t="s">
        <v>438</v>
      </c>
      <c r="J42" s="5" t="s">
        <v>439</v>
      </c>
      <c r="K42" s="5" t="s">
        <v>440</v>
      </c>
      <c r="L42" s="5" t="b">
        <v>0</v>
      </c>
      <c r="N42" s="5" t="s">
        <v>558</v>
      </c>
      <c r="O42" s="13" t="s">
        <v>212</v>
      </c>
    </row>
    <row r="43">
      <c r="A43" s="5" t="s">
        <v>559</v>
      </c>
      <c r="B43" s="24">
        <v>46014.339791666665</v>
      </c>
      <c r="C43" s="24">
        <v>46008.5</v>
      </c>
      <c r="D43" s="6">
        <v>27.0</v>
      </c>
      <c r="E43" s="5" t="s">
        <v>560</v>
      </c>
      <c r="G43" s="5" t="s">
        <v>63</v>
      </c>
      <c r="H43" s="5" t="s">
        <v>438</v>
      </c>
      <c r="I43" s="5" t="s">
        <v>438</v>
      </c>
      <c r="J43" s="5" t="s">
        <v>439</v>
      </c>
      <c r="K43" s="5" t="s">
        <v>457</v>
      </c>
      <c r="L43" s="5" t="b">
        <v>1</v>
      </c>
      <c r="M43" s="24">
        <v>46014.339791666665</v>
      </c>
      <c r="N43" s="5" t="s">
        <v>561</v>
      </c>
      <c r="O43" s="13" t="s">
        <v>212</v>
      </c>
    </row>
    <row r="44">
      <c r="A44" s="5" t="s">
        <v>562</v>
      </c>
      <c r="B44" s="24">
        <v>46014.33980324074</v>
      </c>
      <c r="C44" s="24">
        <v>45992.5</v>
      </c>
      <c r="D44" s="6">
        <v>24.0</v>
      </c>
      <c r="E44" s="5" t="s">
        <v>563</v>
      </c>
      <c r="G44" s="5" t="s">
        <v>66</v>
      </c>
      <c r="H44" s="5" t="s">
        <v>438</v>
      </c>
      <c r="I44" s="5" t="s">
        <v>438</v>
      </c>
      <c r="J44" s="5" t="s">
        <v>439</v>
      </c>
      <c r="K44" s="5" t="s">
        <v>457</v>
      </c>
      <c r="L44" s="5" t="b">
        <v>1</v>
      </c>
      <c r="M44" s="24">
        <v>46014.33980324074</v>
      </c>
      <c r="N44" s="5" t="s">
        <v>564</v>
      </c>
      <c r="O44" s="13" t="s">
        <v>212</v>
      </c>
    </row>
    <row r="45">
      <c r="A45" s="5" t="s">
        <v>565</v>
      </c>
      <c r="B45" s="24">
        <v>46014.33981481481</v>
      </c>
      <c r="C45" s="24">
        <v>45996.5</v>
      </c>
      <c r="D45" s="6">
        <v>35.0</v>
      </c>
      <c r="E45" s="5" t="s">
        <v>566</v>
      </c>
      <c r="G45" s="5" t="s">
        <v>59</v>
      </c>
      <c r="H45" s="5" t="s">
        <v>438</v>
      </c>
      <c r="I45" s="5" t="s">
        <v>438</v>
      </c>
      <c r="J45" s="5" t="s">
        <v>439</v>
      </c>
      <c r="K45" s="5" t="s">
        <v>457</v>
      </c>
      <c r="L45" s="5" t="b">
        <v>1</v>
      </c>
      <c r="M45" s="24">
        <v>46014.33981481481</v>
      </c>
      <c r="N45" s="5" t="s">
        <v>567</v>
      </c>
      <c r="O45" s="13" t="s">
        <v>212</v>
      </c>
    </row>
    <row r="46">
      <c r="A46" s="5" t="s">
        <v>568</v>
      </c>
      <c r="B46" s="24">
        <v>46014.33982638889</v>
      </c>
      <c r="C46" s="24">
        <v>46006.5</v>
      </c>
      <c r="D46" s="6">
        <v>18.0</v>
      </c>
      <c r="E46" s="5" t="s">
        <v>569</v>
      </c>
      <c r="G46" s="5" t="s">
        <v>62</v>
      </c>
      <c r="H46" s="5" t="s">
        <v>438</v>
      </c>
      <c r="I46" s="5" t="s">
        <v>438</v>
      </c>
      <c r="J46" s="5" t="s">
        <v>439</v>
      </c>
      <c r="K46" s="5" t="s">
        <v>440</v>
      </c>
      <c r="L46" s="5" t="b">
        <v>0</v>
      </c>
      <c r="N46" s="5" t="s">
        <v>570</v>
      </c>
      <c r="O46" s="13" t="s">
        <v>212</v>
      </c>
    </row>
    <row r="47">
      <c r="A47" s="5" t="s">
        <v>571</v>
      </c>
      <c r="B47" s="24">
        <v>46014.339837962965</v>
      </c>
      <c r="C47" s="24">
        <v>46007.5</v>
      </c>
      <c r="D47" s="6">
        <v>40.0</v>
      </c>
      <c r="E47" s="5" t="s">
        <v>572</v>
      </c>
      <c r="G47" s="5" t="s">
        <v>58</v>
      </c>
      <c r="H47" s="5" t="s">
        <v>438</v>
      </c>
      <c r="I47" s="5" t="s">
        <v>438</v>
      </c>
      <c r="J47" s="5" t="s">
        <v>439</v>
      </c>
      <c r="K47" s="5" t="s">
        <v>457</v>
      </c>
      <c r="L47" s="5" t="b">
        <v>1</v>
      </c>
      <c r="M47" s="24">
        <v>46014.339837962965</v>
      </c>
      <c r="N47" s="5" t="s">
        <v>573</v>
      </c>
      <c r="O47" s="13" t="s">
        <v>212</v>
      </c>
    </row>
    <row r="48">
      <c r="A48" s="5" t="s">
        <v>574</v>
      </c>
      <c r="B48" s="24">
        <v>46014.339849537035</v>
      </c>
      <c r="C48" s="24">
        <v>45992.5</v>
      </c>
      <c r="D48" s="6">
        <v>4.74</v>
      </c>
      <c r="E48" s="5" t="s">
        <v>575</v>
      </c>
      <c r="G48" s="5" t="s">
        <v>67</v>
      </c>
      <c r="H48" s="5" t="s">
        <v>438</v>
      </c>
      <c r="I48" s="5" t="s">
        <v>438</v>
      </c>
      <c r="J48" s="5" t="s">
        <v>439</v>
      </c>
      <c r="K48" s="5" t="s">
        <v>457</v>
      </c>
      <c r="L48" s="5" t="b">
        <v>1</v>
      </c>
      <c r="M48" s="24">
        <v>46014.339849537035</v>
      </c>
      <c r="N48" s="5" t="s">
        <v>576</v>
      </c>
      <c r="O48" s="13" t="s">
        <v>212</v>
      </c>
    </row>
    <row r="49">
      <c r="A49" s="5" t="s">
        <v>577</v>
      </c>
      <c r="B49" s="24">
        <v>46014.33986111111</v>
      </c>
      <c r="C49" s="24">
        <v>45993.5</v>
      </c>
      <c r="D49" s="6">
        <v>117.0</v>
      </c>
      <c r="E49" s="5" t="s">
        <v>578</v>
      </c>
      <c r="G49" s="5" t="s">
        <v>59</v>
      </c>
      <c r="H49" s="5" t="s">
        <v>438</v>
      </c>
      <c r="I49" s="5" t="s">
        <v>438</v>
      </c>
      <c r="J49" s="5" t="s">
        <v>439</v>
      </c>
      <c r="K49" s="5" t="s">
        <v>457</v>
      </c>
      <c r="L49" s="5" t="b">
        <v>1</v>
      </c>
      <c r="M49" s="24">
        <v>46014.33986111111</v>
      </c>
      <c r="N49" s="5" t="s">
        <v>579</v>
      </c>
      <c r="O49" s="13" t="s">
        <v>212</v>
      </c>
    </row>
    <row r="50">
      <c r="A50" s="5" t="s">
        <v>580</v>
      </c>
      <c r="B50" s="24">
        <v>46014.33988425926</v>
      </c>
      <c r="C50" s="24">
        <v>45993.5</v>
      </c>
      <c r="D50" s="6">
        <v>20.0</v>
      </c>
      <c r="E50" s="5" t="s">
        <v>581</v>
      </c>
      <c r="G50" s="5" t="s">
        <v>70</v>
      </c>
      <c r="H50" s="5" t="s">
        <v>438</v>
      </c>
      <c r="I50" s="5" t="s">
        <v>438</v>
      </c>
      <c r="J50" s="5" t="s">
        <v>439</v>
      </c>
      <c r="K50" s="5" t="s">
        <v>440</v>
      </c>
      <c r="L50" s="5" t="b">
        <v>0</v>
      </c>
      <c r="N50" s="5" t="s">
        <v>582</v>
      </c>
      <c r="O50" s="13" t="s">
        <v>212</v>
      </c>
    </row>
    <row r="51">
      <c r="A51" s="5" t="s">
        <v>583</v>
      </c>
      <c r="B51" s="24">
        <v>46014.33988425926</v>
      </c>
      <c r="C51" s="24">
        <v>46004.5</v>
      </c>
      <c r="D51" s="6">
        <v>42.0</v>
      </c>
      <c r="E51" s="5" t="s">
        <v>162</v>
      </c>
      <c r="G51" s="5" t="s">
        <v>66</v>
      </c>
      <c r="H51" s="5" t="s">
        <v>438</v>
      </c>
      <c r="I51" s="5" t="s">
        <v>438</v>
      </c>
      <c r="J51" s="5" t="s">
        <v>439</v>
      </c>
      <c r="K51" s="5" t="s">
        <v>457</v>
      </c>
      <c r="L51" s="5" t="b">
        <v>1</v>
      </c>
      <c r="M51" s="24">
        <v>46014.33988425926</v>
      </c>
      <c r="N51" s="5" t="s">
        <v>584</v>
      </c>
      <c r="O51" s="13" t="s">
        <v>212</v>
      </c>
    </row>
    <row r="52">
      <c r="A52" s="5" t="s">
        <v>585</v>
      </c>
      <c r="B52" s="24">
        <v>46014.339907407404</v>
      </c>
      <c r="C52" s="24">
        <v>46007.5</v>
      </c>
      <c r="D52" s="6">
        <v>25.37</v>
      </c>
      <c r="E52" s="5" t="s">
        <v>586</v>
      </c>
      <c r="G52" s="5" t="s">
        <v>70</v>
      </c>
      <c r="H52" s="5" t="s">
        <v>438</v>
      </c>
      <c r="I52" s="5" t="s">
        <v>438</v>
      </c>
      <c r="J52" s="5" t="s">
        <v>439</v>
      </c>
      <c r="K52" s="5" t="s">
        <v>440</v>
      </c>
      <c r="L52" s="5" t="b">
        <v>0</v>
      </c>
      <c r="N52" s="5" t="s">
        <v>587</v>
      </c>
      <c r="O52" s="13" t="s">
        <v>212</v>
      </c>
    </row>
    <row r="53">
      <c r="A53" s="5" t="s">
        <v>588</v>
      </c>
      <c r="B53" s="24">
        <v>46014.33991898148</v>
      </c>
      <c r="C53" s="24">
        <v>45992.5</v>
      </c>
      <c r="D53" s="6">
        <v>12.0</v>
      </c>
      <c r="E53" s="5" t="s">
        <v>163</v>
      </c>
      <c r="G53" s="5" t="s">
        <v>66</v>
      </c>
      <c r="H53" s="5" t="s">
        <v>438</v>
      </c>
      <c r="I53" s="5" t="s">
        <v>438</v>
      </c>
      <c r="J53" s="5" t="s">
        <v>439</v>
      </c>
      <c r="K53" s="5" t="s">
        <v>457</v>
      </c>
      <c r="L53" s="5" t="b">
        <v>1</v>
      </c>
      <c r="M53" s="24">
        <v>46014.33991898148</v>
      </c>
      <c r="N53" s="5" t="s">
        <v>589</v>
      </c>
      <c r="O53" s="13" t="s">
        <v>212</v>
      </c>
    </row>
    <row r="54">
      <c r="A54" s="5" t="s">
        <v>590</v>
      </c>
      <c r="B54" s="24">
        <v>46014.33991898148</v>
      </c>
      <c r="C54" s="24">
        <v>46006.5</v>
      </c>
      <c r="D54" s="6">
        <v>94.0</v>
      </c>
      <c r="E54" s="5" t="s">
        <v>167</v>
      </c>
      <c r="G54" s="5" t="s">
        <v>65</v>
      </c>
      <c r="H54" s="5" t="s">
        <v>438</v>
      </c>
      <c r="I54" s="5" t="s">
        <v>438</v>
      </c>
      <c r="J54" s="5" t="s">
        <v>439</v>
      </c>
      <c r="K54" s="5" t="s">
        <v>457</v>
      </c>
      <c r="L54" s="5" t="b">
        <v>1</v>
      </c>
      <c r="M54" s="24">
        <v>46014.33991898148</v>
      </c>
      <c r="N54" s="5" t="s">
        <v>591</v>
      </c>
      <c r="O54" s="13" t="s">
        <v>212</v>
      </c>
    </row>
    <row r="55">
      <c r="A55" s="5" t="s">
        <v>592</v>
      </c>
      <c r="B55" s="24">
        <v>46014.33993055556</v>
      </c>
      <c r="C55" s="24">
        <v>45992.5</v>
      </c>
      <c r="D55" s="6">
        <v>134.0</v>
      </c>
      <c r="E55" s="5" t="s">
        <v>593</v>
      </c>
      <c r="G55" s="5" t="s">
        <v>56</v>
      </c>
      <c r="H55" s="5" t="s">
        <v>438</v>
      </c>
      <c r="I55" s="5" t="s">
        <v>438</v>
      </c>
      <c r="J55" s="5" t="s">
        <v>439</v>
      </c>
      <c r="K55" s="5" t="s">
        <v>457</v>
      </c>
      <c r="L55" s="5" t="b">
        <v>1</v>
      </c>
      <c r="M55" s="24">
        <v>46014.33993055556</v>
      </c>
      <c r="N55" s="5" t="s">
        <v>594</v>
      </c>
      <c r="O55" s="13" t="s">
        <v>212</v>
      </c>
    </row>
    <row r="56">
      <c r="A56" s="5" t="s">
        <v>595</v>
      </c>
      <c r="B56" s="24">
        <v>46014.33994212963</v>
      </c>
      <c r="C56" s="24">
        <v>45998.5</v>
      </c>
      <c r="D56" s="6">
        <v>55.0</v>
      </c>
      <c r="E56" s="5" t="s">
        <v>596</v>
      </c>
      <c r="G56" s="5" t="s">
        <v>66</v>
      </c>
      <c r="H56" s="5" t="s">
        <v>438</v>
      </c>
      <c r="I56" s="5" t="s">
        <v>438</v>
      </c>
      <c r="J56" s="5" t="s">
        <v>439</v>
      </c>
      <c r="K56" s="5" t="s">
        <v>457</v>
      </c>
      <c r="L56" s="5" t="b">
        <v>1</v>
      </c>
      <c r="M56" s="24">
        <v>46014.33994212963</v>
      </c>
      <c r="N56" s="5" t="s">
        <v>597</v>
      </c>
      <c r="O56" s="13" t="s">
        <v>212</v>
      </c>
    </row>
    <row r="57">
      <c r="A57" s="5" t="s">
        <v>598</v>
      </c>
      <c r="B57" s="24">
        <v>46014.339953703704</v>
      </c>
      <c r="C57" s="24">
        <v>45998.5</v>
      </c>
      <c r="D57" s="6">
        <v>5.0</v>
      </c>
      <c r="E57" s="5" t="s">
        <v>599</v>
      </c>
      <c r="G57" s="5" t="s">
        <v>70</v>
      </c>
      <c r="H57" s="5" t="s">
        <v>438</v>
      </c>
      <c r="I57" s="5" t="s">
        <v>438</v>
      </c>
      <c r="J57" s="5" t="s">
        <v>439</v>
      </c>
      <c r="K57" s="5" t="s">
        <v>440</v>
      </c>
      <c r="L57" s="5" t="b">
        <v>0</v>
      </c>
      <c r="N57" s="5" t="s">
        <v>600</v>
      </c>
      <c r="O57" s="13" t="s">
        <v>212</v>
      </c>
    </row>
    <row r="58">
      <c r="A58" s="5" t="s">
        <v>601</v>
      </c>
      <c r="B58" s="24">
        <v>46014.33996527778</v>
      </c>
      <c r="C58" s="24">
        <v>45996.5</v>
      </c>
      <c r="D58" s="6">
        <v>7.7</v>
      </c>
      <c r="E58" s="5" t="s">
        <v>602</v>
      </c>
      <c r="G58" s="5" t="s">
        <v>63</v>
      </c>
      <c r="H58" s="5" t="s">
        <v>438</v>
      </c>
      <c r="I58" s="5" t="s">
        <v>438</v>
      </c>
      <c r="J58" s="5" t="s">
        <v>439</v>
      </c>
      <c r="K58" s="5" t="s">
        <v>457</v>
      </c>
      <c r="L58" s="5" t="b">
        <v>1</v>
      </c>
      <c r="M58" s="24">
        <v>46014.33996527778</v>
      </c>
      <c r="N58" s="5" t="s">
        <v>603</v>
      </c>
      <c r="O58" s="13" t="s">
        <v>212</v>
      </c>
    </row>
    <row r="59">
      <c r="A59" s="5" t="s">
        <v>604</v>
      </c>
      <c r="B59" s="24">
        <v>46014.33997685185</v>
      </c>
      <c r="C59" s="24">
        <v>45997.5</v>
      </c>
      <c r="D59" s="6">
        <v>71.0</v>
      </c>
      <c r="E59" s="5" t="s">
        <v>605</v>
      </c>
      <c r="G59" s="5" t="s">
        <v>62</v>
      </c>
      <c r="H59" s="5" t="s">
        <v>438</v>
      </c>
      <c r="I59" s="5" t="s">
        <v>438</v>
      </c>
      <c r="J59" s="5" t="s">
        <v>439</v>
      </c>
      <c r="K59" s="5" t="s">
        <v>440</v>
      </c>
      <c r="L59" s="5" t="b">
        <v>0</v>
      </c>
      <c r="N59" s="5" t="s">
        <v>606</v>
      </c>
      <c r="O59" s="13" t="s">
        <v>212</v>
      </c>
    </row>
    <row r="60">
      <c r="A60" s="5" t="s">
        <v>607</v>
      </c>
      <c r="B60" s="24">
        <v>46014.34</v>
      </c>
      <c r="C60" s="24">
        <v>45995.5</v>
      </c>
      <c r="D60" s="6">
        <v>15.0</v>
      </c>
      <c r="E60" s="5" t="s">
        <v>608</v>
      </c>
      <c r="G60" s="5" t="s">
        <v>62</v>
      </c>
      <c r="H60" s="5" t="s">
        <v>438</v>
      </c>
      <c r="I60" s="5" t="s">
        <v>438</v>
      </c>
      <c r="J60" s="5" t="s">
        <v>439</v>
      </c>
      <c r="K60" s="5" t="s">
        <v>440</v>
      </c>
      <c r="L60" s="5" t="b">
        <v>0</v>
      </c>
      <c r="N60" s="5" t="s">
        <v>609</v>
      </c>
      <c r="O60" s="13" t="s">
        <v>212</v>
      </c>
    </row>
    <row r="61">
      <c r="A61" s="5" t="s">
        <v>610</v>
      </c>
      <c r="B61" s="24">
        <v>46014.34001157407</v>
      </c>
      <c r="C61" s="24">
        <v>45997.5</v>
      </c>
      <c r="D61" s="6">
        <v>28.0</v>
      </c>
      <c r="E61" s="5" t="s">
        <v>611</v>
      </c>
      <c r="G61" s="5" t="s">
        <v>60</v>
      </c>
      <c r="H61" s="5" t="s">
        <v>438</v>
      </c>
      <c r="I61" s="5" t="s">
        <v>438</v>
      </c>
      <c r="J61" s="5" t="s">
        <v>439</v>
      </c>
      <c r="K61" s="5" t="s">
        <v>457</v>
      </c>
      <c r="L61" s="5" t="b">
        <v>1</v>
      </c>
      <c r="M61" s="24">
        <v>46014.34001157407</v>
      </c>
      <c r="N61" s="5" t="s">
        <v>612</v>
      </c>
      <c r="O61" s="13" t="s">
        <v>212</v>
      </c>
    </row>
    <row r="62">
      <c r="A62" s="5" t="s">
        <v>613</v>
      </c>
      <c r="B62" s="24">
        <v>46014.34002314815</v>
      </c>
      <c r="C62" s="24">
        <v>45997.5</v>
      </c>
      <c r="D62" s="6">
        <v>12.0</v>
      </c>
      <c r="E62" s="5" t="s">
        <v>614</v>
      </c>
      <c r="G62" s="5" t="s">
        <v>62</v>
      </c>
      <c r="H62" s="5" t="s">
        <v>438</v>
      </c>
      <c r="I62" s="5" t="s">
        <v>438</v>
      </c>
      <c r="J62" s="5" t="s">
        <v>439</v>
      </c>
      <c r="K62" s="5" t="s">
        <v>440</v>
      </c>
      <c r="L62" s="5" t="b">
        <v>0</v>
      </c>
      <c r="N62" s="5" t="s">
        <v>615</v>
      </c>
      <c r="O62" s="13" t="s">
        <v>212</v>
      </c>
    </row>
    <row r="63">
      <c r="A63" s="5" t="s">
        <v>616</v>
      </c>
      <c r="B63" s="24">
        <v>46014.34003472222</v>
      </c>
      <c r="C63" s="24">
        <v>45997.5</v>
      </c>
      <c r="D63" s="6">
        <v>15.0</v>
      </c>
      <c r="E63" s="5" t="s">
        <v>617</v>
      </c>
      <c r="G63" s="5" t="s">
        <v>62</v>
      </c>
      <c r="H63" s="5" t="s">
        <v>438</v>
      </c>
      <c r="I63" s="5" t="s">
        <v>438</v>
      </c>
      <c r="J63" s="5" t="s">
        <v>439</v>
      </c>
      <c r="K63" s="5" t="s">
        <v>440</v>
      </c>
      <c r="L63" s="5" t="b">
        <v>0</v>
      </c>
      <c r="N63" s="5" t="s">
        <v>618</v>
      </c>
      <c r="O63" s="13" t="s">
        <v>212</v>
      </c>
    </row>
    <row r="64">
      <c r="A64" s="5" t="s">
        <v>619</v>
      </c>
      <c r="B64" s="24">
        <v>46014.340046296296</v>
      </c>
      <c r="C64" s="24">
        <v>45997.5</v>
      </c>
      <c r="D64" s="6">
        <v>54.0</v>
      </c>
      <c r="E64" s="5" t="s">
        <v>620</v>
      </c>
      <c r="G64" s="5" t="s">
        <v>59</v>
      </c>
      <c r="H64" s="5" t="s">
        <v>438</v>
      </c>
      <c r="I64" s="5" t="s">
        <v>438</v>
      </c>
      <c r="J64" s="5" t="s">
        <v>439</v>
      </c>
      <c r="K64" s="5" t="s">
        <v>457</v>
      </c>
      <c r="L64" s="5" t="b">
        <v>1</v>
      </c>
      <c r="M64" s="24">
        <v>46014.340046296296</v>
      </c>
      <c r="N64" s="5" t="s">
        <v>621</v>
      </c>
      <c r="O64" s="13" t="s">
        <v>212</v>
      </c>
    </row>
    <row r="65">
      <c r="A65" s="5" t="s">
        <v>622</v>
      </c>
      <c r="B65" s="24">
        <v>46014.48181712963</v>
      </c>
      <c r="C65" s="24">
        <v>46014.48181712963</v>
      </c>
      <c r="D65" s="6">
        <v>150.7</v>
      </c>
      <c r="E65" s="5" t="s">
        <v>623</v>
      </c>
      <c r="G65" s="5" t="s">
        <v>56</v>
      </c>
      <c r="H65" s="5" t="s">
        <v>438</v>
      </c>
      <c r="I65" s="5" t="s">
        <v>438</v>
      </c>
      <c r="J65" s="5" t="s">
        <v>439</v>
      </c>
      <c r="K65" s="5" t="s">
        <v>440</v>
      </c>
      <c r="L65" s="5" t="b">
        <v>0</v>
      </c>
      <c r="N65" s="5" t="s">
        <v>624</v>
      </c>
      <c r="O65" s="13" t="s">
        <v>212</v>
      </c>
    </row>
    <row r="66">
      <c r="A66" s="5" t="s">
        <v>625</v>
      </c>
      <c r="B66" s="24">
        <v>46014.48206018518</v>
      </c>
      <c r="C66" s="24">
        <v>46014.48206018518</v>
      </c>
      <c r="D66" s="6">
        <v>63.71</v>
      </c>
      <c r="E66" s="5" t="s">
        <v>626</v>
      </c>
      <c r="G66" s="5" t="s">
        <v>56</v>
      </c>
      <c r="H66" s="5" t="s">
        <v>438</v>
      </c>
      <c r="I66" s="5" t="s">
        <v>438</v>
      </c>
      <c r="J66" s="5" t="s">
        <v>439</v>
      </c>
      <c r="K66" s="5" t="s">
        <v>457</v>
      </c>
      <c r="L66" s="5" t="b">
        <v>1</v>
      </c>
      <c r="M66" s="24">
        <v>46014.48206018518</v>
      </c>
      <c r="N66" s="5" t="s">
        <v>627</v>
      </c>
      <c r="O66" s="13" t="s">
        <v>212</v>
      </c>
    </row>
    <row r="67">
      <c r="A67" s="5" t="s">
        <v>628</v>
      </c>
      <c r="B67" s="24">
        <v>46014.56018518518</v>
      </c>
      <c r="C67" s="24">
        <v>46014.56018518518</v>
      </c>
      <c r="D67" s="6">
        <v>158.6</v>
      </c>
      <c r="E67" s="5" t="s">
        <v>629</v>
      </c>
      <c r="G67" s="5" t="s">
        <v>60</v>
      </c>
      <c r="H67" s="5" t="s">
        <v>456</v>
      </c>
      <c r="I67" s="5" t="s">
        <v>456</v>
      </c>
      <c r="J67" s="5" t="s">
        <v>439</v>
      </c>
      <c r="K67" s="5" t="s">
        <v>440</v>
      </c>
      <c r="L67" s="5" t="b">
        <v>0</v>
      </c>
      <c r="N67" s="5" t="s">
        <v>630</v>
      </c>
      <c r="O67" s="13" t="s">
        <v>212</v>
      </c>
    </row>
    <row r="68">
      <c r="A68" s="5" t="s">
        <v>631</v>
      </c>
      <c r="B68" s="24">
        <v>46014.56019675926</v>
      </c>
      <c r="C68" s="24">
        <v>46014.56019675926</v>
      </c>
      <c r="D68" s="6">
        <v>40.5</v>
      </c>
      <c r="E68" s="5" t="s">
        <v>632</v>
      </c>
      <c r="G68" s="5" t="s">
        <v>60</v>
      </c>
      <c r="H68" s="5" t="s">
        <v>456</v>
      </c>
      <c r="I68" s="5" t="s">
        <v>456</v>
      </c>
      <c r="J68" s="5" t="s">
        <v>439</v>
      </c>
      <c r="K68" s="5" t="s">
        <v>440</v>
      </c>
      <c r="L68" s="5" t="b">
        <v>0</v>
      </c>
      <c r="N68" s="5" t="s">
        <v>633</v>
      </c>
      <c r="O68" s="13" t="s">
        <v>212</v>
      </c>
    </row>
    <row r="69">
      <c r="A69" s="5" t="s">
        <v>634</v>
      </c>
      <c r="B69" s="24">
        <v>46014.561631944445</v>
      </c>
      <c r="C69" s="24">
        <v>46014.561631944445</v>
      </c>
      <c r="D69" s="6">
        <v>145.21</v>
      </c>
      <c r="E69" s="5" t="s">
        <v>635</v>
      </c>
      <c r="G69" s="5" t="s">
        <v>59</v>
      </c>
      <c r="H69" s="5" t="s">
        <v>456</v>
      </c>
      <c r="I69" s="5" t="s">
        <v>456</v>
      </c>
      <c r="J69" s="5" t="s">
        <v>439</v>
      </c>
      <c r="K69" s="5" t="s">
        <v>457</v>
      </c>
      <c r="L69" s="5" t="b">
        <v>1</v>
      </c>
      <c r="M69" s="24">
        <v>46014.561631944445</v>
      </c>
      <c r="N69" s="5" t="s">
        <v>636</v>
      </c>
      <c r="O69" s="13" t="s">
        <v>212</v>
      </c>
    </row>
    <row r="70">
      <c r="A70" s="5" t="s">
        <v>637</v>
      </c>
      <c r="B70" s="24">
        <v>46014.563310185185</v>
      </c>
      <c r="C70" s="24">
        <v>46014.563310185185</v>
      </c>
      <c r="D70" s="6">
        <v>50.0</v>
      </c>
      <c r="E70" s="5" t="s">
        <v>638</v>
      </c>
      <c r="G70" s="5" t="s">
        <v>59</v>
      </c>
      <c r="H70" s="5" t="s">
        <v>456</v>
      </c>
      <c r="I70" s="5" t="s">
        <v>456</v>
      </c>
      <c r="J70" s="5" t="s">
        <v>439</v>
      </c>
      <c r="K70" s="5" t="s">
        <v>457</v>
      </c>
      <c r="L70" s="5" t="b">
        <v>1</v>
      </c>
      <c r="M70" s="24">
        <v>46014.563310185185</v>
      </c>
      <c r="N70" s="5" t="s">
        <v>639</v>
      </c>
      <c r="O70" s="13" t="s">
        <v>212</v>
      </c>
    </row>
    <row r="71">
      <c r="A71" s="5" t="s">
        <v>640</v>
      </c>
      <c r="B71" s="24">
        <v>46018.476331018515</v>
      </c>
      <c r="C71" s="24">
        <v>46017.5</v>
      </c>
      <c r="D71" s="6">
        <v>2.0</v>
      </c>
      <c r="E71" s="5" t="s">
        <v>641</v>
      </c>
      <c r="G71" s="5" t="s">
        <v>70</v>
      </c>
      <c r="H71" s="5" t="s">
        <v>438</v>
      </c>
      <c r="I71" s="5" t="s">
        <v>438</v>
      </c>
      <c r="J71" s="5" t="s">
        <v>439</v>
      </c>
      <c r="K71" s="5" t="s">
        <v>440</v>
      </c>
      <c r="L71" s="5" t="b">
        <v>0</v>
      </c>
      <c r="N71" s="5" t="s">
        <v>642</v>
      </c>
      <c r="O71" s="13" t="s">
        <v>212</v>
      </c>
    </row>
    <row r="72">
      <c r="A72" s="5" t="s">
        <v>643</v>
      </c>
      <c r="B72" s="24">
        <v>46018.476435185185</v>
      </c>
      <c r="C72" s="24">
        <v>46017.5</v>
      </c>
      <c r="D72" s="6">
        <v>8.5</v>
      </c>
      <c r="E72" s="5" t="s">
        <v>644</v>
      </c>
      <c r="G72" s="5" t="s">
        <v>62</v>
      </c>
      <c r="H72" s="5" t="s">
        <v>438</v>
      </c>
      <c r="I72" s="5" t="s">
        <v>438</v>
      </c>
      <c r="J72" s="5" t="s">
        <v>439</v>
      </c>
      <c r="K72" s="5" t="s">
        <v>440</v>
      </c>
      <c r="L72" s="5" t="b">
        <v>0</v>
      </c>
      <c r="N72" s="5" t="s">
        <v>645</v>
      </c>
      <c r="O72" s="13" t="s">
        <v>212</v>
      </c>
    </row>
    <row r="73">
      <c r="A73" s="5" t="s">
        <v>646</v>
      </c>
      <c r="B73" s="24">
        <v>46018.57090277778</v>
      </c>
      <c r="C73" s="24">
        <v>46018.57090277778</v>
      </c>
      <c r="D73" s="6">
        <v>102.0</v>
      </c>
      <c r="E73" s="5" t="s">
        <v>647</v>
      </c>
      <c r="G73" s="5" t="s">
        <v>56</v>
      </c>
      <c r="H73" s="5" t="s">
        <v>456</v>
      </c>
      <c r="I73" s="5" t="s">
        <v>456</v>
      </c>
      <c r="J73" s="5" t="s">
        <v>439</v>
      </c>
      <c r="K73" s="5" t="s">
        <v>440</v>
      </c>
      <c r="L73" s="5" t="b">
        <v>0</v>
      </c>
      <c r="N73" s="5" t="s">
        <v>648</v>
      </c>
      <c r="O73" s="13" t="s">
        <v>212</v>
      </c>
    </row>
    <row r="74">
      <c r="A74" s="5" t="s">
        <v>649</v>
      </c>
      <c r="B74" s="24">
        <v>46018.571076388886</v>
      </c>
      <c r="C74" s="24">
        <v>46018.571076388886</v>
      </c>
      <c r="D74" s="6">
        <v>15.5</v>
      </c>
      <c r="E74" s="5" t="s">
        <v>650</v>
      </c>
      <c r="G74" s="5" t="s">
        <v>65</v>
      </c>
      <c r="H74" s="5" t="s">
        <v>456</v>
      </c>
      <c r="I74" s="5" t="s">
        <v>456</v>
      </c>
      <c r="J74" s="5" t="s">
        <v>439</v>
      </c>
      <c r="K74" s="5" t="s">
        <v>440</v>
      </c>
      <c r="L74" s="5" t="b">
        <v>0</v>
      </c>
      <c r="N74" s="5" t="s">
        <v>651</v>
      </c>
      <c r="O74" s="13" t="s">
        <v>212</v>
      </c>
    </row>
    <row r="75">
      <c r="A75" s="5" t="s">
        <v>652</v>
      </c>
      <c r="B75" s="24">
        <v>46018.573217592595</v>
      </c>
      <c r="C75" s="24">
        <v>46018.573217592595</v>
      </c>
      <c r="D75" s="6">
        <v>123.0</v>
      </c>
      <c r="E75" s="5" t="s">
        <v>653</v>
      </c>
      <c r="G75" s="5" t="s">
        <v>63</v>
      </c>
      <c r="H75" s="5" t="s">
        <v>456</v>
      </c>
      <c r="I75" s="5" t="s">
        <v>456</v>
      </c>
      <c r="J75" s="5" t="s">
        <v>439</v>
      </c>
      <c r="K75" s="5" t="s">
        <v>440</v>
      </c>
      <c r="L75" s="5" t="b">
        <v>0</v>
      </c>
      <c r="N75" s="5" t="s">
        <v>654</v>
      </c>
      <c r="O75" s="13" t="s">
        <v>212</v>
      </c>
    </row>
    <row r="76">
      <c r="A76" s="5" t="s">
        <v>655</v>
      </c>
      <c r="B76" s="24">
        <v>46018.574594907404</v>
      </c>
      <c r="C76" s="24">
        <v>46018.574594907404</v>
      </c>
      <c r="D76" s="6">
        <v>35.0</v>
      </c>
      <c r="E76" s="5" t="s">
        <v>656</v>
      </c>
      <c r="G76" s="5" t="s">
        <v>66</v>
      </c>
      <c r="H76" s="5" t="s">
        <v>456</v>
      </c>
      <c r="I76" s="5" t="s">
        <v>456</v>
      </c>
      <c r="J76" s="5" t="s">
        <v>439</v>
      </c>
      <c r="K76" s="5" t="s">
        <v>440</v>
      </c>
      <c r="L76" s="5" t="b">
        <v>0</v>
      </c>
      <c r="N76" s="5" t="s">
        <v>657</v>
      </c>
      <c r="O76" s="13" t="s">
        <v>212</v>
      </c>
    </row>
    <row r="77">
      <c r="O77" s="25"/>
    </row>
    <row r="78">
      <c r="O78" s="25"/>
    </row>
    <row r="79">
      <c r="O79" s="25"/>
    </row>
    <row r="80">
      <c r="O80" s="25"/>
    </row>
    <row r="81">
      <c r="O81" s="25"/>
    </row>
    <row r="82">
      <c r="O82" s="25"/>
    </row>
    <row r="83">
      <c r="O83" s="25"/>
    </row>
    <row r="84">
      <c r="O84" s="25"/>
    </row>
    <row r="85">
      <c r="O85" s="25"/>
    </row>
    <row r="86">
      <c r="O86" s="25"/>
    </row>
    <row r="87">
      <c r="O87" s="25"/>
    </row>
    <row r="88">
      <c r="O88" s="25"/>
    </row>
    <row r="89">
      <c r="O89" s="25"/>
    </row>
    <row r="90">
      <c r="O90" s="25"/>
    </row>
    <row r="91">
      <c r="O91" s="25"/>
    </row>
    <row r="92">
      <c r="O92" s="25"/>
    </row>
    <row r="93">
      <c r="O93" s="25"/>
    </row>
    <row r="94">
      <c r="O94" s="25"/>
    </row>
    <row r="95">
      <c r="O95" s="25"/>
    </row>
    <row r="96">
      <c r="O96" s="25"/>
    </row>
    <row r="97">
      <c r="O97" s="25"/>
    </row>
    <row r="98">
      <c r="O98" s="25"/>
    </row>
    <row r="99">
      <c r="O99" s="25"/>
    </row>
    <row r="100">
      <c r="O100" s="25"/>
    </row>
    <row r="101">
      <c r="O101" s="25"/>
    </row>
    <row r="102">
      <c r="O102" s="25"/>
    </row>
    <row r="103">
      <c r="O103" s="25"/>
    </row>
    <row r="104">
      <c r="O104" s="25"/>
    </row>
    <row r="105">
      <c r="O105" s="25"/>
    </row>
    <row r="106">
      <c r="O106" s="25"/>
    </row>
    <row r="107">
      <c r="O107" s="25"/>
    </row>
    <row r="108">
      <c r="O108" s="25"/>
    </row>
    <row r="109">
      <c r="O109" s="25"/>
    </row>
    <row r="110">
      <c r="O110" s="25"/>
    </row>
    <row r="111">
      <c r="O111" s="25"/>
    </row>
    <row r="112">
      <c r="O112" s="25"/>
    </row>
    <row r="113">
      <c r="O113" s="25"/>
    </row>
    <row r="114">
      <c r="O114" s="25"/>
    </row>
    <row r="115">
      <c r="O115" s="25"/>
    </row>
    <row r="116">
      <c r="O116" s="25"/>
    </row>
    <row r="117">
      <c r="O117" s="25"/>
    </row>
    <row r="118">
      <c r="O118" s="25"/>
    </row>
    <row r="119">
      <c r="O119" s="25"/>
    </row>
    <row r="120">
      <c r="O120" s="25"/>
    </row>
    <row r="121">
      <c r="O121" s="25"/>
    </row>
    <row r="122">
      <c r="O122" s="25"/>
    </row>
    <row r="123">
      <c r="O123" s="25"/>
    </row>
    <row r="124">
      <c r="O124" s="25"/>
    </row>
    <row r="125">
      <c r="O125" s="25"/>
    </row>
    <row r="126">
      <c r="O126" s="25"/>
    </row>
    <row r="127">
      <c r="O127" s="25"/>
    </row>
    <row r="128">
      <c r="O128" s="25"/>
    </row>
    <row r="129">
      <c r="O129" s="25"/>
    </row>
    <row r="130">
      <c r="O130" s="25"/>
    </row>
    <row r="131">
      <c r="O131" s="25"/>
    </row>
    <row r="132">
      <c r="O132" s="25"/>
    </row>
    <row r="133">
      <c r="O133" s="25"/>
    </row>
    <row r="134">
      <c r="O134" s="25"/>
    </row>
    <row r="135">
      <c r="O135" s="25"/>
    </row>
    <row r="136">
      <c r="O136" s="25"/>
    </row>
    <row r="137">
      <c r="O137" s="25"/>
    </row>
    <row r="138">
      <c r="O138" s="25"/>
    </row>
    <row r="139">
      <c r="O139" s="25"/>
    </row>
    <row r="140">
      <c r="O140" s="25"/>
    </row>
    <row r="141">
      <c r="O141" s="25"/>
    </row>
    <row r="142">
      <c r="O142" s="25"/>
    </row>
    <row r="143">
      <c r="O143" s="25"/>
    </row>
    <row r="144">
      <c r="O144" s="25"/>
    </row>
    <row r="145">
      <c r="O145" s="25"/>
    </row>
    <row r="146">
      <c r="O146" s="25"/>
    </row>
    <row r="147">
      <c r="O147" s="25"/>
    </row>
    <row r="148">
      <c r="O148" s="25"/>
    </row>
    <row r="149">
      <c r="O149" s="25"/>
    </row>
    <row r="150">
      <c r="O150" s="25"/>
    </row>
    <row r="151">
      <c r="O151" s="25"/>
    </row>
    <row r="152">
      <c r="O152" s="25"/>
    </row>
    <row r="153">
      <c r="O153" s="25"/>
    </row>
    <row r="154">
      <c r="O154" s="25"/>
    </row>
    <row r="155">
      <c r="O155" s="25"/>
    </row>
    <row r="156">
      <c r="O156" s="25"/>
    </row>
    <row r="157">
      <c r="O157" s="25"/>
    </row>
    <row r="158">
      <c r="O158" s="25"/>
    </row>
    <row r="159">
      <c r="O159" s="25"/>
    </row>
    <row r="160">
      <c r="O160" s="25"/>
    </row>
    <row r="161">
      <c r="O161" s="25"/>
    </row>
    <row r="162">
      <c r="O162" s="25"/>
    </row>
    <row r="163">
      <c r="O163" s="25"/>
    </row>
    <row r="164">
      <c r="O164" s="25"/>
    </row>
    <row r="165">
      <c r="O165" s="25"/>
    </row>
    <row r="166">
      <c r="O166" s="25"/>
    </row>
    <row r="167">
      <c r="O167" s="25"/>
    </row>
    <row r="168">
      <c r="O168" s="25"/>
    </row>
    <row r="169">
      <c r="O169" s="25"/>
    </row>
    <row r="170">
      <c r="O170" s="25"/>
    </row>
    <row r="171">
      <c r="O171" s="25"/>
    </row>
    <row r="172">
      <c r="O172" s="25"/>
    </row>
    <row r="173">
      <c r="O173" s="25"/>
    </row>
    <row r="174">
      <c r="O174" s="25"/>
    </row>
    <row r="175">
      <c r="O175" s="25"/>
    </row>
    <row r="176">
      <c r="O176" s="25"/>
    </row>
    <row r="177">
      <c r="O177" s="25"/>
    </row>
    <row r="178">
      <c r="O178" s="25"/>
    </row>
    <row r="179">
      <c r="O179" s="25"/>
    </row>
    <row r="180">
      <c r="O180" s="25"/>
    </row>
    <row r="181">
      <c r="O181" s="25"/>
    </row>
    <row r="182">
      <c r="O182" s="25"/>
    </row>
    <row r="183">
      <c r="O183" s="25"/>
    </row>
    <row r="184">
      <c r="O184" s="25"/>
    </row>
    <row r="185">
      <c r="O185" s="25"/>
    </row>
    <row r="186">
      <c r="O186" s="25"/>
    </row>
    <row r="187">
      <c r="O187" s="25"/>
    </row>
    <row r="188">
      <c r="O188" s="25"/>
    </row>
    <row r="189">
      <c r="O189" s="25"/>
    </row>
    <row r="190">
      <c r="O190" s="25"/>
    </row>
    <row r="191">
      <c r="O191" s="25"/>
    </row>
    <row r="192">
      <c r="O192" s="25"/>
    </row>
    <row r="193">
      <c r="O193" s="25"/>
    </row>
    <row r="194">
      <c r="O194" s="25"/>
    </row>
    <row r="195">
      <c r="O195" s="25"/>
    </row>
    <row r="196">
      <c r="O196" s="25"/>
    </row>
    <row r="197">
      <c r="O197" s="25"/>
    </row>
    <row r="198">
      <c r="O198" s="25"/>
    </row>
    <row r="199">
      <c r="O199" s="25"/>
    </row>
    <row r="200">
      <c r="O200" s="25"/>
    </row>
    <row r="201">
      <c r="O201" s="25"/>
    </row>
    <row r="202">
      <c r="O202" s="25"/>
    </row>
    <row r="203">
      <c r="O203" s="25"/>
    </row>
    <row r="204">
      <c r="O204" s="25"/>
    </row>
    <row r="205">
      <c r="O205" s="25"/>
    </row>
    <row r="206">
      <c r="O206" s="25"/>
    </row>
    <row r="207">
      <c r="O207" s="25"/>
    </row>
    <row r="208">
      <c r="O208" s="25"/>
    </row>
    <row r="209">
      <c r="O209" s="25"/>
    </row>
    <row r="210">
      <c r="O210" s="25"/>
    </row>
    <row r="211">
      <c r="O211" s="25"/>
    </row>
    <row r="212">
      <c r="O212" s="25"/>
    </row>
    <row r="213">
      <c r="O213" s="25"/>
    </row>
    <row r="214">
      <c r="O214" s="25"/>
    </row>
    <row r="215">
      <c r="O215" s="25"/>
    </row>
    <row r="216">
      <c r="O216" s="25"/>
    </row>
    <row r="217">
      <c r="O217" s="25"/>
    </row>
    <row r="218">
      <c r="O218" s="25"/>
    </row>
    <row r="219">
      <c r="O219" s="25"/>
    </row>
    <row r="220">
      <c r="O220" s="25"/>
    </row>
    <row r="221">
      <c r="O221" s="25"/>
    </row>
    <row r="222">
      <c r="O222" s="25"/>
    </row>
    <row r="223">
      <c r="O223" s="25"/>
    </row>
    <row r="224">
      <c r="O224" s="25"/>
    </row>
    <row r="225">
      <c r="O225" s="25"/>
    </row>
    <row r="226">
      <c r="O226" s="25"/>
    </row>
    <row r="227">
      <c r="O227" s="25"/>
    </row>
    <row r="228">
      <c r="O228" s="25"/>
    </row>
    <row r="229">
      <c r="O229" s="25"/>
    </row>
    <row r="230">
      <c r="O230" s="25"/>
    </row>
    <row r="231">
      <c r="O231" s="25"/>
    </row>
    <row r="232">
      <c r="O232" s="25"/>
    </row>
    <row r="233">
      <c r="O233" s="25"/>
    </row>
    <row r="234">
      <c r="O234" s="25"/>
    </row>
    <row r="235">
      <c r="O235" s="25"/>
    </row>
    <row r="236">
      <c r="O236" s="25"/>
    </row>
    <row r="237">
      <c r="O237" s="25"/>
    </row>
    <row r="238">
      <c r="O238" s="25"/>
    </row>
    <row r="239">
      <c r="O239" s="25"/>
    </row>
    <row r="240">
      <c r="O240" s="25"/>
    </row>
    <row r="241">
      <c r="O241" s="25"/>
    </row>
    <row r="242">
      <c r="O242" s="25"/>
    </row>
    <row r="243">
      <c r="O243" s="25"/>
    </row>
    <row r="244">
      <c r="O244" s="25"/>
    </row>
    <row r="245">
      <c r="O245" s="25"/>
    </row>
    <row r="246">
      <c r="O246" s="25"/>
    </row>
    <row r="247">
      <c r="O247" s="25"/>
    </row>
    <row r="248">
      <c r="O248" s="25"/>
    </row>
    <row r="249">
      <c r="O249" s="25"/>
    </row>
    <row r="250">
      <c r="O250" s="25"/>
    </row>
    <row r="251">
      <c r="O251" s="25"/>
    </row>
    <row r="252">
      <c r="O252" s="25"/>
    </row>
    <row r="253">
      <c r="O253" s="25"/>
    </row>
    <row r="254">
      <c r="O254" s="25"/>
    </row>
    <row r="255">
      <c r="O255" s="25"/>
    </row>
    <row r="256">
      <c r="O256" s="25"/>
    </row>
    <row r="257">
      <c r="O257" s="25"/>
    </row>
    <row r="258">
      <c r="O258" s="25"/>
    </row>
    <row r="259">
      <c r="O259" s="25"/>
    </row>
    <row r="260">
      <c r="O260" s="25"/>
    </row>
    <row r="261">
      <c r="O261" s="25"/>
    </row>
    <row r="262">
      <c r="O262" s="25"/>
    </row>
    <row r="263">
      <c r="O263" s="25"/>
    </row>
    <row r="264">
      <c r="O264" s="25"/>
    </row>
    <row r="265">
      <c r="O265" s="25"/>
    </row>
    <row r="266">
      <c r="O266" s="25"/>
    </row>
    <row r="267">
      <c r="O267" s="25"/>
    </row>
    <row r="268">
      <c r="O268" s="25"/>
    </row>
    <row r="269">
      <c r="O269" s="25"/>
    </row>
    <row r="270">
      <c r="O270" s="25"/>
    </row>
    <row r="271">
      <c r="O271" s="25"/>
    </row>
    <row r="272">
      <c r="O272" s="25"/>
    </row>
    <row r="273">
      <c r="O273" s="25"/>
    </row>
    <row r="274">
      <c r="O274" s="25"/>
    </row>
    <row r="275">
      <c r="O275" s="25"/>
    </row>
    <row r="276">
      <c r="O276" s="25"/>
    </row>
    <row r="277">
      <c r="O277" s="25"/>
    </row>
    <row r="278">
      <c r="O278" s="25"/>
    </row>
    <row r="279">
      <c r="O279" s="25"/>
    </row>
    <row r="280">
      <c r="O280" s="25"/>
    </row>
    <row r="281">
      <c r="O281" s="25"/>
    </row>
    <row r="282">
      <c r="O282" s="25"/>
    </row>
    <row r="283">
      <c r="O283" s="25"/>
    </row>
    <row r="284">
      <c r="O284" s="25"/>
    </row>
    <row r="285">
      <c r="O285" s="25"/>
    </row>
    <row r="286">
      <c r="O286" s="25"/>
    </row>
    <row r="287">
      <c r="O287" s="25"/>
    </row>
    <row r="288">
      <c r="O288" s="25"/>
    </row>
    <row r="289">
      <c r="O289" s="25"/>
    </row>
    <row r="290">
      <c r="O290" s="25"/>
    </row>
    <row r="291">
      <c r="O291" s="25"/>
    </row>
    <row r="292">
      <c r="O292" s="25"/>
    </row>
    <row r="293">
      <c r="O293" s="25"/>
    </row>
    <row r="294">
      <c r="O294" s="25"/>
    </row>
    <row r="295">
      <c r="O295" s="25"/>
    </row>
    <row r="296">
      <c r="O296" s="25"/>
    </row>
    <row r="297">
      <c r="O297" s="25"/>
    </row>
    <row r="298">
      <c r="O298" s="25"/>
    </row>
    <row r="299">
      <c r="O299" s="25"/>
    </row>
    <row r="300">
      <c r="O300" s="25"/>
    </row>
    <row r="301">
      <c r="O301" s="25"/>
    </row>
    <row r="302">
      <c r="O302" s="25"/>
    </row>
    <row r="303">
      <c r="O303" s="25"/>
    </row>
    <row r="304">
      <c r="O304" s="25"/>
    </row>
    <row r="305">
      <c r="O305" s="25"/>
    </row>
    <row r="306">
      <c r="O306" s="25"/>
    </row>
    <row r="307">
      <c r="O307" s="25"/>
    </row>
    <row r="308">
      <c r="O308" s="25"/>
    </row>
    <row r="309">
      <c r="O309" s="25"/>
    </row>
    <row r="310">
      <c r="O310" s="25"/>
    </row>
    <row r="311">
      <c r="O311" s="25"/>
    </row>
    <row r="312">
      <c r="O312" s="25"/>
    </row>
    <row r="313">
      <c r="O313" s="25"/>
    </row>
    <row r="314">
      <c r="O314" s="25"/>
    </row>
    <row r="315">
      <c r="O315" s="25"/>
    </row>
    <row r="316">
      <c r="O316" s="25"/>
    </row>
    <row r="317">
      <c r="O317" s="25"/>
    </row>
    <row r="318">
      <c r="O318" s="25"/>
    </row>
    <row r="319">
      <c r="O319" s="25"/>
    </row>
    <row r="320">
      <c r="O320" s="25"/>
    </row>
    <row r="321">
      <c r="O321" s="25"/>
    </row>
    <row r="322">
      <c r="O322" s="25"/>
    </row>
    <row r="323">
      <c r="O323" s="25"/>
    </row>
    <row r="324">
      <c r="O324" s="25"/>
    </row>
    <row r="325">
      <c r="O325" s="25"/>
    </row>
    <row r="326">
      <c r="O326" s="25"/>
    </row>
    <row r="327">
      <c r="O327" s="25"/>
    </row>
    <row r="328">
      <c r="O328" s="25"/>
    </row>
    <row r="329">
      <c r="O329" s="25"/>
    </row>
    <row r="330">
      <c r="O330" s="25"/>
    </row>
    <row r="331">
      <c r="O331" s="25"/>
    </row>
    <row r="332">
      <c r="O332" s="25"/>
    </row>
    <row r="333">
      <c r="O333" s="25"/>
    </row>
    <row r="334">
      <c r="O334" s="25"/>
    </row>
    <row r="335">
      <c r="O335" s="25"/>
    </row>
    <row r="336">
      <c r="O336" s="25"/>
    </row>
    <row r="337">
      <c r="O337" s="25"/>
    </row>
    <row r="338">
      <c r="O338" s="25"/>
    </row>
    <row r="339">
      <c r="O339" s="25"/>
    </row>
    <row r="340">
      <c r="O340" s="25"/>
    </row>
    <row r="341">
      <c r="O341" s="25"/>
    </row>
    <row r="342">
      <c r="O342" s="25"/>
    </row>
    <row r="343">
      <c r="O343" s="25"/>
    </row>
    <row r="344">
      <c r="O344" s="25"/>
    </row>
    <row r="345">
      <c r="O345" s="25"/>
    </row>
    <row r="346">
      <c r="O346" s="25"/>
    </row>
    <row r="347">
      <c r="O347" s="25"/>
    </row>
    <row r="348">
      <c r="O348" s="25"/>
    </row>
    <row r="349">
      <c r="O349" s="25"/>
    </row>
    <row r="350">
      <c r="O350" s="25"/>
    </row>
    <row r="351">
      <c r="O351" s="25"/>
    </row>
    <row r="352">
      <c r="O352" s="25"/>
    </row>
    <row r="353">
      <c r="O353" s="25"/>
    </row>
    <row r="354">
      <c r="O354" s="25"/>
    </row>
    <row r="355">
      <c r="O355" s="25"/>
    </row>
    <row r="356">
      <c r="O356" s="25"/>
    </row>
    <row r="357">
      <c r="O357" s="25"/>
    </row>
    <row r="358">
      <c r="O358" s="25"/>
    </row>
    <row r="359">
      <c r="O359" s="25"/>
    </row>
    <row r="360">
      <c r="O360" s="25"/>
    </row>
    <row r="361">
      <c r="O361" s="25"/>
    </row>
    <row r="362">
      <c r="O362" s="25"/>
    </row>
    <row r="363">
      <c r="O363" s="25"/>
    </row>
    <row r="364">
      <c r="O364" s="25"/>
    </row>
    <row r="365">
      <c r="O365" s="25"/>
    </row>
    <row r="366">
      <c r="O366" s="25"/>
    </row>
    <row r="367">
      <c r="O367" s="25"/>
    </row>
    <row r="368">
      <c r="O368" s="25"/>
    </row>
    <row r="369">
      <c r="O369" s="25"/>
    </row>
    <row r="370">
      <c r="O370" s="25"/>
    </row>
    <row r="371">
      <c r="O371" s="25"/>
    </row>
    <row r="372">
      <c r="O372" s="25"/>
    </row>
    <row r="373">
      <c r="O373" s="25"/>
    </row>
    <row r="374">
      <c r="O374" s="25"/>
    </row>
    <row r="375">
      <c r="O375" s="25"/>
    </row>
    <row r="376">
      <c r="O376" s="25"/>
    </row>
    <row r="377">
      <c r="O377" s="25"/>
    </row>
    <row r="378">
      <c r="O378" s="25"/>
    </row>
    <row r="379">
      <c r="O379" s="25"/>
    </row>
    <row r="380">
      <c r="O380" s="25"/>
    </row>
    <row r="381">
      <c r="O381" s="25"/>
    </row>
    <row r="382">
      <c r="O382" s="25"/>
    </row>
    <row r="383">
      <c r="O383" s="25"/>
    </row>
    <row r="384">
      <c r="O384" s="25"/>
    </row>
    <row r="385">
      <c r="O385" s="25"/>
    </row>
    <row r="386">
      <c r="O386" s="25"/>
    </row>
    <row r="387">
      <c r="O387" s="25"/>
    </row>
    <row r="388">
      <c r="O388" s="25"/>
    </row>
    <row r="389">
      <c r="O389" s="25"/>
    </row>
    <row r="390">
      <c r="O390" s="25"/>
    </row>
    <row r="391">
      <c r="O391" s="25"/>
    </row>
    <row r="392">
      <c r="O392" s="25"/>
    </row>
    <row r="393">
      <c r="O393" s="25"/>
    </row>
    <row r="394">
      <c r="O394" s="25"/>
    </row>
    <row r="395">
      <c r="O395" s="25"/>
    </row>
    <row r="396">
      <c r="O396" s="25"/>
    </row>
    <row r="397">
      <c r="O397" s="25"/>
    </row>
    <row r="398">
      <c r="O398" s="25"/>
    </row>
    <row r="399">
      <c r="O399" s="25"/>
    </row>
    <row r="400">
      <c r="O400" s="25"/>
    </row>
    <row r="401">
      <c r="O401" s="25"/>
    </row>
    <row r="402">
      <c r="O402" s="25"/>
    </row>
    <row r="403">
      <c r="O403" s="25"/>
    </row>
    <row r="404">
      <c r="O404" s="25"/>
    </row>
    <row r="405">
      <c r="O405" s="25"/>
    </row>
    <row r="406">
      <c r="O406" s="25"/>
    </row>
    <row r="407">
      <c r="O407" s="25"/>
    </row>
    <row r="408">
      <c r="O408" s="25"/>
    </row>
    <row r="409">
      <c r="O409" s="25"/>
    </row>
    <row r="410">
      <c r="O410" s="25"/>
    </row>
    <row r="411">
      <c r="O411" s="25"/>
    </row>
    <row r="412">
      <c r="O412" s="25"/>
    </row>
    <row r="413">
      <c r="O413" s="25"/>
    </row>
    <row r="414">
      <c r="O414" s="25"/>
    </row>
    <row r="415">
      <c r="O415" s="25"/>
    </row>
    <row r="416">
      <c r="O416" s="25"/>
    </row>
    <row r="417">
      <c r="O417" s="25"/>
    </row>
    <row r="418">
      <c r="O418" s="25"/>
    </row>
    <row r="419">
      <c r="O419" s="25"/>
    </row>
    <row r="420">
      <c r="O420" s="25"/>
    </row>
    <row r="421">
      <c r="O421" s="25"/>
    </row>
    <row r="422">
      <c r="O422" s="25"/>
    </row>
    <row r="423">
      <c r="O423" s="25"/>
    </row>
    <row r="424">
      <c r="O424" s="25"/>
    </row>
    <row r="425">
      <c r="O425" s="25"/>
    </row>
    <row r="426">
      <c r="O426" s="25"/>
    </row>
    <row r="427">
      <c r="O427" s="25"/>
    </row>
    <row r="428">
      <c r="O428" s="25"/>
    </row>
    <row r="429">
      <c r="O429" s="25"/>
    </row>
    <row r="430">
      <c r="O430" s="25"/>
    </row>
    <row r="431">
      <c r="O431" s="25"/>
    </row>
    <row r="432">
      <c r="O432" s="25"/>
    </row>
    <row r="433">
      <c r="O433" s="25"/>
    </row>
    <row r="434">
      <c r="O434" s="25"/>
    </row>
    <row r="435">
      <c r="O435" s="25"/>
    </row>
    <row r="436">
      <c r="O436" s="25"/>
    </row>
    <row r="437">
      <c r="O437" s="25"/>
    </row>
    <row r="438">
      <c r="O438" s="25"/>
    </row>
    <row r="439">
      <c r="O439" s="25"/>
    </row>
    <row r="440">
      <c r="O440" s="25"/>
    </row>
    <row r="441">
      <c r="O441" s="25"/>
    </row>
    <row r="442">
      <c r="O442" s="25"/>
    </row>
    <row r="443">
      <c r="O443" s="25"/>
    </row>
    <row r="444">
      <c r="O444" s="25"/>
    </row>
    <row r="445">
      <c r="O445" s="25"/>
    </row>
    <row r="446">
      <c r="O446" s="25"/>
    </row>
    <row r="447">
      <c r="O447" s="25"/>
    </row>
    <row r="448">
      <c r="O448" s="25"/>
    </row>
    <row r="449">
      <c r="O449" s="25"/>
    </row>
    <row r="450">
      <c r="O450" s="25"/>
    </row>
    <row r="451">
      <c r="O451" s="25"/>
    </row>
    <row r="452">
      <c r="O452" s="25"/>
    </row>
    <row r="453">
      <c r="O453" s="25"/>
    </row>
    <row r="454">
      <c r="O454" s="25"/>
    </row>
    <row r="455">
      <c r="O455" s="25"/>
    </row>
    <row r="456">
      <c r="O456" s="25"/>
    </row>
    <row r="457">
      <c r="O457" s="25"/>
    </row>
    <row r="458">
      <c r="O458" s="25"/>
    </row>
    <row r="459">
      <c r="O459" s="25"/>
    </row>
    <row r="460">
      <c r="O460" s="25"/>
    </row>
    <row r="461">
      <c r="O461" s="25"/>
    </row>
    <row r="462">
      <c r="O462" s="25"/>
    </row>
    <row r="463">
      <c r="O463" s="25"/>
    </row>
    <row r="464">
      <c r="O464" s="25"/>
    </row>
    <row r="465">
      <c r="O465" s="25"/>
    </row>
    <row r="466">
      <c r="O466" s="25"/>
    </row>
    <row r="467">
      <c r="O467" s="25"/>
    </row>
    <row r="468">
      <c r="O468" s="25"/>
    </row>
    <row r="469">
      <c r="O469" s="25"/>
    </row>
    <row r="470">
      <c r="O470" s="25"/>
    </row>
    <row r="471">
      <c r="O471" s="25"/>
    </row>
    <row r="472">
      <c r="O472" s="25"/>
    </row>
    <row r="473">
      <c r="O473" s="25"/>
    </row>
    <row r="474">
      <c r="O474" s="25"/>
    </row>
    <row r="475">
      <c r="O475" s="25"/>
    </row>
    <row r="476">
      <c r="O476" s="25"/>
    </row>
    <row r="477">
      <c r="O477" s="25"/>
    </row>
    <row r="478">
      <c r="O478" s="25"/>
    </row>
    <row r="479">
      <c r="O479" s="25"/>
    </row>
    <row r="480">
      <c r="O480" s="25"/>
    </row>
    <row r="481">
      <c r="O481" s="25"/>
    </row>
    <row r="482">
      <c r="O482" s="25"/>
    </row>
    <row r="483">
      <c r="O483" s="25"/>
    </row>
    <row r="484">
      <c r="O484" s="25"/>
    </row>
    <row r="485">
      <c r="O485" s="25"/>
    </row>
    <row r="486">
      <c r="O486" s="25"/>
    </row>
    <row r="487">
      <c r="O487" s="25"/>
    </row>
    <row r="488">
      <c r="O488" s="25"/>
    </row>
    <row r="489">
      <c r="O489" s="25"/>
    </row>
    <row r="490">
      <c r="O490" s="25"/>
    </row>
    <row r="491">
      <c r="O491" s="25"/>
    </row>
    <row r="492">
      <c r="O492" s="25"/>
    </row>
    <row r="493">
      <c r="O493" s="25"/>
    </row>
    <row r="494">
      <c r="O494" s="25"/>
    </row>
    <row r="495">
      <c r="O495" s="25"/>
    </row>
    <row r="496">
      <c r="O496" s="25"/>
    </row>
    <row r="497">
      <c r="O497" s="25"/>
    </row>
    <row r="498">
      <c r="O498" s="25"/>
    </row>
    <row r="499">
      <c r="O499" s="25"/>
    </row>
    <row r="500">
      <c r="O500" s="25"/>
    </row>
    <row r="501">
      <c r="O501" s="25"/>
    </row>
    <row r="502">
      <c r="O502" s="25"/>
    </row>
    <row r="503">
      <c r="O503" s="25"/>
    </row>
    <row r="504">
      <c r="O504" s="25"/>
    </row>
    <row r="505">
      <c r="O505" s="25"/>
    </row>
    <row r="506">
      <c r="O506" s="25"/>
    </row>
    <row r="507">
      <c r="O507" s="25"/>
    </row>
    <row r="508">
      <c r="O508" s="25"/>
    </row>
    <row r="509">
      <c r="O509" s="25"/>
    </row>
    <row r="510">
      <c r="O510" s="25"/>
    </row>
    <row r="511">
      <c r="O511" s="25"/>
    </row>
    <row r="512">
      <c r="O512" s="25"/>
    </row>
    <row r="513">
      <c r="O513" s="25"/>
    </row>
    <row r="514">
      <c r="O514" s="25"/>
    </row>
    <row r="515">
      <c r="O515" s="25"/>
    </row>
    <row r="516">
      <c r="O516" s="25"/>
    </row>
    <row r="517">
      <c r="O517" s="25"/>
    </row>
    <row r="518">
      <c r="O518" s="25"/>
    </row>
    <row r="519">
      <c r="O519" s="25"/>
    </row>
    <row r="520">
      <c r="O520" s="25"/>
    </row>
    <row r="521">
      <c r="O521" s="25"/>
    </row>
    <row r="522">
      <c r="O522" s="25"/>
    </row>
    <row r="523">
      <c r="O523" s="25"/>
    </row>
    <row r="524">
      <c r="O524" s="25"/>
    </row>
    <row r="525">
      <c r="O525" s="25"/>
    </row>
    <row r="526">
      <c r="O526" s="25"/>
    </row>
    <row r="527">
      <c r="O527" s="25"/>
    </row>
    <row r="528">
      <c r="O528" s="25"/>
    </row>
    <row r="529">
      <c r="O529" s="25"/>
    </row>
    <row r="530">
      <c r="O530" s="25"/>
    </row>
    <row r="531">
      <c r="O531" s="25"/>
    </row>
    <row r="532">
      <c r="O532" s="25"/>
    </row>
    <row r="533">
      <c r="O533" s="25"/>
    </row>
    <row r="534">
      <c r="O534" s="25"/>
    </row>
    <row r="535">
      <c r="O535" s="25"/>
    </row>
    <row r="536">
      <c r="O536" s="25"/>
    </row>
    <row r="537">
      <c r="O537" s="25"/>
    </row>
    <row r="538">
      <c r="O538" s="25"/>
    </row>
    <row r="539">
      <c r="O539" s="25"/>
    </row>
    <row r="540">
      <c r="O540" s="25"/>
    </row>
    <row r="541">
      <c r="O541" s="25"/>
    </row>
    <row r="542">
      <c r="O542" s="25"/>
    </row>
    <row r="543">
      <c r="O543" s="25"/>
    </row>
    <row r="544">
      <c r="O544" s="25"/>
    </row>
    <row r="545">
      <c r="O545" s="25"/>
    </row>
    <row r="546">
      <c r="O546" s="25"/>
    </row>
    <row r="547">
      <c r="O547" s="25"/>
    </row>
    <row r="548">
      <c r="O548" s="25"/>
    </row>
    <row r="549">
      <c r="O549" s="25"/>
    </row>
    <row r="550">
      <c r="O550" s="25"/>
    </row>
    <row r="551">
      <c r="O551" s="25"/>
    </row>
    <row r="552">
      <c r="O552" s="25"/>
    </row>
    <row r="553">
      <c r="O553" s="25"/>
    </row>
    <row r="554">
      <c r="O554" s="25"/>
    </row>
    <row r="555">
      <c r="O555" s="25"/>
    </row>
    <row r="556">
      <c r="O556" s="25"/>
    </row>
    <row r="557">
      <c r="O557" s="25"/>
    </row>
    <row r="558">
      <c r="O558" s="25"/>
    </row>
    <row r="559">
      <c r="O559" s="25"/>
    </row>
    <row r="560">
      <c r="O560" s="25"/>
    </row>
    <row r="561">
      <c r="O561" s="25"/>
    </row>
    <row r="562">
      <c r="O562" s="25"/>
    </row>
    <row r="563">
      <c r="O563" s="25"/>
    </row>
    <row r="564">
      <c r="O564" s="25"/>
    </row>
    <row r="565">
      <c r="O565" s="25"/>
    </row>
    <row r="566">
      <c r="O566" s="25"/>
    </row>
    <row r="567">
      <c r="O567" s="25"/>
    </row>
    <row r="568">
      <c r="O568" s="25"/>
    </row>
    <row r="569">
      <c r="O569" s="25"/>
    </row>
    <row r="570">
      <c r="O570" s="25"/>
    </row>
    <row r="571">
      <c r="O571" s="25"/>
    </row>
    <row r="572">
      <c r="O572" s="25"/>
    </row>
    <row r="573">
      <c r="O573" s="25"/>
    </row>
    <row r="574">
      <c r="O574" s="25"/>
    </row>
    <row r="575">
      <c r="O575" s="25"/>
    </row>
    <row r="576">
      <c r="O576" s="25"/>
    </row>
    <row r="577">
      <c r="O577" s="25"/>
    </row>
    <row r="578">
      <c r="O578" s="25"/>
    </row>
    <row r="579">
      <c r="O579" s="25"/>
    </row>
    <row r="580">
      <c r="O580" s="25"/>
    </row>
    <row r="581">
      <c r="O581" s="25"/>
    </row>
    <row r="582">
      <c r="O582" s="25"/>
    </row>
    <row r="583">
      <c r="O583" s="25"/>
    </row>
    <row r="584">
      <c r="O584" s="25"/>
    </row>
    <row r="585">
      <c r="O585" s="25"/>
    </row>
    <row r="586">
      <c r="O586" s="25"/>
    </row>
    <row r="587">
      <c r="O587" s="25"/>
    </row>
    <row r="588">
      <c r="O588" s="25"/>
    </row>
    <row r="589">
      <c r="O589" s="25"/>
    </row>
    <row r="590">
      <c r="O590" s="25"/>
    </row>
    <row r="591">
      <c r="O591" s="25"/>
    </row>
    <row r="592">
      <c r="O592" s="25"/>
    </row>
    <row r="593">
      <c r="O593" s="25"/>
    </row>
    <row r="594">
      <c r="O594" s="25"/>
    </row>
    <row r="595">
      <c r="O595" s="25"/>
    </row>
    <row r="596">
      <c r="O596" s="25"/>
    </row>
    <row r="597">
      <c r="O597" s="25"/>
    </row>
    <row r="598">
      <c r="O598" s="25"/>
    </row>
    <row r="599">
      <c r="O599" s="25"/>
    </row>
    <row r="600">
      <c r="O600" s="25"/>
    </row>
    <row r="601">
      <c r="O601" s="25"/>
    </row>
    <row r="602">
      <c r="O602" s="25"/>
    </row>
    <row r="603">
      <c r="O603" s="25"/>
    </row>
    <row r="604">
      <c r="O604" s="25"/>
    </row>
    <row r="605">
      <c r="O605" s="25"/>
    </row>
    <row r="606">
      <c r="O606" s="25"/>
    </row>
    <row r="607">
      <c r="O607" s="25"/>
    </row>
    <row r="608">
      <c r="O608" s="25"/>
    </row>
    <row r="609">
      <c r="O609" s="25"/>
    </row>
    <row r="610">
      <c r="O610" s="25"/>
    </row>
    <row r="611">
      <c r="O611" s="25"/>
    </row>
    <row r="612">
      <c r="O612" s="25"/>
    </row>
    <row r="613">
      <c r="O613" s="25"/>
    </row>
    <row r="614">
      <c r="O614" s="25"/>
    </row>
    <row r="615">
      <c r="O615" s="25"/>
    </row>
    <row r="616">
      <c r="O616" s="25"/>
    </row>
    <row r="617">
      <c r="O617" s="25"/>
    </row>
    <row r="618">
      <c r="O618" s="25"/>
    </row>
    <row r="619">
      <c r="O619" s="25"/>
    </row>
    <row r="620">
      <c r="O620" s="25"/>
    </row>
    <row r="621">
      <c r="O621" s="25"/>
    </row>
    <row r="622">
      <c r="O622" s="25"/>
    </row>
    <row r="623">
      <c r="O623" s="25"/>
    </row>
    <row r="624">
      <c r="O624" s="25"/>
    </row>
    <row r="625">
      <c r="O625" s="25"/>
    </row>
    <row r="626">
      <c r="O626" s="25"/>
    </row>
    <row r="627">
      <c r="O627" s="25"/>
    </row>
    <row r="628">
      <c r="O628" s="25"/>
    </row>
    <row r="629">
      <c r="O629" s="25"/>
    </row>
    <row r="630">
      <c r="O630" s="25"/>
    </row>
    <row r="631">
      <c r="O631" s="25"/>
    </row>
    <row r="632">
      <c r="O632" s="25"/>
    </row>
    <row r="633">
      <c r="O633" s="25"/>
    </row>
    <row r="634">
      <c r="O634" s="25"/>
    </row>
    <row r="635">
      <c r="O635" s="25"/>
    </row>
    <row r="636">
      <c r="O636" s="25"/>
    </row>
    <row r="637">
      <c r="O637" s="25"/>
    </row>
    <row r="638">
      <c r="O638" s="25"/>
    </row>
    <row r="639">
      <c r="O639" s="25"/>
    </row>
    <row r="640">
      <c r="O640" s="25"/>
    </row>
    <row r="641">
      <c r="O641" s="25"/>
    </row>
    <row r="642">
      <c r="O642" s="25"/>
    </row>
    <row r="643">
      <c r="O643" s="25"/>
    </row>
    <row r="644">
      <c r="O644" s="25"/>
    </row>
    <row r="645">
      <c r="O645" s="25"/>
    </row>
    <row r="646">
      <c r="O646" s="25"/>
    </row>
    <row r="647">
      <c r="O647" s="25"/>
    </row>
    <row r="648">
      <c r="O648" s="25"/>
    </row>
    <row r="649">
      <c r="O649" s="25"/>
    </row>
    <row r="650">
      <c r="O650" s="25"/>
    </row>
    <row r="651">
      <c r="O651" s="25"/>
    </row>
    <row r="652">
      <c r="O652" s="25"/>
    </row>
    <row r="653">
      <c r="O653" s="25"/>
    </row>
    <row r="654">
      <c r="O654" s="25"/>
    </row>
    <row r="655">
      <c r="O655" s="25"/>
    </row>
    <row r="656">
      <c r="O656" s="25"/>
    </row>
    <row r="657">
      <c r="O657" s="25"/>
    </row>
    <row r="658">
      <c r="O658" s="25"/>
    </row>
    <row r="659">
      <c r="O659" s="25"/>
    </row>
    <row r="660">
      <c r="O660" s="25"/>
    </row>
    <row r="661">
      <c r="O661" s="25"/>
    </row>
    <row r="662">
      <c r="O662" s="25"/>
    </row>
    <row r="663">
      <c r="O663" s="25"/>
    </row>
    <row r="664">
      <c r="O664" s="25"/>
    </row>
    <row r="665">
      <c r="O665" s="25"/>
    </row>
    <row r="666">
      <c r="O666" s="25"/>
    </row>
    <row r="667">
      <c r="O667" s="25"/>
    </row>
    <row r="668">
      <c r="O668" s="25"/>
    </row>
    <row r="669">
      <c r="O669" s="25"/>
    </row>
    <row r="670">
      <c r="O670" s="25"/>
    </row>
    <row r="671">
      <c r="O671" s="25"/>
    </row>
    <row r="672">
      <c r="O672" s="25"/>
    </row>
    <row r="673">
      <c r="O673" s="25"/>
    </row>
    <row r="674">
      <c r="O674" s="25"/>
    </row>
    <row r="675">
      <c r="O675" s="25"/>
    </row>
    <row r="676">
      <c r="O676" s="25"/>
    </row>
    <row r="677">
      <c r="O677" s="25"/>
    </row>
    <row r="678">
      <c r="O678" s="25"/>
    </row>
    <row r="679">
      <c r="O679" s="25"/>
    </row>
    <row r="680">
      <c r="O680" s="25"/>
    </row>
    <row r="681">
      <c r="O681" s="25"/>
    </row>
    <row r="682">
      <c r="O682" s="25"/>
    </row>
    <row r="683">
      <c r="O683" s="25"/>
    </row>
    <row r="684">
      <c r="O684" s="25"/>
    </row>
    <row r="685">
      <c r="O685" s="25"/>
    </row>
    <row r="686">
      <c r="O686" s="25"/>
    </row>
    <row r="687">
      <c r="O687" s="25"/>
    </row>
    <row r="688">
      <c r="O688" s="25"/>
    </row>
    <row r="689">
      <c r="O689" s="25"/>
    </row>
    <row r="690">
      <c r="O690" s="25"/>
    </row>
    <row r="691">
      <c r="O691" s="25"/>
    </row>
    <row r="692">
      <c r="O692" s="25"/>
    </row>
    <row r="693">
      <c r="O693" s="25"/>
    </row>
    <row r="694">
      <c r="O694" s="25"/>
    </row>
    <row r="695">
      <c r="O695" s="25"/>
    </row>
    <row r="696">
      <c r="O696" s="25"/>
    </row>
    <row r="697">
      <c r="O697" s="25"/>
    </row>
    <row r="698">
      <c r="O698" s="25"/>
    </row>
    <row r="699">
      <c r="O699" s="25"/>
    </row>
    <row r="700">
      <c r="O700" s="25"/>
    </row>
    <row r="701">
      <c r="O701" s="25"/>
    </row>
    <row r="702">
      <c r="O702" s="25"/>
    </row>
    <row r="703">
      <c r="O703" s="25"/>
    </row>
    <row r="704">
      <c r="O704" s="25"/>
    </row>
    <row r="705">
      <c r="O705" s="25"/>
    </row>
    <row r="706">
      <c r="O706" s="25"/>
    </row>
    <row r="707">
      <c r="O707" s="25"/>
    </row>
    <row r="708">
      <c r="O708" s="25"/>
    </row>
    <row r="709">
      <c r="O709" s="25"/>
    </row>
    <row r="710">
      <c r="O710" s="25"/>
    </row>
    <row r="711">
      <c r="O711" s="25"/>
    </row>
    <row r="712">
      <c r="O712" s="25"/>
    </row>
    <row r="713">
      <c r="O713" s="25"/>
    </row>
    <row r="714">
      <c r="O714" s="25"/>
    </row>
    <row r="715">
      <c r="O715" s="25"/>
    </row>
    <row r="716">
      <c r="O716" s="25"/>
    </row>
    <row r="717">
      <c r="O717" s="25"/>
    </row>
    <row r="718">
      <c r="O718" s="25"/>
    </row>
    <row r="719">
      <c r="O719" s="25"/>
    </row>
    <row r="720">
      <c r="O720" s="25"/>
    </row>
    <row r="721">
      <c r="O721" s="25"/>
    </row>
    <row r="722">
      <c r="O722" s="25"/>
    </row>
    <row r="723">
      <c r="O723" s="25"/>
    </row>
    <row r="724">
      <c r="O724" s="25"/>
    </row>
    <row r="725">
      <c r="O725" s="25"/>
    </row>
    <row r="726">
      <c r="O726" s="25"/>
    </row>
    <row r="727">
      <c r="O727" s="25"/>
    </row>
    <row r="728">
      <c r="O728" s="25"/>
    </row>
    <row r="729">
      <c r="O729" s="25"/>
    </row>
    <row r="730">
      <c r="O730" s="25"/>
    </row>
    <row r="731">
      <c r="O731" s="25"/>
    </row>
    <row r="732">
      <c r="O732" s="25"/>
    </row>
    <row r="733">
      <c r="O733" s="25"/>
    </row>
    <row r="734">
      <c r="O734" s="25"/>
    </row>
    <row r="735">
      <c r="O735" s="25"/>
    </row>
    <row r="736">
      <c r="O736" s="25"/>
    </row>
    <row r="737">
      <c r="O737" s="25"/>
    </row>
    <row r="738">
      <c r="O738" s="25"/>
    </row>
    <row r="739">
      <c r="O739" s="25"/>
    </row>
    <row r="740">
      <c r="O740" s="25"/>
    </row>
    <row r="741">
      <c r="O741" s="25"/>
    </row>
    <row r="742">
      <c r="O742" s="25"/>
    </row>
    <row r="743">
      <c r="O743" s="25"/>
    </row>
    <row r="744">
      <c r="O744" s="25"/>
    </row>
    <row r="745">
      <c r="O745" s="25"/>
    </row>
    <row r="746">
      <c r="O746" s="25"/>
    </row>
    <row r="747">
      <c r="O747" s="25"/>
    </row>
    <row r="748">
      <c r="O748" s="25"/>
    </row>
    <row r="749">
      <c r="O749" s="25"/>
    </row>
    <row r="750">
      <c r="O750" s="25"/>
    </row>
    <row r="751">
      <c r="O751" s="25"/>
    </row>
    <row r="752">
      <c r="O752" s="25"/>
    </row>
    <row r="753">
      <c r="O753" s="25"/>
    </row>
    <row r="754">
      <c r="O754" s="25"/>
    </row>
    <row r="755">
      <c r="O755" s="25"/>
    </row>
    <row r="756">
      <c r="O756" s="25"/>
    </row>
    <row r="757">
      <c r="O757" s="25"/>
    </row>
    <row r="758">
      <c r="O758" s="25"/>
    </row>
    <row r="759">
      <c r="O759" s="25"/>
    </row>
    <row r="760">
      <c r="O760" s="25"/>
    </row>
    <row r="761">
      <c r="O761" s="25"/>
    </row>
    <row r="762">
      <c r="O762" s="25"/>
    </row>
    <row r="763">
      <c r="O763" s="25"/>
    </row>
    <row r="764">
      <c r="O764" s="25"/>
    </row>
    <row r="765">
      <c r="O765" s="25"/>
    </row>
    <row r="766">
      <c r="O766" s="25"/>
    </row>
    <row r="767">
      <c r="O767" s="25"/>
    </row>
    <row r="768">
      <c r="O768" s="25"/>
    </row>
    <row r="769">
      <c r="O769" s="25"/>
    </row>
    <row r="770">
      <c r="O770" s="25"/>
    </row>
    <row r="771">
      <c r="O771" s="25"/>
    </row>
    <row r="772">
      <c r="O772" s="25"/>
    </row>
    <row r="773">
      <c r="O773" s="25"/>
    </row>
    <row r="774">
      <c r="O774" s="25"/>
    </row>
    <row r="775">
      <c r="O775" s="25"/>
    </row>
    <row r="776">
      <c r="O776" s="25"/>
    </row>
    <row r="777">
      <c r="O777" s="25"/>
    </row>
    <row r="778">
      <c r="O778" s="25"/>
    </row>
    <row r="779">
      <c r="O779" s="25"/>
    </row>
    <row r="780">
      <c r="O780" s="25"/>
    </row>
    <row r="781">
      <c r="O781" s="25"/>
    </row>
    <row r="782">
      <c r="O782" s="25"/>
    </row>
    <row r="783">
      <c r="O783" s="25"/>
    </row>
    <row r="784">
      <c r="O784" s="25"/>
    </row>
    <row r="785">
      <c r="O785" s="25"/>
    </row>
    <row r="786">
      <c r="O786" s="25"/>
    </row>
    <row r="787">
      <c r="O787" s="25"/>
    </row>
    <row r="788">
      <c r="O788" s="25"/>
    </row>
    <row r="789">
      <c r="O789" s="25"/>
    </row>
    <row r="790">
      <c r="O790" s="25"/>
    </row>
    <row r="791">
      <c r="O791" s="25"/>
    </row>
    <row r="792">
      <c r="O792" s="25"/>
    </row>
    <row r="793">
      <c r="O793" s="25"/>
    </row>
    <row r="794">
      <c r="O794" s="25"/>
    </row>
    <row r="795">
      <c r="O795" s="25"/>
    </row>
    <row r="796">
      <c r="O796" s="25"/>
    </row>
    <row r="797">
      <c r="O797" s="25"/>
    </row>
    <row r="798">
      <c r="O798" s="25"/>
    </row>
    <row r="799">
      <c r="O799" s="25"/>
    </row>
    <row r="800">
      <c r="O800" s="25"/>
    </row>
    <row r="801">
      <c r="O801" s="25"/>
    </row>
    <row r="802">
      <c r="O802" s="25"/>
    </row>
    <row r="803">
      <c r="O803" s="25"/>
    </row>
    <row r="804">
      <c r="O804" s="25"/>
    </row>
    <row r="805">
      <c r="O805" s="25"/>
    </row>
    <row r="806">
      <c r="O806" s="25"/>
    </row>
    <row r="807">
      <c r="O807" s="25"/>
    </row>
    <row r="808">
      <c r="O808" s="25"/>
    </row>
    <row r="809">
      <c r="O809" s="25"/>
    </row>
    <row r="810">
      <c r="O810" s="25"/>
    </row>
    <row r="811">
      <c r="O811" s="25"/>
    </row>
    <row r="812">
      <c r="O812" s="25"/>
    </row>
    <row r="813">
      <c r="O813" s="25"/>
    </row>
    <row r="814">
      <c r="O814" s="25"/>
    </row>
    <row r="815">
      <c r="O815" s="25"/>
    </row>
    <row r="816">
      <c r="O816" s="25"/>
    </row>
    <row r="817">
      <c r="O817" s="25"/>
    </row>
    <row r="818">
      <c r="O818" s="25"/>
    </row>
    <row r="819">
      <c r="O819" s="25"/>
    </row>
    <row r="820">
      <c r="O820" s="25"/>
    </row>
    <row r="821">
      <c r="O821" s="25"/>
    </row>
    <row r="822">
      <c r="O822" s="25"/>
    </row>
    <row r="823">
      <c r="O823" s="25"/>
    </row>
    <row r="824">
      <c r="O824" s="25"/>
    </row>
    <row r="825">
      <c r="O825" s="25"/>
    </row>
    <row r="826">
      <c r="O826" s="25"/>
    </row>
    <row r="827">
      <c r="O827" s="25"/>
    </row>
    <row r="828">
      <c r="O828" s="25"/>
    </row>
    <row r="829">
      <c r="O829" s="25"/>
    </row>
    <row r="830">
      <c r="O830" s="25"/>
    </row>
    <row r="831">
      <c r="O831" s="25"/>
    </row>
    <row r="832">
      <c r="O832" s="25"/>
    </row>
    <row r="833">
      <c r="O833" s="25"/>
    </row>
    <row r="834">
      <c r="O834" s="25"/>
    </row>
    <row r="835">
      <c r="O835" s="25"/>
    </row>
    <row r="836">
      <c r="O836" s="25"/>
    </row>
    <row r="837">
      <c r="O837" s="25"/>
    </row>
    <row r="838">
      <c r="O838" s="25"/>
    </row>
    <row r="839">
      <c r="O839" s="25"/>
    </row>
    <row r="840">
      <c r="O840" s="25"/>
    </row>
    <row r="841">
      <c r="O841" s="25"/>
    </row>
    <row r="842">
      <c r="O842" s="25"/>
    </row>
    <row r="843">
      <c r="O843" s="25"/>
    </row>
    <row r="844">
      <c r="O844" s="25"/>
    </row>
    <row r="845">
      <c r="O845" s="25"/>
    </row>
    <row r="846">
      <c r="O846" s="25"/>
    </row>
    <row r="847">
      <c r="O847" s="25"/>
    </row>
    <row r="848">
      <c r="O848" s="25"/>
    </row>
    <row r="849">
      <c r="O849" s="25"/>
    </row>
    <row r="850">
      <c r="O850" s="25"/>
    </row>
    <row r="851">
      <c r="O851" s="25"/>
    </row>
    <row r="852">
      <c r="O852" s="25"/>
    </row>
    <row r="853">
      <c r="O853" s="25"/>
    </row>
    <row r="854">
      <c r="O854" s="25"/>
    </row>
    <row r="855">
      <c r="O855" s="25"/>
    </row>
    <row r="856">
      <c r="O856" s="25"/>
    </row>
    <row r="857">
      <c r="O857" s="25"/>
    </row>
    <row r="858">
      <c r="O858" s="25"/>
    </row>
    <row r="859">
      <c r="O859" s="25"/>
    </row>
    <row r="860">
      <c r="O860" s="25"/>
    </row>
    <row r="861">
      <c r="O861" s="25"/>
    </row>
    <row r="862">
      <c r="O862" s="25"/>
    </row>
    <row r="863">
      <c r="O863" s="25"/>
    </row>
    <row r="864">
      <c r="O864" s="25"/>
    </row>
    <row r="865">
      <c r="O865" s="25"/>
    </row>
    <row r="866">
      <c r="O866" s="25"/>
    </row>
    <row r="867">
      <c r="O867" s="25"/>
    </row>
    <row r="868">
      <c r="O868" s="25"/>
    </row>
    <row r="869">
      <c r="O869" s="25"/>
    </row>
    <row r="870">
      <c r="O870" s="25"/>
    </row>
    <row r="871">
      <c r="O871" s="25"/>
    </row>
    <row r="872">
      <c r="O872" s="25"/>
    </row>
    <row r="873">
      <c r="O873" s="25"/>
    </row>
    <row r="874">
      <c r="O874" s="25"/>
    </row>
    <row r="875">
      <c r="O875" s="25"/>
    </row>
    <row r="876">
      <c r="O876" s="25"/>
    </row>
    <row r="877">
      <c r="O877" s="25"/>
    </row>
    <row r="878">
      <c r="O878" s="25"/>
    </row>
    <row r="879">
      <c r="O879" s="25"/>
    </row>
    <row r="880">
      <c r="O880" s="25"/>
    </row>
    <row r="881">
      <c r="O881" s="25"/>
    </row>
    <row r="882">
      <c r="O882" s="25"/>
    </row>
    <row r="883">
      <c r="O883" s="25"/>
    </row>
    <row r="884">
      <c r="O884" s="25"/>
    </row>
    <row r="885">
      <c r="O885" s="25"/>
    </row>
    <row r="886">
      <c r="O886" s="25"/>
    </row>
    <row r="887">
      <c r="O887" s="25"/>
    </row>
    <row r="888">
      <c r="O888" s="25"/>
    </row>
    <row r="889">
      <c r="O889" s="25"/>
    </row>
    <row r="890">
      <c r="O890" s="25"/>
    </row>
    <row r="891">
      <c r="O891" s="25"/>
    </row>
    <row r="892">
      <c r="O892" s="25"/>
    </row>
    <row r="893">
      <c r="O893" s="25"/>
    </row>
    <row r="894">
      <c r="O894" s="25"/>
    </row>
    <row r="895">
      <c r="O895" s="25"/>
    </row>
    <row r="896">
      <c r="O896" s="25"/>
    </row>
    <row r="897">
      <c r="O897" s="25"/>
    </row>
    <row r="898">
      <c r="O898" s="25"/>
    </row>
    <row r="899">
      <c r="O899" s="25"/>
    </row>
    <row r="900">
      <c r="O900" s="25"/>
    </row>
    <row r="901">
      <c r="O901" s="25"/>
    </row>
    <row r="902">
      <c r="O902" s="25"/>
    </row>
    <row r="903">
      <c r="O903" s="25"/>
    </row>
    <row r="904">
      <c r="O904" s="25"/>
    </row>
    <row r="905">
      <c r="O905" s="25"/>
    </row>
    <row r="906">
      <c r="O906" s="25"/>
    </row>
    <row r="907">
      <c r="O907" s="25"/>
    </row>
    <row r="908">
      <c r="O908" s="25"/>
    </row>
    <row r="909">
      <c r="O909" s="25"/>
    </row>
    <row r="910">
      <c r="O910" s="25"/>
    </row>
    <row r="911">
      <c r="O911" s="25"/>
    </row>
    <row r="912">
      <c r="O912" s="25"/>
    </row>
    <row r="913">
      <c r="O913" s="25"/>
    </row>
    <row r="914">
      <c r="O914" s="25"/>
    </row>
    <row r="915">
      <c r="O915" s="25"/>
    </row>
    <row r="916">
      <c r="O916" s="25"/>
    </row>
    <row r="917">
      <c r="O917" s="25"/>
    </row>
    <row r="918">
      <c r="O918" s="25"/>
    </row>
    <row r="919">
      <c r="O919" s="25"/>
    </row>
    <row r="920">
      <c r="O920" s="25"/>
    </row>
    <row r="921">
      <c r="O921" s="25"/>
    </row>
    <row r="922">
      <c r="O922" s="2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14.0"/>
  </cols>
  <sheetData>
    <row r="1" ht="15.0" customHeight="1">
      <c r="A1" s="26" t="s">
        <v>658</v>
      </c>
      <c r="B1" s="26" t="s">
        <v>659</v>
      </c>
      <c r="C1" s="26" t="s">
        <v>113</v>
      </c>
      <c r="D1" s="26" t="s">
        <v>660</v>
      </c>
      <c r="E1" s="26" t="s">
        <v>661</v>
      </c>
      <c r="F1" s="26" t="s">
        <v>662</v>
      </c>
      <c r="G1" s="26" t="s">
        <v>663</v>
      </c>
      <c r="H1" s="26" t="s">
        <v>664</v>
      </c>
      <c r="I1" s="26" t="s">
        <v>665</v>
      </c>
      <c r="J1" s="26" t="s">
        <v>666</v>
      </c>
      <c r="K1" s="26" t="s">
        <v>667</v>
      </c>
      <c r="L1" s="26" t="s">
        <v>668</v>
      </c>
      <c r="M1" s="26" t="s">
        <v>669</v>
      </c>
      <c r="N1" s="26" t="s">
        <v>670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>
        <v>1.0</v>
      </c>
      <c r="B2" s="1">
        <v>2026.0</v>
      </c>
      <c r="C2" s="1" t="s">
        <v>671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>
        <v>2.0</v>
      </c>
      <c r="B3" s="1">
        <v>2026.0</v>
      </c>
      <c r="C3" s="1" t="s">
        <v>672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>
        <v>3.0</v>
      </c>
      <c r="B4" s="1">
        <v>2026.0</v>
      </c>
      <c r="C4" s="1" t="s">
        <v>673</v>
      </c>
      <c r="D4" s="1">
        <v>40.94</v>
      </c>
      <c r="E4" s="1">
        <v>0.0</v>
      </c>
      <c r="F4" s="1">
        <v>40.94</v>
      </c>
      <c r="G4" s="1">
        <v>8597.4</v>
      </c>
      <c r="H4" s="1">
        <v>4788.75</v>
      </c>
      <c r="I4" s="1">
        <v>20.47</v>
      </c>
      <c r="J4" s="1">
        <v>0.0</v>
      </c>
      <c r="K4" s="1">
        <v>20.47</v>
      </c>
      <c r="L4" s="1">
        <v>4298.7</v>
      </c>
      <c r="M4" s="1">
        <v>2394.38</v>
      </c>
      <c r="N4" s="1">
        <v>7183.13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>
        <v>4.0</v>
      </c>
      <c r="B5" s="1">
        <v>2026.0</v>
      </c>
      <c r="C5" s="1" t="s">
        <v>674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>
        <v>5.0</v>
      </c>
      <c r="B6" s="1">
        <v>2026.0</v>
      </c>
      <c r="C6" s="1" t="s">
        <v>675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>
        <v>6.0</v>
      </c>
      <c r="B7" s="1">
        <v>2026.0</v>
      </c>
      <c r="C7" s="1" t="s">
        <v>676</v>
      </c>
      <c r="D7" s="1">
        <v>25.91</v>
      </c>
      <c r="E7" s="1">
        <v>0.0</v>
      </c>
      <c r="F7" s="1">
        <v>25.91</v>
      </c>
      <c r="G7" s="1">
        <v>5441.1</v>
      </c>
      <c r="H7" s="1">
        <v>3030.69</v>
      </c>
      <c r="I7" s="1">
        <v>12.955</v>
      </c>
      <c r="J7" s="1">
        <v>0.0</v>
      </c>
      <c r="K7" s="1">
        <v>12.955</v>
      </c>
      <c r="L7" s="1">
        <v>2720.55</v>
      </c>
      <c r="M7" s="1">
        <v>1515.35</v>
      </c>
      <c r="N7" s="1">
        <v>4546.04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>
        <v>7.0</v>
      </c>
      <c r="B8" s="1">
        <v>2026.0</v>
      </c>
      <c r="C8" s="1" t="s">
        <v>677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>
        <v>8.0</v>
      </c>
      <c r="B9" s="1">
        <v>2026.0</v>
      </c>
      <c r="C9" s="1" t="s">
        <v>678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>
        <v>9.0</v>
      </c>
      <c r="B10" s="1">
        <v>2026.0</v>
      </c>
      <c r="C10" s="1" t="s">
        <v>679</v>
      </c>
      <c r="D10" s="1">
        <v>25.91</v>
      </c>
      <c r="E10" s="1">
        <v>7.9365</v>
      </c>
      <c r="F10" s="1">
        <v>33.8465</v>
      </c>
      <c r="G10" s="1">
        <v>7107.76</v>
      </c>
      <c r="H10" s="1">
        <v>3959.02</v>
      </c>
      <c r="I10" s="1">
        <v>12.955</v>
      </c>
      <c r="J10" s="1">
        <v>3.9683</v>
      </c>
      <c r="K10" s="1">
        <v>16.9233</v>
      </c>
      <c r="L10" s="1">
        <v>3553.89</v>
      </c>
      <c r="M10" s="1">
        <v>1979.52</v>
      </c>
      <c r="N10" s="1">
        <v>5938.54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>
        <v>10.0</v>
      </c>
      <c r="B11" s="1">
        <v>2026.0</v>
      </c>
      <c r="C11" s="1" t="s">
        <v>680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>
        <v>11.0</v>
      </c>
      <c r="B12" s="1">
        <v>2026.0</v>
      </c>
      <c r="C12" s="1" t="s">
        <v>681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>
        <v>12.0</v>
      </c>
      <c r="B13" s="1">
        <v>2026.0</v>
      </c>
      <c r="C13" s="1" t="s">
        <v>682</v>
      </c>
      <c r="D13" s="1">
        <v>25.91</v>
      </c>
      <c r="E13" s="1">
        <v>7.9365</v>
      </c>
      <c r="F13" s="1">
        <v>33.8465</v>
      </c>
      <c r="G13" s="1">
        <v>7107.76</v>
      </c>
      <c r="H13" s="1">
        <v>3959.02</v>
      </c>
      <c r="I13" s="1">
        <v>12.955</v>
      </c>
      <c r="J13" s="1">
        <v>3.9683</v>
      </c>
      <c r="K13" s="1">
        <v>16.9233</v>
      </c>
      <c r="L13" s="1">
        <v>3553.89</v>
      </c>
      <c r="M13" s="1">
        <v>1979.52</v>
      </c>
      <c r="N13" s="1">
        <v>5938.54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>
        <v>1.0</v>
      </c>
      <c r="B14" s="1">
        <v>2027.0</v>
      </c>
      <c r="C14" s="1" t="s">
        <v>683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>
        <v>2.0</v>
      </c>
      <c r="B15" s="1">
        <v>2027.0</v>
      </c>
      <c r="C15" s="1" t="s">
        <v>684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>
        <v>3.0</v>
      </c>
      <c r="B16" s="1">
        <v>2027.0</v>
      </c>
      <c r="C16" s="1" t="s">
        <v>685</v>
      </c>
      <c r="D16" s="1">
        <v>25.91</v>
      </c>
      <c r="E16" s="1">
        <v>7.9365</v>
      </c>
      <c r="F16" s="1">
        <v>33.8465</v>
      </c>
      <c r="G16" s="1">
        <v>7107.76</v>
      </c>
      <c r="H16" s="1">
        <v>3959.02</v>
      </c>
      <c r="I16" s="1">
        <v>12.955</v>
      </c>
      <c r="J16" s="1">
        <v>3.9683</v>
      </c>
      <c r="K16" s="1">
        <v>16.9233</v>
      </c>
      <c r="L16" s="1">
        <v>3553.89</v>
      </c>
      <c r="M16" s="1">
        <v>1979.52</v>
      </c>
      <c r="N16" s="1">
        <v>5938.54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>
        <v>4.0</v>
      </c>
      <c r="B17" s="1">
        <v>2027.0</v>
      </c>
      <c r="C17" s="1" t="s">
        <v>686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>
        <v>5.0</v>
      </c>
      <c r="B18" s="1">
        <v>2027.0</v>
      </c>
      <c r="C18" s="1" t="s">
        <v>687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>
        <v>6.0</v>
      </c>
      <c r="B19" s="1">
        <v>2027.0</v>
      </c>
      <c r="C19" s="1" t="s">
        <v>688</v>
      </c>
      <c r="D19" s="1">
        <v>9.54</v>
      </c>
      <c r="E19" s="1">
        <v>7.9365</v>
      </c>
      <c r="F19" s="1">
        <v>17.4765</v>
      </c>
      <c r="G19" s="1">
        <v>3670.06</v>
      </c>
      <c r="H19" s="1">
        <v>2044.22</v>
      </c>
      <c r="I19" s="1">
        <v>4.77</v>
      </c>
      <c r="J19" s="1">
        <v>3.9683</v>
      </c>
      <c r="K19" s="1">
        <v>8.7383</v>
      </c>
      <c r="L19" s="1">
        <v>1835.04</v>
      </c>
      <c r="M19" s="1">
        <v>1022.12</v>
      </c>
      <c r="N19" s="1">
        <v>3066.34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>
        <v>7.0</v>
      </c>
      <c r="B20" s="1">
        <v>2027.0</v>
      </c>
      <c r="C20" s="1" t="s">
        <v>689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>
        <v>8.0</v>
      </c>
      <c r="B21" s="1">
        <v>2027.0</v>
      </c>
      <c r="C21" s="1" t="s">
        <v>690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>
        <v>9.0</v>
      </c>
      <c r="B22" s="1">
        <v>2027.0</v>
      </c>
      <c r="C22" s="1" t="s">
        <v>691</v>
      </c>
      <c r="D22" s="1">
        <v>9.54</v>
      </c>
      <c r="E22" s="1">
        <v>15.873</v>
      </c>
      <c r="F22" s="1">
        <v>25.413</v>
      </c>
      <c r="G22" s="1">
        <v>5336.73</v>
      </c>
      <c r="H22" s="1">
        <v>2972.56</v>
      </c>
      <c r="I22" s="1">
        <v>4.77</v>
      </c>
      <c r="J22" s="1">
        <v>7.9365</v>
      </c>
      <c r="K22" s="1">
        <v>12.7065</v>
      </c>
      <c r="L22" s="1">
        <v>2668.36</v>
      </c>
      <c r="M22" s="1">
        <v>1486.28</v>
      </c>
      <c r="N22" s="1">
        <v>4458.84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>
        <v>10.0</v>
      </c>
      <c r="B23" s="1">
        <v>2027.0</v>
      </c>
      <c r="C23" s="1" t="s">
        <v>692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>
        <v>11.0</v>
      </c>
      <c r="B24" s="1">
        <v>2027.0</v>
      </c>
      <c r="C24" s="1" t="s">
        <v>693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>
        <v>12.0</v>
      </c>
      <c r="B25" s="1">
        <v>2027.0</v>
      </c>
      <c r="C25" s="1" t="s">
        <v>694</v>
      </c>
      <c r="D25" s="1">
        <v>9.54</v>
      </c>
      <c r="E25" s="1">
        <v>15.873</v>
      </c>
      <c r="F25" s="1">
        <v>25.413</v>
      </c>
      <c r="G25" s="1">
        <v>5336.73</v>
      </c>
      <c r="H25" s="1">
        <v>2972.56</v>
      </c>
      <c r="I25" s="1">
        <v>4.77</v>
      </c>
      <c r="J25" s="1">
        <v>7.9365</v>
      </c>
      <c r="K25" s="1">
        <v>12.7065</v>
      </c>
      <c r="L25" s="1">
        <v>2668.36</v>
      </c>
      <c r="M25" s="1">
        <v>1486.28</v>
      </c>
      <c r="N25" s="1">
        <v>4458.84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>
        <v>1.0</v>
      </c>
      <c r="B26" s="1">
        <v>2028.0</v>
      </c>
      <c r="C26" s="1" t="s">
        <v>695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>
        <v>2.0</v>
      </c>
      <c r="B27" s="1">
        <v>2028.0</v>
      </c>
      <c r="C27" s="1" t="s">
        <v>696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>
        <v>3.0</v>
      </c>
      <c r="B28" s="1">
        <v>2028.0</v>
      </c>
      <c r="C28" s="1" t="s">
        <v>697</v>
      </c>
      <c r="D28" s="1">
        <v>9.54</v>
      </c>
      <c r="E28" s="1">
        <v>15.873</v>
      </c>
      <c r="F28" s="1">
        <v>25.413</v>
      </c>
      <c r="G28" s="1">
        <v>5336.73</v>
      </c>
      <c r="H28" s="1">
        <v>2972.56</v>
      </c>
      <c r="I28" s="1">
        <v>4.77</v>
      </c>
      <c r="J28" s="1">
        <v>7.9365</v>
      </c>
      <c r="K28" s="1">
        <v>12.7065</v>
      </c>
      <c r="L28" s="1">
        <v>2668.36</v>
      </c>
      <c r="M28" s="1">
        <v>1486.28</v>
      </c>
      <c r="N28" s="1">
        <v>4458.84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>
        <v>4.0</v>
      </c>
      <c r="B29" s="1">
        <v>2028.0</v>
      </c>
      <c r="C29" s="1" t="s">
        <v>698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>
        <v>5.0</v>
      </c>
      <c r="B30" s="1">
        <v>2028.0</v>
      </c>
      <c r="C30" s="1" t="s">
        <v>699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>
        <v>6.0</v>
      </c>
      <c r="B31" s="1">
        <v>2028.0</v>
      </c>
      <c r="C31" s="1" t="s">
        <v>700</v>
      </c>
      <c r="D31" s="1">
        <v>0.0</v>
      </c>
      <c r="E31" s="1">
        <v>15.873</v>
      </c>
      <c r="F31" s="1">
        <v>15.873</v>
      </c>
      <c r="G31" s="1">
        <v>3333.33</v>
      </c>
      <c r="H31" s="1">
        <v>1856.66</v>
      </c>
      <c r="I31" s="1">
        <v>0.0</v>
      </c>
      <c r="J31" s="1">
        <v>7.9365</v>
      </c>
      <c r="K31" s="1">
        <v>7.9365</v>
      </c>
      <c r="L31" s="1">
        <v>1666.66</v>
      </c>
      <c r="M31" s="1">
        <v>928.33</v>
      </c>
      <c r="N31" s="1">
        <v>2784.99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>
        <v>7.0</v>
      </c>
      <c r="B32" s="1">
        <v>2028.0</v>
      </c>
      <c r="C32" s="1" t="s">
        <v>701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>
        <v>8.0</v>
      </c>
      <c r="B33" s="1">
        <v>2028.0</v>
      </c>
      <c r="C33" s="1" t="s">
        <v>702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>
        <v>9.0</v>
      </c>
      <c r="B34" s="1">
        <v>2028.0</v>
      </c>
      <c r="C34" s="1" t="s">
        <v>703</v>
      </c>
      <c r="D34" s="1">
        <v>0.0</v>
      </c>
      <c r="E34" s="1">
        <v>23.8095</v>
      </c>
      <c r="F34" s="1">
        <v>23.8095</v>
      </c>
      <c r="G34" s="1">
        <v>4999.99</v>
      </c>
      <c r="H34" s="1">
        <v>2784.99</v>
      </c>
      <c r="I34" s="1">
        <v>0.0</v>
      </c>
      <c r="J34" s="1">
        <v>11.9048</v>
      </c>
      <c r="K34" s="1">
        <v>11.9048</v>
      </c>
      <c r="L34" s="1">
        <v>2500.01</v>
      </c>
      <c r="M34" s="1">
        <v>1392.51</v>
      </c>
      <c r="N34" s="1">
        <v>4177.5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>
        <v>10.0</v>
      </c>
      <c r="B35" s="1">
        <v>2028.0</v>
      </c>
      <c r="C35" s="1" t="s">
        <v>704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>
        <v>11.0</v>
      </c>
      <c r="B36" s="1">
        <v>2028.0</v>
      </c>
      <c r="C36" s="1" t="s">
        <v>705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>
        <v>12.0</v>
      </c>
      <c r="B37" s="1">
        <v>2028.0</v>
      </c>
      <c r="C37" s="1" t="s">
        <v>706</v>
      </c>
      <c r="D37" s="1">
        <v>0.0</v>
      </c>
      <c r="E37" s="1">
        <v>23.8095</v>
      </c>
      <c r="F37" s="1">
        <v>23.8095</v>
      </c>
      <c r="G37" s="1">
        <v>4999.99</v>
      </c>
      <c r="H37" s="1">
        <v>2784.99</v>
      </c>
      <c r="I37" s="1">
        <v>0.0</v>
      </c>
      <c r="J37" s="1">
        <v>11.9048</v>
      </c>
      <c r="K37" s="1">
        <v>11.9048</v>
      </c>
      <c r="L37" s="1">
        <v>2500.01</v>
      </c>
      <c r="M37" s="1">
        <v>1392.51</v>
      </c>
      <c r="N37" s="1">
        <v>4177.5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>
        <v>1.0</v>
      </c>
      <c r="B38" s="1">
        <v>2029.0</v>
      </c>
      <c r="C38" s="1" t="s">
        <v>707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>
        <v>2.0</v>
      </c>
      <c r="B39" s="1">
        <v>2029.0</v>
      </c>
      <c r="C39" s="1" t="s">
        <v>708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>
        <v>3.0</v>
      </c>
      <c r="B40" s="1">
        <v>2029.0</v>
      </c>
      <c r="C40" s="1" t="s">
        <v>709</v>
      </c>
      <c r="D40" s="1">
        <v>0.0</v>
      </c>
      <c r="E40" s="1">
        <v>23.8095</v>
      </c>
      <c r="F40" s="1">
        <v>23.8095</v>
      </c>
      <c r="G40" s="1">
        <v>4999.99</v>
      </c>
      <c r="H40" s="1">
        <v>2784.99</v>
      </c>
      <c r="I40" s="1">
        <v>0.0</v>
      </c>
      <c r="J40" s="1">
        <v>11.9048</v>
      </c>
      <c r="K40" s="1">
        <v>11.9048</v>
      </c>
      <c r="L40" s="1">
        <v>2500.01</v>
      </c>
      <c r="M40" s="1">
        <v>1392.51</v>
      </c>
      <c r="N40" s="1">
        <v>4177.5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>
        <v>4.0</v>
      </c>
      <c r="B41" s="1">
        <v>2029.0</v>
      </c>
      <c r="C41" s="1" t="s">
        <v>710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>
        <v>5.0</v>
      </c>
      <c r="B42" s="1">
        <v>2029.0</v>
      </c>
      <c r="C42" s="1" t="s">
        <v>711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>
        <v>6.0</v>
      </c>
      <c r="B43" s="1">
        <v>2029.0</v>
      </c>
      <c r="C43" s="1" t="s">
        <v>712</v>
      </c>
      <c r="D43" s="1">
        <v>0.0</v>
      </c>
      <c r="E43" s="1">
        <v>23.8095</v>
      </c>
      <c r="F43" s="1">
        <v>23.8095</v>
      </c>
      <c r="G43" s="1">
        <v>4999.99</v>
      </c>
      <c r="H43" s="1">
        <v>2784.99</v>
      </c>
      <c r="I43" s="1">
        <v>0.0</v>
      </c>
      <c r="J43" s="1">
        <v>11.9048</v>
      </c>
      <c r="K43" s="1">
        <v>11.9048</v>
      </c>
      <c r="L43" s="1">
        <v>2500.01</v>
      </c>
      <c r="M43" s="1">
        <v>1392.51</v>
      </c>
      <c r="N43" s="1">
        <v>4177.5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>
        <v>7.0</v>
      </c>
      <c r="B44" s="1">
        <v>2029.0</v>
      </c>
      <c r="C44" s="1" t="s">
        <v>713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>
        <v>8.0</v>
      </c>
      <c r="B45" s="1">
        <v>2029.0</v>
      </c>
      <c r="C45" s="1" t="s">
        <v>714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>
        <v>9.0</v>
      </c>
      <c r="B46" s="1">
        <v>2029.0</v>
      </c>
      <c r="C46" s="1" t="s">
        <v>715</v>
      </c>
      <c r="D46" s="1">
        <v>0.0</v>
      </c>
      <c r="E46" s="1">
        <v>23.8095</v>
      </c>
      <c r="F46" s="1">
        <v>23.8095</v>
      </c>
      <c r="G46" s="1">
        <v>4999.99</v>
      </c>
      <c r="H46" s="1">
        <v>2784.99</v>
      </c>
      <c r="I46" s="1">
        <v>0.0</v>
      </c>
      <c r="J46" s="1">
        <v>11.9048</v>
      </c>
      <c r="K46" s="1">
        <v>11.9048</v>
      </c>
      <c r="L46" s="1">
        <v>2500.01</v>
      </c>
      <c r="M46" s="1">
        <v>1392.51</v>
      </c>
      <c r="N46" s="1">
        <v>4177.5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>
        <v>10.0</v>
      </c>
      <c r="B47" s="1">
        <v>2029.0</v>
      </c>
      <c r="C47" s="1" t="s">
        <v>716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>
        <v>11.0</v>
      </c>
      <c r="B48" s="1">
        <v>2029.0</v>
      </c>
      <c r="C48" s="1" t="s">
        <v>717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>
        <v>12.0</v>
      </c>
      <c r="B49" s="1">
        <v>2029.0</v>
      </c>
      <c r="C49" s="1" t="s">
        <v>718</v>
      </c>
      <c r="D49" s="1">
        <v>0.0</v>
      </c>
      <c r="E49" s="1">
        <v>23.8095</v>
      </c>
      <c r="F49" s="1">
        <v>23.8095</v>
      </c>
      <c r="G49" s="1">
        <v>4999.99</v>
      </c>
      <c r="H49" s="1">
        <v>2784.99</v>
      </c>
      <c r="I49" s="1">
        <v>0.0</v>
      </c>
      <c r="J49" s="1">
        <v>11.9048</v>
      </c>
      <c r="K49" s="1">
        <v>11.9048</v>
      </c>
      <c r="L49" s="1">
        <v>2500.01</v>
      </c>
      <c r="M49" s="1">
        <v>1392.51</v>
      </c>
      <c r="N49" s="1">
        <v>4177.5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>
        <v>1.0</v>
      </c>
      <c r="B50" s="1">
        <v>2030.0</v>
      </c>
      <c r="C50" s="1" t="s">
        <v>719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>
        <v>2.0</v>
      </c>
      <c r="B51" s="1">
        <v>2030.0</v>
      </c>
      <c r="C51" s="1" t="s">
        <v>720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>
        <v>3.0</v>
      </c>
      <c r="B52" s="1">
        <v>2030.0</v>
      </c>
      <c r="C52" s="1" t="s">
        <v>721</v>
      </c>
      <c r="D52" s="1">
        <v>0.0</v>
      </c>
      <c r="E52" s="1">
        <v>23.8095</v>
      </c>
      <c r="F52" s="1">
        <v>23.8095</v>
      </c>
      <c r="G52" s="1">
        <v>4999.99</v>
      </c>
      <c r="H52" s="1">
        <v>2784.99</v>
      </c>
      <c r="I52" s="1">
        <v>0.0</v>
      </c>
      <c r="J52" s="1">
        <v>11.9048</v>
      </c>
      <c r="K52" s="1">
        <v>11.9048</v>
      </c>
      <c r="L52" s="1">
        <v>2500.01</v>
      </c>
      <c r="M52" s="1">
        <v>1392.51</v>
      </c>
      <c r="N52" s="1">
        <v>4177.5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>
        <v>4.0</v>
      </c>
      <c r="B53" s="1">
        <v>2030.0</v>
      </c>
      <c r="C53" s="1" t="s">
        <v>722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>
        <v>5.0</v>
      </c>
      <c r="B54" s="1">
        <v>2030.0</v>
      </c>
      <c r="C54" s="1" t="s">
        <v>723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>
        <v>6.0</v>
      </c>
      <c r="B55" s="1">
        <v>2030.0</v>
      </c>
      <c r="C55" s="1" t="s">
        <v>724</v>
      </c>
      <c r="D55" s="1">
        <v>0.0</v>
      </c>
      <c r="E55" s="1">
        <v>23.8095</v>
      </c>
      <c r="F55" s="1">
        <v>23.8095</v>
      </c>
      <c r="G55" s="1">
        <v>4999.99</v>
      </c>
      <c r="H55" s="1">
        <v>2784.99</v>
      </c>
      <c r="I55" s="1">
        <v>0.0</v>
      </c>
      <c r="J55" s="1">
        <v>11.9048</v>
      </c>
      <c r="K55" s="1">
        <v>11.9048</v>
      </c>
      <c r="L55" s="1">
        <v>2500.01</v>
      </c>
      <c r="M55" s="1">
        <v>1392.51</v>
      </c>
      <c r="N55" s="1">
        <v>4177.5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>
        <v>7.0</v>
      </c>
      <c r="B56" s="1">
        <v>2030.0</v>
      </c>
      <c r="C56" s="1" t="s">
        <v>725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>
        <v>8.0</v>
      </c>
      <c r="B57" s="1">
        <v>2030.0</v>
      </c>
      <c r="C57" s="1" t="s">
        <v>726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>
        <v>9.0</v>
      </c>
      <c r="B58" s="1">
        <v>2030.0</v>
      </c>
      <c r="C58" s="1" t="s">
        <v>727</v>
      </c>
      <c r="D58" s="1">
        <v>0.0</v>
      </c>
      <c r="E58" s="1">
        <v>23.8095</v>
      </c>
      <c r="F58" s="1">
        <v>23.8095</v>
      </c>
      <c r="G58" s="1">
        <v>4999.99</v>
      </c>
      <c r="H58" s="1">
        <v>2784.99</v>
      </c>
      <c r="I58" s="1">
        <v>0.0</v>
      </c>
      <c r="J58" s="1">
        <v>11.9048</v>
      </c>
      <c r="K58" s="1">
        <v>11.9048</v>
      </c>
      <c r="L58" s="1">
        <v>2500.01</v>
      </c>
      <c r="M58" s="1">
        <v>1392.51</v>
      </c>
      <c r="N58" s="1">
        <v>4177.5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>
        <v>10.0</v>
      </c>
      <c r="B59" s="1">
        <v>2030.0</v>
      </c>
      <c r="C59" s="1" t="s">
        <v>728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>
        <v>11.0</v>
      </c>
      <c r="B60" s="1">
        <v>2030.0</v>
      </c>
      <c r="C60" s="1" t="s">
        <v>729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>
        <v>12.0</v>
      </c>
      <c r="B61" s="1">
        <v>2030.0</v>
      </c>
      <c r="C61" s="1" t="s">
        <v>730</v>
      </c>
      <c r="D61" s="1">
        <v>0.0</v>
      </c>
      <c r="E61" s="1">
        <v>23.8095</v>
      </c>
      <c r="F61" s="1">
        <v>23.8095</v>
      </c>
      <c r="G61" s="1">
        <v>4999.99</v>
      </c>
      <c r="H61" s="1">
        <v>2784.99</v>
      </c>
      <c r="I61" s="1">
        <v>0.0</v>
      </c>
      <c r="J61" s="1">
        <v>11.9048</v>
      </c>
      <c r="K61" s="1">
        <v>11.9048</v>
      </c>
      <c r="L61" s="1">
        <v>2500.01</v>
      </c>
      <c r="M61" s="1">
        <v>1392.51</v>
      </c>
      <c r="N61" s="1">
        <v>4177.5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>
        <v>1.0</v>
      </c>
      <c r="B62" s="1">
        <v>2031.0</v>
      </c>
      <c r="C62" s="1" t="s">
        <v>731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>
        <v>2.0</v>
      </c>
      <c r="B63" s="1">
        <v>2031.0</v>
      </c>
      <c r="C63" s="1" t="s">
        <v>732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>
        <v>3.0</v>
      </c>
      <c r="B64" s="1">
        <v>2031.0</v>
      </c>
      <c r="C64" s="1" t="s">
        <v>733</v>
      </c>
      <c r="D64" s="1">
        <v>0.0</v>
      </c>
      <c r="E64" s="1">
        <v>23.8095</v>
      </c>
      <c r="F64" s="1">
        <v>23.8095</v>
      </c>
      <c r="G64" s="1">
        <v>4999.99</v>
      </c>
      <c r="H64" s="1">
        <v>2784.99</v>
      </c>
      <c r="I64" s="1">
        <v>0.0</v>
      </c>
      <c r="J64" s="1">
        <v>11.9048</v>
      </c>
      <c r="K64" s="1">
        <v>11.9048</v>
      </c>
      <c r="L64" s="1">
        <v>2500.01</v>
      </c>
      <c r="M64" s="1">
        <v>1392.51</v>
      </c>
      <c r="N64" s="1">
        <v>4177.5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>
        <v>4.0</v>
      </c>
      <c r="B65" s="1">
        <v>2031.0</v>
      </c>
      <c r="C65" s="1" t="s">
        <v>734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>
        <v>5.0</v>
      </c>
      <c r="B66" s="1">
        <v>2031.0</v>
      </c>
      <c r="C66" s="1" t="s">
        <v>735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>
        <v>6.0</v>
      </c>
      <c r="B67" s="1">
        <v>2031.0</v>
      </c>
      <c r="C67" s="1" t="s">
        <v>736</v>
      </c>
      <c r="D67" s="1">
        <v>0.0</v>
      </c>
      <c r="E67" s="1">
        <v>23.8095</v>
      </c>
      <c r="F67" s="1">
        <v>23.8095</v>
      </c>
      <c r="G67" s="1">
        <v>4999.99</v>
      </c>
      <c r="H67" s="1">
        <v>2784.99</v>
      </c>
      <c r="I67" s="1">
        <v>0.0</v>
      </c>
      <c r="J67" s="1">
        <v>11.9048</v>
      </c>
      <c r="K67" s="1">
        <v>11.9048</v>
      </c>
      <c r="L67" s="1">
        <v>2500.01</v>
      </c>
      <c r="M67" s="1">
        <v>1392.51</v>
      </c>
      <c r="N67" s="1">
        <v>4177.5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>
        <v>7.0</v>
      </c>
      <c r="B68" s="1">
        <v>2031.0</v>
      </c>
      <c r="C68" s="1" t="s">
        <v>737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>
        <v>8.0</v>
      </c>
      <c r="B69" s="1">
        <v>2031.0</v>
      </c>
      <c r="C69" s="1" t="s">
        <v>738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>
        <v>9.0</v>
      </c>
      <c r="B70" s="1">
        <v>2031.0</v>
      </c>
      <c r="C70" s="1" t="s">
        <v>739</v>
      </c>
      <c r="D70" s="1">
        <v>0.0</v>
      </c>
      <c r="E70" s="1">
        <v>23.8095</v>
      </c>
      <c r="F70" s="1">
        <v>23.8095</v>
      </c>
      <c r="G70" s="1">
        <v>4999.99</v>
      </c>
      <c r="H70" s="1">
        <v>2784.99</v>
      </c>
      <c r="I70" s="1">
        <v>0.0</v>
      </c>
      <c r="J70" s="1">
        <v>11.9048</v>
      </c>
      <c r="K70" s="1">
        <v>11.9048</v>
      </c>
      <c r="L70" s="1">
        <v>2500.01</v>
      </c>
      <c r="M70" s="1">
        <v>1392.51</v>
      </c>
      <c r="N70" s="1">
        <v>4177.5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>
        <v>10.0</v>
      </c>
      <c r="B71" s="1">
        <v>2031.0</v>
      </c>
      <c r="C71" s="1" t="s">
        <v>740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>
        <v>11.0</v>
      </c>
      <c r="B72" s="1">
        <v>2031.0</v>
      </c>
      <c r="C72" s="1" t="s">
        <v>741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>
        <v>12.0</v>
      </c>
      <c r="B73" s="1">
        <v>2031.0</v>
      </c>
      <c r="C73" s="1" t="s">
        <v>742</v>
      </c>
      <c r="D73" s="1">
        <v>0.0</v>
      </c>
      <c r="E73" s="1">
        <v>23.8095</v>
      </c>
      <c r="F73" s="1">
        <v>23.8095</v>
      </c>
      <c r="G73" s="1">
        <v>4999.99</v>
      </c>
      <c r="H73" s="1">
        <v>2784.99</v>
      </c>
      <c r="I73" s="1">
        <v>0.0</v>
      </c>
      <c r="J73" s="1">
        <v>11.9048</v>
      </c>
      <c r="K73" s="1">
        <v>11.9048</v>
      </c>
      <c r="L73" s="1">
        <v>2500.01</v>
      </c>
      <c r="M73" s="1">
        <v>1392.51</v>
      </c>
      <c r="N73" s="1">
        <v>4177.5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>
        <v>1.0</v>
      </c>
      <c r="B74" s="1">
        <v>2032.0</v>
      </c>
      <c r="C74" s="1" t="s">
        <v>743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0" customHeight="1">
      <c r="A75" s="1">
        <v>2.0</v>
      </c>
      <c r="B75" s="1">
        <v>2032.0</v>
      </c>
      <c r="C75" s="1" t="s">
        <v>744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>
        <v>3.0</v>
      </c>
      <c r="B76" s="1">
        <v>2032.0</v>
      </c>
      <c r="C76" s="1" t="s">
        <v>745</v>
      </c>
      <c r="D76" s="1">
        <v>0.0</v>
      </c>
      <c r="E76" s="1">
        <v>23.8095</v>
      </c>
      <c r="F76" s="1">
        <v>23.8095</v>
      </c>
      <c r="G76" s="1">
        <v>4999.99</v>
      </c>
      <c r="H76" s="1">
        <v>2784.99</v>
      </c>
      <c r="I76" s="1">
        <v>0.0</v>
      </c>
      <c r="J76" s="1">
        <v>11.9048</v>
      </c>
      <c r="K76" s="1">
        <v>11.9048</v>
      </c>
      <c r="L76" s="1">
        <v>2500.01</v>
      </c>
      <c r="M76" s="1">
        <v>1392.51</v>
      </c>
      <c r="N76" s="1">
        <v>4177.5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>
        <v>4.0</v>
      </c>
      <c r="B77" s="1">
        <v>2032.0</v>
      </c>
      <c r="C77" s="1" t="s">
        <v>746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>
        <v>5.0</v>
      </c>
      <c r="B78" s="1">
        <v>2032.0</v>
      </c>
      <c r="C78" s="1" t="s">
        <v>747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>
        <v>6.0</v>
      </c>
      <c r="B79" s="1">
        <v>2032.0</v>
      </c>
      <c r="C79" s="1" t="s">
        <v>748</v>
      </c>
      <c r="D79" s="1">
        <v>0.0</v>
      </c>
      <c r="E79" s="1">
        <v>23.8095</v>
      </c>
      <c r="F79" s="1">
        <v>23.8095</v>
      </c>
      <c r="G79" s="1">
        <v>4999.99</v>
      </c>
      <c r="H79" s="1">
        <v>2784.99</v>
      </c>
      <c r="I79" s="1">
        <v>0.0</v>
      </c>
      <c r="J79" s="1">
        <v>11.9048</v>
      </c>
      <c r="K79" s="1">
        <v>11.9048</v>
      </c>
      <c r="L79" s="1">
        <v>2500.01</v>
      </c>
      <c r="M79" s="1">
        <v>1392.51</v>
      </c>
      <c r="N79" s="1">
        <v>4177.5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>
        <v>7.0</v>
      </c>
      <c r="B80" s="1">
        <v>2032.0</v>
      </c>
      <c r="C80" s="1" t="s">
        <v>749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>
        <v>8.0</v>
      </c>
      <c r="B81" s="1">
        <v>2032.0</v>
      </c>
      <c r="C81" s="1" t="s">
        <v>750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>
        <v>9.0</v>
      </c>
      <c r="B82" s="1">
        <v>2032.0</v>
      </c>
      <c r="C82" s="1" t="s">
        <v>751</v>
      </c>
      <c r="D82" s="1">
        <v>0.0</v>
      </c>
      <c r="E82" s="1">
        <v>23.8095</v>
      </c>
      <c r="F82" s="1">
        <v>23.8095</v>
      </c>
      <c r="G82" s="1">
        <v>4999.99</v>
      </c>
      <c r="H82" s="1">
        <v>2784.99</v>
      </c>
      <c r="I82" s="1">
        <v>0.0</v>
      </c>
      <c r="J82" s="1">
        <v>11.9048</v>
      </c>
      <c r="K82" s="1">
        <v>11.9048</v>
      </c>
      <c r="L82" s="1">
        <v>2500.01</v>
      </c>
      <c r="M82" s="1">
        <v>1392.51</v>
      </c>
      <c r="N82" s="1">
        <v>4177.5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>
        <v>10.0</v>
      </c>
      <c r="B83" s="1">
        <v>2032.0</v>
      </c>
      <c r="C83" s="1" t="s">
        <v>752</v>
      </c>
      <c r="D83" s="1">
        <v>0.0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>
        <v>11.0</v>
      </c>
      <c r="B84" s="1">
        <v>2032.0</v>
      </c>
      <c r="C84" s="1" t="s">
        <v>753</v>
      </c>
      <c r="D84" s="1">
        <v>0.0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0" customHeight="1">
      <c r="A85" s="1">
        <v>12.0</v>
      </c>
      <c r="B85" s="1">
        <v>2032.0</v>
      </c>
      <c r="C85" s="1" t="s">
        <v>754</v>
      </c>
      <c r="D85" s="1">
        <v>0.0</v>
      </c>
      <c r="E85" s="1">
        <v>23.8095</v>
      </c>
      <c r="F85" s="1">
        <v>23.8095</v>
      </c>
      <c r="G85" s="1">
        <v>4999.99</v>
      </c>
      <c r="H85" s="1">
        <v>2784.99</v>
      </c>
      <c r="I85" s="1">
        <v>0.0</v>
      </c>
      <c r="J85" s="1">
        <v>11.9048</v>
      </c>
      <c r="K85" s="1">
        <v>11.9048</v>
      </c>
      <c r="L85" s="1">
        <v>2500.01</v>
      </c>
      <c r="M85" s="1">
        <v>1392.51</v>
      </c>
      <c r="N85" s="1">
        <v>4177.5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0" customHeight="1">
      <c r="A86" s="1">
        <v>1.0</v>
      </c>
      <c r="B86" s="1">
        <v>2033.0</v>
      </c>
      <c r="C86" s="1" t="s">
        <v>755</v>
      </c>
      <c r="D86" s="1">
        <v>0.0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0" customHeight="1">
      <c r="A87" s="1">
        <v>2.0</v>
      </c>
      <c r="B87" s="1">
        <v>2033.0</v>
      </c>
      <c r="C87" s="1" t="s">
        <v>756</v>
      </c>
      <c r="D87" s="1">
        <v>0.0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0" customHeight="1">
      <c r="A88" s="1">
        <v>3.0</v>
      </c>
      <c r="B88" s="1">
        <v>2033.0</v>
      </c>
      <c r="C88" s="1" t="s">
        <v>757</v>
      </c>
      <c r="D88" s="1">
        <v>0.0</v>
      </c>
      <c r="E88" s="1">
        <v>23.8095</v>
      </c>
      <c r="F88" s="1">
        <v>23.8095</v>
      </c>
      <c r="G88" s="1">
        <v>4999.99</v>
      </c>
      <c r="H88" s="1">
        <v>2784.99</v>
      </c>
      <c r="I88" s="1">
        <v>0.0</v>
      </c>
      <c r="J88" s="1">
        <v>11.9048</v>
      </c>
      <c r="K88" s="1">
        <v>11.9048</v>
      </c>
      <c r="L88" s="1">
        <v>2500.01</v>
      </c>
      <c r="M88" s="1">
        <v>1392.51</v>
      </c>
      <c r="N88" s="1">
        <v>4177.5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0" customHeight="1">
      <c r="A89" s="1">
        <v>4.0</v>
      </c>
      <c r="B89" s="1">
        <v>2033.0</v>
      </c>
      <c r="C89" s="1" t="s">
        <v>758</v>
      </c>
      <c r="D89" s="1">
        <v>0.0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0" customHeight="1">
      <c r="A90" s="1">
        <v>5.0</v>
      </c>
      <c r="B90" s="1">
        <v>2033.0</v>
      </c>
      <c r="C90" s="1" t="s">
        <v>759</v>
      </c>
      <c r="D90" s="1">
        <v>0.0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0" customHeight="1">
      <c r="A91" s="1">
        <v>6.0</v>
      </c>
      <c r="B91" s="1">
        <v>2033.0</v>
      </c>
      <c r="C91" s="1" t="s">
        <v>760</v>
      </c>
      <c r="D91" s="1">
        <v>0.0</v>
      </c>
      <c r="E91" s="1">
        <v>23.8095</v>
      </c>
      <c r="F91" s="1">
        <v>23.8095</v>
      </c>
      <c r="G91" s="1">
        <v>4999.99</v>
      </c>
      <c r="H91" s="1">
        <v>2784.99</v>
      </c>
      <c r="I91" s="1">
        <v>0.0</v>
      </c>
      <c r="J91" s="1">
        <v>11.9048</v>
      </c>
      <c r="K91" s="1">
        <v>11.9048</v>
      </c>
      <c r="L91" s="1">
        <v>2500.01</v>
      </c>
      <c r="M91" s="1">
        <v>1392.51</v>
      </c>
      <c r="N91" s="1">
        <v>4177.5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0" customHeight="1">
      <c r="A92" s="1">
        <v>7.0</v>
      </c>
      <c r="B92" s="1">
        <v>2033.0</v>
      </c>
      <c r="C92" s="1" t="s">
        <v>761</v>
      </c>
      <c r="D92" s="1">
        <v>0.0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0" customHeight="1">
      <c r="A93" s="1">
        <v>8.0</v>
      </c>
      <c r="B93" s="1">
        <v>2033.0</v>
      </c>
      <c r="C93" s="1" t="s">
        <v>762</v>
      </c>
      <c r="D93" s="1">
        <v>0.0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0" customHeight="1">
      <c r="A94" s="1">
        <v>9.0</v>
      </c>
      <c r="B94" s="1">
        <v>2033.0</v>
      </c>
      <c r="C94" s="1" t="s">
        <v>763</v>
      </c>
      <c r="D94" s="1">
        <v>0.0</v>
      </c>
      <c r="E94" s="1">
        <v>23.8095</v>
      </c>
      <c r="F94" s="1">
        <v>23.8095</v>
      </c>
      <c r="G94" s="1">
        <v>4999.99</v>
      </c>
      <c r="H94" s="1">
        <v>2784.99</v>
      </c>
      <c r="I94" s="1">
        <v>0.0</v>
      </c>
      <c r="J94" s="1">
        <v>11.9048</v>
      </c>
      <c r="K94" s="1">
        <v>11.9048</v>
      </c>
      <c r="L94" s="1">
        <v>2500.01</v>
      </c>
      <c r="M94" s="1">
        <v>1392.51</v>
      </c>
      <c r="N94" s="1">
        <v>4177.5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0" customHeight="1">
      <c r="A95" s="1">
        <v>10.0</v>
      </c>
      <c r="B95" s="1">
        <v>2033.0</v>
      </c>
      <c r="C95" s="1" t="s">
        <v>764</v>
      </c>
      <c r="D95" s="1">
        <v>0.0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0" customHeight="1">
      <c r="A96" s="1">
        <v>11.0</v>
      </c>
      <c r="B96" s="1">
        <v>2033.0</v>
      </c>
      <c r="C96" s="1" t="s">
        <v>765</v>
      </c>
      <c r="D96" s="1">
        <v>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0" customHeight="1">
      <c r="A97" s="1">
        <v>12.0</v>
      </c>
      <c r="B97" s="1">
        <v>2033.0</v>
      </c>
      <c r="C97" s="1" t="s">
        <v>766</v>
      </c>
      <c r="D97" s="1">
        <v>0.0</v>
      </c>
      <c r="E97" s="1">
        <v>23.8095</v>
      </c>
      <c r="F97" s="1">
        <v>23.8095</v>
      </c>
      <c r="G97" s="1">
        <v>4999.99</v>
      </c>
      <c r="H97" s="1">
        <v>2784.99</v>
      </c>
      <c r="I97" s="1">
        <v>0.0</v>
      </c>
      <c r="J97" s="1">
        <v>11.9048</v>
      </c>
      <c r="K97" s="1">
        <v>11.9048</v>
      </c>
      <c r="L97" s="1">
        <v>2500.01</v>
      </c>
      <c r="M97" s="1">
        <v>1392.51</v>
      </c>
      <c r="N97" s="1">
        <v>4177.5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0" customHeight="1">
      <c r="A98" s="1">
        <v>1.0</v>
      </c>
      <c r="B98" s="1">
        <v>2034.0</v>
      </c>
      <c r="C98" s="1" t="s">
        <v>767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0" customHeight="1">
      <c r="A99" s="1">
        <v>2.0</v>
      </c>
      <c r="B99" s="1">
        <v>2034.0</v>
      </c>
      <c r="C99" s="1" t="s">
        <v>768</v>
      </c>
      <c r="D99" s="1">
        <v>0.0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0" customHeight="1">
      <c r="A100" s="1">
        <v>3.0</v>
      </c>
      <c r="B100" s="1">
        <v>2034.0</v>
      </c>
      <c r="C100" s="1" t="s">
        <v>769</v>
      </c>
      <c r="D100" s="1">
        <v>0.0</v>
      </c>
      <c r="E100" s="1">
        <v>23.8095</v>
      </c>
      <c r="F100" s="1">
        <v>23.8095</v>
      </c>
      <c r="G100" s="1">
        <v>4999.99</v>
      </c>
      <c r="H100" s="1">
        <v>2784.99</v>
      </c>
      <c r="I100" s="1">
        <v>0.0</v>
      </c>
      <c r="J100" s="1">
        <v>11.9048</v>
      </c>
      <c r="K100" s="1">
        <v>11.9048</v>
      </c>
      <c r="L100" s="1">
        <v>2500.01</v>
      </c>
      <c r="M100" s="1">
        <v>1392.51</v>
      </c>
      <c r="N100" s="1">
        <v>4177.5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1">
        <v>4.0</v>
      </c>
      <c r="B101" s="1">
        <v>2034.0</v>
      </c>
      <c r="C101" s="1" t="s">
        <v>770</v>
      </c>
      <c r="D101" s="1">
        <v>0.0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0" customHeight="1">
      <c r="A102" s="1">
        <v>5.0</v>
      </c>
      <c r="B102" s="1">
        <v>2034.0</v>
      </c>
      <c r="C102" s="1" t="s">
        <v>771</v>
      </c>
      <c r="D102" s="1">
        <v>0.0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0" customHeight="1">
      <c r="A103" s="1">
        <v>6.0</v>
      </c>
      <c r="B103" s="1">
        <v>2034.0</v>
      </c>
      <c r="C103" s="1" t="s">
        <v>772</v>
      </c>
      <c r="D103" s="1">
        <v>0.0</v>
      </c>
      <c r="E103" s="1">
        <v>23.8095</v>
      </c>
      <c r="F103" s="1">
        <v>23.8095</v>
      </c>
      <c r="G103" s="1">
        <v>4999.99</v>
      </c>
      <c r="H103" s="1">
        <v>2784.99</v>
      </c>
      <c r="I103" s="1">
        <v>0.0</v>
      </c>
      <c r="J103" s="1">
        <v>11.9048</v>
      </c>
      <c r="K103" s="1">
        <v>11.9048</v>
      </c>
      <c r="L103" s="1">
        <v>2500.01</v>
      </c>
      <c r="M103" s="1">
        <v>1392.51</v>
      </c>
      <c r="N103" s="1">
        <v>4177.5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0" customHeight="1">
      <c r="A104" s="1">
        <v>7.0</v>
      </c>
      <c r="B104" s="1">
        <v>2034.0</v>
      </c>
      <c r="C104" s="1" t="s">
        <v>773</v>
      </c>
      <c r="D104" s="1">
        <v>0.0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0" customHeight="1">
      <c r="A105" s="1">
        <v>8.0</v>
      </c>
      <c r="B105" s="1">
        <v>2034.0</v>
      </c>
      <c r="C105" s="1" t="s">
        <v>774</v>
      </c>
      <c r="D105" s="1">
        <v>0.0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0" customHeight="1">
      <c r="A106" s="1">
        <v>9.0</v>
      </c>
      <c r="B106" s="1">
        <v>2034.0</v>
      </c>
      <c r="C106" s="1" t="s">
        <v>775</v>
      </c>
      <c r="D106" s="1">
        <v>0.0</v>
      </c>
      <c r="E106" s="1">
        <v>23.8095</v>
      </c>
      <c r="F106" s="1">
        <v>23.8095</v>
      </c>
      <c r="G106" s="1">
        <v>4999.99</v>
      </c>
      <c r="H106" s="1">
        <v>2784.99</v>
      </c>
      <c r="I106" s="1">
        <v>0.0</v>
      </c>
      <c r="J106" s="1">
        <v>11.9048</v>
      </c>
      <c r="K106" s="1">
        <v>11.9048</v>
      </c>
      <c r="L106" s="1">
        <v>2500.01</v>
      </c>
      <c r="M106" s="1">
        <v>1392.51</v>
      </c>
      <c r="N106" s="1">
        <v>4177.5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0" customHeight="1">
      <c r="A107" s="1">
        <v>10.0</v>
      </c>
      <c r="B107" s="1">
        <v>2034.0</v>
      </c>
      <c r="C107" s="1" t="s">
        <v>776</v>
      </c>
      <c r="D107" s="1">
        <v>0.0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0" customHeight="1">
      <c r="A108" s="1">
        <v>11.0</v>
      </c>
      <c r="B108" s="1">
        <v>2034.0</v>
      </c>
      <c r="C108" s="1" t="s">
        <v>777</v>
      </c>
      <c r="D108" s="1">
        <v>0.0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0" customHeight="1">
      <c r="A109" s="1">
        <v>12.0</v>
      </c>
      <c r="B109" s="1">
        <v>2034.0</v>
      </c>
      <c r="C109" s="1" t="s">
        <v>778</v>
      </c>
      <c r="D109" s="1">
        <v>0.0</v>
      </c>
      <c r="E109" s="1">
        <v>23.8095</v>
      </c>
      <c r="F109" s="1">
        <v>23.8095</v>
      </c>
      <c r="G109" s="1">
        <v>4999.99</v>
      </c>
      <c r="H109" s="1">
        <v>2784.99</v>
      </c>
      <c r="I109" s="1">
        <v>0.0</v>
      </c>
      <c r="J109" s="1">
        <v>11.9048</v>
      </c>
      <c r="K109" s="1">
        <v>11.9048</v>
      </c>
      <c r="L109" s="1">
        <v>2500.01</v>
      </c>
      <c r="M109" s="1">
        <v>1392.51</v>
      </c>
      <c r="N109" s="1">
        <v>4177.5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0" customHeight="1">
      <c r="A110" s="1">
        <v>1.0</v>
      </c>
      <c r="B110" s="1">
        <v>2035.0</v>
      </c>
      <c r="C110" s="1" t="s">
        <v>779</v>
      </c>
      <c r="D110" s="1">
        <v>0.0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1">
        <v>2.0</v>
      </c>
      <c r="B111" s="1">
        <v>2035.0</v>
      </c>
      <c r="C111" s="1" t="s">
        <v>780</v>
      </c>
      <c r="D111" s="1">
        <v>0.0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0" customHeight="1">
      <c r="A112" s="1">
        <v>3.0</v>
      </c>
      <c r="B112" s="1">
        <v>2035.0</v>
      </c>
      <c r="C112" s="1" t="s">
        <v>781</v>
      </c>
      <c r="D112" s="1">
        <v>0.0</v>
      </c>
      <c r="E112" s="1">
        <v>23.8095</v>
      </c>
      <c r="F112" s="1">
        <v>23.8095</v>
      </c>
      <c r="G112" s="1">
        <v>4999.99</v>
      </c>
      <c r="H112" s="1">
        <v>2784.99</v>
      </c>
      <c r="I112" s="1">
        <v>0.0</v>
      </c>
      <c r="J112" s="1">
        <v>11.9048</v>
      </c>
      <c r="K112" s="1">
        <v>11.9048</v>
      </c>
      <c r="L112" s="1">
        <v>2500.01</v>
      </c>
      <c r="M112" s="1">
        <v>1392.51</v>
      </c>
      <c r="N112" s="1">
        <v>4177.5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0" customHeight="1">
      <c r="A113" s="1">
        <v>4.0</v>
      </c>
      <c r="B113" s="1">
        <v>2035.0</v>
      </c>
      <c r="C113" s="1" t="s">
        <v>782</v>
      </c>
      <c r="D113" s="1">
        <v>0.0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0" customHeight="1">
      <c r="A114" s="1">
        <v>5.0</v>
      </c>
      <c r="B114" s="1">
        <v>2035.0</v>
      </c>
      <c r="C114" s="1" t="s">
        <v>783</v>
      </c>
      <c r="D114" s="1">
        <v>0.0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0" customHeight="1">
      <c r="A115" s="1">
        <v>6.0</v>
      </c>
      <c r="B115" s="1">
        <v>2035.0</v>
      </c>
      <c r="C115" s="1" t="s">
        <v>784</v>
      </c>
      <c r="D115" s="1">
        <v>0.0</v>
      </c>
      <c r="E115" s="1">
        <v>23.8095</v>
      </c>
      <c r="F115" s="1">
        <v>23.8095</v>
      </c>
      <c r="G115" s="1">
        <v>4999.99</v>
      </c>
      <c r="H115" s="1">
        <v>2784.99</v>
      </c>
      <c r="I115" s="1">
        <v>0.0</v>
      </c>
      <c r="J115" s="1">
        <v>11.9048</v>
      </c>
      <c r="K115" s="1">
        <v>11.9048</v>
      </c>
      <c r="L115" s="1">
        <v>2500.01</v>
      </c>
      <c r="M115" s="1">
        <v>1392.51</v>
      </c>
      <c r="N115" s="1">
        <v>4177.5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0" customHeight="1">
      <c r="A116" s="1">
        <v>7.0</v>
      </c>
      <c r="B116" s="1">
        <v>2035.0</v>
      </c>
      <c r="C116" s="1" t="s">
        <v>785</v>
      </c>
      <c r="D116" s="1">
        <v>0.0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0.0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1">
        <v>8.0</v>
      </c>
      <c r="B117" s="1">
        <v>2035.0</v>
      </c>
      <c r="C117" s="1" t="s">
        <v>786</v>
      </c>
      <c r="D117" s="1">
        <v>0.0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0" customHeight="1">
      <c r="A118" s="1">
        <v>9.0</v>
      </c>
      <c r="B118" s="1">
        <v>2035.0</v>
      </c>
      <c r="C118" s="1" t="s">
        <v>787</v>
      </c>
      <c r="D118" s="1">
        <v>0.0</v>
      </c>
      <c r="E118" s="1">
        <v>23.8095</v>
      </c>
      <c r="F118" s="1">
        <v>23.8095</v>
      </c>
      <c r="G118" s="1">
        <v>4999.99</v>
      </c>
      <c r="H118" s="1">
        <v>2784.99</v>
      </c>
      <c r="I118" s="1">
        <v>0.0</v>
      </c>
      <c r="J118" s="1">
        <v>11.9048</v>
      </c>
      <c r="K118" s="1">
        <v>11.9048</v>
      </c>
      <c r="L118" s="1">
        <v>2500.01</v>
      </c>
      <c r="M118" s="1">
        <v>1392.51</v>
      </c>
      <c r="N118" s="1">
        <v>4177.5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1">
        <v>10.0</v>
      </c>
      <c r="B119" s="1">
        <v>2035.0</v>
      </c>
      <c r="C119" s="1" t="s">
        <v>788</v>
      </c>
      <c r="D119" s="1">
        <v>0.0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0.0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0" customHeight="1">
      <c r="A120" s="1">
        <v>11.0</v>
      </c>
      <c r="B120" s="1">
        <v>2035.0</v>
      </c>
      <c r="C120" s="1" t="s">
        <v>789</v>
      </c>
      <c r="D120" s="1">
        <v>0.0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0" customHeight="1">
      <c r="A121" s="1">
        <v>12.0</v>
      </c>
      <c r="B121" s="1">
        <v>2035.0</v>
      </c>
      <c r="C121" s="1" t="s">
        <v>790</v>
      </c>
      <c r="D121" s="1">
        <v>0.0</v>
      </c>
      <c r="E121" s="1">
        <v>23.8095</v>
      </c>
      <c r="F121" s="1">
        <v>23.8095</v>
      </c>
      <c r="G121" s="1">
        <v>4999.99</v>
      </c>
      <c r="H121" s="1">
        <v>2784.99</v>
      </c>
      <c r="I121" s="1">
        <v>0.0</v>
      </c>
      <c r="J121" s="1">
        <v>11.9048</v>
      </c>
      <c r="K121" s="1">
        <v>11.9048</v>
      </c>
      <c r="L121" s="1">
        <v>2500.01</v>
      </c>
      <c r="M121" s="1">
        <v>1392.51</v>
      </c>
      <c r="N121" s="1">
        <v>4177.5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0" customHeight="1">
      <c r="A122" s="1">
        <v>1.0</v>
      </c>
      <c r="B122" s="1">
        <v>2036.0</v>
      </c>
      <c r="C122" s="1" t="s">
        <v>791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1">
        <v>2.0</v>
      </c>
      <c r="B123" s="1">
        <v>2036.0</v>
      </c>
      <c r="C123" s="1" t="s">
        <v>792</v>
      </c>
      <c r="D123" s="1">
        <v>0.0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0" customHeight="1">
      <c r="A124" s="1">
        <v>3.0</v>
      </c>
      <c r="B124" s="1">
        <v>2036.0</v>
      </c>
      <c r="C124" s="1" t="s">
        <v>793</v>
      </c>
      <c r="D124" s="1">
        <v>0.0</v>
      </c>
      <c r="E124" s="1">
        <v>23.8095</v>
      </c>
      <c r="F124" s="1">
        <v>23.8095</v>
      </c>
      <c r="G124" s="1">
        <v>4999.99</v>
      </c>
      <c r="H124" s="1">
        <v>2784.99</v>
      </c>
      <c r="I124" s="1">
        <v>0.0</v>
      </c>
      <c r="J124" s="1">
        <v>11.9048</v>
      </c>
      <c r="K124" s="1">
        <v>11.9048</v>
      </c>
      <c r="L124" s="1">
        <v>2500.01</v>
      </c>
      <c r="M124" s="1">
        <v>1392.51</v>
      </c>
      <c r="N124" s="1">
        <v>4177.5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0" customHeight="1">
      <c r="A125" s="1">
        <v>4.0</v>
      </c>
      <c r="B125" s="1">
        <v>2036.0</v>
      </c>
      <c r="C125" s="1" t="s">
        <v>794</v>
      </c>
      <c r="D125" s="1">
        <v>0.0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0" customHeight="1">
      <c r="A126" s="1">
        <v>5.0</v>
      </c>
      <c r="B126" s="1">
        <v>2036.0</v>
      </c>
      <c r="C126" s="1" t="s">
        <v>795</v>
      </c>
      <c r="D126" s="1">
        <v>0.0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0" customHeight="1">
      <c r="A127" s="1">
        <v>6.0</v>
      </c>
      <c r="B127" s="1">
        <v>2036.0</v>
      </c>
      <c r="C127" s="1" t="s">
        <v>796</v>
      </c>
      <c r="D127" s="1">
        <v>0.0</v>
      </c>
      <c r="E127" s="1">
        <v>23.8095</v>
      </c>
      <c r="F127" s="1">
        <v>23.8095</v>
      </c>
      <c r="G127" s="1">
        <v>4999.99</v>
      </c>
      <c r="H127" s="1">
        <v>2784.99</v>
      </c>
      <c r="I127" s="1">
        <v>0.0</v>
      </c>
      <c r="J127" s="1">
        <v>11.9048</v>
      </c>
      <c r="K127" s="1">
        <v>11.9048</v>
      </c>
      <c r="L127" s="1">
        <v>2500.01</v>
      </c>
      <c r="M127" s="1">
        <v>1392.51</v>
      </c>
      <c r="N127" s="1">
        <v>4177.5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0" customHeight="1">
      <c r="A128" s="1">
        <v>7.0</v>
      </c>
      <c r="B128" s="1">
        <v>2036.0</v>
      </c>
      <c r="C128" s="1" t="s">
        <v>797</v>
      </c>
      <c r="D128" s="1">
        <v>0.0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0" customHeight="1">
      <c r="A129" s="1">
        <v>8.0</v>
      </c>
      <c r="B129" s="1">
        <v>2036.0</v>
      </c>
      <c r="C129" s="1" t="s">
        <v>798</v>
      </c>
      <c r="D129" s="1">
        <v>0.0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0" customHeight="1">
      <c r="A130" s="1">
        <v>9.0</v>
      </c>
      <c r="B130" s="1">
        <v>2036.0</v>
      </c>
      <c r="C130" s="1" t="s">
        <v>799</v>
      </c>
      <c r="D130" s="1">
        <v>0.0</v>
      </c>
      <c r="E130" s="1">
        <v>23.8095</v>
      </c>
      <c r="F130" s="1">
        <v>23.8095</v>
      </c>
      <c r="G130" s="1">
        <v>4999.99</v>
      </c>
      <c r="H130" s="1">
        <v>2784.99</v>
      </c>
      <c r="I130" s="1">
        <v>0.0</v>
      </c>
      <c r="J130" s="1">
        <v>11.9048</v>
      </c>
      <c r="K130" s="1">
        <v>11.9048</v>
      </c>
      <c r="L130" s="1">
        <v>2500.01</v>
      </c>
      <c r="M130" s="1">
        <v>1392.51</v>
      </c>
      <c r="N130" s="1">
        <v>4177.5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0" customHeight="1">
      <c r="A131" s="1">
        <v>10.0</v>
      </c>
      <c r="B131" s="1">
        <v>2036.0</v>
      </c>
      <c r="C131" s="1" t="s">
        <v>800</v>
      </c>
      <c r="D131" s="1">
        <v>0.0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0" customHeight="1">
      <c r="A132" s="1">
        <v>11.0</v>
      </c>
      <c r="B132" s="1">
        <v>2036.0</v>
      </c>
      <c r="C132" s="1" t="s">
        <v>801</v>
      </c>
      <c r="D132" s="1">
        <v>0.0</v>
      </c>
      <c r="E132" s="1">
        <v>0.0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0.0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0" customHeight="1">
      <c r="A133" s="1">
        <v>12.0</v>
      </c>
      <c r="B133" s="1">
        <v>2036.0</v>
      </c>
      <c r="C133" s="1" t="s">
        <v>802</v>
      </c>
      <c r="D133" s="1">
        <v>0.0</v>
      </c>
      <c r="E133" s="1">
        <v>23.8095</v>
      </c>
      <c r="F133" s="1">
        <v>23.8095</v>
      </c>
      <c r="G133" s="1">
        <v>4999.99</v>
      </c>
      <c r="H133" s="1">
        <v>2784.99</v>
      </c>
      <c r="I133" s="1">
        <v>0.0</v>
      </c>
      <c r="J133" s="1">
        <v>11.9048</v>
      </c>
      <c r="K133" s="1">
        <v>11.9048</v>
      </c>
      <c r="L133" s="1">
        <v>2500.01</v>
      </c>
      <c r="M133" s="1">
        <v>1392.51</v>
      </c>
      <c r="N133" s="1">
        <v>4177.5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0" customHeight="1">
      <c r="A134" s="1">
        <v>1.0</v>
      </c>
      <c r="B134" s="1">
        <v>2037.0</v>
      </c>
      <c r="C134" s="1" t="s">
        <v>803</v>
      </c>
      <c r="D134" s="1">
        <v>0.0</v>
      </c>
      <c r="E134" s="1">
        <v>0.0</v>
      </c>
      <c r="F134" s="1">
        <v>0.0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0" customHeight="1">
      <c r="A135" s="1">
        <v>2.0</v>
      </c>
      <c r="B135" s="1">
        <v>2037.0</v>
      </c>
      <c r="C135" s="1" t="s">
        <v>804</v>
      </c>
      <c r="D135" s="1">
        <v>0.0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0" customHeight="1">
      <c r="A136" s="1">
        <v>3.0</v>
      </c>
      <c r="B136" s="1">
        <v>2037.0</v>
      </c>
      <c r="C136" s="1" t="s">
        <v>805</v>
      </c>
      <c r="D136" s="1">
        <v>0.0</v>
      </c>
      <c r="E136" s="1">
        <v>23.8095</v>
      </c>
      <c r="F136" s="1">
        <v>23.8095</v>
      </c>
      <c r="G136" s="1">
        <v>4999.99</v>
      </c>
      <c r="H136" s="1">
        <v>2784.99</v>
      </c>
      <c r="I136" s="1">
        <v>0.0</v>
      </c>
      <c r="J136" s="1">
        <v>11.9048</v>
      </c>
      <c r="K136" s="1">
        <v>11.9048</v>
      </c>
      <c r="L136" s="1">
        <v>2500.01</v>
      </c>
      <c r="M136" s="1">
        <v>1392.51</v>
      </c>
      <c r="N136" s="1">
        <v>4177.5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0" customHeight="1">
      <c r="A137" s="1">
        <v>4.0</v>
      </c>
      <c r="B137" s="1">
        <v>2037.0</v>
      </c>
      <c r="C137" s="1" t="s">
        <v>806</v>
      </c>
      <c r="D137" s="1">
        <v>0.0</v>
      </c>
      <c r="E137" s="1">
        <v>0.0</v>
      </c>
      <c r="F137" s="1">
        <v>0.0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0" customHeight="1">
      <c r="A138" s="1">
        <v>5.0</v>
      </c>
      <c r="B138" s="1">
        <v>2037.0</v>
      </c>
      <c r="C138" s="1" t="s">
        <v>807</v>
      </c>
      <c r="D138" s="1">
        <v>0.0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0" customHeight="1">
      <c r="A139" s="1">
        <v>6.0</v>
      </c>
      <c r="B139" s="1">
        <v>2037.0</v>
      </c>
      <c r="C139" s="1" t="s">
        <v>808</v>
      </c>
      <c r="D139" s="1">
        <v>0.0</v>
      </c>
      <c r="E139" s="1">
        <v>23.8095</v>
      </c>
      <c r="F139" s="1">
        <v>23.8095</v>
      </c>
      <c r="G139" s="1">
        <v>4999.99</v>
      </c>
      <c r="H139" s="1">
        <v>2784.99</v>
      </c>
      <c r="I139" s="1">
        <v>0.0</v>
      </c>
      <c r="J139" s="1">
        <v>11.9048</v>
      </c>
      <c r="K139" s="1">
        <v>11.9048</v>
      </c>
      <c r="L139" s="1">
        <v>2500.01</v>
      </c>
      <c r="M139" s="1">
        <v>1392.51</v>
      </c>
      <c r="N139" s="1">
        <v>4177.5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0" customHeight="1">
      <c r="A140" s="1">
        <v>7.0</v>
      </c>
      <c r="B140" s="1">
        <v>2037.0</v>
      </c>
      <c r="C140" s="1" t="s">
        <v>809</v>
      </c>
      <c r="D140" s="1">
        <v>0.0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0" customHeight="1">
      <c r="A141" s="1">
        <v>8.0</v>
      </c>
      <c r="B141" s="1">
        <v>2037.0</v>
      </c>
      <c r="C141" s="1" t="s">
        <v>810</v>
      </c>
      <c r="D141" s="1">
        <v>0.0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0" customHeight="1">
      <c r="A142" s="1">
        <v>9.0</v>
      </c>
      <c r="B142" s="1">
        <v>2037.0</v>
      </c>
      <c r="C142" s="1" t="s">
        <v>811</v>
      </c>
      <c r="D142" s="1">
        <v>0.0</v>
      </c>
      <c r="E142" s="1">
        <v>23.8095</v>
      </c>
      <c r="F142" s="1">
        <v>23.8095</v>
      </c>
      <c r="G142" s="1">
        <v>4999.99</v>
      </c>
      <c r="H142" s="1">
        <v>2784.99</v>
      </c>
      <c r="I142" s="1">
        <v>0.0</v>
      </c>
      <c r="J142" s="1">
        <v>11.9048</v>
      </c>
      <c r="K142" s="1">
        <v>11.9048</v>
      </c>
      <c r="L142" s="1">
        <v>2500.01</v>
      </c>
      <c r="M142" s="1">
        <v>1392.51</v>
      </c>
      <c r="N142" s="1">
        <v>4177.5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0" customHeight="1">
      <c r="A143" s="1">
        <v>10.0</v>
      </c>
      <c r="B143" s="1">
        <v>2037.0</v>
      </c>
      <c r="C143" s="1" t="s">
        <v>812</v>
      </c>
      <c r="D143" s="1">
        <v>0.0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0" customHeight="1">
      <c r="A144" s="1">
        <v>11.0</v>
      </c>
      <c r="B144" s="1">
        <v>2037.0</v>
      </c>
      <c r="C144" s="1" t="s">
        <v>813</v>
      </c>
      <c r="D144" s="1">
        <v>0.0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0" customHeight="1">
      <c r="A145" s="1">
        <v>12.0</v>
      </c>
      <c r="B145" s="1">
        <v>2037.0</v>
      </c>
      <c r="C145" s="1" t="s">
        <v>814</v>
      </c>
      <c r="D145" s="1">
        <v>0.0</v>
      </c>
      <c r="E145" s="1">
        <v>23.8095</v>
      </c>
      <c r="F145" s="1">
        <v>23.8095</v>
      </c>
      <c r="G145" s="1">
        <v>4999.99</v>
      </c>
      <c r="H145" s="1">
        <v>2784.99</v>
      </c>
      <c r="I145" s="1">
        <v>0.0</v>
      </c>
      <c r="J145" s="1">
        <v>11.9048</v>
      </c>
      <c r="K145" s="1">
        <v>11.9048</v>
      </c>
      <c r="L145" s="1">
        <v>2500.01</v>
      </c>
      <c r="M145" s="1">
        <v>1392.51</v>
      </c>
      <c r="N145" s="1">
        <v>4177.5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0" customHeight="1">
      <c r="A146" s="1">
        <v>1.0</v>
      </c>
      <c r="B146" s="1">
        <v>2038.0</v>
      </c>
      <c r="C146" s="1" t="s">
        <v>815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0" customHeight="1">
      <c r="A147" s="1">
        <v>2.0</v>
      </c>
      <c r="B147" s="1">
        <v>2038.0</v>
      </c>
      <c r="C147" s="1" t="s">
        <v>816</v>
      </c>
      <c r="D147" s="1">
        <v>0.0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0" customHeight="1">
      <c r="A148" s="1">
        <v>3.0</v>
      </c>
      <c r="B148" s="1">
        <v>2038.0</v>
      </c>
      <c r="C148" s="1" t="s">
        <v>817</v>
      </c>
      <c r="D148" s="1">
        <v>0.0</v>
      </c>
      <c r="E148" s="1">
        <v>23.8095</v>
      </c>
      <c r="F148" s="1">
        <v>23.8095</v>
      </c>
      <c r="G148" s="1">
        <v>4999.99</v>
      </c>
      <c r="H148" s="1">
        <v>2784.99</v>
      </c>
      <c r="I148" s="1">
        <v>0.0</v>
      </c>
      <c r="J148" s="1">
        <v>11.9048</v>
      </c>
      <c r="K148" s="1">
        <v>11.9048</v>
      </c>
      <c r="L148" s="1">
        <v>2500.01</v>
      </c>
      <c r="M148" s="1">
        <v>1392.51</v>
      </c>
      <c r="N148" s="1">
        <v>4177.5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0" customHeight="1">
      <c r="A149" s="1">
        <v>4.0</v>
      </c>
      <c r="B149" s="1">
        <v>2038.0</v>
      </c>
      <c r="C149" s="1" t="s">
        <v>818</v>
      </c>
      <c r="D149" s="1">
        <v>0.0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0" customHeight="1">
      <c r="A150" s="1">
        <v>5.0</v>
      </c>
      <c r="B150" s="1">
        <v>2038.0</v>
      </c>
      <c r="C150" s="1" t="s">
        <v>819</v>
      </c>
      <c r="D150" s="1">
        <v>0.0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0" customHeight="1">
      <c r="A151" s="1">
        <v>6.0</v>
      </c>
      <c r="B151" s="1">
        <v>2038.0</v>
      </c>
      <c r="C151" s="1" t="s">
        <v>820</v>
      </c>
      <c r="D151" s="1">
        <v>0.0</v>
      </c>
      <c r="E151" s="1">
        <v>23.8095</v>
      </c>
      <c r="F151" s="1">
        <v>23.8095</v>
      </c>
      <c r="G151" s="1">
        <v>4999.99</v>
      </c>
      <c r="H151" s="1">
        <v>2784.99</v>
      </c>
      <c r="I151" s="1">
        <v>0.0</v>
      </c>
      <c r="J151" s="1">
        <v>11.9048</v>
      </c>
      <c r="K151" s="1">
        <v>11.9048</v>
      </c>
      <c r="L151" s="1">
        <v>2500.01</v>
      </c>
      <c r="M151" s="1">
        <v>1392.51</v>
      </c>
      <c r="N151" s="1">
        <v>4177.5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0" customHeight="1">
      <c r="A152" s="1">
        <v>7.0</v>
      </c>
      <c r="B152" s="1">
        <v>2038.0</v>
      </c>
      <c r="C152" s="1" t="s">
        <v>821</v>
      </c>
      <c r="D152" s="1">
        <v>0.0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0" customHeight="1">
      <c r="A153" s="1">
        <v>8.0</v>
      </c>
      <c r="B153" s="1">
        <v>2038.0</v>
      </c>
      <c r="C153" s="1" t="s">
        <v>822</v>
      </c>
      <c r="D153" s="1">
        <v>0.0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0" customHeight="1">
      <c r="A154" s="1">
        <v>9.0</v>
      </c>
      <c r="B154" s="1">
        <v>2038.0</v>
      </c>
      <c r="C154" s="1" t="s">
        <v>823</v>
      </c>
      <c r="D154" s="1">
        <v>0.0</v>
      </c>
      <c r="E154" s="1">
        <v>23.8095</v>
      </c>
      <c r="F154" s="1">
        <v>23.8095</v>
      </c>
      <c r="G154" s="1">
        <v>4999.99</v>
      </c>
      <c r="H154" s="1">
        <v>2784.99</v>
      </c>
      <c r="I154" s="1">
        <v>0.0</v>
      </c>
      <c r="J154" s="1">
        <v>11.9048</v>
      </c>
      <c r="K154" s="1">
        <v>11.9048</v>
      </c>
      <c r="L154" s="1">
        <v>2500.01</v>
      </c>
      <c r="M154" s="1">
        <v>1392.51</v>
      </c>
      <c r="N154" s="1">
        <v>4177.5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0" customHeight="1">
      <c r="A155" s="1">
        <v>10.0</v>
      </c>
      <c r="B155" s="1">
        <v>2038.0</v>
      </c>
      <c r="C155" s="1" t="s">
        <v>824</v>
      </c>
      <c r="D155" s="1">
        <v>0.0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0" customHeight="1">
      <c r="A156" s="1">
        <v>11.0</v>
      </c>
      <c r="B156" s="1">
        <v>2038.0</v>
      </c>
      <c r="C156" s="1" t="s">
        <v>825</v>
      </c>
      <c r="D156" s="1">
        <v>0.0</v>
      </c>
      <c r="E156" s="1">
        <v>0.0</v>
      </c>
      <c r="F156" s="1">
        <v>0.0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0.0</v>
      </c>
      <c r="N156" s="1">
        <v>0.0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0" customHeight="1">
      <c r="A157" s="1">
        <v>12.0</v>
      </c>
      <c r="B157" s="1">
        <v>2038.0</v>
      </c>
      <c r="C157" s="1" t="s">
        <v>826</v>
      </c>
      <c r="D157" s="1">
        <v>0.0</v>
      </c>
      <c r="E157" s="1">
        <v>23.8095</v>
      </c>
      <c r="F157" s="1">
        <v>23.8095</v>
      </c>
      <c r="G157" s="1">
        <v>4999.99</v>
      </c>
      <c r="H157" s="1">
        <v>2784.99</v>
      </c>
      <c r="I157" s="1">
        <v>0.0</v>
      </c>
      <c r="J157" s="1">
        <v>11.9048</v>
      </c>
      <c r="K157" s="1">
        <v>11.9048</v>
      </c>
      <c r="L157" s="1">
        <v>2500.01</v>
      </c>
      <c r="M157" s="1">
        <v>1392.51</v>
      </c>
      <c r="N157" s="1">
        <v>4177.5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0" customHeight="1">
      <c r="A158" s="1">
        <v>1.0</v>
      </c>
      <c r="B158" s="1">
        <v>2039.0</v>
      </c>
      <c r="C158" s="1" t="s">
        <v>827</v>
      </c>
      <c r="D158" s="1">
        <v>0.0</v>
      </c>
      <c r="E158" s="1">
        <v>0.0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0" customHeight="1">
      <c r="A159" s="1">
        <v>2.0</v>
      </c>
      <c r="B159" s="1">
        <v>2039.0</v>
      </c>
      <c r="C159" s="1" t="s">
        <v>828</v>
      </c>
      <c r="D159" s="1">
        <v>0.0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0" customHeight="1">
      <c r="A160" s="1">
        <v>3.0</v>
      </c>
      <c r="B160" s="1">
        <v>2039.0</v>
      </c>
      <c r="C160" s="1" t="s">
        <v>829</v>
      </c>
      <c r="D160" s="1">
        <v>0.0</v>
      </c>
      <c r="E160" s="1">
        <v>23.8095</v>
      </c>
      <c r="F160" s="1">
        <v>23.8095</v>
      </c>
      <c r="G160" s="1">
        <v>4999.99</v>
      </c>
      <c r="H160" s="1">
        <v>2784.99</v>
      </c>
      <c r="I160" s="1">
        <v>0.0</v>
      </c>
      <c r="J160" s="1">
        <v>11.9048</v>
      </c>
      <c r="K160" s="1">
        <v>11.9048</v>
      </c>
      <c r="L160" s="1">
        <v>2500.01</v>
      </c>
      <c r="M160" s="1">
        <v>1392.51</v>
      </c>
      <c r="N160" s="1">
        <v>4177.5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0" customHeight="1">
      <c r="A161" s="1">
        <v>4.0</v>
      </c>
      <c r="B161" s="1">
        <v>2039.0</v>
      </c>
      <c r="C161" s="1" t="s">
        <v>830</v>
      </c>
      <c r="D161" s="1">
        <v>0.0</v>
      </c>
      <c r="E161" s="1">
        <v>0.0</v>
      </c>
      <c r="F161" s="1">
        <v>0.0</v>
      </c>
      <c r="G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0" customHeight="1">
      <c r="A162" s="1">
        <v>5.0</v>
      </c>
      <c r="B162" s="1">
        <v>2039.0</v>
      </c>
      <c r="C162" s="1" t="s">
        <v>831</v>
      </c>
      <c r="D162" s="1">
        <v>0.0</v>
      </c>
      <c r="E162" s="1">
        <v>0.0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0.0</v>
      </c>
      <c r="N162" s="1">
        <v>0.0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0" customHeight="1">
      <c r="A163" s="1">
        <v>6.0</v>
      </c>
      <c r="B163" s="1">
        <v>2039.0</v>
      </c>
      <c r="C163" s="1" t="s">
        <v>832</v>
      </c>
      <c r="D163" s="1">
        <v>0.0</v>
      </c>
      <c r="E163" s="1">
        <v>23.8095</v>
      </c>
      <c r="F163" s="1">
        <v>23.8095</v>
      </c>
      <c r="G163" s="1">
        <v>4999.99</v>
      </c>
      <c r="H163" s="1">
        <v>2784.99</v>
      </c>
      <c r="I163" s="1">
        <v>0.0</v>
      </c>
      <c r="J163" s="1">
        <v>11.9048</v>
      </c>
      <c r="K163" s="1">
        <v>11.9048</v>
      </c>
      <c r="L163" s="1">
        <v>2500.01</v>
      </c>
      <c r="M163" s="1">
        <v>1392.51</v>
      </c>
      <c r="N163" s="1">
        <v>4177.5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0" customHeight="1">
      <c r="A164" s="1">
        <v>7.0</v>
      </c>
      <c r="B164" s="1">
        <v>2039.0</v>
      </c>
      <c r="C164" s="1" t="s">
        <v>833</v>
      </c>
      <c r="D164" s="1">
        <v>0.0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0" customHeight="1">
      <c r="A165" s="1">
        <v>8.0</v>
      </c>
      <c r="B165" s="1">
        <v>2039.0</v>
      </c>
      <c r="C165" s="1" t="s">
        <v>834</v>
      </c>
      <c r="D165" s="1">
        <v>0.0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0.0</v>
      </c>
      <c r="N165" s="1">
        <v>0.0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0" customHeight="1">
      <c r="A166" s="1">
        <v>9.0</v>
      </c>
      <c r="B166" s="1">
        <v>2039.0</v>
      </c>
      <c r="C166" s="1" t="s">
        <v>835</v>
      </c>
      <c r="D166" s="1">
        <v>0.0</v>
      </c>
      <c r="E166" s="1">
        <v>23.8095</v>
      </c>
      <c r="F166" s="1">
        <v>23.8095</v>
      </c>
      <c r="G166" s="1">
        <v>4999.99</v>
      </c>
      <c r="H166" s="1">
        <v>2784.99</v>
      </c>
      <c r="I166" s="1">
        <v>0.0</v>
      </c>
      <c r="J166" s="1">
        <v>11.9048</v>
      </c>
      <c r="K166" s="1">
        <v>11.9048</v>
      </c>
      <c r="L166" s="1">
        <v>2500.01</v>
      </c>
      <c r="M166" s="1">
        <v>1392.51</v>
      </c>
      <c r="N166" s="1">
        <v>4177.5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0" customHeight="1">
      <c r="A167" s="1">
        <v>10.0</v>
      </c>
      <c r="B167" s="1">
        <v>2039.0</v>
      </c>
      <c r="C167" s="1" t="s">
        <v>836</v>
      </c>
      <c r="D167" s="1">
        <v>0.0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0" customHeight="1">
      <c r="A168" s="1">
        <v>11.0</v>
      </c>
      <c r="B168" s="1">
        <v>2039.0</v>
      </c>
      <c r="C168" s="1" t="s">
        <v>837</v>
      </c>
      <c r="D168" s="1">
        <v>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0" customHeight="1">
      <c r="A169" s="1">
        <v>12.0</v>
      </c>
      <c r="B169" s="1">
        <v>2039.0</v>
      </c>
      <c r="C169" s="1" t="s">
        <v>838</v>
      </c>
      <c r="D169" s="1">
        <v>0.0</v>
      </c>
      <c r="E169" s="1">
        <v>23.8095</v>
      </c>
      <c r="F169" s="1">
        <v>23.8095</v>
      </c>
      <c r="G169" s="1">
        <v>4999.99</v>
      </c>
      <c r="H169" s="1">
        <v>2784.99</v>
      </c>
      <c r="I169" s="1">
        <v>0.0</v>
      </c>
      <c r="J169" s="1">
        <v>11.9048</v>
      </c>
      <c r="K169" s="1">
        <v>11.9048</v>
      </c>
      <c r="L169" s="1">
        <v>2500.01</v>
      </c>
      <c r="M169" s="1">
        <v>1392.51</v>
      </c>
      <c r="N169" s="1">
        <v>4177.5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0" customHeight="1">
      <c r="A170" s="1">
        <v>1.0</v>
      </c>
      <c r="B170" s="1">
        <v>2040.0</v>
      </c>
      <c r="C170" s="1" t="s">
        <v>839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0" customHeight="1">
      <c r="A171" s="1">
        <v>2.0</v>
      </c>
      <c r="B171" s="1">
        <v>2040.0</v>
      </c>
      <c r="C171" s="1" t="s">
        <v>840</v>
      </c>
      <c r="D171" s="1">
        <v>0.0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0" customHeight="1">
      <c r="A172" s="1">
        <v>3.0</v>
      </c>
      <c r="B172" s="1">
        <v>2040.0</v>
      </c>
      <c r="C172" s="1" t="s">
        <v>841</v>
      </c>
      <c r="D172" s="1">
        <v>0.0</v>
      </c>
      <c r="E172" s="1">
        <v>23.8095</v>
      </c>
      <c r="F172" s="1">
        <v>23.8095</v>
      </c>
      <c r="G172" s="1">
        <v>4999.99</v>
      </c>
      <c r="H172" s="1">
        <v>2784.99</v>
      </c>
      <c r="I172" s="1">
        <v>0.0</v>
      </c>
      <c r="J172" s="1">
        <v>11.9048</v>
      </c>
      <c r="K172" s="1">
        <v>11.9048</v>
      </c>
      <c r="L172" s="1">
        <v>2500.01</v>
      </c>
      <c r="M172" s="1">
        <v>1392.51</v>
      </c>
      <c r="N172" s="1">
        <v>4177.5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0" customHeight="1">
      <c r="A173" s="1">
        <v>4.0</v>
      </c>
      <c r="B173" s="1">
        <v>2040.0</v>
      </c>
      <c r="C173" s="1" t="s">
        <v>842</v>
      </c>
      <c r="D173" s="1">
        <v>0.0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0" customHeight="1">
      <c r="A174" s="1">
        <v>5.0</v>
      </c>
      <c r="B174" s="1">
        <v>2040.0</v>
      </c>
      <c r="C174" s="1" t="s">
        <v>843</v>
      </c>
      <c r="D174" s="1">
        <v>0.0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0" customHeight="1">
      <c r="A175" s="1">
        <v>6.0</v>
      </c>
      <c r="B175" s="1">
        <v>2040.0</v>
      </c>
      <c r="C175" s="1" t="s">
        <v>844</v>
      </c>
      <c r="D175" s="1">
        <v>0.0</v>
      </c>
      <c r="E175" s="1">
        <v>23.8095</v>
      </c>
      <c r="F175" s="1">
        <v>23.8095</v>
      </c>
      <c r="G175" s="1">
        <v>4999.99</v>
      </c>
      <c r="H175" s="1">
        <v>2784.99</v>
      </c>
      <c r="I175" s="1">
        <v>0.0</v>
      </c>
      <c r="J175" s="1">
        <v>11.9048</v>
      </c>
      <c r="K175" s="1">
        <v>11.9048</v>
      </c>
      <c r="L175" s="1">
        <v>2500.01</v>
      </c>
      <c r="M175" s="1">
        <v>1392.51</v>
      </c>
      <c r="N175" s="1">
        <v>4177.5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0" customHeight="1">
      <c r="A176" s="1">
        <v>7.0</v>
      </c>
      <c r="B176" s="1">
        <v>2040.0</v>
      </c>
      <c r="C176" s="1" t="s">
        <v>845</v>
      </c>
      <c r="D176" s="1">
        <v>0.0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0" customHeight="1">
      <c r="A177" s="1">
        <v>8.0</v>
      </c>
      <c r="B177" s="1">
        <v>2040.0</v>
      </c>
      <c r="C177" s="1" t="s">
        <v>846</v>
      </c>
      <c r="D177" s="1">
        <v>0.0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0" customHeight="1">
      <c r="A178" s="1">
        <v>9.0</v>
      </c>
      <c r="B178" s="1">
        <v>2040.0</v>
      </c>
      <c r="C178" s="1" t="s">
        <v>847</v>
      </c>
      <c r="D178" s="1">
        <v>0.0</v>
      </c>
      <c r="E178" s="1">
        <v>23.8095</v>
      </c>
      <c r="F178" s="1">
        <v>23.8095</v>
      </c>
      <c r="G178" s="1">
        <v>4999.99</v>
      </c>
      <c r="H178" s="1">
        <v>2784.99</v>
      </c>
      <c r="I178" s="1">
        <v>0.0</v>
      </c>
      <c r="J178" s="1">
        <v>11.9048</v>
      </c>
      <c r="K178" s="1">
        <v>11.9048</v>
      </c>
      <c r="L178" s="1">
        <v>2500.01</v>
      </c>
      <c r="M178" s="1">
        <v>1392.51</v>
      </c>
      <c r="N178" s="1">
        <v>4177.5</v>
      </c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0" customHeight="1">
      <c r="A179" s="1">
        <v>10.0</v>
      </c>
      <c r="B179" s="1">
        <v>2040.0</v>
      </c>
      <c r="C179" s="1" t="s">
        <v>848</v>
      </c>
      <c r="D179" s="1">
        <v>0.0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0" customHeight="1">
      <c r="A180" s="1">
        <v>11.0</v>
      </c>
      <c r="B180" s="1">
        <v>2040.0</v>
      </c>
      <c r="C180" s="1" t="s">
        <v>849</v>
      </c>
      <c r="D180" s="1">
        <v>0.0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0" customHeight="1">
      <c r="A181" s="1">
        <v>12.0</v>
      </c>
      <c r="B181" s="1">
        <v>2040.0</v>
      </c>
      <c r="C181" s="1" t="s">
        <v>850</v>
      </c>
      <c r="D181" s="1">
        <v>0.0</v>
      </c>
      <c r="E181" s="1">
        <v>23.8095</v>
      </c>
      <c r="F181" s="1">
        <v>23.8095</v>
      </c>
      <c r="G181" s="1">
        <v>4999.99</v>
      </c>
      <c r="H181" s="1">
        <v>2784.99</v>
      </c>
      <c r="I181" s="1">
        <v>0.0</v>
      </c>
      <c r="J181" s="1">
        <v>11.9048</v>
      </c>
      <c r="K181" s="1">
        <v>11.9048</v>
      </c>
      <c r="L181" s="1">
        <v>2500.01</v>
      </c>
      <c r="M181" s="1">
        <v>1392.51</v>
      </c>
      <c r="N181" s="1">
        <v>4177.5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0" customHeight="1">
      <c r="A182" s="1">
        <v>1.0</v>
      </c>
      <c r="B182" s="1">
        <v>2041.0</v>
      </c>
      <c r="C182" s="1" t="s">
        <v>851</v>
      </c>
      <c r="D182" s="1">
        <v>0.0</v>
      </c>
      <c r="E182" s="1">
        <v>0.0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0" customHeight="1">
      <c r="A183" s="1">
        <v>2.0</v>
      </c>
      <c r="B183" s="1">
        <v>2041.0</v>
      </c>
      <c r="C183" s="1" t="s">
        <v>852</v>
      </c>
      <c r="D183" s="1">
        <v>0.0</v>
      </c>
      <c r="E183" s="1">
        <v>0.0</v>
      </c>
      <c r="F183" s="1">
        <v>0.0</v>
      </c>
      <c r="G183" s="1">
        <v>0.0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0" customHeight="1">
      <c r="A184" s="1">
        <v>3.0</v>
      </c>
      <c r="B184" s="1">
        <v>2041.0</v>
      </c>
      <c r="C184" s="1" t="s">
        <v>853</v>
      </c>
      <c r="D184" s="1">
        <v>0.0</v>
      </c>
      <c r="E184" s="1">
        <v>23.8095</v>
      </c>
      <c r="F184" s="1">
        <v>23.8095</v>
      </c>
      <c r="G184" s="1">
        <v>4999.99</v>
      </c>
      <c r="H184" s="1">
        <v>2784.99</v>
      </c>
      <c r="I184" s="1">
        <v>0.0</v>
      </c>
      <c r="J184" s="1">
        <v>11.9048</v>
      </c>
      <c r="K184" s="1">
        <v>11.9048</v>
      </c>
      <c r="L184" s="1">
        <v>2500.01</v>
      </c>
      <c r="M184" s="1">
        <v>1392.51</v>
      </c>
      <c r="N184" s="1">
        <v>4177.5</v>
      </c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0" customHeight="1">
      <c r="A185" s="1">
        <v>4.0</v>
      </c>
      <c r="B185" s="1">
        <v>2041.0</v>
      </c>
      <c r="C185" s="1" t="s">
        <v>854</v>
      </c>
      <c r="D185" s="1">
        <v>0.0</v>
      </c>
      <c r="E185" s="1">
        <v>0.0</v>
      </c>
      <c r="F185" s="1">
        <v>0.0</v>
      </c>
      <c r="G185" s="1">
        <v>0.0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0" customHeight="1">
      <c r="A186" s="1">
        <v>5.0</v>
      </c>
      <c r="B186" s="1">
        <v>2041.0</v>
      </c>
      <c r="C186" s="1" t="s">
        <v>855</v>
      </c>
      <c r="D186" s="1">
        <v>0.0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0" customHeight="1">
      <c r="A187" s="1">
        <v>6.0</v>
      </c>
      <c r="B187" s="1">
        <v>2041.0</v>
      </c>
      <c r="C187" s="1" t="s">
        <v>856</v>
      </c>
      <c r="D187" s="1">
        <v>0.0</v>
      </c>
      <c r="E187" s="1">
        <v>23.8095</v>
      </c>
      <c r="F187" s="1">
        <v>23.8095</v>
      </c>
      <c r="G187" s="1">
        <v>4999.99</v>
      </c>
      <c r="H187" s="1">
        <v>2784.99</v>
      </c>
      <c r="I187" s="1">
        <v>0.0</v>
      </c>
      <c r="J187" s="1">
        <v>11.9048</v>
      </c>
      <c r="K187" s="1">
        <v>11.9048</v>
      </c>
      <c r="L187" s="1">
        <v>2500.01</v>
      </c>
      <c r="M187" s="1">
        <v>1392.51</v>
      </c>
      <c r="N187" s="1">
        <v>4177.5</v>
      </c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0" customHeight="1">
      <c r="A188" s="1">
        <v>7.0</v>
      </c>
      <c r="B188" s="1">
        <v>2041.0</v>
      </c>
      <c r="C188" s="1" t="s">
        <v>857</v>
      </c>
      <c r="D188" s="1">
        <v>0.0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0.0</v>
      </c>
      <c r="N188" s="1">
        <v>0.0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0" customHeight="1">
      <c r="A189" s="1">
        <v>8.0</v>
      </c>
      <c r="B189" s="1">
        <v>2041.0</v>
      </c>
      <c r="C189" s="1" t="s">
        <v>858</v>
      </c>
      <c r="D189" s="1">
        <v>0.0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0" customHeight="1">
      <c r="A190" s="1">
        <v>9.0</v>
      </c>
      <c r="B190" s="1">
        <v>2041.0</v>
      </c>
      <c r="C190" s="1" t="s">
        <v>859</v>
      </c>
      <c r="D190" s="1">
        <v>0.0</v>
      </c>
      <c r="E190" s="1">
        <v>23.8095</v>
      </c>
      <c r="F190" s="1">
        <v>23.8095</v>
      </c>
      <c r="G190" s="1">
        <v>4999.99</v>
      </c>
      <c r="H190" s="1">
        <v>2784.99</v>
      </c>
      <c r="I190" s="1">
        <v>0.0</v>
      </c>
      <c r="J190" s="1">
        <v>11.9048</v>
      </c>
      <c r="K190" s="1">
        <v>11.9048</v>
      </c>
      <c r="L190" s="1">
        <v>2500.01</v>
      </c>
      <c r="M190" s="1">
        <v>1392.51</v>
      </c>
      <c r="N190" s="1">
        <v>4177.5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0" customHeight="1">
      <c r="A191" s="1">
        <v>10.0</v>
      </c>
      <c r="B191" s="1">
        <v>2041.0</v>
      </c>
      <c r="C191" s="1" t="s">
        <v>860</v>
      </c>
      <c r="D191" s="1">
        <v>0.0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0" customHeight="1">
      <c r="A192" s="1">
        <v>11.0</v>
      </c>
      <c r="B192" s="1">
        <v>2041.0</v>
      </c>
      <c r="C192" s="1" t="s">
        <v>861</v>
      </c>
      <c r="D192" s="1">
        <v>0.0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0.0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0" customHeight="1">
      <c r="A193" s="1">
        <v>12.0</v>
      </c>
      <c r="B193" s="1">
        <v>2041.0</v>
      </c>
      <c r="C193" s="1" t="s">
        <v>862</v>
      </c>
      <c r="D193" s="1">
        <v>0.0</v>
      </c>
      <c r="E193" s="1">
        <v>23.8095</v>
      </c>
      <c r="F193" s="1">
        <v>23.8095</v>
      </c>
      <c r="G193" s="1">
        <v>4999.99</v>
      </c>
      <c r="H193" s="1">
        <v>2784.99</v>
      </c>
      <c r="I193" s="1">
        <v>0.0</v>
      </c>
      <c r="J193" s="1">
        <v>11.9048</v>
      </c>
      <c r="K193" s="1">
        <v>11.9048</v>
      </c>
      <c r="L193" s="1">
        <v>2500.01</v>
      </c>
      <c r="M193" s="1">
        <v>1392.51</v>
      </c>
      <c r="N193" s="1">
        <v>4177.5</v>
      </c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0" customHeight="1">
      <c r="A194" s="1">
        <v>1.0</v>
      </c>
      <c r="B194" s="1">
        <v>2042.0</v>
      </c>
      <c r="C194" s="1" t="s">
        <v>863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0" customHeight="1">
      <c r="A195" s="1">
        <v>2.0</v>
      </c>
      <c r="B195" s="1">
        <v>2042.0</v>
      </c>
      <c r="C195" s="1" t="s">
        <v>864</v>
      </c>
      <c r="D195" s="1">
        <v>0.0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0.0</v>
      </c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0" customHeight="1">
      <c r="A196" s="1">
        <v>3.0</v>
      </c>
      <c r="B196" s="1">
        <v>2042.0</v>
      </c>
      <c r="C196" s="1" t="s">
        <v>865</v>
      </c>
      <c r="D196" s="1">
        <v>0.0</v>
      </c>
      <c r="E196" s="1">
        <v>23.8095</v>
      </c>
      <c r="F196" s="1">
        <v>23.8095</v>
      </c>
      <c r="G196" s="1">
        <v>4999.99</v>
      </c>
      <c r="H196" s="1">
        <v>2784.99</v>
      </c>
      <c r="I196" s="1">
        <v>0.0</v>
      </c>
      <c r="J196" s="1">
        <v>11.9048</v>
      </c>
      <c r="K196" s="1">
        <v>11.9048</v>
      </c>
      <c r="L196" s="1">
        <v>2500.01</v>
      </c>
      <c r="M196" s="1">
        <v>1392.51</v>
      </c>
      <c r="N196" s="1">
        <v>4177.5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0" customHeight="1">
      <c r="A197" s="1">
        <v>4.0</v>
      </c>
      <c r="B197" s="1">
        <v>2042.0</v>
      </c>
      <c r="C197" s="1" t="s">
        <v>866</v>
      </c>
      <c r="D197" s="1">
        <v>0.0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0" customHeight="1">
      <c r="A198" s="1">
        <v>5.0</v>
      </c>
      <c r="B198" s="1">
        <v>2042.0</v>
      </c>
      <c r="C198" s="1" t="s">
        <v>867</v>
      </c>
      <c r="D198" s="1">
        <v>0.0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0.0</v>
      </c>
      <c r="N198" s="1">
        <v>0.0</v>
      </c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0" customHeight="1">
      <c r="A199" s="1">
        <v>6.0</v>
      </c>
      <c r="B199" s="1">
        <v>2042.0</v>
      </c>
      <c r="C199" s="1" t="s">
        <v>868</v>
      </c>
      <c r="D199" s="1">
        <v>0.0</v>
      </c>
      <c r="E199" s="1">
        <v>23.8095</v>
      </c>
      <c r="F199" s="1">
        <v>23.8095</v>
      </c>
      <c r="G199" s="1">
        <v>4999.99</v>
      </c>
      <c r="H199" s="1">
        <v>2784.99</v>
      </c>
      <c r="I199" s="1">
        <v>0.0</v>
      </c>
      <c r="J199" s="1">
        <v>11.9048</v>
      </c>
      <c r="K199" s="1">
        <v>11.9048</v>
      </c>
      <c r="L199" s="1">
        <v>2500.01</v>
      </c>
      <c r="M199" s="1">
        <v>1392.51</v>
      </c>
      <c r="N199" s="1">
        <v>4177.5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0" customHeight="1">
      <c r="A200" s="1">
        <v>7.0</v>
      </c>
      <c r="B200" s="1">
        <v>2042.0</v>
      </c>
      <c r="C200" s="1" t="s">
        <v>869</v>
      </c>
      <c r="D200" s="1">
        <v>0.0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0" customHeight="1">
      <c r="A201" s="1">
        <v>8.0</v>
      </c>
      <c r="B201" s="1">
        <v>2042.0</v>
      </c>
      <c r="C201" s="1" t="s">
        <v>870</v>
      </c>
      <c r="D201" s="1">
        <v>0.0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1">
        <v>0.0</v>
      </c>
      <c r="N201" s="1">
        <v>0.0</v>
      </c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0" customHeight="1">
      <c r="A202" s="1">
        <v>9.0</v>
      </c>
      <c r="B202" s="1">
        <v>2042.0</v>
      </c>
      <c r="C202" s="1" t="s">
        <v>871</v>
      </c>
      <c r="D202" s="1">
        <v>0.0</v>
      </c>
      <c r="E202" s="1">
        <v>23.8095</v>
      </c>
      <c r="F202" s="1">
        <v>23.8095</v>
      </c>
      <c r="G202" s="1">
        <v>4999.99</v>
      </c>
      <c r="H202" s="1">
        <v>2784.99</v>
      </c>
      <c r="I202" s="1">
        <v>0.0</v>
      </c>
      <c r="J202" s="1">
        <v>11.9048</v>
      </c>
      <c r="K202" s="1">
        <v>11.9048</v>
      </c>
      <c r="L202" s="1">
        <v>2500.01</v>
      </c>
      <c r="M202" s="1">
        <v>1392.51</v>
      </c>
      <c r="N202" s="1">
        <v>4177.5</v>
      </c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0" customHeight="1">
      <c r="A203" s="1">
        <v>10.0</v>
      </c>
      <c r="B203" s="1">
        <v>2042.0</v>
      </c>
      <c r="C203" s="1" t="s">
        <v>872</v>
      </c>
      <c r="D203" s="1">
        <v>0.0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0.0</v>
      </c>
      <c r="N203" s="1">
        <v>0.0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0" customHeight="1">
      <c r="A204" s="1">
        <v>11.0</v>
      </c>
      <c r="B204" s="1">
        <v>2042.0</v>
      </c>
      <c r="C204" s="1" t="s">
        <v>873</v>
      </c>
      <c r="D204" s="1">
        <v>0.0</v>
      </c>
      <c r="E204" s="1">
        <v>0.0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0" customHeight="1">
      <c r="A205" s="1">
        <v>12.0</v>
      </c>
      <c r="B205" s="1">
        <v>2042.0</v>
      </c>
      <c r="C205" s="1" t="s">
        <v>874</v>
      </c>
      <c r="D205" s="1">
        <v>0.0</v>
      </c>
      <c r="E205" s="1">
        <v>23.8095</v>
      </c>
      <c r="F205" s="1">
        <v>23.8095</v>
      </c>
      <c r="G205" s="1">
        <v>4999.99</v>
      </c>
      <c r="H205" s="1">
        <v>2784.99</v>
      </c>
      <c r="I205" s="1">
        <v>0.0</v>
      </c>
      <c r="J205" s="1">
        <v>11.9048</v>
      </c>
      <c r="K205" s="1">
        <v>11.9048</v>
      </c>
      <c r="L205" s="1">
        <v>2500.01</v>
      </c>
      <c r="M205" s="1">
        <v>1392.51</v>
      </c>
      <c r="N205" s="1">
        <v>4177.5</v>
      </c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6.0"/>
  </cols>
  <sheetData>
    <row r="1" ht="15.0" customHeight="1">
      <c r="A1" s="27" t="s">
        <v>659</v>
      </c>
      <c r="B1" s="27" t="s">
        <v>658</v>
      </c>
      <c r="C1" s="1" t="s">
        <v>875</v>
      </c>
      <c r="D1" s="1" t="s">
        <v>876</v>
      </c>
      <c r="E1" s="27" t="s">
        <v>877</v>
      </c>
      <c r="F1" s="27" t="s">
        <v>878</v>
      </c>
      <c r="G1" s="27" t="s">
        <v>879</v>
      </c>
      <c r="H1" s="27" t="s">
        <v>880</v>
      </c>
      <c r="I1" s="27" t="s">
        <v>117</v>
      </c>
    </row>
    <row r="2" ht="15.0" customHeight="1">
      <c r="A2" s="1">
        <v>2026.0</v>
      </c>
      <c r="B2" s="1">
        <v>1.0</v>
      </c>
      <c r="C2" s="1">
        <v>0.0</v>
      </c>
      <c r="D2" s="1">
        <v>0.0</v>
      </c>
      <c r="E2" s="1">
        <f t="shared" ref="E2:E13" si="1">7366.42*(1+C2)</f>
        <v>7366.42</v>
      </c>
      <c r="F2" s="1">
        <v>0.0</v>
      </c>
      <c r="G2" s="1">
        <f t="shared" ref="G2:G13" si="2">6195.67*(1+D2)</f>
        <v>6195.67</v>
      </c>
      <c r="H2" s="1">
        <v>0.0</v>
      </c>
      <c r="I2" s="1"/>
    </row>
    <row r="3" ht="15.0" customHeight="1">
      <c r="A3" s="1">
        <v>2026.0</v>
      </c>
      <c r="B3" s="1">
        <v>2.0</v>
      </c>
      <c r="C3" s="1">
        <v>0.0</v>
      </c>
      <c r="D3" s="1">
        <v>0.0</v>
      </c>
      <c r="E3" s="1">
        <f t="shared" si="1"/>
        <v>7366.42</v>
      </c>
      <c r="F3" s="1">
        <v>0.0</v>
      </c>
      <c r="G3" s="1">
        <f t="shared" si="2"/>
        <v>6195.67</v>
      </c>
      <c r="H3" s="1">
        <v>0.0</v>
      </c>
      <c r="I3" s="1"/>
    </row>
    <row r="4" ht="15.0" customHeight="1">
      <c r="A4" s="1">
        <v>2026.0</v>
      </c>
      <c r="B4" s="1">
        <v>3.0</v>
      </c>
      <c r="C4" s="1">
        <v>0.0</v>
      </c>
      <c r="D4" s="1">
        <v>0.0</v>
      </c>
      <c r="E4" s="1">
        <f t="shared" si="1"/>
        <v>7366.42</v>
      </c>
      <c r="F4" s="1">
        <v>0.0</v>
      </c>
      <c r="G4" s="1">
        <f t="shared" si="2"/>
        <v>6195.67</v>
      </c>
      <c r="H4" s="1">
        <v>0.0</v>
      </c>
      <c r="I4" s="1"/>
    </row>
    <row r="5" ht="15.0" customHeight="1">
      <c r="A5" s="1">
        <v>2026.0</v>
      </c>
      <c r="B5" s="1">
        <v>4.0</v>
      </c>
      <c r="C5" s="1">
        <v>0.0</v>
      </c>
      <c r="D5" s="1">
        <v>0.0</v>
      </c>
      <c r="E5" s="1">
        <f t="shared" si="1"/>
        <v>7366.42</v>
      </c>
      <c r="F5" s="1">
        <f>9821*(1+C5)</f>
        <v>9821</v>
      </c>
      <c r="G5" s="1">
        <f t="shared" si="2"/>
        <v>6195.67</v>
      </c>
      <c r="H5" s="1">
        <f>8261*(1+D5)</f>
        <v>8261</v>
      </c>
      <c r="I5" s="1"/>
    </row>
    <row r="6" ht="15.0" customHeight="1">
      <c r="A6" s="1">
        <v>2026.0</v>
      </c>
      <c r="B6" s="1">
        <v>5.0</v>
      </c>
      <c r="C6" s="1">
        <v>0.0</v>
      </c>
      <c r="D6" s="1">
        <v>0.0</v>
      </c>
      <c r="E6" s="1">
        <f t="shared" si="1"/>
        <v>7366.42</v>
      </c>
      <c r="F6" s="1">
        <v>0.0</v>
      </c>
      <c r="G6" s="1">
        <f t="shared" si="2"/>
        <v>6195.67</v>
      </c>
      <c r="H6" s="1">
        <v>0.0</v>
      </c>
      <c r="I6" s="1"/>
    </row>
    <row r="7" ht="15.0" customHeight="1">
      <c r="A7" s="1">
        <v>2026.0</v>
      </c>
      <c r="B7" s="1">
        <v>6.0</v>
      </c>
      <c r="C7" s="1">
        <v>0.0</v>
      </c>
      <c r="D7" s="1">
        <v>0.0</v>
      </c>
      <c r="E7" s="1">
        <f t="shared" si="1"/>
        <v>7366.42</v>
      </c>
      <c r="F7" s="1">
        <v>0.0</v>
      </c>
      <c r="G7" s="1">
        <f t="shared" si="2"/>
        <v>6195.67</v>
      </c>
      <c r="H7" s="1">
        <v>0.0</v>
      </c>
      <c r="I7" s="1"/>
    </row>
    <row r="8" ht="15.0" customHeight="1">
      <c r="A8" s="1">
        <v>2026.0</v>
      </c>
      <c r="B8" s="1">
        <v>7.0</v>
      </c>
      <c r="C8" s="1">
        <v>0.0</v>
      </c>
      <c r="D8" s="1">
        <v>0.0</v>
      </c>
      <c r="E8" s="1">
        <f t="shared" si="1"/>
        <v>7366.42</v>
      </c>
      <c r="F8" s="1">
        <v>0.0</v>
      </c>
      <c r="G8" s="1">
        <f t="shared" si="2"/>
        <v>6195.67</v>
      </c>
      <c r="H8" s="1">
        <v>0.0</v>
      </c>
      <c r="I8" s="1"/>
    </row>
    <row r="9" ht="15.0" customHeight="1">
      <c r="A9" s="1">
        <v>2026.0</v>
      </c>
      <c r="B9" s="1">
        <v>8.0</v>
      </c>
      <c r="C9" s="1">
        <v>0.0</v>
      </c>
      <c r="D9" s="1">
        <v>0.0</v>
      </c>
      <c r="E9" s="1">
        <f t="shared" si="1"/>
        <v>7366.42</v>
      </c>
      <c r="F9" s="1">
        <v>0.0</v>
      </c>
      <c r="G9" s="1">
        <f t="shared" si="2"/>
        <v>6195.67</v>
      </c>
      <c r="H9" s="1">
        <v>0.0</v>
      </c>
      <c r="I9" s="1"/>
    </row>
    <row r="10" ht="15.0" customHeight="1">
      <c r="A10" s="1">
        <v>2026.0</v>
      </c>
      <c r="B10" s="1">
        <v>9.0</v>
      </c>
      <c r="C10" s="1">
        <v>0.0</v>
      </c>
      <c r="D10" s="1">
        <v>0.0</v>
      </c>
      <c r="E10" s="1">
        <f t="shared" si="1"/>
        <v>7366.42</v>
      </c>
      <c r="F10" s="1">
        <v>0.0</v>
      </c>
      <c r="G10" s="1">
        <f t="shared" si="2"/>
        <v>6195.67</v>
      </c>
      <c r="H10" s="1">
        <v>0.0</v>
      </c>
      <c r="I10" s="1"/>
    </row>
    <row r="11" ht="15.0" customHeight="1">
      <c r="A11" s="1">
        <v>2026.0</v>
      </c>
      <c r="B11" s="1">
        <v>10.0</v>
      </c>
      <c r="C11" s="1">
        <v>0.0</v>
      </c>
      <c r="D11" s="1">
        <v>0.0</v>
      </c>
      <c r="E11" s="1">
        <f t="shared" si="1"/>
        <v>7366.42</v>
      </c>
      <c r="F11" s="1">
        <v>0.0</v>
      </c>
      <c r="G11" s="1">
        <f t="shared" si="2"/>
        <v>6195.67</v>
      </c>
      <c r="H11" s="1">
        <v>0.0</v>
      </c>
      <c r="I11" s="1"/>
    </row>
    <row r="12" ht="15.0" customHeight="1">
      <c r="A12" s="1">
        <v>2026.0</v>
      </c>
      <c r="B12" s="1">
        <v>11.0</v>
      </c>
      <c r="C12" s="1">
        <v>0.0</v>
      </c>
      <c r="D12" s="1">
        <v>0.0</v>
      </c>
      <c r="E12" s="1">
        <f t="shared" si="1"/>
        <v>7366.42</v>
      </c>
      <c r="F12" s="1">
        <v>0.0</v>
      </c>
      <c r="G12" s="1">
        <f t="shared" si="2"/>
        <v>6195.67</v>
      </c>
      <c r="H12" s="1">
        <v>0.0</v>
      </c>
      <c r="I12" s="1"/>
    </row>
    <row r="13" ht="15.0" customHeight="1">
      <c r="A13" s="1">
        <v>2026.0</v>
      </c>
      <c r="B13" s="1">
        <v>12.0</v>
      </c>
      <c r="C13" s="1">
        <v>0.0</v>
      </c>
      <c r="D13" s="1">
        <v>0.0</v>
      </c>
      <c r="E13" s="1">
        <f t="shared" si="1"/>
        <v>7366.42</v>
      </c>
      <c r="F13" s="1">
        <v>0.0</v>
      </c>
      <c r="G13" s="1">
        <f t="shared" si="2"/>
        <v>6195.67</v>
      </c>
      <c r="H13" s="1">
        <v>0.0</v>
      </c>
      <c r="I13" s="1"/>
    </row>
    <row r="14" ht="15.0" customHeight="1">
      <c r="A14" s="1">
        <v>2027.0</v>
      </c>
      <c r="B14" s="1">
        <v>1.0</v>
      </c>
      <c r="C14" s="1">
        <v>0.0</v>
      </c>
      <c r="D14" s="1">
        <v>0.0</v>
      </c>
      <c r="E14" s="1">
        <f t="shared" ref="E14:E25" si="3">7734.74*(1+C14)</f>
        <v>7734.74</v>
      </c>
      <c r="F14" s="1">
        <v>0.0</v>
      </c>
      <c r="G14" s="1">
        <f t="shared" ref="G14:G25" si="4">6412.51*(1+D14)</f>
        <v>6412.51</v>
      </c>
      <c r="H14" s="1">
        <v>0.0</v>
      </c>
      <c r="I14" s="1"/>
    </row>
    <row r="15" ht="15.0" customHeight="1">
      <c r="A15" s="1">
        <v>2027.0</v>
      </c>
      <c r="B15" s="1">
        <v>2.0</v>
      </c>
      <c r="C15" s="1">
        <v>0.0</v>
      </c>
      <c r="D15" s="1">
        <v>0.0</v>
      </c>
      <c r="E15" s="1">
        <f t="shared" si="3"/>
        <v>7734.74</v>
      </c>
      <c r="F15" s="1">
        <v>0.0</v>
      </c>
      <c r="G15" s="1">
        <f t="shared" si="4"/>
        <v>6412.51</v>
      </c>
      <c r="H15" s="1">
        <v>0.0</v>
      </c>
      <c r="I15" s="1"/>
    </row>
    <row r="16" ht="15.0" customHeight="1">
      <c r="A16" s="1">
        <v>2027.0</v>
      </c>
      <c r="B16" s="1">
        <v>3.0</v>
      </c>
      <c r="C16" s="1">
        <v>0.0</v>
      </c>
      <c r="D16" s="1">
        <v>0.0</v>
      </c>
      <c r="E16" s="1">
        <f t="shared" si="3"/>
        <v>7734.74</v>
      </c>
      <c r="F16" s="1">
        <v>0.0</v>
      </c>
      <c r="G16" s="1">
        <f t="shared" si="4"/>
        <v>6412.51</v>
      </c>
      <c r="H16" s="1">
        <v>0.0</v>
      </c>
      <c r="I16" s="1"/>
    </row>
    <row r="17" ht="15.0" customHeight="1">
      <c r="A17" s="1">
        <v>2027.0</v>
      </c>
      <c r="B17" s="1">
        <v>4.0</v>
      </c>
      <c r="C17" s="1">
        <v>0.0</v>
      </c>
      <c r="D17" s="1">
        <v>0.0</v>
      </c>
      <c r="E17" s="1">
        <f t="shared" si="3"/>
        <v>7734.74</v>
      </c>
      <c r="F17" s="1">
        <f>10312.05*(1+C17)</f>
        <v>10312.05</v>
      </c>
      <c r="G17" s="1">
        <f t="shared" si="4"/>
        <v>6412.51</v>
      </c>
      <c r="H17" s="1">
        <f>8550.14*(1+D17)</f>
        <v>8550.14</v>
      </c>
      <c r="I17" s="1"/>
    </row>
    <row r="18" ht="15.0" customHeight="1">
      <c r="A18" s="1">
        <v>2027.0</v>
      </c>
      <c r="B18" s="1">
        <v>5.0</v>
      </c>
      <c r="C18" s="1">
        <v>0.0</v>
      </c>
      <c r="D18" s="1">
        <v>0.0</v>
      </c>
      <c r="E18" s="1">
        <f t="shared" si="3"/>
        <v>7734.74</v>
      </c>
      <c r="F18" s="1">
        <v>0.0</v>
      </c>
      <c r="G18" s="1">
        <f t="shared" si="4"/>
        <v>6412.51</v>
      </c>
      <c r="H18" s="1">
        <v>0.0</v>
      </c>
      <c r="I18" s="1"/>
    </row>
    <row r="19" ht="15.0" customHeight="1">
      <c r="A19" s="1">
        <v>2027.0</v>
      </c>
      <c r="B19" s="1">
        <v>6.0</v>
      </c>
      <c r="C19" s="1">
        <v>0.0</v>
      </c>
      <c r="D19" s="1">
        <v>0.0</v>
      </c>
      <c r="E19" s="1">
        <f t="shared" si="3"/>
        <v>7734.74</v>
      </c>
      <c r="F19" s="1">
        <v>0.0</v>
      </c>
      <c r="G19" s="1">
        <f t="shared" si="4"/>
        <v>6412.51</v>
      </c>
      <c r="H19" s="1">
        <v>0.0</v>
      </c>
      <c r="I19" s="1"/>
    </row>
    <row r="20" ht="15.0" customHeight="1">
      <c r="A20" s="1">
        <v>2027.0</v>
      </c>
      <c r="B20" s="1">
        <v>7.0</v>
      </c>
      <c r="C20" s="1">
        <v>0.0</v>
      </c>
      <c r="D20" s="1">
        <v>0.0</v>
      </c>
      <c r="E20" s="1">
        <f t="shared" si="3"/>
        <v>7734.74</v>
      </c>
      <c r="F20" s="1">
        <v>0.0</v>
      </c>
      <c r="G20" s="1">
        <f t="shared" si="4"/>
        <v>6412.51</v>
      </c>
      <c r="H20" s="1">
        <v>0.0</v>
      </c>
      <c r="I20" s="1"/>
    </row>
    <row r="21" ht="15.0" customHeight="1">
      <c r="A21" s="1">
        <v>2027.0</v>
      </c>
      <c r="B21" s="1">
        <v>8.0</v>
      </c>
      <c r="C21" s="1">
        <v>0.0</v>
      </c>
      <c r="D21" s="1">
        <v>0.0</v>
      </c>
      <c r="E21" s="1">
        <f t="shared" si="3"/>
        <v>7734.74</v>
      </c>
      <c r="F21" s="1">
        <v>0.0</v>
      </c>
      <c r="G21" s="1">
        <f t="shared" si="4"/>
        <v>6412.51</v>
      </c>
      <c r="H21" s="1">
        <v>0.0</v>
      </c>
      <c r="I21" s="1"/>
    </row>
    <row r="22" ht="15.0" customHeight="1">
      <c r="A22" s="1">
        <v>2027.0</v>
      </c>
      <c r="B22" s="1">
        <v>9.0</v>
      </c>
      <c r="C22" s="1">
        <v>0.0</v>
      </c>
      <c r="D22" s="1">
        <v>0.0</v>
      </c>
      <c r="E22" s="1">
        <f t="shared" si="3"/>
        <v>7734.74</v>
      </c>
      <c r="F22" s="1">
        <v>0.0</v>
      </c>
      <c r="G22" s="1">
        <f t="shared" si="4"/>
        <v>6412.51</v>
      </c>
      <c r="H22" s="1">
        <v>0.0</v>
      </c>
      <c r="I22" s="1"/>
    </row>
    <row r="23" ht="15.0" customHeight="1">
      <c r="A23" s="1">
        <v>2027.0</v>
      </c>
      <c r="B23" s="1">
        <v>10.0</v>
      </c>
      <c r="C23" s="1">
        <v>0.0</v>
      </c>
      <c r="D23" s="1">
        <v>0.0</v>
      </c>
      <c r="E23" s="1">
        <f t="shared" si="3"/>
        <v>7734.74</v>
      </c>
      <c r="F23" s="1">
        <v>0.0</v>
      </c>
      <c r="G23" s="1">
        <f t="shared" si="4"/>
        <v>6412.51</v>
      </c>
      <c r="H23" s="1">
        <v>0.0</v>
      </c>
      <c r="I23" s="1"/>
    </row>
    <row r="24" ht="15.0" customHeight="1">
      <c r="A24" s="1">
        <v>2027.0</v>
      </c>
      <c r="B24" s="1">
        <v>11.0</v>
      </c>
      <c r="C24" s="1">
        <v>0.0</v>
      </c>
      <c r="D24" s="1">
        <v>0.0</v>
      </c>
      <c r="E24" s="1">
        <f t="shared" si="3"/>
        <v>7734.74</v>
      </c>
      <c r="F24" s="1">
        <v>0.0</v>
      </c>
      <c r="G24" s="1">
        <f t="shared" si="4"/>
        <v>6412.51</v>
      </c>
      <c r="H24" s="1">
        <v>0.0</v>
      </c>
      <c r="I24" s="1"/>
    </row>
    <row r="25" ht="15.0" customHeight="1">
      <c r="A25" s="1">
        <v>2027.0</v>
      </c>
      <c r="B25" s="1">
        <v>12.0</v>
      </c>
      <c r="C25" s="1">
        <v>0.0</v>
      </c>
      <c r="D25" s="1">
        <v>0.0</v>
      </c>
      <c r="E25" s="1">
        <f t="shared" si="3"/>
        <v>7734.74</v>
      </c>
      <c r="F25" s="1">
        <v>0.0</v>
      </c>
      <c r="G25" s="1">
        <f t="shared" si="4"/>
        <v>6412.51</v>
      </c>
      <c r="H25" s="1">
        <v>0.0</v>
      </c>
      <c r="I25" s="1"/>
    </row>
    <row r="26" ht="15.0" customHeight="1">
      <c r="A26" s="1">
        <v>2028.0</v>
      </c>
      <c r="B26" s="1">
        <v>1.0</v>
      </c>
      <c r="C26" s="1">
        <v>0.0</v>
      </c>
      <c r="D26" s="1">
        <v>0.0</v>
      </c>
      <c r="E26" s="1">
        <f t="shared" ref="E26:E37" si="5">8121.47*(1+C26)</f>
        <v>8121.47</v>
      </c>
      <c r="F26" s="1">
        <v>0.0</v>
      </c>
      <c r="G26" s="1">
        <f t="shared" ref="G26:G37" si="6">6636.95*(1+D26)</f>
        <v>6636.95</v>
      </c>
      <c r="H26" s="1">
        <v>0.0</v>
      </c>
      <c r="I26" s="1"/>
    </row>
    <row r="27" ht="15.0" customHeight="1">
      <c r="A27" s="1">
        <v>2028.0</v>
      </c>
      <c r="B27" s="1">
        <v>2.0</v>
      </c>
      <c r="C27" s="1">
        <v>0.0</v>
      </c>
      <c r="D27" s="1">
        <v>0.0</v>
      </c>
      <c r="E27" s="1">
        <f t="shared" si="5"/>
        <v>8121.47</v>
      </c>
      <c r="F27" s="1">
        <v>0.0</v>
      </c>
      <c r="G27" s="1">
        <f t="shared" si="6"/>
        <v>6636.95</v>
      </c>
      <c r="H27" s="1">
        <v>0.0</v>
      </c>
      <c r="I27" s="1"/>
    </row>
    <row r="28" ht="15.0" customHeight="1">
      <c r="A28" s="1">
        <v>2028.0</v>
      </c>
      <c r="B28" s="1">
        <v>3.0</v>
      </c>
      <c r="C28" s="1">
        <v>0.0</v>
      </c>
      <c r="D28" s="1">
        <v>0.0</v>
      </c>
      <c r="E28" s="1">
        <f t="shared" si="5"/>
        <v>8121.47</v>
      </c>
      <c r="F28" s="1">
        <v>0.0</v>
      </c>
      <c r="G28" s="1">
        <f t="shared" si="6"/>
        <v>6636.95</v>
      </c>
      <c r="H28" s="1">
        <v>0.0</v>
      </c>
      <c r="I28" s="1"/>
    </row>
    <row r="29" ht="15.0" customHeight="1">
      <c r="A29" s="1">
        <v>2028.0</v>
      </c>
      <c r="B29" s="1">
        <v>4.0</v>
      </c>
      <c r="C29" s="1">
        <v>0.0</v>
      </c>
      <c r="D29" s="1">
        <v>0.0</v>
      </c>
      <c r="E29" s="1">
        <f t="shared" si="5"/>
        <v>8121.47</v>
      </c>
      <c r="F29" s="1">
        <f>10827.65*(1+C29)</f>
        <v>10827.65</v>
      </c>
      <c r="G29" s="1">
        <f t="shared" si="6"/>
        <v>6636.95</v>
      </c>
      <c r="H29" s="1">
        <f>8849.39*(1+D29)</f>
        <v>8849.39</v>
      </c>
      <c r="I29" s="1"/>
    </row>
    <row r="30" ht="15.0" customHeight="1">
      <c r="A30" s="1">
        <v>2028.0</v>
      </c>
      <c r="B30" s="1">
        <v>5.0</v>
      </c>
      <c r="C30" s="1">
        <v>0.0</v>
      </c>
      <c r="D30" s="1">
        <v>0.0</v>
      </c>
      <c r="E30" s="1">
        <f t="shared" si="5"/>
        <v>8121.47</v>
      </c>
      <c r="F30" s="1">
        <v>0.0</v>
      </c>
      <c r="G30" s="1">
        <f t="shared" si="6"/>
        <v>6636.95</v>
      </c>
      <c r="H30" s="1">
        <v>0.0</v>
      </c>
      <c r="I30" s="1"/>
    </row>
    <row r="31" ht="15.0" customHeight="1">
      <c r="A31" s="1">
        <v>2028.0</v>
      </c>
      <c r="B31" s="1">
        <v>6.0</v>
      </c>
      <c r="C31" s="1">
        <v>0.0</v>
      </c>
      <c r="D31" s="1">
        <v>0.0</v>
      </c>
      <c r="E31" s="1">
        <f t="shared" si="5"/>
        <v>8121.47</v>
      </c>
      <c r="F31" s="1">
        <v>0.0</v>
      </c>
      <c r="G31" s="1">
        <f t="shared" si="6"/>
        <v>6636.95</v>
      </c>
      <c r="H31" s="1">
        <v>0.0</v>
      </c>
      <c r="I31" s="1"/>
    </row>
    <row r="32" ht="15.0" customHeight="1">
      <c r="A32" s="1">
        <v>2028.0</v>
      </c>
      <c r="B32" s="1">
        <v>7.0</v>
      </c>
      <c r="C32" s="1">
        <v>0.0</v>
      </c>
      <c r="D32" s="1">
        <v>0.0</v>
      </c>
      <c r="E32" s="1">
        <f t="shared" si="5"/>
        <v>8121.47</v>
      </c>
      <c r="F32" s="1">
        <v>0.0</v>
      </c>
      <c r="G32" s="1">
        <f t="shared" si="6"/>
        <v>6636.95</v>
      </c>
      <c r="H32" s="1">
        <v>0.0</v>
      </c>
      <c r="I32" s="1"/>
    </row>
    <row r="33" ht="15.0" customHeight="1">
      <c r="A33" s="1">
        <v>2028.0</v>
      </c>
      <c r="B33" s="1">
        <v>8.0</v>
      </c>
      <c r="C33" s="1">
        <v>0.0</v>
      </c>
      <c r="D33" s="1">
        <v>0.0</v>
      </c>
      <c r="E33" s="1">
        <f t="shared" si="5"/>
        <v>8121.47</v>
      </c>
      <c r="F33" s="1">
        <v>0.0</v>
      </c>
      <c r="G33" s="1">
        <f t="shared" si="6"/>
        <v>6636.95</v>
      </c>
      <c r="H33" s="1">
        <v>0.0</v>
      </c>
      <c r="I33" s="1"/>
    </row>
    <row r="34" ht="15.0" customHeight="1">
      <c r="A34" s="1">
        <v>2028.0</v>
      </c>
      <c r="B34" s="1">
        <v>9.0</v>
      </c>
      <c r="C34" s="1">
        <v>0.0</v>
      </c>
      <c r="D34" s="1">
        <v>0.0</v>
      </c>
      <c r="E34" s="1">
        <f t="shared" si="5"/>
        <v>8121.47</v>
      </c>
      <c r="F34" s="1">
        <v>0.0</v>
      </c>
      <c r="G34" s="1">
        <f t="shared" si="6"/>
        <v>6636.95</v>
      </c>
      <c r="H34" s="1">
        <v>0.0</v>
      </c>
      <c r="I34" s="1"/>
    </row>
    <row r="35" ht="15.0" customHeight="1">
      <c r="A35" s="1">
        <v>2028.0</v>
      </c>
      <c r="B35" s="1">
        <v>10.0</v>
      </c>
      <c r="C35" s="1">
        <v>0.0</v>
      </c>
      <c r="D35" s="1">
        <v>0.0</v>
      </c>
      <c r="E35" s="1">
        <f t="shared" si="5"/>
        <v>8121.47</v>
      </c>
      <c r="F35" s="1">
        <v>0.0</v>
      </c>
      <c r="G35" s="1">
        <f t="shared" si="6"/>
        <v>6636.95</v>
      </c>
      <c r="H35" s="1">
        <v>0.0</v>
      </c>
      <c r="I35" s="1"/>
    </row>
    <row r="36" ht="15.0" customHeight="1">
      <c r="A36" s="1">
        <v>2028.0</v>
      </c>
      <c r="B36" s="1">
        <v>11.0</v>
      </c>
      <c r="C36" s="1">
        <v>0.0</v>
      </c>
      <c r="D36" s="1">
        <v>0.0</v>
      </c>
      <c r="E36" s="1">
        <f t="shared" si="5"/>
        <v>8121.47</v>
      </c>
      <c r="F36" s="1">
        <v>0.0</v>
      </c>
      <c r="G36" s="1">
        <f t="shared" si="6"/>
        <v>6636.95</v>
      </c>
      <c r="H36" s="1">
        <v>0.0</v>
      </c>
      <c r="I36" s="1"/>
    </row>
    <row r="37" ht="15.0" customHeight="1">
      <c r="A37" s="1">
        <v>2028.0</v>
      </c>
      <c r="B37" s="1">
        <v>12.0</v>
      </c>
      <c r="C37" s="1">
        <v>0.0</v>
      </c>
      <c r="D37" s="1">
        <v>0.0</v>
      </c>
      <c r="E37" s="1">
        <f t="shared" si="5"/>
        <v>8121.47</v>
      </c>
      <c r="F37" s="1">
        <v>0.0</v>
      </c>
      <c r="G37" s="1">
        <f t="shared" si="6"/>
        <v>6636.95</v>
      </c>
      <c r="H37" s="1">
        <v>0.0</v>
      </c>
      <c r="I37" s="1"/>
    </row>
    <row r="38" ht="15.0" customHeight="1">
      <c r="A38" s="1">
        <v>2029.0</v>
      </c>
      <c r="B38" s="1">
        <v>1.0</v>
      </c>
      <c r="C38" s="1">
        <v>0.0</v>
      </c>
      <c r="D38" s="1">
        <v>0.0</v>
      </c>
      <c r="E38" s="1">
        <f t="shared" ref="E38:E49" si="7">8527.55*(1+C38)</f>
        <v>8527.55</v>
      </c>
      <c r="F38" s="1">
        <v>0.0</v>
      </c>
      <c r="G38" s="1">
        <f t="shared" ref="G38:G49" si="8">6869.25*(1+D38)</f>
        <v>6869.25</v>
      </c>
      <c r="H38" s="1">
        <v>0.0</v>
      </c>
      <c r="I38" s="1"/>
    </row>
    <row r="39" ht="15.0" customHeight="1">
      <c r="A39" s="1">
        <v>2029.0</v>
      </c>
      <c r="B39" s="1">
        <v>2.0</v>
      </c>
      <c r="C39" s="1">
        <v>0.0</v>
      </c>
      <c r="D39" s="1">
        <v>0.0</v>
      </c>
      <c r="E39" s="1">
        <f t="shared" si="7"/>
        <v>8527.55</v>
      </c>
      <c r="F39" s="1">
        <v>0.0</v>
      </c>
      <c r="G39" s="1">
        <f t="shared" si="8"/>
        <v>6869.25</v>
      </c>
      <c r="H39" s="1">
        <v>0.0</v>
      </c>
      <c r="I39" s="1"/>
    </row>
    <row r="40" ht="15.0" customHeight="1">
      <c r="A40" s="1">
        <v>2029.0</v>
      </c>
      <c r="B40" s="1">
        <v>3.0</v>
      </c>
      <c r="C40" s="1">
        <v>0.0</v>
      </c>
      <c r="D40" s="1">
        <v>0.0</v>
      </c>
      <c r="E40" s="1">
        <f t="shared" si="7"/>
        <v>8527.55</v>
      </c>
      <c r="F40" s="1">
        <v>0.0</v>
      </c>
      <c r="G40" s="1">
        <f t="shared" si="8"/>
        <v>6869.25</v>
      </c>
      <c r="H40" s="1">
        <v>0.0</v>
      </c>
      <c r="I40" s="1"/>
    </row>
    <row r="41" ht="15.0" customHeight="1">
      <c r="A41" s="1">
        <v>2029.0</v>
      </c>
      <c r="B41" s="1">
        <v>4.0</v>
      </c>
      <c r="C41" s="1">
        <v>0.0</v>
      </c>
      <c r="D41" s="1">
        <v>0.0</v>
      </c>
      <c r="E41" s="1">
        <f t="shared" si="7"/>
        <v>8527.55</v>
      </c>
      <c r="F41" s="1">
        <f>11369.04*(1+C41)</f>
        <v>11369.04</v>
      </c>
      <c r="G41" s="1">
        <f t="shared" si="8"/>
        <v>6869.25</v>
      </c>
      <c r="H41" s="1">
        <f>9159.12*(1+D41)</f>
        <v>9159.12</v>
      </c>
      <c r="I41" s="1"/>
    </row>
    <row r="42" ht="15.0" customHeight="1">
      <c r="A42" s="1">
        <v>2029.0</v>
      </c>
      <c r="B42" s="1">
        <v>5.0</v>
      </c>
      <c r="C42" s="1">
        <v>0.0</v>
      </c>
      <c r="D42" s="1">
        <v>0.0</v>
      </c>
      <c r="E42" s="1">
        <f t="shared" si="7"/>
        <v>8527.55</v>
      </c>
      <c r="F42" s="1">
        <v>0.0</v>
      </c>
      <c r="G42" s="1">
        <f t="shared" si="8"/>
        <v>6869.25</v>
      </c>
      <c r="H42" s="1">
        <v>0.0</v>
      </c>
      <c r="I42" s="1"/>
    </row>
    <row r="43" ht="15.0" customHeight="1">
      <c r="A43" s="1">
        <v>2029.0</v>
      </c>
      <c r="B43" s="1">
        <v>6.0</v>
      </c>
      <c r="C43" s="1">
        <v>0.0</v>
      </c>
      <c r="D43" s="1">
        <v>0.0</v>
      </c>
      <c r="E43" s="1">
        <f t="shared" si="7"/>
        <v>8527.55</v>
      </c>
      <c r="F43" s="1">
        <v>0.0</v>
      </c>
      <c r="G43" s="1">
        <f t="shared" si="8"/>
        <v>6869.25</v>
      </c>
      <c r="H43" s="1">
        <v>0.0</v>
      </c>
      <c r="I43" s="1"/>
    </row>
    <row r="44" ht="15.0" customHeight="1">
      <c r="A44" s="1">
        <v>2029.0</v>
      </c>
      <c r="B44" s="1">
        <v>7.0</v>
      </c>
      <c r="C44" s="1">
        <v>0.0</v>
      </c>
      <c r="D44" s="1">
        <v>0.0</v>
      </c>
      <c r="E44" s="1">
        <f t="shared" si="7"/>
        <v>8527.55</v>
      </c>
      <c r="F44" s="1">
        <v>0.0</v>
      </c>
      <c r="G44" s="1">
        <f t="shared" si="8"/>
        <v>6869.25</v>
      </c>
      <c r="H44" s="1">
        <v>0.0</v>
      </c>
      <c r="I44" s="1"/>
    </row>
    <row r="45" ht="15.0" customHeight="1">
      <c r="A45" s="1">
        <v>2029.0</v>
      </c>
      <c r="B45" s="1">
        <v>8.0</v>
      </c>
      <c r="C45" s="1">
        <v>0.0</v>
      </c>
      <c r="D45" s="1">
        <v>0.0</v>
      </c>
      <c r="E45" s="1">
        <f t="shared" si="7"/>
        <v>8527.55</v>
      </c>
      <c r="F45" s="1">
        <v>0.0</v>
      </c>
      <c r="G45" s="1">
        <f t="shared" si="8"/>
        <v>6869.25</v>
      </c>
      <c r="H45" s="1">
        <v>0.0</v>
      </c>
      <c r="I45" s="1"/>
    </row>
    <row r="46" ht="15.0" customHeight="1">
      <c r="A46" s="1">
        <v>2029.0</v>
      </c>
      <c r="B46" s="1">
        <v>9.0</v>
      </c>
      <c r="C46" s="1">
        <v>0.0</v>
      </c>
      <c r="D46" s="1">
        <v>0.0</v>
      </c>
      <c r="E46" s="1">
        <f t="shared" si="7"/>
        <v>8527.55</v>
      </c>
      <c r="F46" s="1">
        <v>0.0</v>
      </c>
      <c r="G46" s="1">
        <f t="shared" si="8"/>
        <v>6869.25</v>
      </c>
      <c r="H46" s="1">
        <v>0.0</v>
      </c>
      <c r="I46" s="1"/>
    </row>
    <row r="47" ht="15.0" customHeight="1">
      <c r="A47" s="1">
        <v>2029.0</v>
      </c>
      <c r="B47" s="1">
        <v>10.0</v>
      </c>
      <c r="C47" s="1">
        <v>0.0</v>
      </c>
      <c r="D47" s="1">
        <v>0.0</v>
      </c>
      <c r="E47" s="1">
        <f t="shared" si="7"/>
        <v>8527.55</v>
      </c>
      <c r="F47" s="1">
        <v>0.0</v>
      </c>
      <c r="G47" s="1">
        <f t="shared" si="8"/>
        <v>6869.25</v>
      </c>
      <c r="H47" s="1">
        <v>0.0</v>
      </c>
      <c r="I47" s="1"/>
    </row>
    <row r="48" ht="15.0" customHeight="1">
      <c r="A48" s="1">
        <v>2029.0</v>
      </c>
      <c r="B48" s="1">
        <v>11.0</v>
      </c>
      <c r="C48" s="1">
        <v>0.0</v>
      </c>
      <c r="D48" s="1">
        <v>0.0</v>
      </c>
      <c r="E48" s="1">
        <f t="shared" si="7"/>
        <v>8527.55</v>
      </c>
      <c r="F48" s="1">
        <v>0.0</v>
      </c>
      <c r="G48" s="1">
        <f t="shared" si="8"/>
        <v>6869.25</v>
      </c>
      <c r="H48" s="1">
        <v>0.0</v>
      </c>
      <c r="I48" s="1"/>
    </row>
    <row r="49" ht="15.0" customHeight="1">
      <c r="A49" s="1">
        <v>2029.0</v>
      </c>
      <c r="B49" s="1">
        <v>12.0</v>
      </c>
      <c r="C49" s="1">
        <v>0.0</v>
      </c>
      <c r="D49" s="1">
        <v>0.0</v>
      </c>
      <c r="E49" s="1">
        <f t="shared" si="7"/>
        <v>8527.55</v>
      </c>
      <c r="F49" s="1">
        <v>0.0</v>
      </c>
      <c r="G49" s="1">
        <f t="shared" si="8"/>
        <v>6869.25</v>
      </c>
      <c r="H49" s="1">
        <v>0.0</v>
      </c>
      <c r="I49" s="1"/>
    </row>
    <row r="50" ht="15.0" customHeight="1">
      <c r="A50" s="1">
        <v>2030.0</v>
      </c>
      <c r="B50" s="1">
        <v>1.0</v>
      </c>
      <c r="C50" s="1">
        <v>0.0</v>
      </c>
      <c r="D50" s="1">
        <v>0.0</v>
      </c>
      <c r="E50" s="1">
        <f t="shared" ref="E50:E61" si="9">8953.93*(1+C50)</f>
        <v>8953.93</v>
      </c>
      <c r="F50" s="1">
        <v>0.0</v>
      </c>
      <c r="G50" s="1">
        <f t="shared" ref="G50:G61" si="10">7109.67*(1+D50)</f>
        <v>7109.67</v>
      </c>
      <c r="H50" s="1">
        <v>0.0</v>
      </c>
      <c r="I50" s="1"/>
    </row>
    <row r="51" ht="15.0" customHeight="1">
      <c r="A51" s="1">
        <v>2030.0</v>
      </c>
      <c r="B51" s="1">
        <v>2.0</v>
      </c>
      <c r="C51" s="1">
        <v>0.0</v>
      </c>
      <c r="D51" s="1">
        <v>0.0</v>
      </c>
      <c r="E51" s="1">
        <f t="shared" si="9"/>
        <v>8953.93</v>
      </c>
      <c r="F51" s="1">
        <v>0.0</v>
      </c>
      <c r="G51" s="1">
        <f t="shared" si="10"/>
        <v>7109.67</v>
      </c>
      <c r="H51" s="1">
        <v>0.0</v>
      </c>
      <c r="I51" s="1"/>
    </row>
    <row r="52" ht="15.0" customHeight="1">
      <c r="A52" s="1">
        <v>2030.0</v>
      </c>
      <c r="B52" s="1">
        <v>3.0</v>
      </c>
      <c r="C52" s="1">
        <v>0.0</v>
      </c>
      <c r="D52" s="1">
        <v>0.0</v>
      </c>
      <c r="E52" s="1">
        <f t="shared" si="9"/>
        <v>8953.93</v>
      </c>
      <c r="F52" s="1">
        <v>0.0</v>
      </c>
      <c r="G52" s="1">
        <f t="shared" si="10"/>
        <v>7109.67</v>
      </c>
      <c r="H52" s="1">
        <v>0.0</v>
      </c>
      <c r="I52" s="1"/>
    </row>
    <row r="53" ht="15.0" customHeight="1">
      <c r="A53" s="1">
        <v>2030.0</v>
      </c>
      <c r="B53" s="1">
        <v>4.0</v>
      </c>
      <c r="C53" s="1">
        <v>0.0</v>
      </c>
      <c r="D53" s="1">
        <v>0.0</v>
      </c>
      <c r="E53" s="1">
        <f t="shared" si="9"/>
        <v>8953.93</v>
      </c>
      <c r="F53" s="1">
        <f>11937.49*(1+C53)</f>
        <v>11937.49</v>
      </c>
      <c r="G53" s="1">
        <f t="shared" si="10"/>
        <v>7109.67</v>
      </c>
      <c r="H53" s="1">
        <f>9479.69*(1+D53)</f>
        <v>9479.69</v>
      </c>
      <c r="I53" s="1"/>
    </row>
    <row r="54" ht="15.0" customHeight="1">
      <c r="A54" s="1">
        <v>2030.0</v>
      </c>
      <c r="B54" s="1">
        <v>5.0</v>
      </c>
      <c r="C54" s="1">
        <v>0.0</v>
      </c>
      <c r="D54" s="1">
        <v>0.0</v>
      </c>
      <c r="E54" s="1">
        <f t="shared" si="9"/>
        <v>8953.93</v>
      </c>
      <c r="F54" s="1">
        <v>0.0</v>
      </c>
      <c r="G54" s="1">
        <f t="shared" si="10"/>
        <v>7109.67</v>
      </c>
      <c r="H54" s="1">
        <v>0.0</v>
      </c>
      <c r="I54" s="1"/>
    </row>
    <row r="55" ht="15.0" customHeight="1">
      <c r="A55" s="1">
        <v>2030.0</v>
      </c>
      <c r="B55" s="1">
        <v>6.0</v>
      </c>
      <c r="C55" s="1">
        <v>0.0</v>
      </c>
      <c r="D55" s="1">
        <v>0.0</v>
      </c>
      <c r="E55" s="1">
        <f t="shared" si="9"/>
        <v>8953.93</v>
      </c>
      <c r="F55" s="1">
        <v>0.0</v>
      </c>
      <c r="G55" s="1">
        <f t="shared" si="10"/>
        <v>7109.67</v>
      </c>
      <c r="H55" s="1">
        <v>0.0</v>
      </c>
      <c r="I55" s="1"/>
    </row>
    <row r="56" ht="15.0" customHeight="1">
      <c r="A56" s="1">
        <v>2030.0</v>
      </c>
      <c r="B56" s="1">
        <v>7.0</v>
      </c>
      <c r="C56" s="1">
        <v>0.0</v>
      </c>
      <c r="D56" s="1">
        <v>0.0</v>
      </c>
      <c r="E56" s="1">
        <f t="shared" si="9"/>
        <v>8953.93</v>
      </c>
      <c r="F56" s="1">
        <v>0.0</v>
      </c>
      <c r="G56" s="1">
        <f t="shared" si="10"/>
        <v>7109.67</v>
      </c>
      <c r="H56" s="1">
        <v>0.0</v>
      </c>
      <c r="I56" s="1"/>
    </row>
    <row r="57" ht="15.0" customHeight="1">
      <c r="A57" s="1">
        <v>2030.0</v>
      </c>
      <c r="B57" s="1">
        <v>8.0</v>
      </c>
      <c r="C57" s="1">
        <v>0.0</v>
      </c>
      <c r="D57" s="1">
        <v>0.0</v>
      </c>
      <c r="E57" s="1">
        <f t="shared" si="9"/>
        <v>8953.93</v>
      </c>
      <c r="F57" s="1">
        <v>0.0</v>
      </c>
      <c r="G57" s="1">
        <f t="shared" si="10"/>
        <v>7109.67</v>
      </c>
      <c r="H57" s="1">
        <v>0.0</v>
      </c>
      <c r="I57" s="1"/>
    </row>
    <row r="58" ht="15.0" customHeight="1">
      <c r="A58" s="1">
        <v>2030.0</v>
      </c>
      <c r="B58" s="1">
        <v>9.0</v>
      </c>
      <c r="C58" s="1">
        <v>0.0</v>
      </c>
      <c r="D58" s="1">
        <v>0.0</v>
      </c>
      <c r="E58" s="1">
        <f t="shared" si="9"/>
        <v>8953.93</v>
      </c>
      <c r="F58" s="1">
        <v>0.0</v>
      </c>
      <c r="G58" s="1">
        <f t="shared" si="10"/>
        <v>7109.67</v>
      </c>
      <c r="H58" s="1">
        <v>0.0</v>
      </c>
      <c r="I58" s="1"/>
    </row>
    <row r="59" ht="15.0" customHeight="1">
      <c r="A59" s="1">
        <v>2030.0</v>
      </c>
      <c r="B59" s="1">
        <v>10.0</v>
      </c>
      <c r="C59" s="1">
        <v>0.0</v>
      </c>
      <c r="D59" s="1">
        <v>0.0</v>
      </c>
      <c r="E59" s="1">
        <f t="shared" si="9"/>
        <v>8953.93</v>
      </c>
      <c r="F59" s="1">
        <v>0.0</v>
      </c>
      <c r="G59" s="1">
        <f t="shared" si="10"/>
        <v>7109.67</v>
      </c>
      <c r="H59" s="1">
        <v>0.0</v>
      </c>
      <c r="I59" s="1"/>
    </row>
    <row r="60" ht="15.0" customHeight="1">
      <c r="A60" s="1">
        <v>2030.0</v>
      </c>
      <c r="B60" s="1">
        <v>11.0</v>
      </c>
      <c r="C60" s="1">
        <v>0.0</v>
      </c>
      <c r="D60" s="1">
        <v>0.0</v>
      </c>
      <c r="E60" s="1">
        <f t="shared" si="9"/>
        <v>8953.93</v>
      </c>
      <c r="F60" s="1">
        <v>0.0</v>
      </c>
      <c r="G60" s="1">
        <f t="shared" si="10"/>
        <v>7109.67</v>
      </c>
      <c r="H60" s="1">
        <v>0.0</v>
      </c>
      <c r="I60" s="1"/>
    </row>
    <row r="61" ht="15.0" customHeight="1">
      <c r="A61" s="1">
        <v>2030.0</v>
      </c>
      <c r="B61" s="1">
        <v>12.0</v>
      </c>
      <c r="C61" s="1">
        <v>0.0</v>
      </c>
      <c r="D61" s="1">
        <v>0.0</v>
      </c>
      <c r="E61" s="1">
        <f t="shared" si="9"/>
        <v>8953.93</v>
      </c>
      <c r="F61" s="1">
        <v>0.0</v>
      </c>
      <c r="G61" s="1">
        <f t="shared" si="10"/>
        <v>7109.67</v>
      </c>
      <c r="H61" s="1">
        <v>0.0</v>
      </c>
      <c r="I61" s="1"/>
    </row>
    <row r="62" ht="15.0" customHeight="1">
      <c r="A62" s="1">
        <v>2031.0</v>
      </c>
      <c r="B62" s="1">
        <v>1.0</v>
      </c>
      <c r="C62" s="1">
        <v>0.0</v>
      </c>
      <c r="D62" s="1">
        <v>0.0</v>
      </c>
      <c r="E62" s="1">
        <f t="shared" ref="E62:E73" si="11">9401.62*(1+C62)</f>
        <v>9401.62</v>
      </c>
      <c r="F62" s="1">
        <v>0.0</v>
      </c>
      <c r="G62" s="1">
        <f t="shared" ref="G62:G73" si="12">7358.51*(1+D62)</f>
        <v>7358.51</v>
      </c>
      <c r="H62" s="1">
        <v>0.0</v>
      </c>
      <c r="I62" s="1"/>
    </row>
    <row r="63" ht="15.0" customHeight="1">
      <c r="A63" s="1">
        <v>2031.0</v>
      </c>
      <c r="B63" s="1">
        <v>2.0</v>
      </c>
      <c r="C63" s="1">
        <v>0.0</v>
      </c>
      <c r="D63" s="1">
        <v>0.0</v>
      </c>
      <c r="E63" s="1">
        <f t="shared" si="11"/>
        <v>9401.62</v>
      </c>
      <c r="F63" s="1">
        <v>0.0</v>
      </c>
      <c r="G63" s="1">
        <f t="shared" si="12"/>
        <v>7358.51</v>
      </c>
      <c r="H63" s="1">
        <v>0.0</v>
      </c>
      <c r="I63" s="1"/>
    </row>
    <row r="64" ht="15.0" customHeight="1">
      <c r="A64" s="1">
        <v>2031.0</v>
      </c>
      <c r="B64" s="1">
        <v>3.0</v>
      </c>
      <c r="C64" s="1">
        <v>0.0</v>
      </c>
      <c r="D64" s="1">
        <v>0.0</v>
      </c>
      <c r="E64" s="1">
        <f t="shared" si="11"/>
        <v>9401.62</v>
      </c>
      <c r="F64" s="1">
        <v>0.0</v>
      </c>
      <c r="G64" s="1">
        <f t="shared" si="12"/>
        <v>7358.51</v>
      </c>
      <c r="H64" s="1">
        <v>0.0</v>
      </c>
      <c r="I64" s="1"/>
    </row>
    <row r="65" ht="15.0" customHeight="1">
      <c r="A65" s="1">
        <v>2031.0</v>
      </c>
      <c r="B65" s="1">
        <v>4.0</v>
      </c>
      <c r="C65" s="1">
        <v>0.0</v>
      </c>
      <c r="D65" s="1">
        <v>0.0</v>
      </c>
      <c r="E65" s="1">
        <f t="shared" si="11"/>
        <v>9401.62</v>
      </c>
      <c r="F65" s="1">
        <f>12534.36*(1+C65)</f>
        <v>12534.36</v>
      </c>
      <c r="G65" s="1">
        <f t="shared" si="12"/>
        <v>7358.51</v>
      </c>
      <c r="H65" s="1">
        <f>9811.48*(1+D65)</f>
        <v>9811.48</v>
      </c>
      <c r="I65" s="1"/>
    </row>
    <row r="66" ht="15.0" customHeight="1">
      <c r="A66" s="1">
        <v>2031.0</v>
      </c>
      <c r="B66" s="1">
        <v>5.0</v>
      </c>
      <c r="C66" s="1">
        <v>0.0</v>
      </c>
      <c r="D66" s="1">
        <v>0.0</v>
      </c>
      <c r="E66" s="1">
        <f t="shared" si="11"/>
        <v>9401.62</v>
      </c>
      <c r="F66" s="1">
        <v>0.0</v>
      </c>
      <c r="G66" s="1">
        <f t="shared" si="12"/>
        <v>7358.51</v>
      </c>
      <c r="H66" s="1">
        <v>0.0</v>
      </c>
      <c r="I66" s="1"/>
    </row>
    <row r="67" ht="15.0" customHeight="1">
      <c r="A67" s="1">
        <v>2031.0</v>
      </c>
      <c r="B67" s="1">
        <v>6.0</v>
      </c>
      <c r="C67" s="1">
        <v>0.0</v>
      </c>
      <c r="D67" s="1">
        <v>0.0</v>
      </c>
      <c r="E67" s="1">
        <f t="shared" si="11"/>
        <v>9401.62</v>
      </c>
      <c r="F67" s="1">
        <v>0.0</v>
      </c>
      <c r="G67" s="1">
        <f t="shared" si="12"/>
        <v>7358.51</v>
      </c>
      <c r="H67" s="1">
        <v>0.0</v>
      </c>
      <c r="I67" s="1"/>
    </row>
    <row r="68" ht="15.0" customHeight="1">
      <c r="A68" s="1">
        <v>2031.0</v>
      </c>
      <c r="B68" s="1">
        <v>7.0</v>
      </c>
      <c r="C68" s="1">
        <v>0.0</v>
      </c>
      <c r="D68" s="1">
        <v>0.0</v>
      </c>
      <c r="E68" s="1">
        <f t="shared" si="11"/>
        <v>9401.62</v>
      </c>
      <c r="F68" s="1">
        <v>0.0</v>
      </c>
      <c r="G68" s="1">
        <f t="shared" si="12"/>
        <v>7358.51</v>
      </c>
      <c r="H68" s="1">
        <v>0.0</v>
      </c>
      <c r="I68" s="1"/>
    </row>
    <row r="69" ht="15.0" customHeight="1">
      <c r="A69" s="1">
        <v>2031.0</v>
      </c>
      <c r="B69" s="1">
        <v>8.0</v>
      </c>
      <c r="C69" s="1">
        <v>0.0</v>
      </c>
      <c r="D69" s="1">
        <v>0.0</v>
      </c>
      <c r="E69" s="1">
        <f t="shared" si="11"/>
        <v>9401.62</v>
      </c>
      <c r="F69" s="1">
        <v>0.0</v>
      </c>
      <c r="G69" s="1">
        <f t="shared" si="12"/>
        <v>7358.51</v>
      </c>
      <c r="H69" s="1">
        <v>0.0</v>
      </c>
      <c r="I69" s="1"/>
    </row>
    <row r="70" ht="15.0" customHeight="1">
      <c r="A70" s="1">
        <v>2031.0</v>
      </c>
      <c r="B70" s="1">
        <v>9.0</v>
      </c>
      <c r="C70" s="1">
        <v>0.0</v>
      </c>
      <c r="D70" s="1">
        <v>0.0</v>
      </c>
      <c r="E70" s="1">
        <f t="shared" si="11"/>
        <v>9401.62</v>
      </c>
      <c r="F70" s="1">
        <v>0.0</v>
      </c>
      <c r="G70" s="1">
        <f t="shared" si="12"/>
        <v>7358.51</v>
      </c>
      <c r="H70" s="1">
        <v>0.0</v>
      </c>
      <c r="I70" s="1"/>
    </row>
    <row r="71" ht="15.0" customHeight="1">
      <c r="A71" s="1">
        <v>2031.0</v>
      </c>
      <c r="B71" s="1">
        <v>10.0</v>
      </c>
      <c r="C71" s="1">
        <v>0.0</v>
      </c>
      <c r="D71" s="1">
        <v>0.0</v>
      </c>
      <c r="E71" s="1">
        <f t="shared" si="11"/>
        <v>9401.62</v>
      </c>
      <c r="F71" s="1">
        <v>0.0</v>
      </c>
      <c r="G71" s="1">
        <f t="shared" si="12"/>
        <v>7358.51</v>
      </c>
      <c r="H71" s="1">
        <v>0.0</v>
      </c>
      <c r="I71" s="1"/>
    </row>
    <row r="72" ht="15.0" customHeight="1">
      <c r="A72" s="1">
        <v>2031.0</v>
      </c>
      <c r="B72" s="1">
        <v>11.0</v>
      </c>
      <c r="C72" s="1">
        <v>0.0</v>
      </c>
      <c r="D72" s="1">
        <v>0.0</v>
      </c>
      <c r="E72" s="1">
        <f t="shared" si="11"/>
        <v>9401.62</v>
      </c>
      <c r="F72" s="1">
        <v>0.0</v>
      </c>
      <c r="G72" s="1">
        <f t="shared" si="12"/>
        <v>7358.51</v>
      </c>
      <c r="H72" s="1">
        <v>0.0</v>
      </c>
      <c r="I72" s="1"/>
    </row>
    <row r="73" ht="15.0" customHeight="1">
      <c r="A73" s="1">
        <v>2031.0</v>
      </c>
      <c r="B73" s="1">
        <v>12.0</v>
      </c>
      <c r="C73" s="1">
        <v>0.0</v>
      </c>
      <c r="D73" s="1">
        <v>0.0</v>
      </c>
      <c r="E73" s="1">
        <f t="shared" si="11"/>
        <v>9401.62</v>
      </c>
      <c r="F73" s="1">
        <v>0.0</v>
      </c>
      <c r="G73" s="1">
        <f t="shared" si="12"/>
        <v>7358.51</v>
      </c>
      <c r="H73" s="1">
        <v>0.0</v>
      </c>
      <c r="I73" s="1"/>
    </row>
    <row r="74" ht="15.0" customHeight="1">
      <c r="A74" s="1">
        <v>2032.0</v>
      </c>
      <c r="B74" s="1">
        <v>1.0</v>
      </c>
      <c r="C74" s="1">
        <v>0.0</v>
      </c>
      <c r="D74" s="1">
        <v>0.0</v>
      </c>
      <c r="E74" s="1">
        <f t="shared" ref="E74:E85" si="13">9871.7*(1+C74)</f>
        <v>9871.7</v>
      </c>
      <c r="F74" s="1">
        <v>0.0</v>
      </c>
      <c r="G74" s="1">
        <f t="shared" ref="G74:G85" si="14">7616.06*(1+D74)</f>
        <v>7616.06</v>
      </c>
      <c r="H74" s="1">
        <v>0.0</v>
      </c>
      <c r="I74" s="1"/>
    </row>
    <row r="75" ht="15.0" customHeight="1">
      <c r="A75" s="1">
        <v>2032.0</v>
      </c>
      <c r="B75" s="1">
        <v>2.0</v>
      </c>
      <c r="C75" s="1">
        <v>0.0</v>
      </c>
      <c r="D75" s="1">
        <v>0.0</v>
      </c>
      <c r="E75" s="1">
        <f t="shared" si="13"/>
        <v>9871.7</v>
      </c>
      <c r="F75" s="1">
        <v>0.0</v>
      </c>
      <c r="G75" s="1">
        <f t="shared" si="14"/>
        <v>7616.06</v>
      </c>
      <c r="H75" s="1">
        <v>0.0</v>
      </c>
      <c r="I75" s="1"/>
    </row>
    <row r="76" ht="15.0" customHeight="1">
      <c r="A76" s="1">
        <v>2032.0</v>
      </c>
      <c r="B76" s="1">
        <v>3.0</v>
      </c>
      <c r="C76" s="1">
        <v>0.0</v>
      </c>
      <c r="D76" s="1">
        <v>0.0</v>
      </c>
      <c r="E76" s="1">
        <f t="shared" si="13"/>
        <v>9871.7</v>
      </c>
      <c r="F76" s="1">
        <v>0.0</v>
      </c>
      <c r="G76" s="1">
        <f t="shared" si="14"/>
        <v>7616.06</v>
      </c>
      <c r="H76" s="1">
        <v>0.0</v>
      </c>
      <c r="I76" s="1"/>
    </row>
    <row r="77" ht="15.0" customHeight="1">
      <c r="A77" s="1">
        <v>2032.0</v>
      </c>
      <c r="B77" s="1">
        <v>4.0</v>
      </c>
      <c r="C77" s="1">
        <v>0.0</v>
      </c>
      <c r="D77" s="1">
        <v>0.0</v>
      </c>
      <c r="E77" s="1">
        <f t="shared" si="13"/>
        <v>9871.7</v>
      </c>
      <c r="F77" s="1">
        <f>13161.08*(1+C77)</f>
        <v>13161.08</v>
      </c>
      <c r="G77" s="1">
        <f t="shared" si="14"/>
        <v>7616.06</v>
      </c>
      <c r="H77" s="1">
        <f>10154.88*(1+D77)</f>
        <v>10154.88</v>
      </c>
      <c r="I77" s="1"/>
    </row>
    <row r="78" ht="15.0" customHeight="1">
      <c r="A78" s="1">
        <v>2032.0</v>
      </c>
      <c r="B78" s="1">
        <v>5.0</v>
      </c>
      <c r="C78" s="1">
        <v>0.0</v>
      </c>
      <c r="D78" s="1">
        <v>0.0</v>
      </c>
      <c r="E78" s="1">
        <f t="shared" si="13"/>
        <v>9871.7</v>
      </c>
      <c r="F78" s="1">
        <v>0.0</v>
      </c>
      <c r="G78" s="1">
        <f t="shared" si="14"/>
        <v>7616.06</v>
      </c>
      <c r="H78" s="1">
        <v>0.0</v>
      </c>
      <c r="I78" s="1"/>
    </row>
    <row r="79" ht="15.0" customHeight="1">
      <c r="A79" s="1">
        <v>2032.0</v>
      </c>
      <c r="B79" s="1">
        <v>6.0</v>
      </c>
      <c r="C79" s="1">
        <v>0.0</v>
      </c>
      <c r="D79" s="1">
        <v>0.0</v>
      </c>
      <c r="E79" s="1">
        <f t="shared" si="13"/>
        <v>9871.7</v>
      </c>
      <c r="F79" s="1">
        <v>0.0</v>
      </c>
      <c r="G79" s="1">
        <f t="shared" si="14"/>
        <v>7616.06</v>
      </c>
      <c r="H79" s="1">
        <v>0.0</v>
      </c>
      <c r="I79" s="1"/>
    </row>
    <row r="80" ht="15.0" customHeight="1">
      <c r="A80" s="1">
        <v>2032.0</v>
      </c>
      <c r="B80" s="1">
        <v>7.0</v>
      </c>
      <c r="C80" s="1">
        <v>0.0</v>
      </c>
      <c r="D80" s="1">
        <v>0.0</v>
      </c>
      <c r="E80" s="1">
        <f t="shared" si="13"/>
        <v>9871.7</v>
      </c>
      <c r="F80" s="1">
        <v>0.0</v>
      </c>
      <c r="G80" s="1">
        <f t="shared" si="14"/>
        <v>7616.06</v>
      </c>
      <c r="H80" s="1">
        <v>0.0</v>
      </c>
      <c r="I80" s="1"/>
    </row>
    <row r="81" ht="15.0" customHeight="1">
      <c r="A81" s="1">
        <v>2032.0</v>
      </c>
      <c r="B81" s="1">
        <v>8.0</v>
      </c>
      <c r="C81" s="1">
        <v>0.0</v>
      </c>
      <c r="D81" s="1">
        <v>0.0</v>
      </c>
      <c r="E81" s="1">
        <f t="shared" si="13"/>
        <v>9871.7</v>
      </c>
      <c r="F81" s="1">
        <v>0.0</v>
      </c>
      <c r="G81" s="1">
        <f t="shared" si="14"/>
        <v>7616.06</v>
      </c>
      <c r="H81" s="1">
        <v>0.0</v>
      </c>
      <c r="I81" s="1"/>
    </row>
    <row r="82" ht="15.0" customHeight="1">
      <c r="A82" s="1">
        <v>2032.0</v>
      </c>
      <c r="B82" s="1">
        <v>9.0</v>
      </c>
      <c r="C82" s="1">
        <v>0.0</v>
      </c>
      <c r="D82" s="1">
        <v>0.0</v>
      </c>
      <c r="E82" s="1">
        <f t="shared" si="13"/>
        <v>9871.7</v>
      </c>
      <c r="F82" s="1">
        <v>0.0</v>
      </c>
      <c r="G82" s="1">
        <f t="shared" si="14"/>
        <v>7616.06</v>
      </c>
      <c r="H82" s="1">
        <v>0.0</v>
      </c>
      <c r="I82" s="1"/>
    </row>
    <row r="83" ht="15.0" customHeight="1">
      <c r="A83" s="1">
        <v>2032.0</v>
      </c>
      <c r="B83" s="1">
        <v>10.0</v>
      </c>
      <c r="C83" s="1">
        <v>0.0</v>
      </c>
      <c r="D83" s="1">
        <v>0.0</v>
      </c>
      <c r="E83" s="1">
        <f t="shared" si="13"/>
        <v>9871.7</v>
      </c>
      <c r="F83" s="1">
        <v>0.0</v>
      </c>
      <c r="G83" s="1">
        <f t="shared" si="14"/>
        <v>7616.06</v>
      </c>
      <c r="H83" s="1">
        <v>0.0</v>
      </c>
      <c r="I83" s="1"/>
    </row>
    <row r="84" ht="15.0" customHeight="1">
      <c r="A84" s="1">
        <v>2032.0</v>
      </c>
      <c r="B84" s="1">
        <v>11.0</v>
      </c>
      <c r="C84" s="1">
        <v>0.0</v>
      </c>
      <c r="D84" s="1">
        <v>0.0</v>
      </c>
      <c r="E84" s="1">
        <f t="shared" si="13"/>
        <v>9871.7</v>
      </c>
      <c r="F84" s="1">
        <v>0.0</v>
      </c>
      <c r="G84" s="1">
        <f t="shared" si="14"/>
        <v>7616.06</v>
      </c>
      <c r="H84" s="1">
        <v>0.0</v>
      </c>
      <c r="I84" s="1"/>
    </row>
    <row r="85" ht="15.0" customHeight="1">
      <c r="A85" s="1">
        <v>2032.0</v>
      </c>
      <c r="B85" s="1">
        <v>12.0</v>
      </c>
      <c r="C85" s="1">
        <v>0.0</v>
      </c>
      <c r="D85" s="1">
        <v>0.0</v>
      </c>
      <c r="E85" s="1">
        <f t="shared" si="13"/>
        <v>9871.7</v>
      </c>
      <c r="F85" s="1">
        <v>0.0</v>
      </c>
      <c r="G85" s="1">
        <f t="shared" si="14"/>
        <v>7616.06</v>
      </c>
      <c r="H85" s="1">
        <v>0.0</v>
      </c>
      <c r="I85" s="1"/>
    </row>
    <row r="86" ht="15.0" customHeight="1">
      <c r="A86" s="1">
        <v>2033.0</v>
      </c>
      <c r="B86" s="1">
        <v>1.0</v>
      </c>
      <c r="C86" s="1">
        <v>0.0</v>
      </c>
      <c r="D86" s="1">
        <v>0.0</v>
      </c>
      <c r="E86" s="1">
        <f t="shared" ref="E86:E97" si="15">10365.29*(1+C86)</f>
        <v>10365.29</v>
      </c>
      <c r="F86" s="1">
        <v>0.0</v>
      </c>
      <c r="G86" s="1">
        <f t="shared" ref="G86:G97" si="16">7882.62*(1+D86)</f>
        <v>7882.62</v>
      </c>
      <c r="H86" s="1">
        <v>0.0</v>
      </c>
      <c r="I86" s="1"/>
    </row>
    <row r="87" ht="15.0" customHeight="1">
      <c r="A87" s="1">
        <v>2033.0</v>
      </c>
      <c r="B87" s="1">
        <v>2.0</v>
      </c>
      <c r="C87" s="1">
        <v>0.0</v>
      </c>
      <c r="D87" s="1">
        <v>0.0</v>
      </c>
      <c r="E87" s="1">
        <f t="shared" si="15"/>
        <v>10365.29</v>
      </c>
      <c r="F87" s="1">
        <v>0.0</v>
      </c>
      <c r="G87" s="1">
        <f t="shared" si="16"/>
        <v>7882.62</v>
      </c>
      <c r="H87" s="1">
        <v>0.0</v>
      </c>
      <c r="I87" s="1"/>
    </row>
    <row r="88" ht="15.0" customHeight="1">
      <c r="A88" s="1">
        <v>2033.0</v>
      </c>
      <c r="B88" s="1">
        <v>3.0</v>
      </c>
      <c r="C88" s="1">
        <v>0.0</v>
      </c>
      <c r="D88" s="1">
        <v>0.0</v>
      </c>
      <c r="E88" s="1">
        <f t="shared" si="15"/>
        <v>10365.29</v>
      </c>
      <c r="F88" s="1">
        <v>0.0</v>
      </c>
      <c r="G88" s="1">
        <f t="shared" si="16"/>
        <v>7882.62</v>
      </c>
      <c r="H88" s="1">
        <v>0.0</v>
      </c>
      <c r="I88" s="1"/>
    </row>
    <row r="89" ht="15.0" customHeight="1">
      <c r="A89" s="1">
        <v>2033.0</v>
      </c>
      <c r="B89" s="1">
        <v>4.0</v>
      </c>
      <c r="C89" s="1">
        <v>0.0</v>
      </c>
      <c r="D89" s="1">
        <v>0.0</v>
      </c>
      <c r="E89" s="1">
        <f t="shared" si="15"/>
        <v>10365.29</v>
      </c>
      <c r="F89" s="1">
        <f>13819.13*(1+C89)</f>
        <v>13819.13</v>
      </c>
      <c r="G89" s="1">
        <f t="shared" si="16"/>
        <v>7882.62</v>
      </c>
      <c r="H89" s="1">
        <f>10510.3*(1+D89)</f>
        <v>10510.3</v>
      </c>
      <c r="I89" s="1"/>
    </row>
    <row r="90" ht="15.0" customHeight="1">
      <c r="A90" s="1">
        <v>2033.0</v>
      </c>
      <c r="B90" s="1">
        <v>5.0</v>
      </c>
      <c r="C90" s="1">
        <v>0.0</v>
      </c>
      <c r="D90" s="1">
        <v>0.0</v>
      </c>
      <c r="E90" s="1">
        <f t="shared" si="15"/>
        <v>10365.29</v>
      </c>
      <c r="F90" s="1">
        <v>0.0</v>
      </c>
      <c r="G90" s="1">
        <f t="shared" si="16"/>
        <v>7882.62</v>
      </c>
      <c r="H90" s="1">
        <v>0.0</v>
      </c>
      <c r="I90" s="1"/>
    </row>
    <row r="91" ht="15.0" customHeight="1">
      <c r="A91" s="1">
        <v>2033.0</v>
      </c>
      <c r="B91" s="1">
        <v>6.0</v>
      </c>
      <c r="C91" s="1">
        <v>0.0</v>
      </c>
      <c r="D91" s="1">
        <v>0.0</v>
      </c>
      <c r="E91" s="1">
        <f t="shared" si="15"/>
        <v>10365.29</v>
      </c>
      <c r="F91" s="1">
        <v>0.0</v>
      </c>
      <c r="G91" s="1">
        <f t="shared" si="16"/>
        <v>7882.62</v>
      </c>
      <c r="H91" s="1">
        <v>0.0</v>
      </c>
      <c r="I91" s="1"/>
    </row>
    <row r="92" ht="15.0" customHeight="1">
      <c r="A92" s="1">
        <v>2033.0</v>
      </c>
      <c r="B92" s="1">
        <v>7.0</v>
      </c>
      <c r="C92" s="1">
        <v>0.0</v>
      </c>
      <c r="D92" s="1">
        <v>0.0</v>
      </c>
      <c r="E92" s="1">
        <f t="shared" si="15"/>
        <v>10365.29</v>
      </c>
      <c r="F92" s="1">
        <v>0.0</v>
      </c>
      <c r="G92" s="1">
        <f t="shared" si="16"/>
        <v>7882.62</v>
      </c>
      <c r="H92" s="1">
        <v>0.0</v>
      </c>
      <c r="I92" s="1"/>
    </row>
    <row r="93" ht="15.0" customHeight="1">
      <c r="A93" s="1">
        <v>2033.0</v>
      </c>
      <c r="B93" s="1">
        <v>8.0</v>
      </c>
      <c r="C93" s="1">
        <v>0.0</v>
      </c>
      <c r="D93" s="1">
        <v>0.0</v>
      </c>
      <c r="E93" s="1">
        <f t="shared" si="15"/>
        <v>10365.29</v>
      </c>
      <c r="F93" s="1">
        <v>0.0</v>
      </c>
      <c r="G93" s="1">
        <f t="shared" si="16"/>
        <v>7882.62</v>
      </c>
      <c r="H93" s="1">
        <v>0.0</v>
      </c>
      <c r="I93" s="1"/>
    </row>
    <row r="94" ht="15.0" customHeight="1">
      <c r="A94" s="1">
        <v>2033.0</v>
      </c>
      <c r="B94" s="1">
        <v>9.0</v>
      </c>
      <c r="C94" s="1">
        <v>0.0</v>
      </c>
      <c r="D94" s="1">
        <v>0.0</v>
      </c>
      <c r="E94" s="1">
        <f t="shared" si="15"/>
        <v>10365.29</v>
      </c>
      <c r="F94" s="1">
        <v>0.0</v>
      </c>
      <c r="G94" s="1">
        <f t="shared" si="16"/>
        <v>7882.62</v>
      </c>
      <c r="H94" s="1">
        <v>0.0</v>
      </c>
      <c r="I94" s="1"/>
    </row>
    <row r="95" ht="15.0" customHeight="1">
      <c r="A95" s="1">
        <v>2033.0</v>
      </c>
      <c r="B95" s="1">
        <v>10.0</v>
      </c>
      <c r="C95" s="1">
        <v>0.0</v>
      </c>
      <c r="D95" s="1">
        <v>0.0</v>
      </c>
      <c r="E95" s="1">
        <f t="shared" si="15"/>
        <v>10365.29</v>
      </c>
      <c r="F95" s="1">
        <v>0.0</v>
      </c>
      <c r="G95" s="1">
        <f t="shared" si="16"/>
        <v>7882.62</v>
      </c>
      <c r="H95" s="1">
        <v>0.0</v>
      </c>
      <c r="I95" s="1"/>
    </row>
    <row r="96" ht="15.0" customHeight="1">
      <c r="A96" s="1">
        <v>2033.0</v>
      </c>
      <c r="B96" s="1">
        <v>11.0</v>
      </c>
      <c r="C96" s="1">
        <v>0.0</v>
      </c>
      <c r="D96" s="1">
        <v>0.0</v>
      </c>
      <c r="E96" s="1">
        <f t="shared" si="15"/>
        <v>10365.29</v>
      </c>
      <c r="F96" s="1">
        <v>0.0</v>
      </c>
      <c r="G96" s="1">
        <f t="shared" si="16"/>
        <v>7882.62</v>
      </c>
      <c r="H96" s="1">
        <v>0.0</v>
      </c>
      <c r="I96" s="1"/>
    </row>
    <row r="97" ht="15.0" customHeight="1">
      <c r="A97" s="1">
        <v>2033.0</v>
      </c>
      <c r="B97" s="1">
        <v>12.0</v>
      </c>
      <c r="C97" s="1">
        <v>0.0</v>
      </c>
      <c r="D97" s="1">
        <v>0.0</v>
      </c>
      <c r="E97" s="1">
        <f t="shared" si="15"/>
        <v>10365.29</v>
      </c>
      <c r="F97" s="1">
        <v>0.0</v>
      </c>
      <c r="G97" s="1">
        <f t="shared" si="16"/>
        <v>7882.62</v>
      </c>
      <c r="H97" s="1">
        <v>0.0</v>
      </c>
      <c r="I97" s="1"/>
    </row>
    <row r="98" ht="15.0" customHeight="1">
      <c r="A98" s="1">
        <v>2034.0</v>
      </c>
      <c r="B98" s="1">
        <v>1.0</v>
      </c>
      <c r="C98" s="1">
        <v>0.0</v>
      </c>
      <c r="D98" s="1">
        <v>0.0</v>
      </c>
      <c r="E98" s="1">
        <f t="shared" ref="E98:E109" si="17">10883.55*(1+C98)</f>
        <v>10883.55</v>
      </c>
      <c r="F98" s="1">
        <v>0.0</v>
      </c>
      <c r="G98" s="1">
        <f t="shared" ref="G98:G109" si="18">8158.51*(1+D98)</f>
        <v>8158.51</v>
      </c>
      <c r="H98" s="1">
        <v>0.0</v>
      </c>
      <c r="I98" s="1"/>
    </row>
    <row r="99" ht="15.0" customHeight="1">
      <c r="A99" s="1">
        <v>2034.0</v>
      </c>
      <c r="B99" s="1">
        <v>2.0</v>
      </c>
      <c r="C99" s="1">
        <v>0.0</v>
      </c>
      <c r="D99" s="1">
        <v>0.0</v>
      </c>
      <c r="E99" s="1">
        <f t="shared" si="17"/>
        <v>10883.55</v>
      </c>
      <c r="F99" s="1">
        <v>0.0</v>
      </c>
      <c r="G99" s="1">
        <f t="shared" si="18"/>
        <v>8158.51</v>
      </c>
      <c r="H99" s="1">
        <v>0.0</v>
      </c>
      <c r="I99" s="1"/>
    </row>
    <row r="100" ht="15.0" customHeight="1">
      <c r="A100" s="1">
        <v>2034.0</v>
      </c>
      <c r="B100" s="1">
        <v>3.0</v>
      </c>
      <c r="C100" s="1">
        <v>0.0</v>
      </c>
      <c r="D100" s="1">
        <v>0.0</v>
      </c>
      <c r="E100" s="1">
        <f t="shared" si="17"/>
        <v>10883.55</v>
      </c>
      <c r="F100" s="1">
        <v>0.0</v>
      </c>
      <c r="G100" s="1">
        <f t="shared" si="18"/>
        <v>8158.51</v>
      </c>
      <c r="H100" s="1">
        <v>0.0</v>
      </c>
      <c r="I100" s="1"/>
    </row>
    <row r="101" ht="15.0" customHeight="1">
      <c r="A101" s="1">
        <v>2034.0</v>
      </c>
      <c r="B101" s="1">
        <v>4.0</v>
      </c>
      <c r="C101" s="1">
        <v>0.0</v>
      </c>
      <c r="D101" s="1">
        <v>0.0</v>
      </c>
      <c r="E101" s="1">
        <f t="shared" si="17"/>
        <v>10883.55</v>
      </c>
      <c r="F101" s="1">
        <f>14510.09*(1+C101)</f>
        <v>14510.09</v>
      </c>
      <c r="G101" s="1">
        <f t="shared" si="18"/>
        <v>8158.51</v>
      </c>
      <c r="H101" s="1">
        <f>10878.16*(1+D101)</f>
        <v>10878.16</v>
      </c>
      <c r="I101" s="1"/>
    </row>
    <row r="102" ht="15.0" customHeight="1">
      <c r="A102" s="1">
        <v>2034.0</v>
      </c>
      <c r="B102" s="1">
        <v>5.0</v>
      </c>
      <c r="C102" s="1">
        <v>0.0</v>
      </c>
      <c r="D102" s="1">
        <v>0.0</v>
      </c>
      <c r="E102" s="1">
        <f t="shared" si="17"/>
        <v>10883.55</v>
      </c>
      <c r="F102" s="1">
        <v>0.0</v>
      </c>
      <c r="G102" s="1">
        <f t="shared" si="18"/>
        <v>8158.51</v>
      </c>
      <c r="H102" s="1">
        <v>0.0</v>
      </c>
      <c r="I102" s="1"/>
    </row>
    <row r="103" ht="15.0" customHeight="1">
      <c r="A103" s="1">
        <v>2034.0</v>
      </c>
      <c r="B103" s="1">
        <v>6.0</v>
      </c>
      <c r="C103" s="1">
        <v>0.0</v>
      </c>
      <c r="D103" s="1">
        <v>0.0</v>
      </c>
      <c r="E103" s="1">
        <f t="shared" si="17"/>
        <v>10883.55</v>
      </c>
      <c r="F103" s="1">
        <v>0.0</v>
      </c>
      <c r="G103" s="1">
        <f t="shared" si="18"/>
        <v>8158.51</v>
      </c>
      <c r="H103" s="1">
        <v>0.0</v>
      </c>
      <c r="I103" s="1"/>
    </row>
    <row r="104" ht="15.0" customHeight="1">
      <c r="A104" s="1">
        <v>2034.0</v>
      </c>
      <c r="B104" s="1">
        <v>7.0</v>
      </c>
      <c r="C104" s="1">
        <v>0.0</v>
      </c>
      <c r="D104" s="1">
        <v>0.0</v>
      </c>
      <c r="E104" s="1">
        <f t="shared" si="17"/>
        <v>10883.55</v>
      </c>
      <c r="F104" s="1">
        <v>0.0</v>
      </c>
      <c r="G104" s="1">
        <f t="shared" si="18"/>
        <v>8158.51</v>
      </c>
      <c r="H104" s="1">
        <v>0.0</v>
      </c>
      <c r="I104" s="1"/>
    </row>
    <row r="105" ht="15.0" customHeight="1">
      <c r="A105" s="1">
        <v>2034.0</v>
      </c>
      <c r="B105" s="1">
        <v>8.0</v>
      </c>
      <c r="C105" s="1">
        <v>0.0</v>
      </c>
      <c r="D105" s="1">
        <v>0.0</v>
      </c>
      <c r="E105" s="1">
        <f t="shared" si="17"/>
        <v>10883.55</v>
      </c>
      <c r="F105" s="1">
        <v>0.0</v>
      </c>
      <c r="G105" s="1">
        <f t="shared" si="18"/>
        <v>8158.51</v>
      </c>
      <c r="H105" s="1">
        <v>0.0</v>
      </c>
      <c r="I105" s="1"/>
    </row>
    <row r="106" ht="15.0" customHeight="1">
      <c r="A106" s="1">
        <v>2034.0</v>
      </c>
      <c r="B106" s="1">
        <v>9.0</v>
      </c>
      <c r="C106" s="1">
        <v>0.0</v>
      </c>
      <c r="D106" s="1">
        <v>0.0</v>
      </c>
      <c r="E106" s="1">
        <f t="shared" si="17"/>
        <v>10883.55</v>
      </c>
      <c r="F106" s="1">
        <v>0.0</v>
      </c>
      <c r="G106" s="1">
        <f t="shared" si="18"/>
        <v>8158.51</v>
      </c>
      <c r="H106" s="1">
        <v>0.0</v>
      </c>
      <c r="I106" s="1"/>
    </row>
    <row r="107" ht="15.0" customHeight="1">
      <c r="A107" s="1">
        <v>2034.0</v>
      </c>
      <c r="B107" s="1">
        <v>10.0</v>
      </c>
      <c r="C107" s="1">
        <v>0.0</v>
      </c>
      <c r="D107" s="1">
        <v>0.0</v>
      </c>
      <c r="E107" s="1">
        <f t="shared" si="17"/>
        <v>10883.55</v>
      </c>
      <c r="F107" s="1">
        <v>0.0</v>
      </c>
      <c r="G107" s="1">
        <f t="shared" si="18"/>
        <v>8158.51</v>
      </c>
      <c r="H107" s="1">
        <v>0.0</v>
      </c>
      <c r="I107" s="1"/>
    </row>
    <row r="108" ht="15.0" customHeight="1">
      <c r="A108" s="1">
        <v>2034.0</v>
      </c>
      <c r="B108" s="1">
        <v>11.0</v>
      </c>
      <c r="C108" s="1">
        <v>0.0</v>
      </c>
      <c r="D108" s="1">
        <v>0.0</v>
      </c>
      <c r="E108" s="1">
        <f t="shared" si="17"/>
        <v>10883.55</v>
      </c>
      <c r="F108" s="1">
        <v>0.0</v>
      </c>
      <c r="G108" s="1">
        <f t="shared" si="18"/>
        <v>8158.51</v>
      </c>
      <c r="H108" s="1">
        <v>0.0</v>
      </c>
      <c r="I108" s="1"/>
    </row>
    <row r="109" ht="15.0" customHeight="1">
      <c r="A109" s="1">
        <v>2034.0</v>
      </c>
      <c r="B109" s="1">
        <v>12.0</v>
      </c>
      <c r="C109" s="1">
        <v>0.0</v>
      </c>
      <c r="D109" s="1">
        <v>0.0</v>
      </c>
      <c r="E109" s="1">
        <f t="shared" si="17"/>
        <v>10883.55</v>
      </c>
      <c r="F109" s="1">
        <v>0.0</v>
      </c>
      <c r="G109" s="1">
        <f t="shared" si="18"/>
        <v>8158.51</v>
      </c>
      <c r="H109" s="1">
        <v>0.0</v>
      </c>
      <c r="I109" s="1"/>
    </row>
    <row r="110" ht="15.0" customHeight="1">
      <c r="A110" s="1">
        <v>2035.0</v>
      </c>
      <c r="B110" s="1">
        <v>1.0</v>
      </c>
      <c r="C110" s="1">
        <v>0.0</v>
      </c>
      <c r="D110" s="1">
        <v>0.0</v>
      </c>
      <c r="E110" s="1">
        <f t="shared" ref="E110:E121" si="19">11427.73*(1+C110)</f>
        <v>11427.73</v>
      </c>
      <c r="F110" s="1">
        <v>0.0</v>
      </c>
      <c r="G110" s="1">
        <f t="shared" ref="G110:G121" si="20">8444.06*(1+D110)</f>
        <v>8444.06</v>
      </c>
      <c r="H110" s="1">
        <v>0.0</v>
      </c>
      <c r="I110" s="1"/>
    </row>
    <row r="111" ht="15.0" customHeight="1">
      <c r="A111" s="1">
        <v>2035.0</v>
      </c>
      <c r="B111" s="1">
        <v>2.0</v>
      </c>
      <c r="C111" s="1">
        <v>0.0</v>
      </c>
      <c r="D111" s="1">
        <v>0.0</v>
      </c>
      <c r="E111" s="1">
        <f t="shared" si="19"/>
        <v>11427.73</v>
      </c>
      <c r="F111" s="1">
        <v>0.0</v>
      </c>
      <c r="G111" s="1">
        <f t="shared" si="20"/>
        <v>8444.06</v>
      </c>
      <c r="H111" s="1">
        <v>0.0</v>
      </c>
      <c r="I111" s="1"/>
    </row>
    <row r="112" ht="15.0" customHeight="1">
      <c r="A112" s="1">
        <v>2035.0</v>
      </c>
      <c r="B112" s="1">
        <v>3.0</v>
      </c>
      <c r="C112" s="1">
        <v>0.0</v>
      </c>
      <c r="D112" s="1">
        <v>0.0</v>
      </c>
      <c r="E112" s="1">
        <f t="shared" si="19"/>
        <v>11427.73</v>
      </c>
      <c r="F112" s="1">
        <v>0.0</v>
      </c>
      <c r="G112" s="1">
        <f t="shared" si="20"/>
        <v>8444.06</v>
      </c>
      <c r="H112" s="1">
        <v>0.0</v>
      </c>
      <c r="I112" s="1"/>
    </row>
    <row r="113" ht="15.0" customHeight="1">
      <c r="A113" s="1">
        <v>2035.0</v>
      </c>
      <c r="B113" s="1">
        <v>4.0</v>
      </c>
      <c r="C113" s="1">
        <v>0.0</v>
      </c>
      <c r="D113" s="1">
        <v>0.0</v>
      </c>
      <c r="E113" s="1">
        <f t="shared" si="19"/>
        <v>11427.73</v>
      </c>
      <c r="F113" s="1">
        <f>15235.59*(1+C113)</f>
        <v>15235.59</v>
      </c>
      <c r="G113" s="1">
        <f t="shared" si="20"/>
        <v>8444.06</v>
      </c>
      <c r="H113" s="1">
        <f>11258.9*(1+D113)</f>
        <v>11258.9</v>
      </c>
      <c r="I113" s="1"/>
    </row>
    <row r="114" ht="15.0" customHeight="1">
      <c r="A114" s="1">
        <v>2035.0</v>
      </c>
      <c r="B114" s="1">
        <v>5.0</v>
      </c>
      <c r="C114" s="1">
        <v>0.0</v>
      </c>
      <c r="D114" s="1">
        <v>0.0</v>
      </c>
      <c r="E114" s="1">
        <f t="shared" si="19"/>
        <v>11427.73</v>
      </c>
      <c r="F114" s="1">
        <v>0.0</v>
      </c>
      <c r="G114" s="1">
        <f t="shared" si="20"/>
        <v>8444.06</v>
      </c>
      <c r="H114" s="1">
        <v>0.0</v>
      </c>
      <c r="I114" s="1"/>
    </row>
    <row r="115" ht="15.0" customHeight="1">
      <c r="A115" s="1">
        <v>2035.0</v>
      </c>
      <c r="B115" s="1">
        <v>6.0</v>
      </c>
      <c r="C115" s="1">
        <v>0.0</v>
      </c>
      <c r="D115" s="1">
        <v>0.0</v>
      </c>
      <c r="E115" s="1">
        <f t="shared" si="19"/>
        <v>11427.73</v>
      </c>
      <c r="F115" s="1">
        <v>0.0</v>
      </c>
      <c r="G115" s="1">
        <f t="shared" si="20"/>
        <v>8444.06</v>
      </c>
      <c r="H115" s="1">
        <v>0.0</v>
      </c>
      <c r="I115" s="1"/>
    </row>
    <row r="116" ht="15.0" customHeight="1">
      <c r="A116" s="1">
        <v>2035.0</v>
      </c>
      <c r="B116" s="1">
        <v>7.0</v>
      </c>
      <c r="C116" s="1">
        <v>0.0</v>
      </c>
      <c r="D116" s="1">
        <v>0.0</v>
      </c>
      <c r="E116" s="1">
        <f t="shared" si="19"/>
        <v>11427.73</v>
      </c>
      <c r="F116" s="1">
        <v>0.0</v>
      </c>
      <c r="G116" s="1">
        <f t="shared" si="20"/>
        <v>8444.06</v>
      </c>
      <c r="H116" s="1">
        <v>0.0</v>
      </c>
      <c r="I116" s="1"/>
    </row>
    <row r="117" ht="15.0" customHeight="1">
      <c r="A117" s="1">
        <v>2035.0</v>
      </c>
      <c r="B117" s="1">
        <v>8.0</v>
      </c>
      <c r="C117" s="1">
        <v>0.0</v>
      </c>
      <c r="D117" s="1">
        <v>0.0</v>
      </c>
      <c r="E117" s="1">
        <f t="shared" si="19"/>
        <v>11427.73</v>
      </c>
      <c r="F117" s="1">
        <v>0.0</v>
      </c>
      <c r="G117" s="1">
        <f t="shared" si="20"/>
        <v>8444.06</v>
      </c>
      <c r="H117" s="1">
        <v>0.0</v>
      </c>
      <c r="I117" s="1"/>
    </row>
    <row r="118" ht="15.0" customHeight="1">
      <c r="A118" s="1">
        <v>2035.0</v>
      </c>
      <c r="B118" s="1">
        <v>9.0</v>
      </c>
      <c r="C118" s="1">
        <v>0.0</v>
      </c>
      <c r="D118" s="1">
        <v>0.0</v>
      </c>
      <c r="E118" s="1">
        <f t="shared" si="19"/>
        <v>11427.73</v>
      </c>
      <c r="F118" s="1">
        <v>0.0</v>
      </c>
      <c r="G118" s="1">
        <f t="shared" si="20"/>
        <v>8444.06</v>
      </c>
      <c r="H118" s="1">
        <v>0.0</v>
      </c>
      <c r="I118" s="1"/>
    </row>
    <row r="119" ht="15.0" customHeight="1">
      <c r="A119" s="1">
        <v>2035.0</v>
      </c>
      <c r="B119" s="1">
        <v>10.0</v>
      </c>
      <c r="C119" s="1">
        <v>0.0</v>
      </c>
      <c r="D119" s="1">
        <v>0.0</v>
      </c>
      <c r="E119" s="1">
        <f t="shared" si="19"/>
        <v>11427.73</v>
      </c>
      <c r="F119" s="1">
        <v>0.0</v>
      </c>
      <c r="G119" s="1">
        <f t="shared" si="20"/>
        <v>8444.06</v>
      </c>
      <c r="H119" s="1">
        <v>0.0</v>
      </c>
      <c r="I119" s="1"/>
    </row>
    <row r="120" ht="15.0" customHeight="1">
      <c r="A120" s="1">
        <v>2035.0</v>
      </c>
      <c r="B120" s="1">
        <v>11.0</v>
      </c>
      <c r="C120" s="1">
        <v>0.0</v>
      </c>
      <c r="D120" s="1">
        <v>0.0</v>
      </c>
      <c r="E120" s="1">
        <f t="shared" si="19"/>
        <v>11427.73</v>
      </c>
      <c r="F120" s="1">
        <v>0.0</v>
      </c>
      <c r="G120" s="1">
        <f t="shared" si="20"/>
        <v>8444.06</v>
      </c>
      <c r="H120" s="1">
        <v>0.0</v>
      </c>
      <c r="I120" s="1"/>
    </row>
    <row r="121" ht="15.0" customHeight="1">
      <c r="A121" s="1">
        <v>2035.0</v>
      </c>
      <c r="B121" s="1">
        <v>12.0</v>
      </c>
      <c r="C121" s="1">
        <v>0.0</v>
      </c>
      <c r="D121" s="1">
        <v>0.0</v>
      </c>
      <c r="E121" s="1">
        <f t="shared" si="19"/>
        <v>11427.73</v>
      </c>
      <c r="F121" s="1">
        <v>0.0</v>
      </c>
      <c r="G121" s="1">
        <f t="shared" si="20"/>
        <v>8444.06</v>
      </c>
      <c r="H121" s="1">
        <v>0.0</v>
      </c>
      <c r="I121" s="1"/>
    </row>
    <row r="122" ht="15.0" customHeight="1">
      <c r="A122" s="1">
        <v>2036.0</v>
      </c>
      <c r="B122" s="1">
        <v>1.0</v>
      </c>
      <c r="C122" s="1">
        <v>0.0</v>
      </c>
      <c r="D122" s="1">
        <v>0.0</v>
      </c>
      <c r="E122" s="1">
        <f t="shared" ref="E122:E133" si="21">11999.12*(1+C122)</f>
        <v>11999.12</v>
      </c>
      <c r="F122" s="1">
        <v>0.0</v>
      </c>
      <c r="G122" s="1">
        <f t="shared" ref="G122:G133" si="22">8739.6*(1+D122)</f>
        <v>8739.6</v>
      </c>
      <c r="H122" s="1">
        <v>0.0</v>
      </c>
      <c r="I122" s="1"/>
    </row>
    <row r="123" ht="15.0" customHeight="1">
      <c r="A123" s="1">
        <v>2036.0</v>
      </c>
      <c r="B123" s="1">
        <v>2.0</v>
      </c>
      <c r="C123" s="1">
        <v>0.0</v>
      </c>
      <c r="D123" s="1">
        <v>0.0</v>
      </c>
      <c r="E123" s="1">
        <f t="shared" si="21"/>
        <v>11999.12</v>
      </c>
      <c r="F123" s="1">
        <v>0.0</v>
      </c>
      <c r="G123" s="1">
        <f t="shared" si="22"/>
        <v>8739.6</v>
      </c>
      <c r="H123" s="1">
        <v>0.0</v>
      </c>
      <c r="I123" s="1"/>
    </row>
    <row r="124" ht="15.0" customHeight="1">
      <c r="A124" s="1">
        <v>2036.0</v>
      </c>
      <c r="B124" s="1">
        <v>3.0</v>
      </c>
      <c r="C124" s="1">
        <v>0.0</v>
      </c>
      <c r="D124" s="1">
        <v>0.0</v>
      </c>
      <c r="E124" s="1">
        <f t="shared" si="21"/>
        <v>11999.12</v>
      </c>
      <c r="F124" s="1">
        <v>0.0</v>
      </c>
      <c r="G124" s="1">
        <f t="shared" si="22"/>
        <v>8739.6</v>
      </c>
      <c r="H124" s="1">
        <v>0.0</v>
      </c>
      <c r="I124" s="1"/>
    </row>
    <row r="125" ht="15.0" customHeight="1">
      <c r="A125" s="1">
        <v>2036.0</v>
      </c>
      <c r="B125" s="1">
        <v>4.0</v>
      </c>
      <c r="C125" s="1">
        <v>0.0</v>
      </c>
      <c r="D125" s="1">
        <v>0.0</v>
      </c>
      <c r="E125" s="1">
        <f t="shared" si="21"/>
        <v>11999.12</v>
      </c>
      <c r="F125" s="1">
        <f>15997.37*(1+C125)</f>
        <v>15997.37</v>
      </c>
      <c r="G125" s="1">
        <f t="shared" si="22"/>
        <v>8739.6</v>
      </c>
      <c r="H125" s="1">
        <f>11652.96*(1+D125)</f>
        <v>11652.96</v>
      </c>
      <c r="I125" s="1"/>
    </row>
    <row r="126" ht="15.0" customHeight="1">
      <c r="A126" s="1">
        <v>2036.0</v>
      </c>
      <c r="B126" s="1">
        <v>5.0</v>
      </c>
      <c r="C126" s="1">
        <v>0.0</v>
      </c>
      <c r="D126" s="1">
        <v>0.0</v>
      </c>
      <c r="E126" s="1">
        <f t="shared" si="21"/>
        <v>11999.12</v>
      </c>
      <c r="F126" s="1">
        <v>0.0</v>
      </c>
      <c r="G126" s="1">
        <f t="shared" si="22"/>
        <v>8739.6</v>
      </c>
      <c r="H126" s="1">
        <v>0.0</v>
      </c>
      <c r="I126" s="1"/>
    </row>
    <row r="127" ht="15.0" customHeight="1">
      <c r="A127" s="1">
        <v>2036.0</v>
      </c>
      <c r="B127" s="1">
        <v>6.0</v>
      </c>
      <c r="C127" s="1">
        <v>0.0</v>
      </c>
      <c r="D127" s="1">
        <v>0.0</v>
      </c>
      <c r="E127" s="1">
        <f t="shared" si="21"/>
        <v>11999.12</v>
      </c>
      <c r="F127" s="1">
        <v>0.0</v>
      </c>
      <c r="G127" s="1">
        <f t="shared" si="22"/>
        <v>8739.6</v>
      </c>
      <c r="H127" s="1">
        <v>0.0</v>
      </c>
      <c r="I127" s="1"/>
    </row>
    <row r="128" ht="15.0" customHeight="1">
      <c r="A128" s="1">
        <v>2036.0</v>
      </c>
      <c r="B128" s="1">
        <v>7.0</v>
      </c>
      <c r="C128" s="1">
        <v>0.0</v>
      </c>
      <c r="D128" s="1">
        <v>0.0</v>
      </c>
      <c r="E128" s="1">
        <f t="shared" si="21"/>
        <v>11999.12</v>
      </c>
      <c r="F128" s="1">
        <v>0.0</v>
      </c>
      <c r="G128" s="1">
        <f t="shared" si="22"/>
        <v>8739.6</v>
      </c>
      <c r="H128" s="1">
        <v>0.0</v>
      </c>
      <c r="I128" s="1"/>
    </row>
    <row r="129" ht="15.0" customHeight="1">
      <c r="A129" s="1">
        <v>2036.0</v>
      </c>
      <c r="B129" s="1">
        <v>8.0</v>
      </c>
      <c r="C129" s="1">
        <v>0.0</v>
      </c>
      <c r="D129" s="1">
        <v>0.0</v>
      </c>
      <c r="E129" s="1">
        <f t="shared" si="21"/>
        <v>11999.12</v>
      </c>
      <c r="F129" s="1">
        <v>0.0</v>
      </c>
      <c r="G129" s="1">
        <f t="shared" si="22"/>
        <v>8739.6</v>
      </c>
      <c r="H129" s="1">
        <v>0.0</v>
      </c>
      <c r="I129" s="1"/>
    </row>
    <row r="130" ht="15.0" customHeight="1">
      <c r="A130" s="1">
        <v>2036.0</v>
      </c>
      <c r="B130" s="1">
        <v>9.0</v>
      </c>
      <c r="C130" s="1">
        <v>0.0</v>
      </c>
      <c r="D130" s="1">
        <v>0.0</v>
      </c>
      <c r="E130" s="1">
        <f t="shared" si="21"/>
        <v>11999.12</v>
      </c>
      <c r="F130" s="1">
        <v>0.0</v>
      </c>
      <c r="G130" s="1">
        <f t="shared" si="22"/>
        <v>8739.6</v>
      </c>
      <c r="H130" s="1">
        <v>0.0</v>
      </c>
      <c r="I130" s="1"/>
    </row>
    <row r="131" ht="15.0" customHeight="1">
      <c r="A131" s="1">
        <v>2036.0</v>
      </c>
      <c r="B131" s="1">
        <v>10.0</v>
      </c>
      <c r="C131" s="1">
        <v>0.0</v>
      </c>
      <c r="D131" s="1">
        <v>0.0</v>
      </c>
      <c r="E131" s="1">
        <f t="shared" si="21"/>
        <v>11999.12</v>
      </c>
      <c r="F131" s="1">
        <v>0.0</v>
      </c>
      <c r="G131" s="1">
        <f t="shared" si="22"/>
        <v>8739.6</v>
      </c>
      <c r="H131" s="1">
        <v>0.0</v>
      </c>
      <c r="I131" s="1"/>
    </row>
    <row r="132" ht="15.0" customHeight="1">
      <c r="A132" s="1">
        <v>2036.0</v>
      </c>
      <c r="B132" s="1">
        <v>11.0</v>
      </c>
      <c r="C132" s="1">
        <v>0.0</v>
      </c>
      <c r="D132" s="1">
        <v>0.0</v>
      </c>
      <c r="E132" s="1">
        <f t="shared" si="21"/>
        <v>11999.12</v>
      </c>
      <c r="F132" s="1">
        <v>0.0</v>
      </c>
      <c r="G132" s="1">
        <f t="shared" si="22"/>
        <v>8739.6</v>
      </c>
      <c r="H132" s="1">
        <v>0.0</v>
      </c>
      <c r="I132" s="1"/>
    </row>
    <row r="133" ht="15.0" customHeight="1">
      <c r="A133" s="1">
        <v>2036.0</v>
      </c>
      <c r="B133" s="1">
        <v>12.0</v>
      </c>
      <c r="C133" s="1">
        <v>0.0</v>
      </c>
      <c r="D133" s="1">
        <v>0.0</v>
      </c>
      <c r="E133" s="1">
        <f t="shared" si="21"/>
        <v>11999.12</v>
      </c>
      <c r="F133" s="1">
        <v>0.0</v>
      </c>
      <c r="G133" s="1">
        <f t="shared" si="22"/>
        <v>8739.6</v>
      </c>
      <c r="H133" s="1">
        <v>0.0</v>
      </c>
      <c r="I133" s="1"/>
    </row>
    <row r="134" ht="15.0" customHeight="1">
      <c r="A134" s="1">
        <v>2037.0</v>
      </c>
      <c r="B134" s="1">
        <v>1.0</v>
      </c>
      <c r="C134" s="1">
        <v>0.0</v>
      </c>
      <c r="D134" s="1">
        <v>0.0</v>
      </c>
      <c r="E134" s="1">
        <f t="shared" ref="E134:E145" si="23">12599.07*(1+C134)</f>
        <v>12599.07</v>
      </c>
      <c r="F134" s="1">
        <v>0.0</v>
      </c>
      <c r="G134" s="1">
        <f t="shared" ref="G134:G145" si="24">9045.49*(1+D134)</f>
        <v>9045.49</v>
      </c>
      <c r="H134" s="1">
        <v>0.0</v>
      </c>
      <c r="I134" s="1"/>
    </row>
    <row r="135" ht="15.0" customHeight="1">
      <c r="A135" s="1">
        <v>2037.0</v>
      </c>
      <c r="B135" s="1">
        <v>2.0</v>
      </c>
      <c r="C135" s="1">
        <v>0.0</v>
      </c>
      <c r="D135" s="1">
        <v>0.0</v>
      </c>
      <c r="E135" s="1">
        <f t="shared" si="23"/>
        <v>12599.07</v>
      </c>
      <c r="F135" s="1">
        <v>0.0</v>
      </c>
      <c r="G135" s="1">
        <f t="shared" si="24"/>
        <v>9045.49</v>
      </c>
      <c r="H135" s="1">
        <v>0.0</v>
      </c>
      <c r="I135" s="1"/>
    </row>
    <row r="136" ht="15.0" customHeight="1">
      <c r="A136" s="1">
        <v>2037.0</v>
      </c>
      <c r="B136" s="1">
        <v>3.0</v>
      </c>
      <c r="C136" s="1">
        <v>0.0</v>
      </c>
      <c r="D136" s="1">
        <v>0.0</v>
      </c>
      <c r="E136" s="1">
        <f t="shared" si="23"/>
        <v>12599.07</v>
      </c>
      <c r="F136" s="1">
        <v>0.0</v>
      </c>
      <c r="G136" s="1">
        <f t="shared" si="24"/>
        <v>9045.49</v>
      </c>
      <c r="H136" s="1">
        <v>0.0</v>
      </c>
      <c r="I136" s="1"/>
    </row>
    <row r="137" ht="15.0" customHeight="1">
      <c r="A137" s="1">
        <v>2037.0</v>
      </c>
      <c r="B137" s="1">
        <v>4.0</v>
      </c>
      <c r="C137" s="1">
        <v>0.0</v>
      </c>
      <c r="D137" s="1">
        <v>0.0</v>
      </c>
      <c r="E137" s="1">
        <f t="shared" si="23"/>
        <v>12599.07</v>
      </c>
      <c r="F137" s="1">
        <f>16797.24*(1+C137)</f>
        <v>16797.24</v>
      </c>
      <c r="G137" s="1">
        <f t="shared" si="24"/>
        <v>9045.49</v>
      </c>
      <c r="H137" s="1">
        <f>12060.81*(1+D137)</f>
        <v>12060.81</v>
      </c>
      <c r="I137" s="1"/>
    </row>
    <row r="138" ht="15.0" customHeight="1">
      <c r="A138" s="1">
        <v>2037.0</v>
      </c>
      <c r="B138" s="1">
        <v>5.0</v>
      </c>
      <c r="C138" s="1">
        <v>0.0</v>
      </c>
      <c r="D138" s="1">
        <v>0.0</v>
      </c>
      <c r="E138" s="1">
        <f t="shared" si="23"/>
        <v>12599.07</v>
      </c>
      <c r="F138" s="1">
        <v>0.0</v>
      </c>
      <c r="G138" s="1">
        <f t="shared" si="24"/>
        <v>9045.49</v>
      </c>
      <c r="H138" s="1">
        <v>0.0</v>
      </c>
      <c r="I138" s="1"/>
    </row>
    <row r="139" ht="15.0" customHeight="1">
      <c r="A139" s="1">
        <v>2037.0</v>
      </c>
      <c r="B139" s="1">
        <v>6.0</v>
      </c>
      <c r="C139" s="1">
        <v>0.0</v>
      </c>
      <c r="D139" s="1">
        <v>0.0</v>
      </c>
      <c r="E139" s="1">
        <f t="shared" si="23"/>
        <v>12599.07</v>
      </c>
      <c r="F139" s="1">
        <v>0.0</v>
      </c>
      <c r="G139" s="1">
        <f t="shared" si="24"/>
        <v>9045.49</v>
      </c>
      <c r="H139" s="1">
        <v>0.0</v>
      </c>
      <c r="I139" s="1"/>
    </row>
    <row r="140" ht="15.0" customHeight="1">
      <c r="A140" s="1">
        <v>2037.0</v>
      </c>
      <c r="B140" s="1">
        <v>7.0</v>
      </c>
      <c r="C140" s="1">
        <v>0.0</v>
      </c>
      <c r="D140" s="1">
        <v>0.0</v>
      </c>
      <c r="E140" s="1">
        <f t="shared" si="23"/>
        <v>12599.07</v>
      </c>
      <c r="F140" s="1">
        <v>0.0</v>
      </c>
      <c r="G140" s="1">
        <f t="shared" si="24"/>
        <v>9045.49</v>
      </c>
      <c r="H140" s="1">
        <v>0.0</v>
      </c>
      <c r="I140" s="1"/>
    </row>
    <row r="141" ht="15.0" customHeight="1">
      <c r="A141" s="1">
        <v>2037.0</v>
      </c>
      <c r="B141" s="1">
        <v>8.0</v>
      </c>
      <c r="C141" s="1">
        <v>0.0</v>
      </c>
      <c r="D141" s="1">
        <v>0.0</v>
      </c>
      <c r="E141" s="1">
        <f t="shared" si="23"/>
        <v>12599.07</v>
      </c>
      <c r="F141" s="1">
        <v>0.0</v>
      </c>
      <c r="G141" s="1">
        <f t="shared" si="24"/>
        <v>9045.49</v>
      </c>
      <c r="H141" s="1">
        <v>0.0</v>
      </c>
      <c r="I141" s="1"/>
    </row>
    <row r="142" ht="15.0" customHeight="1">
      <c r="A142" s="1">
        <v>2037.0</v>
      </c>
      <c r="B142" s="1">
        <v>9.0</v>
      </c>
      <c r="C142" s="1">
        <v>0.0</v>
      </c>
      <c r="D142" s="1">
        <v>0.0</v>
      </c>
      <c r="E142" s="1">
        <f t="shared" si="23"/>
        <v>12599.07</v>
      </c>
      <c r="F142" s="1">
        <v>0.0</v>
      </c>
      <c r="G142" s="1">
        <f t="shared" si="24"/>
        <v>9045.49</v>
      </c>
      <c r="H142" s="1">
        <v>0.0</v>
      </c>
      <c r="I142" s="1"/>
    </row>
    <row r="143" ht="15.0" customHeight="1">
      <c r="A143" s="1">
        <v>2037.0</v>
      </c>
      <c r="B143" s="1">
        <v>10.0</v>
      </c>
      <c r="C143" s="1">
        <v>0.0</v>
      </c>
      <c r="D143" s="1">
        <v>0.0</v>
      </c>
      <c r="E143" s="1">
        <f t="shared" si="23"/>
        <v>12599.07</v>
      </c>
      <c r="F143" s="1">
        <v>0.0</v>
      </c>
      <c r="G143" s="1">
        <f t="shared" si="24"/>
        <v>9045.49</v>
      </c>
      <c r="H143" s="1">
        <v>0.0</v>
      </c>
      <c r="I143" s="1"/>
    </row>
    <row r="144" ht="15.0" customHeight="1">
      <c r="A144" s="1">
        <v>2037.0</v>
      </c>
      <c r="B144" s="1">
        <v>11.0</v>
      </c>
      <c r="C144" s="1">
        <v>0.0</v>
      </c>
      <c r="D144" s="1">
        <v>0.0</v>
      </c>
      <c r="E144" s="1">
        <f t="shared" si="23"/>
        <v>12599.07</v>
      </c>
      <c r="F144" s="1">
        <v>0.0</v>
      </c>
      <c r="G144" s="1">
        <f t="shared" si="24"/>
        <v>9045.49</v>
      </c>
      <c r="H144" s="1">
        <v>0.0</v>
      </c>
      <c r="I144" s="1"/>
    </row>
    <row r="145" ht="15.0" customHeight="1">
      <c r="A145" s="1">
        <v>2037.0</v>
      </c>
      <c r="B145" s="1">
        <v>12.0</v>
      </c>
      <c r="C145" s="1">
        <v>0.0</v>
      </c>
      <c r="D145" s="1">
        <v>0.0</v>
      </c>
      <c r="E145" s="1">
        <f t="shared" si="23"/>
        <v>12599.07</v>
      </c>
      <c r="F145" s="1">
        <v>0.0</v>
      </c>
      <c r="G145" s="1">
        <f t="shared" si="24"/>
        <v>9045.49</v>
      </c>
      <c r="H145" s="1">
        <v>0.0</v>
      </c>
      <c r="I145" s="1"/>
    </row>
    <row r="146" ht="15.0" customHeight="1">
      <c r="A146" s="1">
        <v>2038.0</v>
      </c>
      <c r="B146" s="1">
        <v>1.0</v>
      </c>
      <c r="C146" s="1">
        <v>0.0</v>
      </c>
      <c r="D146" s="1">
        <v>0.0</v>
      </c>
      <c r="E146" s="1">
        <f t="shared" ref="E146:E157" si="25">13229.03*(1+C146)</f>
        <v>13229.03</v>
      </c>
      <c r="F146" s="1">
        <v>0.0</v>
      </c>
      <c r="G146" s="1">
        <f t="shared" ref="G146:G157" si="26">9362.08*(1+D146)</f>
        <v>9362.08</v>
      </c>
      <c r="H146" s="1">
        <v>0.0</v>
      </c>
      <c r="I146" s="1"/>
    </row>
    <row r="147" ht="15.0" customHeight="1">
      <c r="A147" s="1">
        <v>2038.0</v>
      </c>
      <c r="B147" s="1">
        <v>2.0</v>
      </c>
      <c r="C147" s="1">
        <v>0.0</v>
      </c>
      <c r="D147" s="1">
        <v>0.0</v>
      </c>
      <c r="E147" s="1">
        <f t="shared" si="25"/>
        <v>13229.03</v>
      </c>
      <c r="F147" s="1">
        <v>0.0</v>
      </c>
      <c r="G147" s="1">
        <f t="shared" si="26"/>
        <v>9362.08</v>
      </c>
      <c r="H147" s="1">
        <v>0.0</v>
      </c>
      <c r="I147" s="1"/>
    </row>
    <row r="148" ht="15.0" customHeight="1">
      <c r="A148" s="1">
        <v>2038.0</v>
      </c>
      <c r="B148" s="1">
        <v>3.0</v>
      </c>
      <c r="C148" s="1">
        <v>0.0</v>
      </c>
      <c r="D148" s="1">
        <v>0.0</v>
      </c>
      <c r="E148" s="1">
        <f t="shared" si="25"/>
        <v>13229.03</v>
      </c>
      <c r="F148" s="1">
        <v>0.0</v>
      </c>
      <c r="G148" s="1">
        <f t="shared" si="26"/>
        <v>9362.08</v>
      </c>
      <c r="H148" s="1">
        <v>0.0</v>
      </c>
      <c r="I148" s="1"/>
    </row>
    <row r="149" ht="15.0" customHeight="1">
      <c r="A149" s="1">
        <v>2038.0</v>
      </c>
      <c r="B149" s="1">
        <v>4.0</v>
      </c>
      <c r="C149" s="1">
        <v>0.0</v>
      </c>
      <c r="D149" s="1">
        <v>0.0</v>
      </c>
      <c r="E149" s="1">
        <f t="shared" si="25"/>
        <v>13229.03</v>
      </c>
      <c r="F149" s="1">
        <f>17637.1*(1+C149)</f>
        <v>17637.1</v>
      </c>
      <c r="G149" s="1">
        <f t="shared" si="26"/>
        <v>9362.08</v>
      </c>
      <c r="H149" s="1">
        <f>12482.94*(1+D149)</f>
        <v>12482.94</v>
      </c>
      <c r="I149" s="1"/>
    </row>
    <row r="150" ht="15.0" customHeight="1">
      <c r="A150" s="1">
        <v>2038.0</v>
      </c>
      <c r="B150" s="1">
        <v>5.0</v>
      </c>
      <c r="C150" s="1">
        <v>0.0</v>
      </c>
      <c r="D150" s="1">
        <v>0.0</v>
      </c>
      <c r="E150" s="1">
        <f t="shared" si="25"/>
        <v>13229.03</v>
      </c>
      <c r="F150" s="1">
        <v>0.0</v>
      </c>
      <c r="G150" s="1">
        <f t="shared" si="26"/>
        <v>9362.08</v>
      </c>
      <c r="H150" s="1">
        <v>0.0</v>
      </c>
      <c r="I150" s="1"/>
    </row>
    <row r="151" ht="15.0" customHeight="1">
      <c r="A151" s="1">
        <v>2038.0</v>
      </c>
      <c r="B151" s="1">
        <v>6.0</v>
      </c>
      <c r="C151" s="1">
        <v>0.0</v>
      </c>
      <c r="D151" s="1">
        <v>0.0</v>
      </c>
      <c r="E151" s="1">
        <f t="shared" si="25"/>
        <v>13229.03</v>
      </c>
      <c r="F151" s="1">
        <v>0.0</v>
      </c>
      <c r="G151" s="1">
        <f t="shared" si="26"/>
        <v>9362.08</v>
      </c>
      <c r="H151" s="1">
        <v>0.0</v>
      </c>
      <c r="I151" s="1"/>
    </row>
    <row r="152" ht="15.0" customHeight="1">
      <c r="A152" s="1">
        <v>2038.0</v>
      </c>
      <c r="B152" s="1">
        <v>7.0</v>
      </c>
      <c r="C152" s="1">
        <v>0.0</v>
      </c>
      <c r="D152" s="1">
        <v>0.0</v>
      </c>
      <c r="E152" s="1">
        <f t="shared" si="25"/>
        <v>13229.03</v>
      </c>
      <c r="F152" s="1">
        <v>0.0</v>
      </c>
      <c r="G152" s="1">
        <f t="shared" si="26"/>
        <v>9362.08</v>
      </c>
      <c r="H152" s="1">
        <v>0.0</v>
      </c>
      <c r="I152" s="1"/>
    </row>
    <row r="153" ht="15.0" customHeight="1">
      <c r="A153" s="1">
        <v>2038.0</v>
      </c>
      <c r="B153" s="1">
        <v>8.0</v>
      </c>
      <c r="C153" s="1">
        <v>0.0</v>
      </c>
      <c r="D153" s="1">
        <v>0.0</v>
      </c>
      <c r="E153" s="1">
        <f t="shared" si="25"/>
        <v>13229.03</v>
      </c>
      <c r="F153" s="1">
        <v>0.0</v>
      </c>
      <c r="G153" s="1">
        <f t="shared" si="26"/>
        <v>9362.08</v>
      </c>
      <c r="H153" s="1">
        <v>0.0</v>
      </c>
      <c r="I153" s="1"/>
    </row>
    <row r="154" ht="15.0" customHeight="1">
      <c r="A154" s="1">
        <v>2038.0</v>
      </c>
      <c r="B154" s="1">
        <v>9.0</v>
      </c>
      <c r="C154" s="1">
        <v>0.0</v>
      </c>
      <c r="D154" s="1">
        <v>0.0</v>
      </c>
      <c r="E154" s="1">
        <f t="shared" si="25"/>
        <v>13229.03</v>
      </c>
      <c r="F154" s="1">
        <v>0.0</v>
      </c>
      <c r="G154" s="1">
        <f t="shared" si="26"/>
        <v>9362.08</v>
      </c>
      <c r="H154" s="1">
        <v>0.0</v>
      </c>
      <c r="I154" s="1"/>
    </row>
    <row r="155" ht="15.0" customHeight="1">
      <c r="A155" s="1">
        <v>2038.0</v>
      </c>
      <c r="B155" s="1">
        <v>10.0</v>
      </c>
      <c r="C155" s="1">
        <v>0.0</v>
      </c>
      <c r="D155" s="1">
        <v>0.0</v>
      </c>
      <c r="E155" s="1">
        <f t="shared" si="25"/>
        <v>13229.03</v>
      </c>
      <c r="F155" s="1">
        <v>0.0</v>
      </c>
      <c r="G155" s="1">
        <f t="shared" si="26"/>
        <v>9362.08</v>
      </c>
      <c r="H155" s="1">
        <v>0.0</v>
      </c>
      <c r="I155" s="1"/>
    </row>
    <row r="156" ht="15.0" customHeight="1">
      <c r="A156" s="1">
        <v>2038.0</v>
      </c>
      <c r="B156" s="1">
        <v>11.0</v>
      </c>
      <c r="C156" s="1">
        <v>0.0</v>
      </c>
      <c r="D156" s="1">
        <v>0.0</v>
      </c>
      <c r="E156" s="1">
        <f t="shared" si="25"/>
        <v>13229.03</v>
      </c>
      <c r="F156" s="1">
        <v>0.0</v>
      </c>
      <c r="G156" s="1">
        <f t="shared" si="26"/>
        <v>9362.08</v>
      </c>
      <c r="H156" s="1">
        <v>0.0</v>
      </c>
      <c r="I156" s="1"/>
    </row>
    <row r="157" ht="15.0" customHeight="1">
      <c r="A157" s="1">
        <v>2038.0</v>
      </c>
      <c r="B157" s="1">
        <v>12.0</v>
      </c>
      <c r="C157" s="1">
        <v>0.0</v>
      </c>
      <c r="D157" s="1">
        <v>0.0</v>
      </c>
      <c r="E157" s="1">
        <f t="shared" si="25"/>
        <v>13229.03</v>
      </c>
      <c r="F157" s="1">
        <v>0.0</v>
      </c>
      <c r="G157" s="1">
        <f t="shared" si="26"/>
        <v>9362.08</v>
      </c>
      <c r="H157" s="1">
        <v>0.0</v>
      </c>
      <c r="I157" s="1"/>
    </row>
    <row r="158" ht="15.0" customHeight="1">
      <c r="A158" s="1">
        <v>2039.0</v>
      </c>
      <c r="B158" s="1">
        <v>1.0</v>
      </c>
      <c r="C158" s="1">
        <v>0.0</v>
      </c>
      <c r="D158" s="1">
        <v>0.0</v>
      </c>
      <c r="E158" s="1">
        <f t="shared" ref="E158:E169" si="27">13890.48*(1+C158)</f>
        <v>13890.48</v>
      </c>
      <c r="F158" s="1">
        <v>0.0</v>
      </c>
      <c r="G158" s="1">
        <f t="shared" ref="G158:G169" si="28">9689.75*(1+D158)</f>
        <v>9689.75</v>
      </c>
      <c r="H158" s="1">
        <v>0.0</v>
      </c>
      <c r="I158" s="1"/>
    </row>
    <row r="159" ht="15.0" customHeight="1">
      <c r="A159" s="1">
        <v>2039.0</v>
      </c>
      <c r="B159" s="1">
        <v>2.0</v>
      </c>
      <c r="C159" s="1">
        <v>0.0</v>
      </c>
      <c r="D159" s="1">
        <v>0.0</v>
      </c>
      <c r="E159" s="1">
        <f t="shared" si="27"/>
        <v>13890.48</v>
      </c>
      <c r="F159" s="1">
        <v>0.0</v>
      </c>
      <c r="G159" s="1">
        <f t="shared" si="28"/>
        <v>9689.75</v>
      </c>
      <c r="H159" s="1">
        <v>0.0</v>
      </c>
      <c r="I159" s="1"/>
    </row>
    <row r="160" ht="15.0" customHeight="1">
      <c r="A160" s="1">
        <v>2039.0</v>
      </c>
      <c r="B160" s="1">
        <v>3.0</v>
      </c>
      <c r="C160" s="1">
        <v>0.0</v>
      </c>
      <c r="D160" s="1">
        <v>0.0</v>
      </c>
      <c r="E160" s="1">
        <f t="shared" si="27"/>
        <v>13890.48</v>
      </c>
      <c r="F160" s="1">
        <v>0.0</v>
      </c>
      <c r="G160" s="1">
        <f t="shared" si="28"/>
        <v>9689.75</v>
      </c>
      <c r="H160" s="1">
        <v>0.0</v>
      </c>
      <c r="I160" s="1"/>
    </row>
    <row r="161" ht="15.0" customHeight="1">
      <c r="A161" s="1">
        <v>2039.0</v>
      </c>
      <c r="B161" s="1">
        <v>4.0</v>
      </c>
      <c r="C161" s="1">
        <v>0.0</v>
      </c>
      <c r="D161" s="1">
        <v>0.0</v>
      </c>
      <c r="E161" s="1">
        <f t="shared" si="27"/>
        <v>13890.48</v>
      </c>
      <c r="F161" s="1">
        <f>18518.96*(1+C161)</f>
        <v>18518.96</v>
      </c>
      <c r="G161" s="1">
        <f t="shared" si="28"/>
        <v>9689.75</v>
      </c>
      <c r="H161" s="1">
        <f>12919.84*(1+D161)</f>
        <v>12919.84</v>
      </c>
      <c r="I161" s="1"/>
    </row>
    <row r="162" ht="15.0" customHeight="1">
      <c r="A162" s="1">
        <v>2039.0</v>
      </c>
      <c r="B162" s="1">
        <v>5.0</v>
      </c>
      <c r="C162" s="1">
        <v>0.0</v>
      </c>
      <c r="D162" s="1">
        <v>0.0</v>
      </c>
      <c r="E162" s="1">
        <f t="shared" si="27"/>
        <v>13890.48</v>
      </c>
      <c r="F162" s="1">
        <v>0.0</v>
      </c>
      <c r="G162" s="1">
        <f t="shared" si="28"/>
        <v>9689.75</v>
      </c>
      <c r="H162" s="1">
        <v>0.0</v>
      </c>
      <c r="I162" s="1"/>
    </row>
    <row r="163" ht="15.0" customHeight="1">
      <c r="A163" s="1">
        <v>2039.0</v>
      </c>
      <c r="B163" s="1">
        <v>6.0</v>
      </c>
      <c r="C163" s="1">
        <v>0.0</v>
      </c>
      <c r="D163" s="1">
        <v>0.0</v>
      </c>
      <c r="E163" s="1">
        <f t="shared" si="27"/>
        <v>13890.48</v>
      </c>
      <c r="F163" s="1">
        <v>0.0</v>
      </c>
      <c r="G163" s="1">
        <f t="shared" si="28"/>
        <v>9689.75</v>
      </c>
      <c r="H163" s="1">
        <v>0.0</v>
      </c>
      <c r="I163" s="1"/>
    </row>
    <row r="164" ht="15.0" customHeight="1">
      <c r="A164" s="1">
        <v>2039.0</v>
      </c>
      <c r="B164" s="1">
        <v>7.0</v>
      </c>
      <c r="C164" s="1">
        <v>0.0</v>
      </c>
      <c r="D164" s="1">
        <v>0.0</v>
      </c>
      <c r="E164" s="1">
        <f t="shared" si="27"/>
        <v>13890.48</v>
      </c>
      <c r="F164" s="1">
        <v>0.0</v>
      </c>
      <c r="G164" s="1">
        <f t="shared" si="28"/>
        <v>9689.75</v>
      </c>
      <c r="H164" s="1">
        <v>0.0</v>
      </c>
      <c r="I164" s="1"/>
    </row>
    <row r="165" ht="15.0" customHeight="1">
      <c r="A165" s="1">
        <v>2039.0</v>
      </c>
      <c r="B165" s="1">
        <v>8.0</v>
      </c>
      <c r="C165" s="1">
        <v>0.0</v>
      </c>
      <c r="D165" s="1">
        <v>0.0</v>
      </c>
      <c r="E165" s="1">
        <f t="shared" si="27"/>
        <v>13890.48</v>
      </c>
      <c r="F165" s="1">
        <v>0.0</v>
      </c>
      <c r="G165" s="1">
        <f t="shared" si="28"/>
        <v>9689.75</v>
      </c>
      <c r="H165" s="1">
        <v>0.0</v>
      </c>
      <c r="I165" s="1"/>
    </row>
    <row r="166" ht="15.0" customHeight="1">
      <c r="A166" s="1">
        <v>2039.0</v>
      </c>
      <c r="B166" s="1">
        <v>9.0</v>
      </c>
      <c r="C166" s="1">
        <v>0.0</v>
      </c>
      <c r="D166" s="1">
        <v>0.0</v>
      </c>
      <c r="E166" s="1">
        <f t="shared" si="27"/>
        <v>13890.48</v>
      </c>
      <c r="F166" s="1">
        <v>0.0</v>
      </c>
      <c r="G166" s="1">
        <f t="shared" si="28"/>
        <v>9689.75</v>
      </c>
      <c r="H166" s="1">
        <v>0.0</v>
      </c>
      <c r="I166" s="1"/>
    </row>
    <row r="167" ht="15.0" customHeight="1">
      <c r="A167" s="1">
        <v>2039.0</v>
      </c>
      <c r="B167" s="1">
        <v>10.0</v>
      </c>
      <c r="C167" s="1">
        <v>0.0</v>
      </c>
      <c r="D167" s="1">
        <v>0.0</v>
      </c>
      <c r="E167" s="1">
        <f t="shared" si="27"/>
        <v>13890.48</v>
      </c>
      <c r="F167" s="1">
        <v>0.0</v>
      </c>
      <c r="G167" s="1">
        <f t="shared" si="28"/>
        <v>9689.75</v>
      </c>
      <c r="H167" s="1">
        <v>0.0</v>
      </c>
      <c r="I167" s="1"/>
    </row>
    <row r="168" ht="15.0" customHeight="1">
      <c r="A168" s="1">
        <v>2039.0</v>
      </c>
      <c r="B168" s="1">
        <v>11.0</v>
      </c>
      <c r="C168" s="1">
        <v>0.0</v>
      </c>
      <c r="D168" s="1">
        <v>0.0</v>
      </c>
      <c r="E168" s="1">
        <f t="shared" si="27"/>
        <v>13890.48</v>
      </c>
      <c r="F168" s="1">
        <v>0.0</v>
      </c>
      <c r="G168" s="1">
        <f t="shared" si="28"/>
        <v>9689.75</v>
      </c>
      <c r="H168" s="1">
        <v>0.0</v>
      </c>
      <c r="I168" s="1"/>
    </row>
    <row r="169" ht="15.0" customHeight="1">
      <c r="A169" s="1">
        <v>2039.0</v>
      </c>
      <c r="B169" s="1">
        <v>12.0</v>
      </c>
      <c r="C169" s="1">
        <v>0.0</v>
      </c>
      <c r="D169" s="1">
        <v>0.0</v>
      </c>
      <c r="E169" s="1">
        <f t="shared" si="27"/>
        <v>13890.48</v>
      </c>
      <c r="F169" s="1">
        <v>0.0</v>
      </c>
      <c r="G169" s="1">
        <f t="shared" si="28"/>
        <v>9689.75</v>
      </c>
      <c r="H169" s="1">
        <v>0.0</v>
      </c>
      <c r="I169" s="1"/>
    </row>
    <row r="170" ht="15.0" customHeight="1">
      <c r="A170" s="1">
        <v>2040.0</v>
      </c>
      <c r="B170" s="1">
        <v>1.0</v>
      </c>
      <c r="C170" s="1">
        <v>0.0</v>
      </c>
      <c r="D170" s="1">
        <v>0.0</v>
      </c>
      <c r="E170" s="1">
        <f t="shared" ref="E170:E181" si="29">14585*(1+C170)</f>
        <v>14585</v>
      </c>
      <c r="F170" s="1">
        <v>0.0</v>
      </c>
      <c r="G170" s="1">
        <f t="shared" ref="G170:G181" si="30">10028.89*(1+D170)</f>
        <v>10028.89</v>
      </c>
      <c r="H170" s="1">
        <v>0.0</v>
      </c>
      <c r="I170" s="1"/>
    </row>
    <row r="171" ht="15.0" customHeight="1">
      <c r="A171" s="1">
        <v>2040.0</v>
      </c>
      <c r="B171" s="1">
        <v>2.0</v>
      </c>
      <c r="C171" s="1">
        <v>0.0</v>
      </c>
      <c r="D171" s="1">
        <v>0.0</v>
      </c>
      <c r="E171" s="1">
        <f t="shared" si="29"/>
        <v>14585</v>
      </c>
      <c r="F171" s="1">
        <v>0.0</v>
      </c>
      <c r="G171" s="1">
        <f t="shared" si="30"/>
        <v>10028.89</v>
      </c>
      <c r="H171" s="1">
        <v>0.0</v>
      </c>
      <c r="I171" s="1"/>
    </row>
    <row r="172" ht="15.0" customHeight="1">
      <c r="A172" s="1">
        <v>2040.0</v>
      </c>
      <c r="B172" s="1">
        <v>3.0</v>
      </c>
      <c r="C172" s="1">
        <v>0.0</v>
      </c>
      <c r="D172" s="1">
        <v>0.0</v>
      </c>
      <c r="E172" s="1">
        <f t="shared" si="29"/>
        <v>14585</v>
      </c>
      <c r="F172" s="1">
        <v>0.0</v>
      </c>
      <c r="G172" s="1">
        <f t="shared" si="30"/>
        <v>10028.89</v>
      </c>
      <c r="H172" s="1">
        <v>0.0</v>
      </c>
      <c r="I172" s="1"/>
    </row>
    <row r="173" ht="15.0" customHeight="1">
      <c r="A173" s="1">
        <v>2040.0</v>
      </c>
      <c r="B173" s="1">
        <v>4.0</v>
      </c>
      <c r="C173" s="1">
        <v>0.0</v>
      </c>
      <c r="D173" s="1">
        <v>0.0</v>
      </c>
      <c r="E173" s="1">
        <f t="shared" si="29"/>
        <v>14585</v>
      </c>
      <c r="F173" s="1">
        <f>19444.91*(1+C173)</f>
        <v>19444.91</v>
      </c>
      <c r="G173" s="1">
        <f t="shared" si="30"/>
        <v>10028.89</v>
      </c>
      <c r="H173" s="1">
        <f>13372.04*(1+D173)</f>
        <v>13372.04</v>
      </c>
      <c r="I173" s="1"/>
    </row>
    <row r="174" ht="15.0" customHeight="1">
      <c r="A174" s="1">
        <v>2040.0</v>
      </c>
      <c r="B174" s="1">
        <v>5.0</v>
      </c>
      <c r="C174" s="1">
        <v>0.0</v>
      </c>
      <c r="D174" s="1">
        <v>0.0</v>
      </c>
      <c r="E174" s="1">
        <f t="shared" si="29"/>
        <v>14585</v>
      </c>
      <c r="F174" s="1">
        <v>0.0</v>
      </c>
      <c r="G174" s="1">
        <f t="shared" si="30"/>
        <v>10028.89</v>
      </c>
      <c r="H174" s="1">
        <v>0.0</v>
      </c>
      <c r="I174" s="1"/>
    </row>
    <row r="175" ht="15.0" customHeight="1">
      <c r="A175" s="1">
        <v>2040.0</v>
      </c>
      <c r="B175" s="1">
        <v>6.0</v>
      </c>
      <c r="C175" s="1">
        <v>0.0</v>
      </c>
      <c r="D175" s="1">
        <v>0.0</v>
      </c>
      <c r="E175" s="1">
        <f t="shared" si="29"/>
        <v>14585</v>
      </c>
      <c r="F175" s="1">
        <v>0.0</v>
      </c>
      <c r="G175" s="1">
        <f t="shared" si="30"/>
        <v>10028.89</v>
      </c>
      <c r="H175" s="1">
        <v>0.0</v>
      </c>
      <c r="I175" s="1"/>
    </row>
    <row r="176" ht="15.0" customHeight="1">
      <c r="A176" s="1">
        <v>2040.0</v>
      </c>
      <c r="B176" s="1">
        <v>7.0</v>
      </c>
      <c r="C176" s="1">
        <v>0.0</v>
      </c>
      <c r="D176" s="1">
        <v>0.0</v>
      </c>
      <c r="E176" s="1">
        <f t="shared" si="29"/>
        <v>14585</v>
      </c>
      <c r="F176" s="1">
        <v>0.0</v>
      </c>
      <c r="G176" s="1">
        <f t="shared" si="30"/>
        <v>10028.89</v>
      </c>
      <c r="H176" s="1">
        <v>0.0</v>
      </c>
      <c r="I176" s="1"/>
    </row>
    <row r="177" ht="15.0" customHeight="1">
      <c r="A177" s="1">
        <v>2040.0</v>
      </c>
      <c r="B177" s="1">
        <v>8.0</v>
      </c>
      <c r="C177" s="1">
        <v>0.0</v>
      </c>
      <c r="D177" s="1">
        <v>0.0</v>
      </c>
      <c r="E177" s="1">
        <f t="shared" si="29"/>
        <v>14585</v>
      </c>
      <c r="F177" s="1">
        <v>0.0</v>
      </c>
      <c r="G177" s="1">
        <f t="shared" si="30"/>
        <v>10028.89</v>
      </c>
      <c r="H177" s="1">
        <v>0.0</v>
      </c>
      <c r="I177" s="1"/>
    </row>
    <row r="178" ht="15.0" customHeight="1">
      <c r="A178" s="1">
        <v>2040.0</v>
      </c>
      <c r="B178" s="1">
        <v>9.0</v>
      </c>
      <c r="C178" s="1">
        <v>0.0</v>
      </c>
      <c r="D178" s="1">
        <v>0.0</v>
      </c>
      <c r="E178" s="1">
        <f t="shared" si="29"/>
        <v>14585</v>
      </c>
      <c r="F178" s="1">
        <v>0.0</v>
      </c>
      <c r="G178" s="1">
        <f t="shared" si="30"/>
        <v>10028.89</v>
      </c>
      <c r="H178" s="1">
        <v>0.0</v>
      </c>
      <c r="I178" s="1"/>
    </row>
    <row r="179" ht="15.0" customHeight="1">
      <c r="A179" s="1">
        <v>2040.0</v>
      </c>
      <c r="B179" s="1">
        <v>10.0</v>
      </c>
      <c r="C179" s="1">
        <v>0.0</v>
      </c>
      <c r="D179" s="1">
        <v>0.0</v>
      </c>
      <c r="E179" s="1">
        <f t="shared" si="29"/>
        <v>14585</v>
      </c>
      <c r="F179" s="1">
        <v>0.0</v>
      </c>
      <c r="G179" s="1">
        <f t="shared" si="30"/>
        <v>10028.89</v>
      </c>
      <c r="H179" s="1">
        <v>0.0</v>
      </c>
      <c r="I179" s="1"/>
    </row>
    <row r="180" ht="15.0" customHeight="1">
      <c r="A180" s="1">
        <v>2040.0</v>
      </c>
      <c r="B180" s="1">
        <v>11.0</v>
      </c>
      <c r="C180" s="1">
        <v>0.0</v>
      </c>
      <c r="D180" s="1">
        <v>0.0</v>
      </c>
      <c r="E180" s="1">
        <f t="shared" si="29"/>
        <v>14585</v>
      </c>
      <c r="F180" s="1">
        <v>0.0</v>
      </c>
      <c r="G180" s="1">
        <f t="shared" si="30"/>
        <v>10028.89</v>
      </c>
      <c r="H180" s="1">
        <v>0.0</v>
      </c>
      <c r="I180" s="1"/>
    </row>
    <row r="181" ht="15.0" customHeight="1">
      <c r="A181" s="1">
        <v>2040.0</v>
      </c>
      <c r="B181" s="1">
        <v>12.0</v>
      </c>
      <c r="C181" s="1">
        <v>0.0</v>
      </c>
      <c r="D181" s="1">
        <v>0.0</v>
      </c>
      <c r="E181" s="1">
        <f t="shared" si="29"/>
        <v>14585</v>
      </c>
      <c r="F181" s="1">
        <v>0.0</v>
      </c>
      <c r="G181" s="1">
        <f t="shared" si="30"/>
        <v>10028.89</v>
      </c>
      <c r="H181" s="1">
        <v>0.0</v>
      </c>
      <c r="I181" s="1"/>
    </row>
    <row r="182" ht="15.0" customHeight="1">
      <c r="A182" s="1">
        <v>2041.0</v>
      </c>
      <c r="B182" s="1">
        <v>1.0</v>
      </c>
      <c r="C182" s="1">
        <v>0.0</v>
      </c>
      <c r="D182" s="1">
        <v>0.0</v>
      </c>
      <c r="E182" s="1">
        <f t="shared" ref="E182:E193" si="31">15314.25*(1+C182)</f>
        <v>15314.25</v>
      </c>
      <c r="F182" s="1">
        <v>0.0</v>
      </c>
      <c r="G182" s="1">
        <f t="shared" ref="G182:G193" si="32">10379.9*(1+D182)</f>
        <v>10379.9</v>
      </c>
      <c r="H182" s="1">
        <v>0.0</v>
      </c>
      <c r="I182" s="1"/>
    </row>
    <row r="183" ht="15.0" customHeight="1">
      <c r="A183" s="1">
        <v>2041.0</v>
      </c>
      <c r="B183" s="1">
        <v>2.0</v>
      </c>
      <c r="C183" s="1">
        <v>0.0</v>
      </c>
      <c r="D183" s="1">
        <v>0.0</v>
      </c>
      <c r="E183" s="1">
        <f t="shared" si="31"/>
        <v>15314.25</v>
      </c>
      <c r="F183" s="1">
        <v>0.0</v>
      </c>
      <c r="G183" s="1">
        <f t="shared" si="32"/>
        <v>10379.9</v>
      </c>
      <c r="H183" s="1">
        <v>0.0</v>
      </c>
      <c r="I183" s="1"/>
    </row>
    <row r="184" ht="15.0" customHeight="1">
      <c r="A184" s="1">
        <v>2041.0</v>
      </c>
      <c r="B184" s="1">
        <v>3.0</v>
      </c>
      <c r="C184" s="1">
        <v>0.0</v>
      </c>
      <c r="D184" s="1">
        <v>0.0</v>
      </c>
      <c r="E184" s="1">
        <f t="shared" si="31"/>
        <v>15314.25</v>
      </c>
      <c r="F184" s="1">
        <v>0.0</v>
      </c>
      <c r="G184" s="1">
        <f t="shared" si="32"/>
        <v>10379.9</v>
      </c>
      <c r="H184" s="1">
        <v>0.0</v>
      </c>
      <c r="I184" s="1"/>
    </row>
    <row r="185" ht="15.0" customHeight="1">
      <c r="A185" s="1">
        <v>2041.0</v>
      </c>
      <c r="B185" s="1">
        <v>4.0</v>
      </c>
      <c r="C185" s="1">
        <v>0.0</v>
      </c>
      <c r="D185" s="1">
        <v>0.0</v>
      </c>
      <c r="E185" s="1">
        <f t="shared" si="31"/>
        <v>15314.25</v>
      </c>
      <c r="F185" s="1">
        <f>20417.15*(1+C185)</f>
        <v>20417.15</v>
      </c>
      <c r="G185" s="1">
        <f t="shared" si="32"/>
        <v>10379.9</v>
      </c>
      <c r="H185" s="1">
        <f>13840.06*(1+D185)</f>
        <v>13840.06</v>
      </c>
      <c r="I185" s="1"/>
    </row>
    <row r="186" ht="15.0" customHeight="1">
      <c r="A186" s="1">
        <v>2041.0</v>
      </c>
      <c r="B186" s="1">
        <v>5.0</v>
      </c>
      <c r="C186" s="1">
        <v>0.0</v>
      </c>
      <c r="D186" s="1">
        <v>0.0</v>
      </c>
      <c r="E186" s="1">
        <f t="shared" si="31"/>
        <v>15314.25</v>
      </c>
      <c r="F186" s="1">
        <v>0.0</v>
      </c>
      <c r="G186" s="1">
        <f t="shared" si="32"/>
        <v>10379.9</v>
      </c>
      <c r="H186" s="1">
        <v>0.0</v>
      </c>
      <c r="I186" s="1"/>
    </row>
    <row r="187" ht="15.0" customHeight="1">
      <c r="A187" s="1">
        <v>2041.0</v>
      </c>
      <c r="B187" s="1">
        <v>6.0</v>
      </c>
      <c r="C187" s="1">
        <v>0.0</v>
      </c>
      <c r="D187" s="1">
        <v>0.0</v>
      </c>
      <c r="E187" s="1">
        <f t="shared" si="31"/>
        <v>15314.25</v>
      </c>
      <c r="F187" s="1">
        <v>0.0</v>
      </c>
      <c r="G187" s="1">
        <f t="shared" si="32"/>
        <v>10379.9</v>
      </c>
      <c r="H187" s="1">
        <v>0.0</v>
      </c>
      <c r="I187" s="1"/>
    </row>
    <row r="188" ht="15.0" customHeight="1">
      <c r="A188" s="1">
        <v>2041.0</v>
      </c>
      <c r="B188" s="1">
        <v>7.0</v>
      </c>
      <c r="C188" s="1">
        <v>0.0</v>
      </c>
      <c r="D188" s="1">
        <v>0.0</v>
      </c>
      <c r="E188" s="1">
        <f t="shared" si="31"/>
        <v>15314.25</v>
      </c>
      <c r="F188" s="1">
        <v>0.0</v>
      </c>
      <c r="G188" s="1">
        <f t="shared" si="32"/>
        <v>10379.9</v>
      </c>
      <c r="H188" s="1">
        <v>0.0</v>
      </c>
      <c r="I188" s="1"/>
    </row>
    <row r="189" ht="15.0" customHeight="1">
      <c r="A189" s="1">
        <v>2041.0</v>
      </c>
      <c r="B189" s="1">
        <v>8.0</v>
      </c>
      <c r="C189" s="1">
        <v>0.0</v>
      </c>
      <c r="D189" s="1">
        <v>0.0</v>
      </c>
      <c r="E189" s="1">
        <f t="shared" si="31"/>
        <v>15314.25</v>
      </c>
      <c r="F189" s="1">
        <v>0.0</v>
      </c>
      <c r="G189" s="1">
        <f t="shared" si="32"/>
        <v>10379.9</v>
      </c>
      <c r="H189" s="1">
        <v>0.0</v>
      </c>
      <c r="I189" s="1"/>
    </row>
    <row r="190" ht="15.0" customHeight="1">
      <c r="A190" s="1">
        <v>2041.0</v>
      </c>
      <c r="B190" s="1">
        <v>9.0</v>
      </c>
      <c r="C190" s="1">
        <v>0.0</v>
      </c>
      <c r="D190" s="1">
        <v>0.0</v>
      </c>
      <c r="E190" s="1">
        <f t="shared" si="31"/>
        <v>15314.25</v>
      </c>
      <c r="F190" s="1">
        <v>0.0</v>
      </c>
      <c r="G190" s="1">
        <f t="shared" si="32"/>
        <v>10379.9</v>
      </c>
      <c r="H190" s="1">
        <v>0.0</v>
      </c>
      <c r="I190" s="1"/>
    </row>
    <row r="191" ht="15.0" customHeight="1">
      <c r="A191" s="1">
        <v>2041.0</v>
      </c>
      <c r="B191" s="1">
        <v>10.0</v>
      </c>
      <c r="C191" s="1">
        <v>0.0</v>
      </c>
      <c r="D191" s="1">
        <v>0.0</v>
      </c>
      <c r="E191" s="1">
        <f t="shared" si="31"/>
        <v>15314.25</v>
      </c>
      <c r="F191" s="1">
        <v>0.0</v>
      </c>
      <c r="G191" s="1">
        <f t="shared" si="32"/>
        <v>10379.9</v>
      </c>
      <c r="H191" s="1">
        <v>0.0</v>
      </c>
      <c r="I191" s="1"/>
    </row>
    <row r="192" ht="15.0" customHeight="1">
      <c r="A192" s="1">
        <v>2041.0</v>
      </c>
      <c r="B192" s="1">
        <v>11.0</v>
      </c>
      <c r="C192" s="1">
        <v>0.0</v>
      </c>
      <c r="D192" s="1">
        <v>0.0</v>
      </c>
      <c r="E192" s="1">
        <f t="shared" si="31"/>
        <v>15314.25</v>
      </c>
      <c r="F192" s="1">
        <v>0.0</v>
      </c>
      <c r="G192" s="1">
        <f t="shared" si="32"/>
        <v>10379.9</v>
      </c>
      <c r="H192" s="1">
        <v>0.0</v>
      </c>
      <c r="I192" s="1"/>
    </row>
    <row r="193" ht="15.0" customHeight="1">
      <c r="A193" s="1">
        <v>2041.0</v>
      </c>
      <c r="B193" s="1">
        <v>12.0</v>
      </c>
      <c r="C193" s="1">
        <v>0.0</v>
      </c>
      <c r="D193" s="1">
        <v>0.0</v>
      </c>
      <c r="E193" s="1">
        <f t="shared" si="31"/>
        <v>15314.25</v>
      </c>
      <c r="F193" s="1">
        <v>0.0</v>
      </c>
      <c r="G193" s="1">
        <f t="shared" si="32"/>
        <v>10379.9</v>
      </c>
      <c r="H193" s="1">
        <v>0.0</v>
      </c>
      <c r="I193" s="1"/>
    </row>
    <row r="194" ht="15.0" customHeight="1">
      <c r="A194" s="1">
        <v>2042.0</v>
      </c>
      <c r="B194" s="1">
        <v>1.0</v>
      </c>
      <c r="C194" s="1">
        <v>0.0</v>
      </c>
      <c r="D194" s="1">
        <v>0.0</v>
      </c>
      <c r="E194" s="1">
        <f t="shared" ref="E194:E205" si="33">16079.96*(1+C194)</f>
        <v>16079.96</v>
      </c>
      <c r="F194" s="1">
        <v>0.0</v>
      </c>
      <c r="G194" s="1">
        <f t="shared" ref="G194:G205" si="34">10743.2*(1+D194)</f>
        <v>10743.2</v>
      </c>
      <c r="H194" s="1">
        <v>0.0</v>
      </c>
      <c r="I194" s="1"/>
    </row>
    <row r="195" ht="15.0" customHeight="1">
      <c r="A195" s="1">
        <v>2042.0</v>
      </c>
      <c r="B195" s="1">
        <v>2.0</v>
      </c>
      <c r="C195" s="1">
        <v>0.0</v>
      </c>
      <c r="D195" s="1">
        <v>0.0</v>
      </c>
      <c r="E195" s="1">
        <f t="shared" si="33"/>
        <v>16079.96</v>
      </c>
      <c r="F195" s="1">
        <v>0.0</v>
      </c>
      <c r="G195" s="1">
        <f t="shared" si="34"/>
        <v>10743.2</v>
      </c>
      <c r="H195" s="1">
        <v>0.0</v>
      </c>
      <c r="I195" s="1"/>
    </row>
    <row r="196" ht="15.0" customHeight="1">
      <c r="A196" s="1">
        <v>2042.0</v>
      </c>
      <c r="B196" s="1">
        <v>3.0</v>
      </c>
      <c r="C196" s="1">
        <v>0.0</v>
      </c>
      <c r="D196" s="1">
        <v>0.0</v>
      </c>
      <c r="E196" s="1">
        <f t="shared" si="33"/>
        <v>16079.96</v>
      </c>
      <c r="F196" s="1">
        <v>0.0</v>
      </c>
      <c r="G196" s="1">
        <f t="shared" si="34"/>
        <v>10743.2</v>
      </c>
      <c r="H196" s="1">
        <v>0.0</v>
      </c>
      <c r="I196" s="1"/>
    </row>
    <row r="197" ht="15.0" customHeight="1">
      <c r="A197" s="1">
        <v>2042.0</v>
      </c>
      <c r="B197" s="1">
        <v>4.0</v>
      </c>
      <c r="C197" s="1">
        <v>0.0</v>
      </c>
      <c r="D197" s="1">
        <v>0.0</v>
      </c>
      <c r="E197" s="1">
        <f t="shared" si="33"/>
        <v>16079.96</v>
      </c>
      <c r="F197" s="1">
        <f>21438.01*(1+C197)</f>
        <v>21438.01</v>
      </c>
      <c r="G197" s="1">
        <f t="shared" si="34"/>
        <v>10743.2</v>
      </c>
      <c r="H197" s="1">
        <f>14324.46*(1+D197)</f>
        <v>14324.46</v>
      </c>
      <c r="I197" s="1"/>
    </row>
    <row r="198" ht="15.0" customHeight="1">
      <c r="A198" s="1">
        <v>2042.0</v>
      </c>
      <c r="B198" s="1">
        <v>5.0</v>
      </c>
      <c r="C198" s="1">
        <v>0.0</v>
      </c>
      <c r="D198" s="1">
        <v>0.0</v>
      </c>
      <c r="E198" s="1">
        <f t="shared" si="33"/>
        <v>16079.96</v>
      </c>
      <c r="F198" s="1">
        <v>0.0</v>
      </c>
      <c r="G198" s="1">
        <f t="shared" si="34"/>
        <v>10743.2</v>
      </c>
      <c r="H198" s="1">
        <v>0.0</v>
      </c>
      <c r="I198" s="1"/>
    </row>
    <row r="199" ht="15.0" customHeight="1">
      <c r="A199" s="1">
        <v>2042.0</v>
      </c>
      <c r="B199" s="1">
        <v>6.0</v>
      </c>
      <c r="C199" s="1">
        <v>0.0</v>
      </c>
      <c r="D199" s="1">
        <v>0.0</v>
      </c>
      <c r="E199" s="1">
        <f t="shared" si="33"/>
        <v>16079.96</v>
      </c>
      <c r="F199" s="1">
        <v>0.0</v>
      </c>
      <c r="G199" s="1">
        <f t="shared" si="34"/>
        <v>10743.2</v>
      </c>
      <c r="H199" s="1">
        <v>0.0</v>
      </c>
      <c r="I199" s="1"/>
    </row>
    <row r="200" ht="15.0" customHeight="1">
      <c r="A200" s="1">
        <v>2042.0</v>
      </c>
      <c r="B200" s="1">
        <v>7.0</v>
      </c>
      <c r="C200" s="1">
        <v>0.0</v>
      </c>
      <c r="D200" s="1">
        <v>0.0</v>
      </c>
      <c r="E200" s="1">
        <f t="shared" si="33"/>
        <v>16079.96</v>
      </c>
      <c r="F200" s="1">
        <v>0.0</v>
      </c>
      <c r="G200" s="1">
        <f t="shared" si="34"/>
        <v>10743.2</v>
      </c>
      <c r="H200" s="1">
        <v>0.0</v>
      </c>
      <c r="I200" s="1"/>
    </row>
    <row r="201" ht="15.0" customHeight="1">
      <c r="A201" s="1">
        <v>2042.0</v>
      </c>
      <c r="B201" s="1">
        <v>8.0</v>
      </c>
      <c r="C201" s="1">
        <v>0.0</v>
      </c>
      <c r="D201" s="1">
        <v>0.0</v>
      </c>
      <c r="E201" s="1">
        <f t="shared" si="33"/>
        <v>16079.96</v>
      </c>
      <c r="F201" s="1">
        <v>0.0</v>
      </c>
      <c r="G201" s="1">
        <f t="shared" si="34"/>
        <v>10743.2</v>
      </c>
      <c r="H201" s="1">
        <v>0.0</v>
      </c>
      <c r="I201" s="1"/>
    </row>
    <row r="202" ht="15.0" customHeight="1">
      <c r="A202" s="1">
        <v>2042.0</v>
      </c>
      <c r="B202" s="1">
        <v>9.0</v>
      </c>
      <c r="C202" s="1">
        <v>0.0</v>
      </c>
      <c r="D202" s="1">
        <v>0.0</v>
      </c>
      <c r="E202" s="1">
        <f t="shared" si="33"/>
        <v>16079.96</v>
      </c>
      <c r="F202" s="1">
        <v>0.0</v>
      </c>
      <c r="G202" s="1">
        <f t="shared" si="34"/>
        <v>10743.2</v>
      </c>
      <c r="H202" s="1">
        <v>0.0</v>
      </c>
      <c r="I202" s="1"/>
    </row>
    <row r="203" ht="15.0" customHeight="1">
      <c r="A203" s="1">
        <v>2042.0</v>
      </c>
      <c r="B203" s="1">
        <v>10.0</v>
      </c>
      <c r="C203" s="1">
        <v>0.0</v>
      </c>
      <c r="D203" s="1">
        <v>0.0</v>
      </c>
      <c r="E203" s="1">
        <f t="shared" si="33"/>
        <v>16079.96</v>
      </c>
      <c r="F203" s="1">
        <v>0.0</v>
      </c>
      <c r="G203" s="1">
        <f t="shared" si="34"/>
        <v>10743.2</v>
      </c>
      <c r="H203" s="1">
        <v>0.0</v>
      </c>
      <c r="I203" s="1"/>
    </row>
    <row r="204" ht="15.0" customHeight="1">
      <c r="A204" s="1">
        <v>2042.0</v>
      </c>
      <c r="B204" s="1">
        <v>11.0</v>
      </c>
      <c r="C204" s="1">
        <v>0.0</v>
      </c>
      <c r="D204" s="1">
        <v>0.0</v>
      </c>
      <c r="E204" s="1">
        <f t="shared" si="33"/>
        <v>16079.96</v>
      </c>
      <c r="F204" s="1">
        <v>0.0</v>
      </c>
      <c r="G204" s="1">
        <f t="shared" si="34"/>
        <v>10743.2</v>
      </c>
      <c r="H204" s="1">
        <v>0.0</v>
      </c>
      <c r="I204" s="1"/>
    </row>
    <row r="205" ht="15.0" customHeight="1">
      <c r="A205" s="1">
        <v>2042.0</v>
      </c>
      <c r="B205" s="1">
        <v>12.0</v>
      </c>
      <c r="C205" s="1">
        <v>0.0</v>
      </c>
      <c r="D205" s="1">
        <v>0.0</v>
      </c>
      <c r="E205" s="1">
        <f t="shared" si="33"/>
        <v>16079.96</v>
      </c>
      <c r="F205" s="1">
        <v>0.0</v>
      </c>
      <c r="G205" s="1">
        <f t="shared" si="34"/>
        <v>10743.2</v>
      </c>
      <c r="H205" s="1">
        <v>0.0</v>
      </c>
      <c r="I205" s="1"/>
    </row>
    <row r="206" ht="15.75" customHeight="1">
      <c r="A206" s="1"/>
      <c r="B206" s="1"/>
      <c r="C206" s="1"/>
      <c r="D206" s="1"/>
      <c r="E206" s="1"/>
      <c r="F206" s="1"/>
      <c r="G206" s="1"/>
      <c r="I206" s="1"/>
    </row>
    <row r="207" ht="15.75" customHeight="1">
      <c r="A207" s="1"/>
      <c r="B207" s="1"/>
      <c r="C207" s="1"/>
      <c r="D207" s="1"/>
      <c r="E207" s="1"/>
      <c r="F207" s="1"/>
      <c r="G207" s="1"/>
      <c r="I207" s="1"/>
    </row>
    <row r="208" ht="15.75" customHeight="1">
      <c r="A208" s="1"/>
      <c r="B208" s="1"/>
      <c r="C208" s="1"/>
      <c r="D208" s="1"/>
      <c r="E208" s="1"/>
      <c r="F208" s="1"/>
      <c r="G208" s="1"/>
      <c r="I208" s="1"/>
    </row>
    <row r="209" ht="15.75" customHeight="1">
      <c r="A209" s="1"/>
      <c r="B209" s="1"/>
      <c r="C209" s="1"/>
      <c r="D209" s="1"/>
      <c r="E209" s="1"/>
      <c r="F209" s="1"/>
      <c r="G209" s="1"/>
      <c r="I209" s="1"/>
    </row>
    <row r="210" ht="15.75" customHeight="1">
      <c r="A210" s="1"/>
      <c r="B210" s="1"/>
      <c r="C210" s="1"/>
      <c r="D210" s="1"/>
      <c r="E210" s="1"/>
      <c r="F210" s="1"/>
      <c r="G210" s="1"/>
      <c r="I210" s="1"/>
    </row>
    <row r="211" ht="15.75" customHeight="1">
      <c r="A211" s="1"/>
      <c r="B211" s="1"/>
      <c r="C211" s="1"/>
      <c r="D211" s="1"/>
      <c r="E211" s="1"/>
      <c r="F211" s="1"/>
      <c r="G211" s="1"/>
      <c r="I211" s="1"/>
    </row>
    <row r="212" ht="15.75" customHeight="1">
      <c r="A212" s="1"/>
      <c r="B212" s="1"/>
      <c r="C212" s="1"/>
      <c r="D212" s="1"/>
      <c r="E212" s="1"/>
      <c r="F212" s="1"/>
      <c r="G212" s="1"/>
      <c r="I212" s="1"/>
    </row>
    <row r="213" ht="15.75" customHeight="1">
      <c r="A213" s="1"/>
      <c r="B213" s="1"/>
      <c r="C213" s="1"/>
      <c r="D213" s="1"/>
      <c r="E213" s="1"/>
      <c r="F213" s="1"/>
      <c r="G213" s="1"/>
      <c r="I213" s="1"/>
    </row>
    <row r="214" ht="15.75" customHeight="1">
      <c r="A214" s="1"/>
      <c r="B214" s="1"/>
      <c r="C214" s="1"/>
      <c r="D214" s="1"/>
      <c r="E214" s="1"/>
      <c r="F214" s="1"/>
      <c r="G214" s="1"/>
      <c r="I214" s="1"/>
    </row>
    <row r="215" ht="15.75" customHeight="1">
      <c r="A215" s="1"/>
      <c r="B215" s="1"/>
      <c r="C215" s="1"/>
      <c r="D215" s="1"/>
      <c r="E215" s="1"/>
      <c r="F215" s="1"/>
      <c r="G215" s="1"/>
      <c r="I215" s="1"/>
    </row>
    <row r="216" ht="15.75" customHeight="1">
      <c r="A216" s="1"/>
      <c r="B216" s="1"/>
      <c r="C216" s="1"/>
      <c r="D216" s="1"/>
      <c r="E216" s="1"/>
      <c r="F216" s="1"/>
      <c r="G216" s="1"/>
      <c r="I216" s="1"/>
    </row>
    <row r="217" ht="15.75" customHeight="1">
      <c r="A217" s="1"/>
      <c r="B217" s="1"/>
      <c r="C217" s="1"/>
      <c r="D217" s="1"/>
      <c r="E217" s="1"/>
      <c r="F217" s="1"/>
      <c r="G217" s="1"/>
      <c r="I217" s="1"/>
    </row>
    <row r="218" ht="15.75" customHeight="1">
      <c r="A218" s="1"/>
      <c r="B218" s="1"/>
      <c r="C218" s="1"/>
      <c r="D218" s="1"/>
      <c r="E218" s="1"/>
      <c r="F218" s="1"/>
      <c r="G218" s="1"/>
      <c r="I218" s="1"/>
    </row>
    <row r="219" ht="15.75" customHeight="1">
      <c r="A219" s="1"/>
      <c r="B219" s="1"/>
      <c r="C219" s="1"/>
      <c r="D219" s="1"/>
      <c r="E219" s="1"/>
      <c r="F219" s="1"/>
      <c r="G219" s="1"/>
      <c r="I219" s="1"/>
    </row>
    <row r="220" ht="15.75" customHeight="1">
      <c r="A220" s="1"/>
      <c r="B220" s="1"/>
      <c r="C220" s="1"/>
      <c r="D220" s="1"/>
      <c r="E220" s="1"/>
      <c r="F220" s="1"/>
      <c r="G220" s="1"/>
      <c r="I220" s="1"/>
    </row>
    <row r="221" ht="15.75" customHeight="1">
      <c r="A221" s="1"/>
      <c r="B221" s="1"/>
      <c r="C221" s="1"/>
      <c r="D221" s="1"/>
      <c r="E221" s="1"/>
      <c r="F221" s="1"/>
      <c r="G221" s="1"/>
      <c r="I221" s="1"/>
    </row>
    <row r="222" ht="15.75" customHeight="1">
      <c r="A222" s="1"/>
      <c r="B222" s="1"/>
      <c r="C222" s="1"/>
      <c r="D222" s="1"/>
      <c r="E222" s="1"/>
      <c r="F222" s="1"/>
      <c r="G222" s="1"/>
      <c r="I222" s="1"/>
    </row>
    <row r="223" ht="15.75" customHeight="1">
      <c r="A223" s="1"/>
      <c r="B223" s="1"/>
      <c r="C223" s="1"/>
      <c r="D223" s="1"/>
      <c r="E223" s="1"/>
      <c r="F223" s="1"/>
      <c r="G223" s="1"/>
      <c r="I223" s="1"/>
    </row>
    <row r="224" ht="15.75" customHeight="1">
      <c r="A224" s="1"/>
      <c r="B224" s="1"/>
      <c r="C224" s="1"/>
      <c r="D224" s="1"/>
      <c r="E224" s="1"/>
      <c r="F224" s="1"/>
      <c r="G224" s="1"/>
      <c r="I224" s="1"/>
    </row>
    <row r="225" ht="15.75" customHeight="1">
      <c r="A225" s="1"/>
      <c r="B225" s="1"/>
      <c r="C225" s="1"/>
      <c r="D225" s="1"/>
      <c r="E225" s="1"/>
      <c r="F225" s="1"/>
      <c r="G225" s="1"/>
      <c r="I225" s="1"/>
    </row>
    <row r="226" ht="15.75" customHeight="1">
      <c r="A226" s="1"/>
      <c r="B226" s="1"/>
      <c r="C226" s="1"/>
      <c r="D226" s="1"/>
      <c r="E226" s="1"/>
      <c r="F226" s="1"/>
      <c r="G226" s="1"/>
      <c r="I226" s="1"/>
    </row>
    <row r="227" ht="15.75" customHeight="1">
      <c r="A227" s="1"/>
      <c r="B227" s="1"/>
      <c r="C227" s="1"/>
      <c r="D227" s="1"/>
      <c r="E227" s="1"/>
      <c r="F227" s="1"/>
      <c r="G227" s="1"/>
      <c r="I227" s="1"/>
    </row>
    <row r="228" ht="15.75" customHeight="1">
      <c r="A228" s="1"/>
      <c r="B228" s="1"/>
      <c r="C228" s="1"/>
      <c r="D228" s="1"/>
      <c r="E228" s="1"/>
      <c r="F228" s="1"/>
      <c r="G228" s="1"/>
      <c r="I228" s="1"/>
    </row>
    <row r="229" ht="15.75" customHeight="1">
      <c r="A229" s="1"/>
      <c r="B229" s="1"/>
      <c r="C229" s="1"/>
      <c r="D229" s="1"/>
      <c r="E229" s="1"/>
      <c r="F229" s="1"/>
      <c r="G229" s="1"/>
      <c r="I229" s="1"/>
    </row>
    <row r="230" ht="15.75" customHeight="1">
      <c r="A230" s="1"/>
      <c r="B230" s="1"/>
      <c r="C230" s="1"/>
      <c r="D230" s="1"/>
      <c r="E230" s="1"/>
      <c r="F230" s="1"/>
      <c r="G230" s="1"/>
      <c r="I230" s="1"/>
    </row>
    <row r="231" ht="15.75" customHeight="1">
      <c r="A231" s="1"/>
      <c r="B231" s="1"/>
      <c r="C231" s="1"/>
      <c r="D231" s="1"/>
      <c r="E231" s="1"/>
      <c r="F231" s="1"/>
      <c r="G231" s="1"/>
      <c r="I231" s="1"/>
    </row>
    <row r="232" ht="15.75" customHeight="1">
      <c r="A232" s="1"/>
      <c r="B232" s="1"/>
      <c r="C232" s="1"/>
      <c r="D232" s="1"/>
      <c r="E232" s="1"/>
      <c r="F232" s="1"/>
      <c r="G232" s="1"/>
      <c r="I232" s="1"/>
    </row>
    <row r="233" ht="15.75" customHeight="1">
      <c r="A233" s="1"/>
      <c r="B233" s="1"/>
      <c r="C233" s="1"/>
      <c r="D233" s="1"/>
      <c r="E233" s="1"/>
      <c r="F233" s="1"/>
      <c r="G233" s="1"/>
      <c r="I233" s="1"/>
    </row>
    <row r="234" ht="15.75" customHeight="1">
      <c r="A234" s="1"/>
      <c r="B234" s="1"/>
      <c r="C234" s="1"/>
      <c r="D234" s="1"/>
      <c r="E234" s="1"/>
      <c r="F234" s="1"/>
      <c r="G234" s="1"/>
      <c r="I234" s="1"/>
    </row>
    <row r="235" ht="15.75" customHeight="1">
      <c r="A235" s="1"/>
      <c r="B235" s="1"/>
      <c r="C235" s="1"/>
      <c r="D235" s="1"/>
      <c r="E235" s="1"/>
      <c r="F235" s="1"/>
      <c r="G235" s="1"/>
      <c r="I235" s="1"/>
    </row>
    <row r="236" ht="15.75" customHeight="1">
      <c r="A236" s="1"/>
      <c r="B236" s="1"/>
      <c r="C236" s="1"/>
      <c r="D236" s="1"/>
      <c r="E236" s="1"/>
      <c r="F236" s="1"/>
      <c r="G236" s="1"/>
      <c r="I236" s="1"/>
    </row>
    <row r="237" ht="15.75" customHeight="1">
      <c r="A237" s="1"/>
      <c r="B237" s="1"/>
      <c r="C237" s="1"/>
      <c r="D237" s="1"/>
      <c r="E237" s="1"/>
      <c r="F237" s="1"/>
      <c r="G237" s="1"/>
      <c r="I237" s="1"/>
    </row>
    <row r="238" ht="15.75" customHeight="1">
      <c r="A238" s="1"/>
      <c r="B238" s="1"/>
      <c r="C238" s="1"/>
      <c r="D238" s="1"/>
      <c r="E238" s="1"/>
      <c r="F238" s="1"/>
      <c r="G238" s="1"/>
      <c r="I238" s="1"/>
    </row>
    <row r="239" ht="15.75" customHeight="1">
      <c r="A239" s="1"/>
      <c r="B239" s="1"/>
      <c r="C239" s="1"/>
      <c r="D239" s="1"/>
      <c r="E239" s="1"/>
      <c r="F239" s="1"/>
      <c r="G239" s="1"/>
      <c r="I239" s="1"/>
    </row>
    <row r="240" ht="15.75" customHeight="1">
      <c r="A240" s="1"/>
      <c r="B240" s="1"/>
      <c r="C240" s="1"/>
      <c r="D240" s="1"/>
      <c r="E240" s="1"/>
      <c r="F240" s="1"/>
      <c r="G240" s="1"/>
      <c r="I240" s="1"/>
    </row>
    <row r="241" ht="15.75" customHeight="1">
      <c r="A241" s="1"/>
      <c r="B241" s="1"/>
      <c r="C241" s="1"/>
      <c r="D241" s="1"/>
      <c r="E241" s="1"/>
      <c r="F241" s="1"/>
      <c r="G241" s="1"/>
      <c r="I241" s="1"/>
    </row>
    <row r="242" ht="15.75" customHeight="1">
      <c r="A242" s="1"/>
      <c r="B242" s="1"/>
      <c r="C242" s="1"/>
      <c r="D242" s="1"/>
      <c r="E242" s="1"/>
      <c r="F242" s="1"/>
      <c r="G242" s="1"/>
      <c r="I242" s="1"/>
    </row>
    <row r="243" ht="15.75" customHeight="1">
      <c r="A243" s="1"/>
      <c r="B243" s="1"/>
      <c r="C243" s="1"/>
      <c r="D243" s="1"/>
      <c r="E243" s="1"/>
      <c r="F243" s="1"/>
      <c r="G243" s="1"/>
      <c r="I243" s="1"/>
    </row>
    <row r="244" ht="15.75" customHeight="1">
      <c r="A244" s="1"/>
      <c r="B244" s="1"/>
      <c r="C244" s="1"/>
      <c r="D244" s="1"/>
      <c r="E244" s="1"/>
      <c r="F244" s="1"/>
      <c r="G244" s="1"/>
      <c r="I244" s="1"/>
    </row>
    <row r="245" ht="15.75" customHeight="1">
      <c r="A245" s="1"/>
      <c r="B245" s="1"/>
      <c r="C245" s="1"/>
      <c r="D245" s="1"/>
      <c r="E245" s="1"/>
      <c r="F245" s="1"/>
      <c r="G245" s="1"/>
      <c r="I245" s="1"/>
    </row>
    <row r="246" ht="15.75" customHeight="1">
      <c r="A246" s="1"/>
      <c r="B246" s="1"/>
      <c r="C246" s="1"/>
      <c r="D246" s="1"/>
      <c r="E246" s="1"/>
      <c r="F246" s="1"/>
      <c r="G246" s="1"/>
      <c r="I246" s="1"/>
    </row>
    <row r="247" ht="15.75" customHeight="1">
      <c r="A247" s="1"/>
      <c r="B247" s="1"/>
      <c r="C247" s="1"/>
      <c r="D247" s="1"/>
      <c r="E247" s="1"/>
      <c r="F247" s="1"/>
      <c r="G247" s="1"/>
      <c r="I247" s="1"/>
    </row>
    <row r="248" ht="15.75" customHeight="1">
      <c r="A248" s="1"/>
      <c r="B248" s="1"/>
      <c r="C248" s="1"/>
      <c r="D248" s="1"/>
      <c r="E248" s="1"/>
      <c r="F248" s="1"/>
      <c r="G248" s="1"/>
      <c r="I248" s="1"/>
    </row>
    <row r="249" ht="15.75" customHeight="1">
      <c r="A249" s="1"/>
      <c r="B249" s="1"/>
      <c r="C249" s="1"/>
      <c r="D249" s="1"/>
      <c r="E249" s="1"/>
      <c r="F249" s="1"/>
      <c r="G249" s="1"/>
      <c r="I249" s="1"/>
    </row>
    <row r="250" ht="15.75" customHeight="1">
      <c r="A250" s="1"/>
      <c r="B250" s="1"/>
      <c r="C250" s="1"/>
      <c r="D250" s="1"/>
      <c r="E250" s="1"/>
      <c r="F250" s="1"/>
      <c r="G250" s="1"/>
      <c r="I250" s="1"/>
    </row>
    <row r="251" ht="15.75" customHeight="1">
      <c r="A251" s="1"/>
      <c r="B251" s="1"/>
      <c r="C251" s="1"/>
      <c r="D251" s="1"/>
      <c r="E251" s="1"/>
      <c r="F251" s="1"/>
      <c r="G251" s="1"/>
      <c r="I251" s="1"/>
    </row>
    <row r="252" ht="15.75" customHeight="1">
      <c r="A252" s="1"/>
      <c r="B252" s="1"/>
      <c r="C252" s="1"/>
      <c r="D252" s="1"/>
      <c r="E252" s="1"/>
      <c r="F252" s="1"/>
      <c r="G252" s="1"/>
      <c r="I252" s="1"/>
    </row>
    <row r="253" ht="15.75" customHeight="1">
      <c r="A253" s="1"/>
      <c r="B253" s="1"/>
      <c r="C253" s="1"/>
      <c r="D253" s="1"/>
      <c r="E253" s="1"/>
      <c r="F253" s="1"/>
      <c r="G253" s="1"/>
      <c r="I253" s="1"/>
    </row>
    <row r="254" ht="15.75" customHeight="1">
      <c r="A254" s="1"/>
      <c r="B254" s="1"/>
      <c r="C254" s="1"/>
      <c r="D254" s="1"/>
      <c r="E254" s="1"/>
      <c r="F254" s="1"/>
      <c r="G254" s="1"/>
      <c r="I254" s="1"/>
    </row>
    <row r="255" ht="15.75" customHeight="1">
      <c r="A255" s="1"/>
      <c r="B255" s="1"/>
      <c r="C255" s="1"/>
      <c r="D255" s="1"/>
      <c r="E255" s="1"/>
      <c r="F255" s="1"/>
      <c r="G255" s="1"/>
      <c r="I255" s="1"/>
    </row>
    <row r="256" ht="15.75" customHeight="1">
      <c r="A256" s="1"/>
      <c r="B256" s="1"/>
      <c r="C256" s="1"/>
      <c r="D256" s="1"/>
      <c r="E256" s="1"/>
      <c r="F256" s="1"/>
      <c r="G256" s="1"/>
      <c r="I256" s="1"/>
    </row>
    <row r="257" ht="15.75" customHeight="1">
      <c r="A257" s="1"/>
      <c r="B257" s="1"/>
      <c r="C257" s="1"/>
      <c r="D257" s="1"/>
      <c r="E257" s="1"/>
      <c r="F257" s="1"/>
      <c r="G257" s="1"/>
      <c r="I257" s="1"/>
    </row>
    <row r="258" ht="15.75" customHeight="1">
      <c r="A258" s="1"/>
      <c r="B258" s="1"/>
      <c r="C258" s="1"/>
      <c r="D258" s="1"/>
      <c r="E258" s="1"/>
      <c r="F258" s="1"/>
      <c r="G258" s="1"/>
      <c r="I258" s="1"/>
    </row>
    <row r="259" ht="15.75" customHeight="1">
      <c r="A259" s="1"/>
      <c r="B259" s="1"/>
      <c r="C259" s="1"/>
      <c r="D259" s="1"/>
      <c r="E259" s="1"/>
      <c r="F259" s="1"/>
      <c r="G259" s="1"/>
      <c r="I259" s="1"/>
    </row>
    <row r="260" ht="15.75" customHeight="1">
      <c r="A260" s="1"/>
      <c r="B260" s="1"/>
      <c r="C260" s="1"/>
      <c r="D260" s="1"/>
      <c r="E260" s="1"/>
      <c r="F260" s="1"/>
      <c r="G260" s="1"/>
      <c r="I260" s="1"/>
    </row>
    <row r="261" ht="15.75" customHeight="1">
      <c r="A261" s="1"/>
      <c r="B261" s="1"/>
      <c r="C261" s="1"/>
      <c r="D261" s="1"/>
      <c r="E261" s="1"/>
      <c r="F261" s="1"/>
      <c r="G261" s="1"/>
      <c r="I261" s="1"/>
    </row>
    <row r="262" ht="15.75" customHeight="1">
      <c r="A262" s="1"/>
      <c r="B262" s="1"/>
      <c r="C262" s="1"/>
      <c r="D262" s="1"/>
      <c r="E262" s="1"/>
      <c r="F262" s="1"/>
      <c r="G262" s="1"/>
      <c r="I262" s="1"/>
    </row>
    <row r="263" ht="15.75" customHeight="1">
      <c r="A263" s="1"/>
      <c r="B263" s="1"/>
      <c r="C263" s="1"/>
      <c r="D263" s="1"/>
      <c r="E263" s="1"/>
      <c r="F263" s="1"/>
      <c r="G263" s="1"/>
      <c r="I263" s="1"/>
    </row>
    <row r="264" ht="15.75" customHeight="1">
      <c r="A264" s="1"/>
      <c r="B264" s="1"/>
      <c r="C264" s="1"/>
      <c r="D264" s="1"/>
      <c r="E264" s="1"/>
      <c r="F264" s="1"/>
      <c r="G264" s="1"/>
      <c r="I264" s="1"/>
    </row>
    <row r="265" ht="15.75" customHeight="1">
      <c r="A265" s="1"/>
      <c r="B265" s="1"/>
      <c r="C265" s="1"/>
      <c r="D265" s="1"/>
      <c r="E265" s="1"/>
      <c r="F265" s="1"/>
      <c r="G265" s="1"/>
      <c r="I265" s="1"/>
    </row>
    <row r="266" ht="15.75" customHeight="1">
      <c r="A266" s="1"/>
      <c r="B266" s="1"/>
      <c r="C266" s="1"/>
      <c r="D266" s="1"/>
      <c r="E266" s="1"/>
      <c r="F266" s="1"/>
      <c r="G266" s="1"/>
      <c r="I266" s="1"/>
    </row>
    <row r="267" ht="15.75" customHeight="1">
      <c r="A267" s="1"/>
      <c r="B267" s="1"/>
      <c r="C267" s="1"/>
      <c r="D267" s="1"/>
      <c r="E267" s="1"/>
      <c r="F267" s="1"/>
      <c r="G267" s="1"/>
      <c r="I267" s="1"/>
    </row>
    <row r="268" ht="15.75" customHeight="1">
      <c r="A268" s="1"/>
      <c r="B268" s="1"/>
      <c r="C268" s="1"/>
      <c r="D268" s="1"/>
      <c r="E268" s="1"/>
      <c r="F268" s="1"/>
      <c r="G268" s="1"/>
      <c r="I268" s="1"/>
    </row>
    <row r="269" ht="15.75" customHeight="1">
      <c r="A269" s="1"/>
      <c r="B269" s="1"/>
      <c r="C269" s="1"/>
      <c r="D269" s="1"/>
      <c r="E269" s="1"/>
      <c r="F269" s="1"/>
      <c r="G269" s="1"/>
      <c r="I269" s="1"/>
    </row>
    <row r="270" ht="15.75" customHeight="1">
      <c r="A270" s="1"/>
      <c r="B270" s="1"/>
      <c r="C270" s="1"/>
      <c r="D270" s="1"/>
      <c r="E270" s="1"/>
      <c r="F270" s="1"/>
      <c r="G270" s="1"/>
      <c r="I270" s="1"/>
    </row>
    <row r="271" ht="15.75" customHeight="1">
      <c r="A271" s="1"/>
      <c r="B271" s="1"/>
      <c r="C271" s="1"/>
      <c r="D271" s="1"/>
      <c r="E271" s="1"/>
      <c r="F271" s="1"/>
      <c r="G271" s="1"/>
      <c r="I271" s="1"/>
    </row>
    <row r="272" ht="15.75" customHeight="1">
      <c r="A272" s="1"/>
      <c r="B272" s="1"/>
      <c r="C272" s="1"/>
      <c r="D272" s="1"/>
      <c r="E272" s="1"/>
      <c r="F272" s="1"/>
      <c r="G272" s="1"/>
      <c r="I272" s="1"/>
    </row>
    <row r="273" ht="15.75" customHeight="1">
      <c r="A273" s="1"/>
      <c r="B273" s="1"/>
      <c r="C273" s="1"/>
      <c r="D273" s="1"/>
      <c r="E273" s="1"/>
      <c r="F273" s="1"/>
      <c r="G273" s="1"/>
      <c r="I273" s="1"/>
    </row>
    <row r="274" ht="15.75" customHeight="1">
      <c r="A274" s="1"/>
      <c r="B274" s="1"/>
      <c r="C274" s="1"/>
      <c r="D274" s="1"/>
      <c r="E274" s="1"/>
      <c r="F274" s="1"/>
      <c r="G274" s="1"/>
      <c r="I274" s="1"/>
    </row>
    <row r="275" ht="15.75" customHeight="1">
      <c r="A275" s="1"/>
      <c r="B275" s="1"/>
      <c r="C275" s="1"/>
      <c r="D275" s="1"/>
      <c r="E275" s="1"/>
      <c r="F275" s="1"/>
      <c r="G275" s="1"/>
      <c r="I275" s="1"/>
    </row>
    <row r="276" ht="15.75" customHeight="1">
      <c r="A276" s="1"/>
      <c r="B276" s="1"/>
      <c r="C276" s="1"/>
      <c r="D276" s="1"/>
      <c r="E276" s="1"/>
      <c r="F276" s="1"/>
      <c r="G276" s="1"/>
      <c r="I276" s="1"/>
    </row>
    <row r="277" ht="15.75" customHeight="1">
      <c r="A277" s="1"/>
      <c r="B277" s="1"/>
      <c r="C277" s="1"/>
      <c r="D277" s="1"/>
      <c r="E277" s="1"/>
      <c r="F277" s="1"/>
      <c r="G277" s="1"/>
      <c r="I277" s="1"/>
    </row>
    <row r="278" ht="15.75" customHeight="1">
      <c r="A278" s="1"/>
      <c r="B278" s="1"/>
      <c r="C278" s="1"/>
      <c r="D278" s="1"/>
      <c r="E278" s="1"/>
      <c r="F278" s="1"/>
      <c r="G278" s="1"/>
      <c r="I278" s="1"/>
    </row>
    <row r="279" ht="15.75" customHeight="1">
      <c r="A279" s="1"/>
      <c r="B279" s="1"/>
      <c r="C279" s="1"/>
      <c r="D279" s="1"/>
      <c r="E279" s="1"/>
      <c r="F279" s="1"/>
      <c r="G279" s="1"/>
      <c r="I279" s="1"/>
    </row>
    <row r="280" ht="15.75" customHeight="1">
      <c r="A280" s="1"/>
      <c r="B280" s="1"/>
      <c r="C280" s="1"/>
      <c r="D280" s="1"/>
      <c r="E280" s="1"/>
      <c r="F280" s="1"/>
      <c r="G280" s="1"/>
      <c r="I280" s="1"/>
    </row>
    <row r="281" ht="15.75" customHeight="1">
      <c r="A281" s="1"/>
      <c r="B281" s="1"/>
      <c r="C281" s="1"/>
      <c r="D281" s="1"/>
      <c r="E281" s="1"/>
      <c r="F281" s="1"/>
      <c r="G281" s="1"/>
      <c r="I281" s="1"/>
    </row>
    <row r="282" ht="15.75" customHeight="1">
      <c r="A282" s="1"/>
      <c r="B282" s="1"/>
      <c r="C282" s="1"/>
      <c r="D282" s="1"/>
      <c r="E282" s="1"/>
      <c r="F282" s="1"/>
      <c r="G282" s="1"/>
      <c r="I282" s="1"/>
    </row>
    <row r="283" ht="15.75" customHeight="1">
      <c r="A283" s="1"/>
      <c r="B283" s="1"/>
      <c r="C283" s="1"/>
      <c r="D283" s="1"/>
      <c r="E283" s="1"/>
      <c r="F283" s="1"/>
      <c r="G283" s="1"/>
      <c r="I283" s="1"/>
    </row>
    <row r="284" ht="15.75" customHeight="1">
      <c r="A284" s="1"/>
      <c r="B284" s="1"/>
      <c r="C284" s="1"/>
      <c r="D284" s="1"/>
      <c r="E284" s="1"/>
      <c r="F284" s="1"/>
      <c r="G284" s="1"/>
      <c r="I284" s="1"/>
    </row>
    <row r="285" ht="15.75" customHeight="1">
      <c r="A285" s="1"/>
      <c r="B285" s="1"/>
      <c r="C285" s="1"/>
      <c r="D285" s="1"/>
      <c r="E285" s="1"/>
      <c r="F285" s="1"/>
      <c r="G285" s="1"/>
      <c r="I285" s="1"/>
    </row>
    <row r="286" ht="15.75" customHeight="1">
      <c r="A286" s="1"/>
      <c r="B286" s="1"/>
      <c r="C286" s="1"/>
      <c r="D286" s="1"/>
      <c r="E286" s="1"/>
      <c r="F286" s="1"/>
      <c r="G286" s="1"/>
      <c r="I286" s="1"/>
    </row>
    <row r="287" ht="15.75" customHeight="1">
      <c r="A287" s="1"/>
      <c r="B287" s="1"/>
      <c r="C287" s="1"/>
      <c r="D287" s="1"/>
      <c r="E287" s="1"/>
      <c r="F287" s="1"/>
      <c r="G287" s="1"/>
      <c r="I287" s="1"/>
    </row>
    <row r="288" ht="15.75" customHeight="1">
      <c r="A288" s="1"/>
      <c r="B288" s="1"/>
      <c r="C288" s="1"/>
      <c r="D288" s="1"/>
      <c r="E288" s="1"/>
      <c r="F288" s="1"/>
      <c r="G288" s="1"/>
      <c r="I288" s="1"/>
    </row>
    <row r="289" ht="15.75" customHeight="1">
      <c r="A289" s="1"/>
      <c r="B289" s="1"/>
      <c r="C289" s="1"/>
      <c r="D289" s="1"/>
      <c r="E289" s="1"/>
      <c r="F289" s="1"/>
      <c r="G289" s="1"/>
      <c r="I289" s="1"/>
    </row>
    <row r="290" ht="15.75" customHeight="1">
      <c r="A290" s="1"/>
      <c r="B290" s="1"/>
      <c r="C290" s="1"/>
      <c r="D290" s="1"/>
      <c r="E290" s="1"/>
      <c r="F290" s="1"/>
      <c r="G290" s="1"/>
      <c r="I290" s="1"/>
    </row>
    <row r="291" ht="15.75" customHeight="1">
      <c r="A291" s="1"/>
      <c r="B291" s="1"/>
      <c r="C291" s="1"/>
      <c r="D291" s="1"/>
      <c r="E291" s="1"/>
      <c r="F291" s="1"/>
      <c r="G291" s="1"/>
      <c r="I291" s="1"/>
    </row>
    <row r="292" ht="15.75" customHeight="1">
      <c r="A292" s="1"/>
      <c r="B292" s="1"/>
      <c r="C292" s="1"/>
      <c r="D292" s="1"/>
      <c r="E292" s="1"/>
      <c r="F292" s="1"/>
      <c r="G292" s="1"/>
      <c r="I292" s="1"/>
    </row>
    <row r="293" ht="15.75" customHeight="1">
      <c r="A293" s="1"/>
      <c r="B293" s="1"/>
      <c r="C293" s="1"/>
      <c r="D293" s="1"/>
      <c r="E293" s="1"/>
      <c r="F293" s="1"/>
      <c r="G293" s="1"/>
      <c r="I293" s="1"/>
    </row>
    <row r="294" ht="15.75" customHeight="1">
      <c r="A294" s="1"/>
      <c r="B294" s="1"/>
      <c r="C294" s="1"/>
      <c r="D294" s="1"/>
      <c r="E294" s="1"/>
      <c r="F294" s="1"/>
      <c r="G294" s="1"/>
      <c r="I294" s="1"/>
    </row>
    <row r="295" ht="15.75" customHeight="1">
      <c r="A295" s="1"/>
      <c r="B295" s="1"/>
      <c r="C295" s="1"/>
      <c r="D295" s="1"/>
      <c r="E295" s="1"/>
      <c r="F295" s="1"/>
      <c r="G295" s="1"/>
      <c r="I295" s="1"/>
    </row>
    <row r="296" ht="15.75" customHeight="1">
      <c r="A296" s="1"/>
      <c r="B296" s="1"/>
      <c r="C296" s="1"/>
      <c r="D296" s="1"/>
      <c r="E296" s="1"/>
      <c r="F296" s="1"/>
      <c r="G296" s="1"/>
      <c r="I296" s="1"/>
    </row>
    <row r="297" ht="15.75" customHeight="1">
      <c r="A297" s="1"/>
      <c r="B297" s="1"/>
      <c r="C297" s="1"/>
      <c r="D297" s="1"/>
      <c r="E297" s="1"/>
      <c r="F297" s="1"/>
      <c r="G297" s="1"/>
      <c r="I297" s="1"/>
    </row>
    <row r="298" ht="15.75" customHeight="1">
      <c r="A298" s="1"/>
      <c r="B298" s="1"/>
      <c r="C298" s="1"/>
      <c r="D298" s="1"/>
      <c r="E298" s="1"/>
      <c r="F298" s="1"/>
      <c r="G298" s="1"/>
      <c r="I298" s="1"/>
    </row>
    <row r="299" ht="15.75" customHeight="1">
      <c r="A299" s="1"/>
      <c r="B299" s="1"/>
      <c r="C299" s="1"/>
      <c r="D299" s="1"/>
      <c r="E299" s="1"/>
      <c r="F299" s="1"/>
      <c r="G299" s="1"/>
      <c r="I299" s="1"/>
    </row>
    <row r="300" ht="15.75" customHeight="1">
      <c r="A300" s="1"/>
      <c r="B300" s="1"/>
      <c r="C300" s="1"/>
      <c r="D300" s="1"/>
      <c r="E300" s="1"/>
      <c r="F300" s="1"/>
      <c r="G300" s="1"/>
      <c r="I300" s="1"/>
    </row>
    <row r="301" ht="15.75" customHeight="1">
      <c r="A301" s="1"/>
      <c r="B301" s="1"/>
      <c r="C301" s="1"/>
      <c r="D301" s="1"/>
      <c r="E301" s="1"/>
      <c r="F301" s="1"/>
      <c r="G301" s="1"/>
      <c r="I301" s="1"/>
    </row>
    <row r="302" ht="15.75" customHeight="1">
      <c r="A302" s="1"/>
      <c r="B302" s="1"/>
      <c r="C302" s="1"/>
      <c r="D302" s="1"/>
      <c r="E302" s="1"/>
      <c r="F302" s="1"/>
      <c r="G302" s="1"/>
      <c r="I302" s="1"/>
    </row>
    <row r="303" ht="15.75" customHeight="1">
      <c r="A303" s="1"/>
      <c r="B303" s="1"/>
      <c r="C303" s="1"/>
      <c r="D303" s="1"/>
      <c r="E303" s="1"/>
      <c r="F303" s="1"/>
      <c r="G303" s="1"/>
      <c r="I303" s="1"/>
    </row>
    <row r="304" ht="15.75" customHeight="1">
      <c r="A304" s="1"/>
      <c r="B304" s="1"/>
      <c r="C304" s="1"/>
      <c r="D304" s="1"/>
      <c r="E304" s="1"/>
      <c r="F304" s="1"/>
      <c r="G304" s="1"/>
      <c r="I304" s="1"/>
    </row>
    <row r="305" ht="15.75" customHeight="1">
      <c r="A305" s="1"/>
      <c r="B305" s="1"/>
      <c r="C305" s="1"/>
      <c r="D305" s="1"/>
      <c r="E305" s="1"/>
      <c r="F305" s="1"/>
      <c r="G305" s="1"/>
      <c r="I305" s="1"/>
    </row>
    <row r="306" ht="15.75" customHeight="1">
      <c r="A306" s="1"/>
      <c r="B306" s="1"/>
      <c r="C306" s="1"/>
      <c r="D306" s="1"/>
      <c r="E306" s="1"/>
      <c r="F306" s="1"/>
      <c r="G306" s="1"/>
      <c r="I306" s="1"/>
    </row>
    <row r="307" ht="15.75" customHeight="1">
      <c r="A307" s="1"/>
      <c r="B307" s="1"/>
      <c r="C307" s="1"/>
      <c r="D307" s="1"/>
      <c r="E307" s="1"/>
      <c r="F307" s="1"/>
      <c r="G307" s="1"/>
      <c r="I307" s="1"/>
    </row>
    <row r="308" ht="15.75" customHeight="1">
      <c r="A308" s="1"/>
      <c r="B308" s="1"/>
      <c r="C308" s="1"/>
      <c r="D308" s="1"/>
      <c r="E308" s="1"/>
      <c r="F308" s="1"/>
      <c r="G308" s="1"/>
      <c r="I308" s="1"/>
    </row>
    <row r="309" ht="15.75" customHeight="1">
      <c r="A309" s="1"/>
      <c r="B309" s="1"/>
      <c r="C309" s="1"/>
      <c r="D309" s="1"/>
      <c r="E309" s="1"/>
      <c r="F309" s="1"/>
      <c r="G309" s="1"/>
      <c r="I309" s="1"/>
    </row>
    <row r="310" ht="15.75" customHeight="1">
      <c r="A310" s="1"/>
      <c r="B310" s="1"/>
      <c r="C310" s="1"/>
      <c r="D310" s="1"/>
      <c r="E310" s="1"/>
      <c r="F310" s="1"/>
      <c r="G310" s="1"/>
      <c r="I310" s="1"/>
    </row>
    <row r="311" ht="15.75" customHeight="1">
      <c r="A311" s="1"/>
      <c r="B311" s="1"/>
      <c r="C311" s="1"/>
      <c r="D311" s="1"/>
      <c r="E311" s="1"/>
      <c r="F311" s="1"/>
      <c r="G311" s="1"/>
      <c r="I311" s="1"/>
    </row>
    <row r="312" ht="15.75" customHeight="1">
      <c r="A312" s="1"/>
      <c r="B312" s="1"/>
      <c r="C312" s="1"/>
      <c r="D312" s="1"/>
      <c r="E312" s="1"/>
      <c r="F312" s="1"/>
      <c r="G312" s="1"/>
      <c r="I312" s="1"/>
    </row>
    <row r="313" ht="15.75" customHeight="1">
      <c r="A313" s="1"/>
      <c r="B313" s="1"/>
      <c r="C313" s="1"/>
      <c r="D313" s="1"/>
      <c r="E313" s="1"/>
      <c r="F313" s="1"/>
      <c r="G313" s="1"/>
      <c r="I313" s="1"/>
    </row>
    <row r="314" ht="15.75" customHeight="1">
      <c r="A314" s="1"/>
      <c r="B314" s="1"/>
      <c r="C314" s="1"/>
      <c r="D314" s="1"/>
      <c r="E314" s="1"/>
      <c r="F314" s="1"/>
      <c r="G314" s="1"/>
      <c r="I314" s="1"/>
    </row>
    <row r="315" ht="15.75" customHeight="1">
      <c r="A315" s="1"/>
      <c r="B315" s="1"/>
      <c r="C315" s="1"/>
      <c r="D315" s="1"/>
      <c r="E315" s="1"/>
      <c r="F315" s="1"/>
      <c r="G315" s="1"/>
      <c r="I315" s="1"/>
    </row>
    <row r="316" ht="15.75" customHeight="1">
      <c r="A316" s="1"/>
      <c r="B316" s="1"/>
      <c r="C316" s="1"/>
      <c r="D316" s="1"/>
      <c r="E316" s="1"/>
      <c r="F316" s="1"/>
      <c r="G316" s="1"/>
      <c r="I316" s="1"/>
    </row>
    <row r="317" ht="15.75" customHeight="1">
      <c r="A317" s="1"/>
      <c r="B317" s="1"/>
      <c r="C317" s="1"/>
      <c r="D317" s="1"/>
      <c r="E317" s="1"/>
      <c r="F317" s="1"/>
      <c r="G317" s="1"/>
      <c r="I317" s="1"/>
    </row>
    <row r="318" ht="15.75" customHeight="1">
      <c r="A318" s="1"/>
      <c r="B318" s="1"/>
      <c r="C318" s="1"/>
      <c r="D318" s="1"/>
      <c r="E318" s="1"/>
      <c r="F318" s="1"/>
      <c r="G318" s="1"/>
      <c r="I318" s="1"/>
    </row>
    <row r="319" ht="15.75" customHeight="1">
      <c r="A319" s="1"/>
      <c r="B319" s="1"/>
      <c r="C319" s="1"/>
      <c r="D319" s="1"/>
      <c r="E319" s="1"/>
      <c r="F319" s="1"/>
      <c r="G319" s="1"/>
      <c r="I319" s="1"/>
    </row>
    <row r="320" ht="15.75" customHeight="1">
      <c r="A320" s="1"/>
      <c r="B320" s="1"/>
      <c r="C320" s="1"/>
      <c r="D320" s="1"/>
      <c r="E320" s="1"/>
      <c r="F320" s="1"/>
      <c r="G320" s="1"/>
      <c r="I320" s="1"/>
    </row>
    <row r="321" ht="15.75" customHeight="1">
      <c r="A321" s="1"/>
      <c r="B321" s="1"/>
      <c r="C321" s="1"/>
      <c r="D321" s="1"/>
      <c r="E321" s="1"/>
      <c r="F321" s="1"/>
      <c r="G321" s="1"/>
      <c r="I321" s="1"/>
    </row>
    <row r="322" ht="15.75" customHeight="1">
      <c r="A322" s="1"/>
      <c r="B322" s="1"/>
      <c r="C322" s="1"/>
      <c r="D322" s="1"/>
      <c r="E322" s="1"/>
      <c r="F322" s="1"/>
      <c r="G322" s="1"/>
      <c r="I322" s="1"/>
    </row>
    <row r="323" ht="15.75" customHeight="1">
      <c r="A323" s="1"/>
      <c r="B323" s="1"/>
      <c r="C323" s="1"/>
      <c r="D323" s="1"/>
      <c r="E323" s="1"/>
      <c r="F323" s="1"/>
      <c r="G323" s="1"/>
      <c r="I323" s="1"/>
    </row>
    <row r="324" ht="15.75" customHeight="1">
      <c r="A324" s="1"/>
      <c r="B324" s="1"/>
      <c r="C324" s="1"/>
      <c r="D324" s="1"/>
      <c r="E324" s="1"/>
      <c r="F324" s="1"/>
      <c r="G324" s="1"/>
      <c r="I324" s="1"/>
    </row>
    <row r="325" ht="15.75" customHeight="1">
      <c r="A325" s="1"/>
      <c r="B325" s="1"/>
      <c r="C325" s="1"/>
      <c r="D325" s="1"/>
      <c r="E325" s="1"/>
      <c r="F325" s="1"/>
      <c r="G325" s="1"/>
      <c r="I325" s="1"/>
    </row>
    <row r="326" ht="15.75" customHeight="1">
      <c r="A326" s="1"/>
      <c r="B326" s="1"/>
      <c r="C326" s="1"/>
      <c r="D326" s="1"/>
      <c r="E326" s="1"/>
      <c r="F326" s="1"/>
      <c r="G326" s="1"/>
      <c r="I326" s="1"/>
    </row>
    <row r="327" ht="15.75" customHeight="1">
      <c r="A327" s="1"/>
      <c r="B327" s="1"/>
      <c r="C327" s="1"/>
      <c r="D327" s="1"/>
      <c r="E327" s="1"/>
      <c r="F327" s="1"/>
      <c r="G327" s="1"/>
      <c r="I327" s="1"/>
    </row>
    <row r="328" ht="15.75" customHeight="1">
      <c r="A328" s="1"/>
      <c r="B328" s="1"/>
      <c r="C328" s="1"/>
      <c r="D328" s="1"/>
      <c r="E328" s="1"/>
      <c r="F328" s="1"/>
      <c r="G328" s="1"/>
      <c r="I328" s="1"/>
    </row>
    <row r="329" ht="15.75" customHeight="1">
      <c r="A329" s="1"/>
      <c r="B329" s="1"/>
      <c r="C329" s="1"/>
      <c r="D329" s="1"/>
      <c r="E329" s="1"/>
      <c r="F329" s="1"/>
      <c r="G329" s="1"/>
      <c r="I329" s="1"/>
    </row>
    <row r="330" ht="15.75" customHeight="1">
      <c r="A330" s="1"/>
      <c r="B330" s="1"/>
      <c r="C330" s="1"/>
      <c r="D330" s="1"/>
      <c r="E330" s="1"/>
      <c r="F330" s="1"/>
      <c r="G330" s="1"/>
      <c r="I330" s="1"/>
    </row>
    <row r="331" ht="15.75" customHeight="1">
      <c r="A331" s="1"/>
      <c r="B331" s="1"/>
      <c r="C331" s="1"/>
      <c r="D331" s="1"/>
      <c r="E331" s="1"/>
      <c r="F331" s="1"/>
      <c r="G331" s="1"/>
      <c r="I331" s="1"/>
    </row>
    <row r="332" ht="15.75" customHeight="1">
      <c r="A332" s="1"/>
      <c r="B332" s="1"/>
      <c r="C332" s="1"/>
      <c r="D332" s="1"/>
      <c r="E332" s="1"/>
      <c r="F332" s="1"/>
      <c r="G332" s="1"/>
      <c r="I332" s="1"/>
    </row>
    <row r="333" ht="15.75" customHeight="1">
      <c r="A333" s="1"/>
      <c r="B333" s="1"/>
      <c r="C333" s="1"/>
      <c r="D333" s="1"/>
      <c r="E333" s="1"/>
      <c r="F333" s="1"/>
      <c r="G333" s="1"/>
      <c r="I333" s="1"/>
    </row>
    <row r="334" ht="15.75" customHeight="1">
      <c r="A334" s="1"/>
      <c r="B334" s="1"/>
      <c r="C334" s="1"/>
      <c r="D334" s="1"/>
      <c r="E334" s="1"/>
      <c r="F334" s="1"/>
      <c r="G334" s="1"/>
      <c r="I334" s="1"/>
    </row>
    <row r="335" ht="15.75" customHeight="1">
      <c r="A335" s="1"/>
      <c r="B335" s="1"/>
      <c r="C335" s="1"/>
      <c r="D335" s="1"/>
      <c r="E335" s="1"/>
      <c r="F335" s="1"/>
      <c r="G335" s="1"/>
      <c r="I335" s="1"/>
    </row>
    <row r="336" ht="15.75" customHeight="1">
      <c r="A336" s="1"/>
      <c r="B336" s="1"/>
      <c r="C336" s="1"/>
      <c r="D336" s="1"/>
      <c r="E336" s="1"/>
      <c r="F336" s="1"/>
      <c r="G336" s="1"/>
      <c r="I336" s="1"/>
    </row>
    <row r="337" ht="15.75" customHeight="1">
      <c r="A337" s="1"/>
      <c r="B337" s="1"/>
      <c r="C337" s="1"/>
      <c r="D337" s="1"/>
      <c r="E337" s="1"/>
      <c r="F337" s="1"/>
      <c r="G337" s="1"/>
      <c r="I337" s="1"/>
    </row>
    <row r="338" ht="15.75" customHeight="1">
      <c r="A338" s="1"/>
      <c r="B338" s="1"/>
      <c r="C338" s="1"/>
      <c r="D338" s="1"/>
      <c r="E338" s="1"/>
      <c r="F338" s="1"/>
      <c r="G338" s="1"/>
      <c r="I338" s="1"/>
    </row>
    <row r="339" ht="15.75" customHeight="1">
      <c r="A339" s="1"/>
      <c r="B339" s="1"/>
      <c r="C339" s="1"/>
      <c r="D339" s="1"/>
      <c r="E339" s="1"/>
      <c r="F339" s="1"/>
      <c r="G339" s="1"/>
      <c r="I339" s="1"/>
    </row>
    <row r="340" ht="15.75" customHeight="1">
      <c r="A340" s="1"/>
      <c r="B340" s="1"/>
      <c r="C340" s="1"/>
      <c r="D340" s="1"/>
      <c r="E340" s="1"/>
      <c r="F340" s="1"/>
      <c r="G340" s="1"/>
      <c r="I340" s="1"/>
    </row>
    <row r="341" ht="15.75" customHeight="1">
      <c r="A341" s="1"/>
      <c r="B341" s="1"/>
      <c r="C341" s="1"/>
      <c r="D341" s="1"/>
      <c r="E341" s="1"/>
      <c r="F341" s="1"/>
      <c r="G341" s="1"/>
      <c r="I341" s="1"/>
    </row>
    <row r="342" ht="15.75" customHeight="1">
      <c r="A342" s="1"/>
      <c r="B342" s="1"/>
      <c r="C342" s="1"/>
      <c r="D342" s="1"/>
      <c r="E342" s="1"/>
      <c r="F342" s="1"/>
      <c r="G342" s="1"/>
      <c r="I342" s="1"/>
    </row>
    <row r="343" ht="15.75" customHeight="1">
      <c r="A343" s="1"/>
      <c r="B343" s="1"/>
      <c r="C343" s="1"/>
      <c r="D343" s="1"/>
      <c r="E343" s="1"/>
      <c r="F343" s="1"/>
      <c r="G343" s="1"/>
      <c r="I343" s="1"/>
    </row>
    <row r="344" ht="15.75" customHeight="1">
      <c r="A344" s="1"/>
      <c r="B344" s="1"/>
      <c r="C344" s="1"/>
      <c r="D344" s="1"/>
      <c r="E344" s="1"/>
      <c r="F344" s="1"/>
      <c r="G344" s="1"/>
      <c r="I344" s="1"/>
    </row>
    <row r="345" ht="15.75" customHeight="1">
      <c r="A345" s="1"/>
      <c r="B345" s="1"/>
      <c r="C345" s="1"/>
      <c r="D345" s="1"/>
      <c r="E345" s="1"/>
      <c r="F345" s="1"/>
      <c r="G345" s="1"/>
      <c r="I345" s="1"/>
    </row>
    <row r="346" ht="15.75" customHeight="1">
      <c r="A346" s="1"/>
      <c r="B346" s="1"/>
      <c r="C346" s="1"/>
      <c r="D346" s="1"/>
      <c r="E346" s="1"/>
      <c r="F346" s="1"/>
      <c r="G346" s="1"/>
      <c r="I346" s="1"/>
    </row>
    <row r="347" ht="15.75" customHeight="1">
      <c r="A347" s="1"/>
      <c r="B347" s="1"/>
      <c r="C347" s="1"/>
      <c r="D347" s="1"/>
      <c r="E347" s="1"/>
      <c r="F347" s="1"/>
      <c r="G347" s="1"/>
      <c r="I347" s="1"/>
    </row>
    <row r="348" ht="15.75" customHeight="1">
      <c r="A348" s="1"/>
      <c r="B348" s="1"/>
      <c r="C348" s="1"/>
      <c r="D348" s="1"/>
      <c r="E348" s="1"/>
      <c r="F348" s="1"/>
      <c r="G348" s="1"/>
      <c r="I348" s="1"/>
    </row>
    <row r="349" ht="15.75" customHeight="1">
      <c r="A349" s="1"/>
      <c r="B349" s="1"/>
      <c r="C349" s="1"/>
      <c r="D349" s="1"/>
      <c r="E349" s="1"/>
      <c r="F349" s="1"/>
      <c r="G349" s="1"/>
      <c r="I349" s="1"/>
    </row>
    <row r="350" ht="15.75" customHeight="1">
      <c r="A350" s="1"/>
      <c r="B350" s="1"/>
      <c r="C350" s="1"/>
      <c r="D350" s="1"/>
      <c r="E350" s="1"/>
      <c r="F350" s="1"/>
      <c r="G350" s="1"/>
      <c r="I350" s="1"/>
    </row>
    <row r="351" ht="15.75" customHeight="1">
      <c r="A351" s="1"/>
      <c r="B351" s="1"/>
      <c r="C351" s="1"/>
      <c r="D351" s="1"/>
      <c r="E351" s="1"/>
      <c r="F351" s="1"/>
      <c r="G351" s="1"/>
      <c r="I351" s="1"/>
    </row>
    <row r="352" ht="15.75" customHeight="1">
      <c r="A352" s="1"/>
      <c r="B352" s="1"/>
      <c r="C352" s="1"/>
      <c r="D352" s="1"/>
      <c r="E352" s="1"/>
      <c r="F352" s="1"/>
      <c r="G352" s="1"/>
      <c r="I352" s="1"/>
    </row>
    <row r="353" ht="15.75" customHeight="1">
      <c r="A353" s="1"/>
      <c r="B353" s="1"/>
      <c r="C353" s="1"/>
      <c r="D353" s="1"/>
      <c r="E353" s="1"/>
      <c r="F353" s="1"/>
      <c r="G353" s="1"/>
      <c r="I353" s="1"/>
    </row>
    <row r="354" ht="15.75" customHeight="1">
      <c r="A354" s="1"/>
      <c r="B354" s="1"/>
      <c r="C354" s="1"/>
      <c r="D354" s="1"/>
      <c r="E354" s="1"/>
      <c r="F354" s="1"/>
      <c r="G354" s="1"/>
      <c r="I354" s="1"/>
    </row>
    <row r="355" ht="15.75" customHeight="1">
      <c r="A355" s="1"/>
      <c r="B355" s="1"/>
      <c r="C355" s="1"/>
      <c r="D355" s="1"/>
      <c r="E355" s="1"/>
      <c r="F355" s="1"/>
      <c r="G355" s="1"/>
      <c r="I355" s="1"/>
    </row>
    <row r="356" ht="15.75" customHeight="1">
      <c r="A356" s="1"/>
      <c r="B356" s="1"/>
      <c r="C356" s="1"/>
      <c r="D356" s="1"/>
      <c r="E356" s="1"/>
      <c r="F356" s="1"/>
      <c r="G356" s="1"/>
      <c r="I356" s="1"/>
    </row>
    <row r="357" ht="15.75" customHeight="1">
      <c r="A357" s="1"/>
      <c r="B357" s="1"/>
      <c r="C357" s="1"/>
      <c r="D357" s="1"/>
      <c r="E357" s="1"/>
      <c r="F357" s="1"/>
      <c r="G357" s="1"/>
      <c r="I357" s="1"/>
    </row>
    <row r="358" ht="15.75" customHeight="1">
      <c r="A358" s="1"/>
      <c r="B358" s="1"/>
      <c r="C358" s="1"/>
      <c r="D358" s="1"/>
      <c r="E358" s="1"/>
      <c r="F358" s="1"/>
      <c r="G358" s="1"/>
      <c r="I358" s="1"/>
    </row>
    <row r="359" ht="15.75" customHeight="1">
      <c r="A359" s="1"/>
      <c r="B359" s="1"/>
      <c r="C359" s="1"/>
      <c r="D359" s="1"/>
      <c r="E359" s="1"/>
      <c r="F359" s="1"/>
      <c r="G359" s="1"/>
      <c r="I359" s="1"/>
    </row>
    <row r="360" ht="15.75" customHeight="1">
      <c r="A360" s="1"/>
      <c r="B360" s="1"/>
      <c r="C360" s="1"/>
      <c r="D360" s="1"/>
      <c r="E360" s="1"/>
      <c r="F360" s="1"/>
      <c r="G360" s="1"/>
      <c r="I360" s="1"/>
    </row>
    <row r="361" ht="15.75" customHeight="1">
      <c r="A361" s="1"/>
      <c r="B361" s="1"/>
      <c r="C361" s="1"/>
      <c r="D361" s="1"/>
      <c r="E361" s="1"/>
      <c r="F361" s="1"/>
      <c r="G361" s="1"/>
      <c r="I361" s="1"/>
    </row>
    <row r="362" ht="15.75" customHeight="1">
      <c r="A362" s="1"/>
      <c r="B362" s="1"/>
      <c r="C362" s="1"/>
      <c r="D362" s="1"/>
      <c r="E362" s="1"/>
      <c r="F362" s="1"/>
      <c r="G362" s="1"/>
      <c r="I362" s="1"/>
    </row>
    <row r="363" ht="15.75" customHeight="1">
      <c r="A363" s="1"/>
      <c r="B363" s="1"/>
      <c r="C363" s="1"/>
      <c r="D363" s="1"/>
      <c r="E363" s="1"/>
      <c r="F363" s="1"/>
      <c r="G363" s="1"/>
      <c r="I363" s="1"/>
    </row>
    <row r="364" ht="15.75" customHeight="1">
      <c r="A364" s="1"/>
      <c r="B364" s="1"/>
      <c r="C364" s="1"/>
      <c r="D364" s="1"/>
      <c r="E364" s="1"/>
      <c r="F364" s="1"/>
      <c r="G364" s="1"/>
      <c r="I364" s="1"/>
    </row>
    <row r="365" ht="15.75" customHeight="1">
      <c r="A365" s="1"/>
      <c r="B365" s="1"/>
      <c r="C365" s="1"/>
      <c r="D365" s="1"/>
      <c r="E365" s="1"/>
      <c r="F365" s="1"/>
      <c r="G365" s="1"/>
      <c r="I365" s="1"/>
    </row>
    <row r="366" ht="15.75" customHeight="1">
      <c r="A366" s="1"/>
      <c r="B366" s="1"/>
      <c r="C366" s="1"/>
      <c r="D366" s="1"/>
      <c r="E366" s="1"/>
      <c r="F366" s="1"/>
      <c r="G366" s="1"/>
      <c r="I366" s="1"/>
    </row>
    <row r="367" ht="15.75" customHeight="1">
      <c r="A367" s="1"/>
      <c r="B367" s="1"/>
      <c r="C367" s="1"/>
      <c r="D367" s="1"/>
      <c r="E367" s="1"/>
      <c r="F367" s="1"/>
      <c r="G367" s="1"/>
      <c r="I367" s="1"/>
    </row>
    <row r="368" ht="15.75" customHeight="1">
      <c r="A368" s="1"/>
      <c r="B368" s="1"/>
      <c r="C368" s="1"/>
      <c r="D368" s="1"/>
      <c r="E368" s="1"/>
      <c r="F368" s="1"/>
      <c r="G368" s="1"/>
      <c r="I368" s="1"/>
    </row>
    <row r="369" ht="15.75" customHeight="1">
      <c r="A369" s="1"/>
      <c r="B369" s="1"/>
      <c r="C369" s="1"/>
      <c r="D369" s="1"/>
      <c r="E369" s="1"/>
      <c r="F369" s="1"/>
      <c r="G369" s="1"/>
      <c r="I369" s="1"/>
    </row>
    <row r="370" ht="15.75" customHeight="1">
      <c r="A370" s="1"/>
      <c r="B370" s="1"/>
      <c r="C370" s="1"/>
      <c r="D370" s="1"/>
      <c r="E370" s="1"/>
      <c r="F370" s="1"/>
      <c r="G370" s="1"/>
      <c r="I370" s="1"/>
    </row>
    <row r="371" ht="15.75" customHeight="1">
      <c r="A371" s="1"/>
      <c r="B371" s="1"/>
      <c r="C371" s="1"/>
      <c r="D371" s="1"/>
      <c r="E371" s="1"/>
      <c r="F371" s="1"/>
      <c r="G371" s="1"/>
      <c r="I371" s="1"/>
    </row>
    <row r="372" ht="15.75" customHeight="1">
      <c r="A372" s="1"/>
      <c r="B372" s="1"/>
      <c r="C372" s="1"/>
      <c r="D372" s="1"/>
      <c r="E372" s="1"/>
      <c r="F372" s="1"/>
      <c r="G372" s="1"/>
      <c r="I372" s="1"/>
    </row>
    <row r="373" ht="15.75" customHeight="1">
      <c r="A373" s="1"/>
      <c r="B373" s="1"/>
      <c r="C373" s="1"/>
      <c r="D373" s="1"/>
      <c r="E373" s="1"/>
      <c r="F373" s="1"/>
      <c r="G373" s="1"/>
      <c r="I373" s="1"/>
    </row>
    <row r="374" ht="15.75" customHeight="1">
      <c r="A374" s="1"/>
      <c r="B374" s="1"/>
      <c r="C374" s="1"/>
      <c r="D374" s="1"/>
      <c r="E374" s="1"/>
      <c r="F374" s="1"/>
      <c r="G374" s="1"/>
      <c r="I374" s="1"/>
    </row>
    <row r="375" ht="15.75" customHeight="1">
      <c r="A375" s="1"/>
      <c r="B375" s="1"/>
      <c r="C375" s="1"/>
      <c r="D375" s="1"/>
      <c r="E375" s="1"/>
      <c r="F375" s="1"/>
      <c r="G375" s="1"/>
      <c r="I375" s="1"/>
    </row>
    <row r="376" ht="15.75" customHeight="1">
      <c r="A376" s="1"/>
      <c r="B376" s="1"/>
      <c r="C376" s="1"/>
      <c r="D376" s="1"/>
      <c r="E376" s="1"/>
      <c r="F376" s="1"/>
      <c r="G376" s="1"/>
      <c r="I376" s="1"/>
    </row>
    <row r="377" ht="15.75" customHeight="1">
      <c r="A377" s="1"/>
      <c r="B377" s="1"/>
      <c r="C377" s="1"/>
      <c r="D377" s="1"/>
      <c r="E377" s="1"/>
      <c r="F377" s="1"/>
      <c r="G377" s="1"/>
      <c r="I377" s="1"/>
    </row>
    <row r="378" ht="15.75" customHeight="1">
      <c r="A378" s="1"/>
      <c r="B378" s="1"/>
      <c r="C378" s="1"/>
      <c r="D378" s="1"/>
      <c r="E378" s="1"/>
      <c r="F378" s="1"/>
      <c r="G378" s="1"/>
      <c r="I378" s="1"/>
    </row>
    <row r="379" ht="15.75" customHeight="1">
      <c r="A379" s="1"/>
      <c r="B379" s="1"/>
      <c r="C379" s="1"/>
      <c r="D379" s="1"/>
      <c r="E379" s="1"/>
      <c r="F379" s="1"/>
      <c r="G379" s="1"/>
      <c r="I379" s="1"/>
    </row>
    <row r="380" ht="15.75" customHeight="1">
      <c r="A380" s="1"/>
      <c r="B380" s="1"/>
      <c r="C380" s="1"/>
      <c r="D380" s="1"/>
      <c r="E380" s="1"/>
      <c r="F380" s="1"/>
      <c r="G380" s="1"/>
      <c r="I380" s="1"/>
    </row>
    <row r="381" ht="15.75" customHeight="1">
      <c r="A381" s="1"/>
      <c r="B381" s="1"/>
      <c r="C381" s="1"/>
      <c r="D381" s="1"/>
      <c r="E381" s="1"/>
      <c r="F381" s="1"/>
      <c r="G381" s="1"/>
      <c r="I381" s="1"/>
    </row>
    <row r="382" ht="15.75" customHeight="1">
      <c r="A382" s="1"/>
      <c r="B382" s="1"/>
      <c r="C382" s="1"/>
      <c r="D382" s="1"/>
      <c r="E382" s="1"/>
      <c r="F382" s="1"/>
      <c r="G382" s="1"/>
      <c r="I382" s="1"/>
    </row>
    <row r="383" ht="15.75" customHeight="1">
      <c r="A383" s="1"/>
      <c r="B383" s="1"/>
      <c r="C383" s="1"/>
      <c r="D383" s="1"/>
      <c r="E383" s="1"/>
      <c r="F383" s="1"/>
      <c r="G383" s="1"/>
      <c r="I383" s="1"/>
    </row>
    <row r="384" ht="15.75" customHeight="1">
      <c r="A384" s="1"/>
      <c r="B384" s="1"/>
      <c r="C384" s="1"/>
      <c r="D384" s="1"/>
      <c r="E384" s="1"/>
      <c r="F384" s="1"/>
      <c r="G384" s="1"/>
      <c r="I384" s="1"/>
    </row>
    <row r="385" ht="15.75" customHeight="1">
      <c r="A385" s="1"/>
      <c r="B385" s="1"/>
      <c r="C385" s="1"/>
      <c r="D385" s="1"/>
      <c r="E385" s="1"/>
      <c r="F385" s="1"/>
      <c r="G385" s="1"/>
      <c r="I385" s="1"/>
    </row>
    <row r="386" ht="15.75" customHeight="1">
      <c r="A386" s="1"/>
      <c r="B386" s="1"/>
      <c r="C386" s="1"/>
      <c r="D386" s="1"/>
      <c r="E386" s="1"/>
      <c r="F386" s="1"/>
      <c r="G386" s="1"/>
      <c r="I386" s="1"/>
    </row>
    <row r="387" ht="15.75" customHeight="1">
      <c r="A387" s="1"/>
      <c r="B387" s="1"/>
      <c r="C387" s="1"/>
      <c r="D387" s="1"/>
      <c r="E387" s="1"/>
      <c r="F387" s="1"/>
      <c r="G387" s="1"/>
      <c r="I387" s="1"/>
    </row>
    <row r="388" ht="15.75" customHeight="1">
      <c r="A388" s="1"/>
      <c r="B388" s="1"/>
      <c r="C388" s="1"/>
      <c r="D388" s="1"/>
      <c r="E388" s="1"/>
      <c r="F388" s="1"/>
      <c r="G388" s="1"/>
      <c r="I388" s="1"/>
    </row>
    <row r="389" ht="15.75" customHeight="1">
      <c r="A389" s="1"/>
      <c r="B389" s="1"/>
      <c r="C389" s="1"/>
      <c r="D389" s="1"/>
      <c r="E389" s="1"/>
      <c r="F389" s="1"/>
      <c r="G389" s="1"/>
      <c r="I389" s="1"/>
    </row>
    <row r="390" ht="15.75" customHeight="1">
      <c r="A390" s="1"/>
      <c r="B390" s="1"/>
      <c r="C390" s="1"/>
      <c r="D390" s="1"/>
      <c r="E390" s="1"/>
      <c r="F390" s="1"/>
      <c r="G390" s="1"/>
      <c r="I390" s="1"/>
    </row>
    <row r="391" ht="15.75" customHeight="1">
      <c r="A391" s="1"/>
      <c r="B391" s="1"/>
      <c r="C391" s="1"/>
      <c r="D391" s="1"/>
      <c r="E391" s="1"/>
      <c r="F391" s="1"/>
      <c r="G391" s="1"/>
      <c r="I391" s="1"/>
    </row>
    <row r="392" ht="15.75" customHeight="1">
      <c r="A392" s="1"/>
      <c r="B392" s="1"/>
      <c r="C392" s="1"/>
      <c r="D392" s="1"/>
      <c r="E392" s="1"/>
      <c r="F392" s="1"/>
      <c r="G392" s="1"/>
      <c r="I392" s="1"/>
    </row>
    <row r="393" ht="15.75" customHeight="1">
      <c r="A393" s="1"/>
      <c r="B393" s="1"/>
      <c r="C393" s="1"/>
      <c r="D393" s="1"/>
      <c r="E393" s="1"/>
      <c r="F393" s="1"/>
      <c r="G393" s="1"/>
      <c r="I393" s="1"/>
    </row>
    <row r="394" ht="15.75" customHeight="1">
      <c r="A394" s="1"/>
      <c r="B394" s="1"/>
      <c r="C394" s="1"/>
      <c r="D394" s="1"/>
      <c r="E394" s="1"/>
      <c r="F394" s="1"/>
      <c r="G394" s="1"/>
      <c r="I394" s="1"/>
    </row>
    <row r="395" ht="15.75" customHeight="1">
      <c r="A395" s="1"/>
      <c r="B395" s="1"/>
      <c r="C395" s="1"/>
      <c r="D395" s="1"/>
      <c r="E395" s="1"/>
      <c r="F395" s="1"/>
      <c r="G395" s="1"/>
      <c r="I395" s="1"/>
    </row>
    <row r="396" ht="15.75" customHeight="1">
      <c r="A396" s="1"/>
      <c r="B396" s="1"/>
      <c r="C396" s="1"/>
      <c r="D396" s="1"/>
      <c r="E396" s="1"/>
      <c r="F396" s="1"/>
      <c r="G396" s="1"/>
      <c r="I396" s="1"/>
    </row>
    <row r="397" ht="15.75" customHeight="1">
      <c r="A397" s="1"/>
      <c r="B397" s="1"/>
      <c r="C397" s="1"/>
      <c r="D397" s="1"/>
      <c r="E397" s="1"/>
      <c r="F397" s="1"/>
      <c r="G397" s="1"/>
      <c r="I397" s="1"/>
    </row>
    <row r="398" ht="15.75" customHeight="1">
      <c r="A398" s="1"/>
      <c r="B398" s="1"/>
      <c r="C398" s="1"/>
      <c r="D398" s="1"/>
      <c r="E398" s="1"/>
      <c r="F398" s="1"/>
      <c r="G398" s="1"/>
      <c r="I398" s="1"/>
    </row>
    <row r="399" ht="15.75" customHeight="1">
      <c r="A399" s="1"/>
      <c r="B399" s="1"/>
      <c r="C399" s="1"/>
      <c r="D399" s="1"/>
      <c r="E399" s="1"/>
      <c r="F399" s="1"/>
      <c r="G399" s="1"/>
      <c r="I399" s="1"/>
    </row>
    <row r="400" ht="15.75" customHeight="1">
      <c r="A400" s="1"/>
      <c r="B400" s="1"/>
      <c r="C400" s="1"/>
      <c r="D400" s="1"/>
      <c r="E400" s="1"/>
      <c r="F400" s="1"/>
      <c r="G400" s="1"/>
      <c r="I400" s="1"/>
    </row>
    <row r="401" ht="15.75" customHeight="1">
      <c r="A401" s="1"/>
      <c r="B401" s="1"/>
      <c r="C401" s="1"/>
      <c r="D401" s="1"/>
      <c r="E401" s="1"/>
      <c r="F401" s="1"/>
      <c r="G401" s="1"/>
      <c r="I401" s="1"/>
    </row>
    <row r="402" ht="15.75" customHeight="1">
      <c r="A402" s="1"/>
      <c r="B402" s="1"/>
      <c r="C402" s="1"/>
      <c r="D402" s="1"/>
      <c r="E402" s="1"/>
      <c r="F402" s="1"/>
      <c r="G402" s="1"/>
      <c r="I402" s="1"/>
    </row>
    <row r="403" ht="15.75" customHeight="1">
      <c r="A403" s="1"/>
      <c r="B403" s="1"/>
      <c r="C403" s="1"/>
      <c r="D403" s="1"/>
      <c r="E403" s="1"/>
      <c r="F403" s="1"/>
      <c r="G403" s="1"/>
      <c r="I403" s="1"/>
    </row>
    <row r="404" ht="15.75" customHeight="1">
      <c r="A404" s="1"/>
      <c r="B404" s="1"/>
      <c r="C404" s="1"/>
      <c r="D404" s="1"/>
      <c r="E404" s="1"/>
      <c r="F404" s="1"/>
      <c r="G404" s="1"/>
      <c r="I404" s="1"/>
    </row>
    <row r="405" ht="15.75" customHeight="1">
      <c r="A405" s="1"/>
      <c r="B405" s="1"/>
      <c r="C405" s="1"/>
      <c r="D405" s="1"/>
      <c r="E405" s="1"/>
      <c r="F405" s="1"/>
      <c r="G405" s="1"/>
      <c r="I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6.86"/>
    <col customWidth="1" min="3" max="3" width="15.0"/>
    <col customWidth="1" min="4" max="4" width="8.0"/>
    <col customWidth="1" min="5" max="7" width="12.0"/>
    <col customWidth="1" min="8" max="8" width="14.0"/>
  </cols>
  <sheetData>
    <row r="1" ht="15.0" customHeight="1">
      <c r="A1" s="28" t="s">
        <v>881</v>
      </c>
      <c r="B1" s="28" t="s">
        <v>882</v>
      </c>
      <c r="C1" s="28" t="s">
        <v>883</v>
      </c>
      <c r="D1" s="28" t="s">
        <v>884</v>
      </c>
      <c r="E1" s="28" t="s">
        <v>885</v>
      </c>
      <c r="F1" s="28" t="s">
        <v>886</v>
      </c>
      <c r="G1" s="28" t="s">
        <v>887</v>
      </c>
      <c r="H1" s="28" t="s">
        <v>888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 t="s">
        <v>889</v>
      </c>
      <c r="B2" s="1" t="s">
        <v>438</v>
      </c>
      <c r="C2" s="29">
        <v>9200.0</v>
      </c>
      <c r="D2" s="30">
        <v>0.22</v>
      </c>
      <c r="E2" s="31">
        <v>300.0</v>
      </c>
      <c r="F2" s="1" t="s">
        <v>890</v>
      </c>
      <c r="G2" s="1" t="s">
        <v>891</v>
      </c>
      <c r="H2" s="1">
        <v>1.0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 t="s">
        <v>892</v>
      </c>
      <c r="B3" s="1" t="s">
        <v>438</v>
      </c>
      <c r="C3" s="29">
        <v>2000.0</v>
      </c>
      <c r="D3" s="30">
        <v>0.13</v>
      </c>
      <c r="E3" s="31">
        <v>0.0</v>
      </c>
      <c r="F3" s="1" t="s">
        <v>890</v>
      </c>
      <c r="G3" s="1" t="s">
        <v>893</v>
      </c>
      <c r="H3" s="1">
        <v>2.0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 t="s">
        <v>894</v>
      </c>
      <c r="B4" s="1" t="s">
        <v>438</v>
      </c>
      <c r="C4" s="29">
        <v>12350.0</v>
      </c>
      <c r="D4" s="30">
        <v>0.0595</v>
      </c>
      <c r="E4" s="31">
        <v>650.0</v>
      </c>
      <c r="F4" s="1" t="s">
        <v>895</v>
      </c>
      <c r="G4" s="1" t="s">
        <v>896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 t="s">
        <v>897</v>
      </c>
      <c r="B5" s="1" t="s">
        <v>438</v>
      </c>
      <c r="C5" s="29">
        <v>10000.0</v>
      </c>
      <c r="D5" s="30">
        <v>0.0</v>
      </c>
      <c r="E5" s="31">
        <v>290.0</v>
      </c>
      <c r="F5" s="1" t="s">
        <v>895</v>
      </c>
      <c r="G5" s="1" t="s">
        <v>898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 t="s">
        <v>899</v>
      </c>
      <c r="B6" s="1" t="s">
        <v>438</v>
      </c>
      <c r="C6" s="29">
        <v>5500.0</v>
      </c>
      <c r="D6" s="30">
        <v>0.033</v>
      </c>
      <c r="E6" s="31">
        <v>0.0</v>
      </c>
      <c r="F6" s="1" t="s">
        <v>900</v>
      </c>
      <c r="G6" s="1" t="s">
        <v>901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 t="s">
        <v>902</v>
      </c>
      <c r="B7" s="1" t="s">
        <v>456</v>
      </c>
      <c r="C7" s="29">
        <v>2000.0</v>
      </c>
      <c r="D7" s="30">
        <v>0.14</v>
      </c>
      <c r="E7" s="31">
        <v>200.0</v>
      </c>
      <c r="F7" s="1" t="s">
        <v>890</v>
      </c>
      <c r="G7" s="1" t="s">
        <v>893</v>
      </c>
      <c r="H7" s="1">
        <v>3.0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 t="s">
        <v>903</v>
      </c>
      <c r="B8" s="1" t="s">
        <v>456</v>
      </c>
      <c r="C8" s="29">
        <v>2000.0</v>
      </c>
      <c r="D8" s="30">
        <v>0.13</v>
      </c>
      <c r="E8" s="31">
        <v>100.0</v>
      </c>
      <c r="F8" s="1" t="s">
        <v>890</v>
      </c>
      <c r="G8" s="1" t="s">
        <v>893</v>
      </c>
      <c r="H8" s="1">
        <v>4.0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 t="s">
        <v>904</v>
      </c>
      <c r="B9" s="1" t="s">
        <v>456</v>
      </c>
      <c r="C9" s="29">
        <v>440.0</v>
      </c>
      <c r="D9" s="30">
        <v>0.13</v>
      </c>
      <c r="E9" s="31">
        <v>30.0</v>
      </c>
      <c r="F9" s="1" t="s">
        <v>890</v>
      </c>
      <c r="G9" s="1" t="s">
        <v>893</v>
      </c>
      <c r="H9" s="1">
        <v>5.0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 t="s">
        <v>905</v>
      </c>
      <c r="B10" s="1" t="s">
        <v>456</v>
      </c>
      <c r="C10" s="29">
        <v>11000.0</v>
      </c>
      <c r="D10" s="30">
        <v>0.032</v>
      </c>
      <c r="E10" s="31">
        <v>200.0</v>
      </c>
      <c r="F10" s="1" t="s">
        <v>895</v>
      </c>
      <c r="G10" s="1" t="s">
        <v>906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 t="s">
        <v>907</v>
      </c>
      <c r="B11" s="1" t="s">
        <v>456</v>
      </c>
      <c r="C11" s="29">
        <v>2500.0</v>
      </c>
      <c r="D11" s="30">
        <v>0.0</v>
      </c>
      <c r="E11" s="31">
        <v>132.0</v>
      </c>
      <c r="F11" s="1" t="s">
        <v>895</v>
      </c>
      <c r="G11" s="1" t="s">
        <v>908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 t="s">
        <v>909</v>
      </c>
      <c r="B12" s="1" t="s">
        <v>456</v>
      </c>
      <c r="C12" s="29">
        <v>360.0</v>
      </c>
      <c r="D12" s="30">
        <v>0.0</v>
      </c>
      <c r="E12" s="31">
        <v>90.0</v>
      </c>
      <c r="F12" s="1" t="s">
        <v>895</v>
      </c>
      <c r="G12" s="1" t="s">
        <v>910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 t="s">
        <v>911</v>
      </c>
      <c r="B13" s="1" t="s">
        <v>912</v>
      </c>
      <c r="C13" s="29">
        <v>52500.0</v>
      </c>
      <c r="D13" s="30">
        <v>0.0</v>
      </c>
      <c r="E13" s="31">
        <v>583.33</v>
      </c>
      <c r="F13" s="1" t="s">
        <v>895</v>
      </c>
      <c r="G13" s="1" t="s">
        <v>913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 t="s">
        <v>914</v>
      </c>
      <c r="B14" s="1" t="s">
        <v>912</v>
      </c>
      <c r="C14" s="29">
        <v>5000.0</v>
      </c>
      <c r="D14" s="30">
        <v>0.0</v>
      </c>
      <c r="E14" s="1">
        <v>0.0</v>
      </c>
      <c r="F14" s="1" t="s">
        <v>915</v>
      </c>
      <c r="G14" s="1" t="s">
        <v>916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2" t="s">
        <v>917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 t="s">
        <v>918</v>
      </c>
      <c r="B16" s="32">
        <f>SUMIF(D2:D12,"&gt;0.1",C2:C12)</f>
        <v>15640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 t="s">
        <v>919</v>
      </c>
      <c r="B17" s="32">
        <f>SUMIF(F2:F12,"Fixed",C2:C12)</f>
        <v>36210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 t="s">
        <v>920</v>
      </c>
      <c r="B18" s="32">
        <f>SUMIF(F2:F12,"Low",C2:C12)</f>
        <v>5500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 t="s">
        <v>921</v>
      </c>
      <c r="B19" s="32">
        <f>SUM(E2:E12)</f>
        <v>1992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 t="s">
        <v>922</v>
      </c>
      <c r="B20" s="33">
        <f>SUM(C2:C13)</f>
        <v>109850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38" width="11.0"/>
    <col customWidth="1" min="39" max="39" width="12.86"/>
    <col customWidth="1" min="40" max="87" width="11.0"/>
    <col customWidth="1" min="88" max="88" width="8.71"/>
  </cols>
  <sheetData>
    <row r="1" ht="21.75" customHeight="1">
      <c r="A1" s="34" t="s">
        <v>658</v>
      </c>
      <c r="B1" s="34" t="s">
        <v>659</v>
      </c>
      <c r="C1" s="34" t="s">
        <v>113</v>
      </c>
      <c r="D1" s="34" t="s">
        <v>923</v>
      </c>
      <c r="E1" s="34" t="s">
        <v>924</v>
      </c>
      <c r="F1" s="35" t="s">
        <v>925</v>
      </c>
      <c r="G1" s="35" t="s">
        <v>926</v>
      </c>
      <c r="H1" s="35" t="s">
        <v>927</v>
      </c>
      <c r="I1" s="35" t="s">
        <v>928</v>
      </c>
      <c r="J1" s="35" t="s">
        <v>929</v>
      </c>
      <c r="K1" s="36" t="s">
        <v>930</v>
      </c>
      <c r="L1" s="35" t="s">
        <v>931</v>
      </c>
      <c r="M1" s="35" t="s">
        <v>932</v>
      </c>
      <c r="N1" s="37" t="s">
        <v>933</v>
      </c>
      <c r="O1" s="37" t="s">
        <v>934</v>
      </c>
      <c r="P1" s="37" t="s">
        <v>935</v>
      </c>
      <c r="Q1" s="37" t="s">
        <v>936</v>
      </c>
      <c r="R1" s="37" t="s">
        <v>937</v>
      </c>
      <c r="S1" s="38" t="s">
        <v>938</v>
      </c>
      <c r="T1" s="37" t="s">
        <v>939</v>
      </c>
      <c r="U1" s="37" t="s">
        <v>940</v>
      </c>
      <c r="V1" s="39" t="s">
        <v>941</v>
      </c>
      <c r="W1" s="39" t="s">
        <v>942</v>
      </c>
      <c r="X1" s="39" t="s">
        <v>943</v>
      </c>
      <c r="Y1" s="40" t="s">
        <v>944</v>
      </c>
      <c r="Z1" s="40" t="s">
        <v>945</v>
      </c>
      <c r="AA1" s="40" t="s">
        <v>946</v>
      </c>
      <c r="AB1" s="40" t="s">
        <v>947</v>
      </c>
      <c r="AC1" s="40" t="s">
        <v>948</v>
      </c>
      <c r="AD1" s="40" t="s">
        <v>949</v>
      </c>
      <c r="AE1" s="41" t="s">
        <v>950</v>
      </c>
      <c r="AF1" s="41" t="s">
        <v>951</v>
      </c>
      <c r="AG1" s="42" t="s">
        <v>952</v>
      </c>
      <c r="AH1" s="42" t="s">
        <v>953</v>
      </c>
      <c r="AI1" s="42" t="s">
        <v>954</v>
      </c>
      <c r="AJ1" s="43" t="s">
        <v>955</v>
      </c>
      <c r="AK1" s="44" t="s">
        <v>956</v>
      </c>
      <c r="AL1" s="44" t="s">
        <v>957</v>
      </c>
      <c r="AM1" s="44" t="s">
        <v>958</v>
      </c>
      <c r="AN1" s="44" t="s">
        <v>959</v>
      </c>
      <c r="AO1" s="45" t="s">
        <v>960</v>
      </c>
      <c r="AP1" s="45" t="s">
        <v>961</v>
      </c>
      <c r="AQ1" s="45" t="s">
        <v>962</v>
      </c>
      <c r="AR1" s="45" t="s">
        <v>963</v>
      </c>
      <c r="AS1" s="45" t="s">
        <v>964</v>
      </c>
      <c r="AT1" s="45" t="s">
        <v>965</v>
      </c>
      <c r="AU1" s="46" t="s">
        <v>966</v>
      </c>
      <c r="AV1" s="40" t="s">
        <v>967</v>
      </c>
      <c r="AW1" s="46" t="s">
        <v>968</v>
      </c>
      <c r="AX1" s="40" t="s">
        <v>969</v>
      </c>
      <c r="AY1" s="46" t="s">
        <v>970</v>
      </c>
      <c r="AZ1" s="40" t="s">
        <v>971</v>
      </c>
      <c r="BA1" s="46" t="s">
        <v>972</v>
      </c>
      <c r="BB1" s="40" t="s">
        <v>973</v>
      </c>
      <c r="BC1" s="46" t="s">
        <v>974</v>
      </c>
      <c r="BD1" s="40" t="s">
        <v>975</v>
      </c>
      <c r="BE1" s="47" t="s">
        <v>976</v>
      </c>
      <c r="BF1" s="42" t="s">
        <v>977</v>
      </c>
      <c r="BG1" s="42" t="s">
        <v>978</v>
      </c>
      <c r="BH1" s="42" t="s">
        <v>979</v>
      </c>
      <c r="BI1" s="42" t="s">
        <v>980</v>
      </c>
      <c r="BJ1" s="46" t="s">
        <v>981</v>
      </c>
      <c r="BK1" s="46" t="s">
        <v>982</v>
      </c>
      <c r="BL1" s="46" t="s">
        <v>983</v>
      </c>
      <c r="BM1" s="46" t="s">
        <v>984</v>
      </c>
      <c r="BN1" s="46" t="s">
        <v>985</v>
      </c>
      <c r="BO1" s="46" t="s">
        <v>986</v>
      </c>
      <c r="BP1" s="48" t="s">
        <v>987</v>
      </c>
      <c r="BQ1" s="48" t="s">
        <v>988</v>
      </c>
      <c r="BR1" s="49" t="s">
        <v>989</v>
      </c>
      <c r="BS1" s="49" t="s">
        <v>990</v>
      </c>
      <c r="BT1" s="49" t="s">
        <v>991</v>
      </c>
      <c r="BU1" s="49" t="s">
        <v>992</v>
      </c>
      <c r="BV1" s="49" t="s">
        <v>993</v>
      </c>
      <c r="BW1" s="50" t="s">
        <v>994</v>
      </c>
      <c r="BX1" s="50" t="s">
        <v>995</v>
      </c>
      <c r="BY1" s="50" t="s">
        <v>996</v>
      </c>
      <c r="BZ1" s="51" t="s">
        <v>997</v>
      </c>
      <c r="CA1" s="51" t="s">
        <v>998</v>
      </c>
      <c r="CB1" s="51" t="s">
        <v>999</v>
      </c>
      <c r="CC1" s="52" t="s">
        <v>1000</v>
      </c>
      <c r="CD1" s="52" t="s">
        <v>1001</v>
      </c>
      <c r="CE1" s="53" t="s">
        <v>1002</v>
      </c>
      <c r="CF1" s="53" t="s">
        <v>1003</v>
      </c>
      <c r="CG1" s="53" t="s">
        <v>1004</v>
      </c>
      <c r="CH1" s="53" t="s">
        <v>1005</v>
      </c>
      <c r="CI1" s="53" t="s">
        <v>1006</v>
      </c>
      <c r="CJ1" s="53" t="s">
        <v>1007</v>
      </c>
    </row>
    <row r="2" ht="15.0" customHeight="1">
      <c r="A2" s="1">
        <v>1.0</v>
      </c>
      <c r="B2" s="1">
        <v>2026.0</v>
      </c>
      <c r="C2" s="1" t="s">
        <v>671</v>
      </c>
      <c r="D2" s="1" t="s">
        <v>1008</v>
      </c>
      <c r="E2" s="1" t="str">
        <f t="shared" ref="E2:E205" si="2">IF(I2&gt;0,"FAT_BONUS",IF(M2+U2&gt;0,"FAT_RSU","LEAN"))</f>
        <v>LEAN</v>
      </c>
      <c r="F2" s="32">
        <f>Salary_Schedule!E2</f>
        <v>7366.42</v>
      </c>
      <c r="G2" s="32">
        <f>Assumptions!$B$8</f>
        <v>200</v>
      </c>
      <c r="H2" s="32">
        <f>F2*Assumptions!$B$58</f>
        <v>736.642</v>
      </c>
      <c r="I2" s="32">
        <f>Salary_Schedule!F2</f>
        <v>0</v>
      </c>
      <c r="J2" s="32">
        <f>I2*Assumptions!$B$9</f>
        <v>0</v>
      </c>
      <c r="K2" s="54">
        <f t="shared" ref="K2:K205" si="3">F2-G2-H2+I2-J2</f>
        <v>6429.778</v>
      </c>
      <c r="L2" s="32">
        <f>IF(COUNTIFS(SL_Income_Log!$B:$B,TEXT(B2,"0000")&amp;"-"&amp;TEXT(A2,"00"),SL_Income_Log!$C:$C,"salary",SL_Income_Log!$E:$E,"H")&gt;0,SUMIFS(SL_Income_Log!$D:$D,SL_Income_Log!$B:$B,TEXT(B2,"0000")&amp;"-"&amp;TEXT(A2,"00"),SL_Income_Log!$C:$C,"salary",SL_Income_Log!$E:$E,"H"),K2*(1-Assumptions!$B$102)-Z2-Y2)</f>
        <v>3487.4468</v>
      </c>
      <c r="M2" s="32">
        <f>0</f>
        <v>0</v>
      </c>
      <c r="N2" s="32">
        <f>Salary_Schedule!G2</f>
        <v>6195.67</v>
      </c>
      <c r="O2" s="32">
        <f>Assumptions!$B$19</f>
        <v>200</v>
      </c>
      <c r="P2" s="32">
        <f>N2*Assumptions!$B$59</f>
        <v>619.567</v>
      </c>
      <c r="Q2" s="32">
        <f>Salary_Schedule!H2</f>
        <v>0</v>
      </c>
      <c r="R2" s="32">
        <f>Q2*Assumptions!$B$20</f>
        <v>0</v>
      </c>
      <c r="S2" s="54">
        <f t="shared" ref="S2:S205" si="4">N2-O2-P2+Q2-R2</f>
        <v>5376.103</v>
      </c>
      <c r="T2" s="32">
        <f>IF(COUNTIFS(SL_Income_Log!$B:$B,TEXT(B2,"0000")&amp;"-"&amp;TEXT(A2,"00"),SL_Income_Log!$C:$C,"salary",SL_Income_Log!$E:$E,"W")&gt;0,SUMIFS(SL_Income_Log!$D:$D,SL_Income_Log!$B:$B,TEXT(B2,"0000")&amp;"-"&amp;TEXT(A2,"00"),SL_Income_Log!$C:$C,"salary",SL_Income_Log!$E:$E,"W"),S2*(1-Assumptions!$B$102)-AC2-AB2)
</f>
        <v>2855.2418</v>
      </c>
      <c r="U2" s="32">
        <f>0</f>
        <v>0</v>
      </c>
      <c r="V2" s="32">
        <f>H2*(1+Assumptions!$B$60)+Assumptions!$B$61</f>
        <v>1051.2988</v>
      </c>
      <c r="W2" s="32">
        <f>P2*(1+Assumptions!$B$60)+Assumptions!$B$61</f>
        <v>887.3938</v>
      </c>
      <c r="X2" s="32">
        <f t="shared" ref="X2:X205" si="5">V2+W2</f>
        <v>1938.6926</v>
      </c>
      <c r="Y2" s="32">
        <v>78.75</v>
      </c>
      <c r="Z2" s="32">
        <v>291.67</v>
      </c>
      <c r="AA2" s="32">
        <f>26250-Z2</f>
        <v>25958.33</v>
      </c>
      <c r="AB2" s="32">
        <v>78.75</v>
      </c>
      <c r="AC2" s="32">
        <v>291.67</v>
      </c>
      <c r="AD2" s="32">
        <f>26250-AC2</f>
        <v>25958.33</v>
      </c>
      <c r="AE2" s="32">
        <f t="shared" ref="AE2:AF2" si="1">Z2+AC2</f>
        <v>583.34</v>
      </c>
      <c r="AF2" s="32">
        <f t="shared" si="1"/>
        <v>51916.66</v>
      </c>
      <c r="AG2" s="32">
        <f>IF(COUNTIFS(SL_Income_Log!$B:$B,TEXT(B2,"0000")&amp;"-"&amp;TEXT(A2,"00"),SL_Income_Log!$C:$C,"youtube")&gt;0,SUMIFS(SL_Income_Log!$D:$D,SL_Income_Log!$B:$B,TEXT(B2,"0000")&amp;"-"&amp;TEXT(A2,"00"),SL_Income_Log!$C:$C,"youtube"),MIN(Assumptions!$B$49+FLOOR((ROW()-2)/6,1)*Assumptions!$B$50,Assumptions!$B$51))
</f>
        <v>1000</v>
      </c>
      <c r="AH2" s="32">
        <f>AG2*Assumptions!$B$104</f>
        <v>443</v>
      </c>
      <c r="AI2" s="32">
        <f t="shared" ref="AI2:AI205" si="7">AG2-AH2</f>
        <v>557</v>
      </c>
      <c r="AJ2" s="32">
        <f>SUMIFS(SL_Income_Log!$D:$D,SL_Income_Log!$B:$B,TEXT(B2,"0000")&amp;"-"&amp;TEXT(A2,"00"),SL_Income_Log!$C:$C,"other")</f>
        <v>0</v>
      </c>
      <c r="AK2" s="32">
        <f>0</f>
        <v>0</v>
      </c>
      <c r="AL2" s="32">
        <f>L2+M2+T2+U2+AI2+AJ2+IF((Debt_Register!$C$2+Debt_Register!$C$6+Debt_Register!$C$7+Debt_Register!$C$8+Debt_Register!$C$9)&gt;5,X2,0)</f>
        <v>8838.3812</v>
      </c>
      <c r="AM2" s="32">
        <f t="shared" ref="AM2:AM205" si="8">AK2+AL2</f>
        <v>8838.3812</v>
      </c>
      <c r="AN2" s="32">
        <f>MAX(Assumptions!$B$94,MIN(Assumptions!$B$93,AM2-AP2-BE2-BO2-BQ2-Y2-Z2-AB2-AC2))</f>
        <v>-740.84</v>
      </c>
      <c r="AO2" s="32">
        <f>Assumptions!$B$37-Assumptions!$B$38</f>
        <v>397546</v>
      </c>
      <c r="AP2" s="32">
        <f>IF(AO2&gt;0,Assumptions!$B$33,0)</f>
        <v>2281</v>
      </c>
      <c r="AQ2" s="32">
        <f>AO2*Assumptions!$B$32/12</f>
        <v>1288.711617</v>
      </c>
      <c r="AR2" s="32">
        <f t="shared" ref="AR2:AR91" si="9">AP2-AQ2</f>
        <v>992.2883833</v>
      </c>
      <c r="AS2" s="32">
        <v>0.0</v>
      </c>
      <c r="AT2" s="32">
        <f t="shared" ref="AT2:AT91" si="10">MAX(0,AO2-AR2-AS2)</f>
        <v>396553.7116</v>
      </c>
      <c r="AU2" s="32">
        <f>IF(Debt_Register!$C$2&gt;0,MIN(Debt_Register!$C$2,MAX(300,AM2-AP2-BO2-BQ2-AW2-AY2-BA2-BC2)),0)</f>
        <v>585.3812</v>
      </c>
      <c r="AV2" s="32">
        <f>MAX(0,Debt_Register!$C$2-AU2)</f>
        <v>8614.6188</v>
      </c>
      <c r="AW2" s="32">
        <f>IF(Debt_Register!$C$7&gt;0,MIN(250,Debt_Register!$C$7),0)</f>
        <v>250</v>
      </c>
      <c r="AX2" s="32">
        <f>MAX(0,Debt_Register!$C$7-AW2)</f>
        <v>1750</v>
      </c>
      <c r="AY2" s="32">
        <f>IF(Debt_Register!$C$8&gt;0,MIN(200,Debt_Register!$C$8),0)</f>
        <v>200</v>
      </c>
      <c r="AZ2" s="32">
        <f>MAX(0,Debt_Register!$C$8-AY2)</f>
        <v>1800</v>
      </c>
      <c r="BA2" s="32">
        <f>IF(AND(Debt_Register!$C$2&lt;5,Debt_Register!$C$6&gt;0),MIN(Debt_Register!$C$6,MAX(0,AM2-AP2-BO2-BQ2-AW2-AY2-BC2)),0)</f>
        <v>0</v>
      </c>
      <c r="BB2" s="32">
        <f>MAX(0,Debt_Register!$C$6-BA2)</f>
        <v>5500</v>
      </c>
      <c r="BC2" s="32">
        <f>IF(Debt_Register!$C$9&gt;0,MIN(50,Debt_Register!$C$9),0)</f>
        <v>50</v>
      </c>
      <c r="BD2" s="32">
        <f>MAX(0,Debt_Register!$C$9-BC2)</f>
        <v>390</v>
      </c>
      <c r="BE2" s="32">
        <f t="shared" ref="BE2:BE205" si="11">AU2+AW2+AY2+BA2+BC2</f>
        <v>1085.3812</v>
      </c>
      <c r="BF2" s="32">
        <v>0.0</v>
      </c>
      <c r="BG2" s="32">
        <v>5500.0</v>
      </c>
      <c r="BH2" s="32">
        <v>0.0</v>
      </c>
      <c r="BI2" s="32">
        <v>5000.0</v>
      </c>
      <c r="BJ2" s="32">
        <f>IF(OR(B2&lt;Assumptions!$B$111,AND(B2=Assumptions!$B$111,A2&lt;=Assumptions!$B$112)),Assumptions!$B$110,0)</f>
        <v>650</v>
      </c>
      <c r="BK2" s="32">
        <f>MIN(Assumptions!$B$116+IF(OR(A2=4,A2=10),Assumptions!$B$117,0),10000)</f>
        <v>290</v>
      </c>
      <c r="BL2" s="32">
        <f>IF(OR(B2&lt;2030,AND(B2=2030,A2&lt;8)),Assumptions!$B$118,IF(AND(B2=2030,A2=8),MOD(11000,200),0))</f>
        <v>200</v>
      </c>
      <c r="BM2" s="32">
        <f>IF(OR(B2&lt;Assumptions!$B$120,AND(B2=Assumptions!$B$120,A2&lt;=Assumptions!$B$121)),Assumptions!$B$119,0)</f>
        <v>132</v>
      </c>
      <c r="BN2" s="32">
        <f>IF(AND(B2&lt;=Assumptions!$B$123,A2&lt;=Assumptions!$B$124),Assumptions!$B$122,0)</f>
        <v>90</v>
      </c>
      <c r="BO2" s="32">
        <f t="shared" ref="BO2:BO205" si="12">BF2+BH2+BJ2+BK2+BL2+BM2+BN2</f>
        <v>1362</v>
      </c>
      <c r="BP2" s="32">
        <f>SUMIFS(SL_Budget!$B:$B,SL_Budget!$C:$C,"'"&amp;TEXT(DATE(B2,A2,1),"YYYY-MM"))</f>
        <v>4110</v>
      </c>
      <c r="BQ2" s="32">
        <f>MAX(BP2, IFERROR(SUMIFS(ShadowLedger!D:D, 
  ShadowLedger!C:C, "&gt;="&amp;DATE(B2,A2,1), 
  ShadowLedger!C:C, "&lt;"&amp;EOMONTH(DATE(B2,A2,1),0)+1), 0))
</f>
        <v>4110</v>
      </c>
      <c r="BR2" s="32">
        <f>Assumptions!$B$41</f>
        <v>12000</v>
      </c>
      <c r="BS2" s="32">
        <f>IF(Debt_Register!$C$2+Debt_Register!$C$7+Debt_Register!$C$8+Debt_Register!$C$3+Debt_Register!$C$9&gt;5,0,X2)</f>
        <v>0</v>
      </c>
      <c r="BT2" s="32">
        <v>0.0</v>
      </c>
      <c r="BU2" s="32">
        <f>(BR2+BS2+MAX(0,BT2))*(Assumptions!$B$43-1)</f>
        <v>81.816</v>
      </c>
      <c r="BV2" s="32">
        <f t="shared" ref="BV2:BV205" si="13">BR2+BS2+BT2+BU2</f>
        <v>12081.816</v>
      </c>
      <c r="BW2" s="32">
        <f>0</f>
        <v>0</v>
      </c>
      <c r="BX2" s="32">
        <v>0.0</v>
      </c>
      <c r="BY2" s="32">
        <f t="shared" ref="BY2:BY205" si="14">BW2+BX2</f>
        <v>0</v>
      </c>
      <c r="BZ2" s="32">
        <v>0.0</v>
      </c>
      <c r="CA2" s="32">
        <f t="shared" ref="CA2:CA205" si="15">AH2</f>
        <v>443</v>
      </c>
      <c r="CB2" s="32">
        <f t="shared" ref="CB2:CB205" si="16">BZ2+CA2</f>
        <v>443</v>
      </c>
      <c r="CC2" s="55">
        <f>Assumptions!$B$24+(G2+J2)/(Salary_Schedule!E2*12/208)</f>
        <v>1700.470604</v>
      </c>
      <c r="CD2" s="55">
        <f>Assumptions!$B$25+(O2+R2)/(Salary_Schedule!G2*12/208)</f>
        <v>20.55953055</v>
      </c>
      <c r="CE2" s="32">
        <f t="shared" ref="CE2:CE205" si="17">BV2</f>
        <v>12081.816</v>
      </c>
      <c r="CF2" s="32">
        <f>Assumptions!$B$55*(1+Assumptions!$B$56)^((B2-2025)+(A2-1)/12)</f>
        <v>527800</v>
      </c>
      <c r="CG2" s="32">
        <f t="shared" ref="CG2:CG205" si="18">-AT2</f>
        <v>-396553.7116</v>
      </c>
      <c r="CH2" s="32">
        <f t="shared" ref="CH2:CH205" si="19">-(AV2+AX2+BB2+AZ2+BD2+AF2+BG2+BI2)</f>
        <v>-80471.2788</v>
      </c>
      <c r="CI2" s="32">
        <f>CC2*(Salary_Schedule!E2/173.33)*(1-Assumptions!$B$28)+CD2*(Salary_Schedule!G2/173.33)*(1-Assumptions!$B$28)</f>
        <v>47452.5153</v>
      </c>
      <c r="CJ2" s="32">
        <f t="shared" ref="CJ2:CJ205" si="20">CE2+CF2+CG2+CH2+CI2</f>
        <v>110309.3409</v>
      </c>
    </row>
    <row r="3" ht="15.0" customHeight="1">
      <c r="A3" s="1">
        <v>2.0</v>
      </c>
      <c r="B3" s="1">
        <v>2026.0</v>
      </c>
      <c r="C3" s="1" t="s">
        <v>672</v>
      </c>
      <c r="D3" s="1" t="str">
        <f t="shared" ref="D3:D205" si="21">C2</f>
        <v>01/2026</v>
      </c>
      <c r="E3" s="1" t="str">
        <f t="shared" si="2"/>
        <v>LEAN</v>
      </c>
      <c r="F3" s="32">
        <f>Salary_Schedule!E3</f>
        <v>7366.42</v>
      </c>
      <c r="G3" s="32">
        <f>Assumptions!$B$8</f>
        <v>200</v>
      </c>
      <c r="H3" s="32">
        <f>F3*Assumptions!$B$58</f>
        <v>736.642</v>
      </c>
      <c r="I3" s="32">
        <f>Salary_Schedule!F3</f>
        <v>0</v>
      </c>
      <c r="J3" s="32">
        <f>I3*Assumptions!$B$9</f>
        <v>0</v>
      </c>
      <c r="K3" s="54">
        <f t="shared" si="3"/>
        <v>6429.778</v>
      </c>
      <c r="L3" s="32">
        <f>IF(COUNTIFS(SL_Income_Log!$B:$B,TEXT(B3,"0000")&amp;"-"&amp;TEXT(A3,"00"),SL_Income_Log!$C:$C,"salary",SL_Income_Log!$E:$E,"H")&gt;0,SUMIFS(SL_Income_Log!$D:$D,SL_Income_Log!$B:$B,TEXT(B3,"0000")&amp;"-"&amp;TEXT(A3,"00"),SL_Income_Log!$C:$C,"salary",SL_Income_Log!$E:$E,"H"),K3*(1-Assumptions!$B$102)-Z3-Y3)</f>
        <v>3488.3268</v>
      </c>
      <c r="M3" s="32">
        <f>RSU_Schedule!H2</f>
        <v>0</v>
      </c>
      <c r="N3" s="32">
        <f>Salary_Schedule!G3</f>
        <v>6195.67</v>
      </c>
      <c r="O3" s="32">
        <f>Assumptions!$B$19</f>
        <v>200</v>
      </c>
      <c r="P3" s="32">
        <f>N3*Assumptions!$B$59</f>
        <v>619.567</v>
      </c>
      <c r="Q3" s="32">
        <f>Salary_Schedule!H3</f>
        <v>0</v>
      </c>
      <c r="R3" s="32">
        <f>Q3*Assumptions!$B$20</f>
        <v>0</v>
      </c>
      <c r="S3" s="54">
        <f t="shared" si="4"/>
        <v>5376.103</v>
      </c>
      <c r="T3" s="32">
        <f>IF(COUNTIFS(SL_Income_Log!$B:$B,TEXT(B3,"0000")&amp;"-"&amp;TEXT(A3,"00"),SL_Income_Log!$C:$C,"salary",SL_Income_Log!$E:$E,"W")&gt;0,SUMIFS(SL_Income_Log!$D:$D,SL_Income_Log!$B:$B,TEXT(B3,"0000")&amp;"-"&amp;TEXT(A3,"00"),SL_Income_Log!$C:$C,"salary",SL_Income_Log!$E:$E,"W"),S3*(1-Assumptions!$B$102)-AC3-AB3)
</f>
        <v>2856.1218</v>
      </c>
      <c r="U3" s="32">
        <f>RSU_Schedule!M2</f>
        <v>0</v>
      </c>
      <c r="V3" s="32">
        <f>H3*(1+Assumptions!$B$60)+Assumptions!$B$61</f>
        <v>1051.2988</v>
      </c>
      <c r="W3" s="32">
        <f>P3*(1+Assumptions!$B$60)+Assumptions!$B$61</f>
        <v>887.3938</v>
      </c>
      <c r="X3" s="32">
        <f t="shared" si="5"/>
        <v>1938.6926</v>
      </c>
      <c r="Y3" s="32">
        <f t="shared" ref="Y3:Y91" si="22">ROUND(AA2*0.003,2)</f>
        <v>77.87</v>
      </c>
      <c r="Z3" s="32">
        <v>291.67</v>
      </c>
      <c r="AA3" s="32">
        <f t="shared" ref="AA3:AA91" si="23">MAX(0,AA2-Z3)</f>
        <v>25666.66</v>
      </c>
      <c r="AB3" s="32">
        <f t="shared" ref="AB3:AB91" si="24">ROUND(AD2*0.003,2)</f>
        <v>77.87</v>
      </c>
      <c r="AC3" s="32">
        <v>291.67</v>
      </c>
      <c r="AD3" s="32">
        <f t="shared" ref="AD3:AD91" si="25">MAX(0,AD2-AC3)</f>
        <v>25666.66</v>
      </c>
      <c r="AE3" s="32">
        <f t="shared" ref="AE3:AF3" si="6">Z3+AC3</f>
        <v>583.34</v>
      </c>
      <c r="AF3" s="32">
        <f t="shared" si="6"/>
        <v>51333.32</v>
      </c>
      <c r="AG3" s="32">
        <f>IF(COUNTIFS(SL_Income_Log!$B:$B,TEXT(B3,"0000")&amp;"-"&amp;TEXT(A3,"00"),SL_Income_Log!$C:$C,"youtube")&gt;0,SUMIFS(SL_Income_Log!$D:$D,SL_Income_Log!$B:$B,TEXT(B3,"0000")&amp;"-"&amp;TEXT(A3,"00"),SL_Income_Log!$C:$C,"youtube"),MIN(Assumptions!$B$49+FLOOR((ROW()-2)/6,1)*Assumptions!$B$50,Assumptions!$B$51))
</f>
        <v>1000</v>
      </c>
      <c r="AH3" s="32">
        <f>AG3*Assumptions!$B$104</f>
        <v>443</v>
      </c>
      <c r="AI3" s="32">
        <f t="shared" si="7"/>
        <v>557</v>
      </c>
      <c r="AJ3" s="32">
        <f>SUMIFS(SL_Income_Log!$D:$D,SL_Income_Log!$B:$B,TEXT(B3,"0000")&amp;"-"&amp;TEXT(A3,"00"),SL_Income_Log!$C:$C,"other")</f>
        <v>0</v>
      </c>
      <c r="AK3" s="32">
        <f t="shared" ref="AK3:AK205" si="27">AN2</f>
        <v>-740.84</v>
      </c>
      <c r="AL3" s="32">
        <f>L3+M3+T3+U3+AI3+AJ3-Y3-Z3-AB3-AC3+IF((Debt_Register!$C$2+Debt_Register!$C$6+Debt_Register!$C$7+Debt_Register!$C$8+Debt_Register!$C$9)&gt;5,X3,0)</f>
        <v>8101.0612</v>
      </c>
      <c r="AM3" s="32">
        <f t="shared" si="8"/>
        <v>7360.2212</v>
      </c>
      <c r="AN3" s="32">
        <f>MAX(Assumptions!$B$94,MIN(Assumptions!$B$93,AM3-AP3-BE3-BO3-BQ3))</f>
        <v>-1000</v>
      </c>
      <c r="AO3" s="32">
        <f t="shared" ref="AO3:AO92" si="28">AT2</f>
        <v>396553.7116</v>
      </c>
      <c r="AP3" s="32">
        <f>IF(AO3&gt;0,Assumptions!$B$33,0)</f>
        <v>2281</v>
      </c>
      <c r="AQ3" s="32">
        <f>AO3*Assumptions!$B$32/12</f>
        <v>1285.494948</v>
      </c>
      <c r="AR3" s="32">
        <f t="shared" si="9"/>
        <v>995.5050515</v>
      </c>
      <c r="AS3" s="32">
        <f t="shared" ref="AS3:AS85" si="29">IF(AND((AV2+AX2+AZ2+BB2+BD2)&lt;5,AO3&gt;0,SUMIF($B$2:B2,B3,$AS$2:AS2)=0,(MAX(0,AN3-10000)+MAX(0,BY2-5000)+MAX(0,BV2-20000))&gt;=21550),21550,0)</f>
        <v>0</v>
      </c>
      <c r="AT3" s="32">
        <f t="shared" si="10"/>
        <v>395558.2066</v>
      </c>
      <c r="AU3" s="32">
        <f t="shared" ref="AU3:AU205" si="30">IF(AV2&gt;0,MIN(AV2,MAX(300,AM3-AP3-BO3-BQ3-AW3-AY3-BA3-BC3)),0)</f>
        <v>300</v>
      </c>
      <c r="AV3" s="32">
        <f t="shared" ref="AV3:AV205" si="31">MAX(0,AV2-AU3)</f>
        <v>8314.6188</v>
      </c>
      <c r="AW3" s="32">
        <f t="shared" ref="AW3:AW205" si="32">IF(AX2&gt;0,MIN(250,AX2),0)</f>
        <v>250</v>
      </c>
      <c r="AX3" s="32">
        <f t="shared" ref="AX3:AX205" si="33">MAX(0,AX2-AW3)</f>
        <v>1500</v>
      </c>
      <c r="AY3" s="32">
        <f t="shared" ref="AY3:AY205" si="34">IF(AZ2&gt;0,MIN(200,AZ2),0)</f>
        <v>200</v>
      </c>
      <c r="AZ3" s="32">
        <f t="shared" ref="AZ3:AZ205" si="35">MAX(0,AZ2-AY3)</f>
        <v>1600</v>
      </c>
      <c r="BA3" s="32">
        <f t="shared" ref="BA3:BA205" si="36">IF(AND(AV2&lt;5,BB2&gt;0),MIN(BB2,MAX(0,AM3-AP3-BO3-BQ3-AW3-AY3-BC3)),0)</f>
        <v>0</v>
      </c>
      <c r="BB3" s="32">
        <f t="shared" ref="BB3:BB205" si="37">MAX(0,BB2-BA3)</f>
        <v>5500</v>
      </c>
      <c r="BC3" s="32">
        <f t="shared" ref="BC3:BC205" si="38">IF(BD2&gt;0,MIN(50,BD2),0)</f>
        <v>50</v>
      </c>
      <c r="BD3" s="32">
        <f t="shared" ref="BD3:BD205" si="39">MAX(0,BD2-BC3)</f>
        <v>340</v>
      </c>
      <c r="BE3" s="32">
        <f t="shared" si="11"/>
        <v>800</v>
      </c>
      <c r="BF3" s="32">
        <v>0.0</v>
      </c>
      <c r="BG3" s="32">
        <f t="shared" ref="BG3:BG205" si="40">MAX(0,BG2-BF3)</f>
        <v>5500</v>
      </c>
      <c r="BH3" s="32">
        <v>0.0</v>
      </c>
      <c r="BI3" s="32">
        <f t="shared" ref="BI3:BI205" si="41">MAX(0,BI2-BH3)</f>
        <v>5000</v>
      </c>
      <c r="BJ3" s="32">
        <f>IF(OR(B3&lt;Assumptions!$B$111,AND(B3=Assumptions!$B$111,A3&lt;=Assumptions!$B$112)),Assumptions!$B$110,0)</f>
        <v>650</v>
      </c>
      <c r="BK3" s="32">
        <f>IF(B3&lt;2027,Assumptions!$B$116+IF(OR(A3=4,A3=10),Assumptions!$B$117,0),IF(AND(B3=2027,A3&lt;=4),IF(A3=4,MIN(950,Assumptions!$B$116+Assumptions!$B$117),Assumptions!$B$116),0))</f>
        <v>290</v>
      </c>
      <c r="BL3" s="32">
        <f>IF(OR(B3&lt;2030,AND(B3=2030,A3&lt;8)),Assumptions!$B$118,IF(AND(B3=2030,A3=8),MOD(11000,200),0))</f>
        <v>200</v>
      </c>
      <c r="BM3" s="32">
        <f>IF(OR(B3&lt;Assumptions!$B$120,AND(B3=Assumptions!$B$120,A3&lt;=Assumptions!$B$121)),Assumptions!$B$119,0)</f>
        <v>132</v>
      </c>
      <c r="BN3" s="32">
        <f>IF(AND(B3&lt;=Assumptions!$B$123,A3&lt;=Assumptions!$B$124),Assumptions!$B$122,0)</f>
        <v>90</v>
      </c>
      <c r="BO3" s="32">
        <f t="shared" si="12"/>
        <v>1362</v>
      </c>
      <c r="BP3" s="32">
        <f>SUMIFS(SL_Budget!$B:$B,SL_Budget!$C:$C,"'"&amp;TEXT(DATE(B3,A3,1),"YYYY-MM"))</f>
        <v>4110</v>
      </c>
      <c r="BQ3" s="32">
        <f>MAX(BP3, IFERROR(SUMIFS(ShadowLedger!D:D, 
  ShadowLedger!C:C, "&gt;="&amp;DATE(B3,A3,1), 
  ShadowLedger!C:C, "&lt;"&amp;EOMONTH(DATE(B3,A3,1),0)+1), 0))
</f>
        <v>4110</v>
      </c>
      <c r="BR3" s="32">
        <f t="shared" ref="BR3:BR205" si="42">BV2</f>
        <v>12081.816</v>
      </c>
      <c r="BS3" s="32">
        <f t="shared" ref="BS3:BS205" si="43">IF((AV2+AX2+BB2+AZ2+BD2)&gt;5,0,X3)</f>
        <v>0</v>
      </c>
      <c r="BT3" s="32">
        <f>IF(AS3&gt;0,-MAX(0,21550-MAX(0,MAX(0,(AM3-AP3-BE3-BO3-BQ3)-Assumptions!$B$93))-MIN(MAX(0,21550-MAX(0,MAX(0,(AM3-AP3-BE3-BO3-BQ3)-Assumptions!$B$93))),MAX(0,BY2-Assumptions!$B$91))),IF(BY2&gt;=Assumptions!$B$92,MAX(0,(AM3-AP3-BE3-BO3-BQ3)-Assumptions!$B$93),MAX(0,(AM3-AP3-BE3-BO3-BQ3)-Assumptions!$B$93)*Assumptions!$B$99))</f>
        <v>0</v>
      </c>
      <c r="BU3" s="32">
        <f>(BR3+BS3+MAX(0,BT3))*(Assumptions!$B$43-1)</f>
        <v>82.37382149</v>
      </c>
      <c r="BV3" s="32">
        <f t="shared" si="13"/>
        <v>12164.18982</v>
      </c>
      <c r="BW3" s="32">
        <f t="shared" ref="BW3:BW205" si="44">BY2</f>
        <v>0</v>
      </c>
      <c r="BX3" s="32">
        <f>IF(AS3&gt;0,-MIN(MAX(0,21550-MAX(0,MAX(0,(AM3-AP3-BE3-BO3-BQ3)-Assumptions!$B$93))),MAX(0,BY2-Assumptions!$B$91)),IF(BY2&lt;Assumptions!$B$92,MAX(0,(AM3-AP3-BE3-BO3-BQ3)-Assumptions!$B$93)*Assumptions!$B$98,0))</f>
        <v>0</v>
      </c>
      <c r="BY3" s="32">
        <f t="shared" si="14"/>
        <v>0</v>
      </c>
      <c r="BZ3" s="32">
        <f t="shared" ref="BZ3:BZ205" si="45">IF(A3=1,0,CB2)</f>
        <v>443</v>
      </c>
      <c r="CA3" s="32">
        <f t="shared" si="15"/>
        <v>443</v>
      </c>
      <c r="CB3" s="32">
        <f t="shared" si="16"/>
        <v>886</v>
      </c>
      <c r="CC3" s="55">
        <f>CC2+(G3+J3)/(Salary_Schedule!E3*12/208)</f>
        <v>1700.941208</v>
      </c>
      <c r="CD3" s="55">
        <f>CD2+(O3+R3)/(Salary_Schedule!G3*12/208)</f>
        <v>21.11906111</v>
      </c>
      <c r="CE3" s="32">
        <f t="shared" si="17"/>
        <v>12164.18982</v>
      </c>
      <c r="CF3" s="32">
        <f>Assumptions!$B$55*(1+Assumptions!$B$56)^((B3-2025)+(A3-1)/12)</f>
        <v>528455.2572</v>
      </c>
      <c r="CG3" s="32">
        <f t="shared" si="18"/>
        <v>-395558.2066</v>
      </c>
      <c r="CH3" s="32">
        <f t="shared" si="19"/>
        <v>-79087.9388</v>
      </c>
      <c r="CI3" s="32">
        <f>CC3*(Salary_Schedule!E3/173.33)*(1-Assumptions!$B$28)+CD3*(Salary_Schedule!G3/173.33)*(1-Assumptions!$B$28)</f>
        <v>47478.5158</v>
      </c>
      <c r="CJ3" s="32">
        <f t="shared" si="20"/>
        <v>113451.8175</v>
      </c>
    </row>
    <row r="4" ht="15.0" customHeight="1">
      <c r="A4" s="1">
        <v>3.0</v>
      </c>
      <c r="B4" s="1">
        <v>2026.0</v>
      </c>
      <c r="C4" s="1" t="s">
        <v>673</v>
      </c>
      <c r="D4" s="1" t="str">
        <f t="shared" si="21"/>
        <v>02/2026</v>
      </c>
      <c r="E4" s="1" t="str">
        <f t="shared" si="2"/>
        <v>LEAN</v>
      </c>
      <c r="F4" s="32">
        <f>Salary_Schedule!E4</f>
        <v>7366.42</v>
      </c>
      <c r="G4" s="32">
        <f>Assumptions!$B$8</f>
        <v>200</v>
      </c>
      <c r="H4" s="32">
        <f>F4*Assumptions!$B$58</f>
        <v>736.642</v>
      </c>
      <c r="I4" s="32">
        <f>Salary_Schedule!F4</f>
        <v>0</v>
      </c>
      <c r="J4" s="32">
        <f>I4*Assumptions!$B$9</f>
        <v>0</v>
      </c>
      <c r="K4" s="54">
        <f t="shared" si="3"/>
        <v>6429.778</v>
      </c>
      <c r="L4" s="32">
        <f>IF(COUNTIFS(SL_Income_Log!$B:$B,TEXT(B4,"0000")&amp;"-"&amp;TEXT(A4,"00"),SL_Income_Log!$C:$C,"salary",SL_Income_Log!$E:$E,"H")&gt;0,SUMIFS(SL_Income_Log!$D:$D,SL_Income_Log!$B:$B,TEXT(B4,"0000")&amp;"-"&amp;TEXT(A4,"00"),SL_Income_Log!$C:$C,"salary",SL_Income_Log!$E:$E,"H"),K4*(1-Assumptions!$B$102)-Z4-Y4)</f>
        <v>3489.1968</v>
      </c>
      <c r="M4" s="32">
        <f>RSU_Schedule!H3</f>
        <v>0</v>
      </c>
      <c r="N4" s="32">
        <f>Salary_Schedule!G4</f>
        <v>6195.67</v>
      </c>
      <c r="O4" s="32">
        <f>Assumptions!$B$19</f>
        <v>200</v>
      </c>
      <c r="P4" s="32">
        <f>N4*Assumptions!$B$59</f>
        <v>619.567</v>
      </c>
      <c r="Q4" s="32">
        <f>Salary_Schedule!H4</f>
        <v>0</v>
      </c>
      <c r="R4" s="32">
        <f>Q4*Assumptions!$B$20</f>
        <v>0</v>
      </c>
      <c r="S4" s="54">
        <f t="shared" si="4"/>
        <v>5376.103</v>
      </c>
      <c r="T4" s="32">
        <f>IF(COUNTIFS(SL_Income_Log!$B:$B,TEXT(B4,"0000")&amp;"-"&amp;TEXT(A4,"00"),SL_Income_Log!$C:$C,"salary",SL_Income_Log!$E:$E,"W")&gt;0,SUMIFS(SL_Income_Log!$D:$D,SL_Income_Log!$B:$B,TEXT(B4,"0000")&amp;"-"&amp;TEXT(A4,"00"),SL_Income_Log!$C:$C,"salary",SL_Income_Log!$E:$E,"W"),S4*(1-Assumptions!$B$102)-AC4-AB4)
</f>
        <v>2856.9918</v>
      </c>
      <c r="U4" s="32">
        <f>RSU_Schedule!M3</f>
        <v>0</v>
      </c>
      <c r="V4" s="32">
        <f>H4*(1+Assumptions!$B$60)+Assumptions!$B$61</f>
        <v>1051.2988</v>
      </c>
      <c r="W4" s="32">
        <f>P4*(1+Assumptions!$B$60)+Assumptions!$B$61</f>
        <v>887.3938</v>
      </c>
      <c r="X4" s="32">
        <f t="shared" si="5"/>
        <v>1938.6926</v>
      </c>
      <c r="Y4" s="32">
        <f t="shared" si="22"/>
        <v>77</v>
      </c>
      <c r="Z4" s="32">
        <v>291.67</v>
      </c>
      <c r="AA4" s="32">
        <f t="shared" si="23"/>
        <v>25374.99</v>
      </c>
      <c r="AB4" s="32">
        <f t="shared" si="24"/>
        <v>77</v>
      </c>
      <c r="AC4" s="32">
        <v>291.67</v>
      </c>
      <c r="AD4" s="32">
        <f t="shared" si="25"/>
        <v>25374.99</v>
      </c>
      <c r="AE4" s="32">
        <f t="shared" ref="AE4:AF4" si="26">Z4+AC4</f>
        <v>583.34</v>
      </c>
      <c r="AF4" s="32">
        <f t="shared" si="26"/>
        <v>50749.98</v>
      </c>
      <c r="AG4" s="32">
        <f>IF(COUNTIFS(SL_Income_Log!$B:$B,TEXT(B4,"0000")&amp;"-"&amp;TEXT(A4,"00"),SL_Income_Log!$C:$C,"youtube")&gt;0,SUMIFS(SL_Income_Log!$D:$D,SL_Income_Log!$B:$B,TEXT(B4,"0000")&amp;"-"&amp;TEXT(A4,"00"),SL_Income_Log!$C:$C,"youtube"),MIN(Assumptions!$B$49+FLOOR((ROW()-2)/6,1)*Assumptions!$B$50,Assumptions!$B$51))
</f>
        <v>1000</v>
      </c>
      <c r="AH4" s="32">
        <f>AG4*Assumptions!$B$104</f>
        <v>443</v>
      </c>
      <c r="AI4" s="32">
        <f t="shared" si="7"/>
        <v>557</v>
      </c>
      <c r="AJ4" s="32">
        <f>SUMIFS(SL_Income_Log!$D:$D,SL_Income_Log!$B:$B,TEXT(B4,"0000")&amp;"-"&amp;TEXT(A4,"00"),SL_Income_Log!$C:$C,"other")</f>
        <v>0</v>
      </c>
      <c r="AK4" s="32">
        <f t="shared" si="27"/>
        <v>-1000</v>
      </c>
      <c r="AL4" s="32">
        <f>L4+M4+T4+U4+AI4+AJ4-Y4-Z4-AB4-AC4+IF((Debt_Register!$C$2+Debt_Register!$C$6+Debt_Register!$C$7+Debt_Register!$C$8+Debt_Register!$C$9)&gt;5,X4,0)</f>
        <v>8104.5412</v>
      </c>
      <c r="AM4" s="32">
        <f t="shared" si="8"/>
        <v>7104.5412</v>
      </c>
      <c r="AN4" s="32">
        <f>MAX(Assumptions!$B$94,MIN(Assumptions!$B$93,AM4-AP4-BE4-BO4-BQ4))</f>
        <v>-1000</v>
      </c>
      <c r="AO4" s="32">
        <f t="shared" si="28"/>
        <v>395558.2066</v>
      </c>
      <c r="AP4" s="32">
        <f>IF(AO4&gt;0,Assumptions!$B$33,0)</f>
        <v>2281</v>
      </c>
      <c r="AQ4" s="32">
        <f>AO4*Assumptions!$B$32/12</f>
        <v>1282.267853</v>
      </c>
      <c r="AR4" s="32">
        <f t="shared" si="9"/>
        <v>998.7321471</v>
      </c>
      <c r="AS4" s="32">
        <f t="shared" si="29"/>
        <v>0</v>
      </c>
      <c r="AT4" s="32">
        <f t="shared" si="10"/>
        <v>394559.4744</v>
      </c>
      <c r="AU4" s="32">
        <f t="shared" si="30"/>
        <v>300</v>
      </c>
      <c r="AV4" s="32">
        <f t="shared" si="31"/>
        <v>8014.6188</v>
      </c>
      <c r="AW4" s="32">
        <f t="shared" si="32"/>
        <v>250</v>
      </c>
      <c r="AX4" s="32">
        <f t="shared" si="33"/>
        <v>1250</v>
      </c>
      <c r="AY4" s="32">
        <f t="shared" si="34"/>
        <v>200</v>
      </c>
      <c r="AZ4" s="32">
        <f t="shared" si="35"/>
        <v>1400</v>
      </c>
      <c r="BA4" s="32">
        <f t="shared" si="36"/>
        <v>0</v>
      </c>
      <c r="BB4" s="32">
        <f t="shared" si="37"/>
        <v>5500</v>
      </c>
      <c r="BC4" s="32">
        <f t="shared" si="38"/>
        <v>50</v>
      </c>
      <c r="BD4" s="32">
        <f t="shared" si="39"/>
        <v>290</v>
      </c>
      <c r="BE4" s="32">
        <f t="shared" si="11"/>
        <v>800</v>
      </c>
      <c r="BF4" s="32">
        <v>0.0</v>
      </c>
      <c r="BG4" s="32">
        <f t="shared" si="40"/>
        <v>5500</v>
      </c>
      <c r="BH4" s="32">
        <v>0.0</v>
      </c>
      <c r="BI4" s="32">
        <f t="shared" si="41"/>
        <v>5000</v>
      </c>
      <c r="BJ4" s="32">
        <f>IF(OR(B4&lt;Assumptions!$B$111,AND(B4=Assumptions!$B$111,A4&lt;=Assumptions!$B$112)),Assumptions!$B$110,0)</f>
        <v>650</v>
      </c>
      <c r="BK4" s="32">
        <f>IF(B4&lt;2027,Assumptions!$B$116+IF(OR(A4=4,A4=10),Assumptions!$B$117,0),IF(AND(B4=2027,A4&lt;=4),IF(A4=4,MIN(950,Assumptions!$B$116+Assumptions!$B$117),Assumptions!$B$116),0))</f>
        <v>290</v>
      </c>
      <c r="BL4" s="32">
        <f>IF(OR(B4&lt;2030,AND(B4=2030,A4&lt;8)),Assumptions!$B$118,IF(AND(B4=2030,A4=8),MOD(11000,200),0))</f>
        <v>200</v>
      </c>
      <c r="BM4" s="32">
        <f>IF(OR(B4&lt;Assumptions!$B$120,AND(B4=Assumptions!$B$120,A4&lt;=Assumptions!$B$121)),Assumptions!$B$119,0)</f>
        <v>132</v>
      </c>
      <c r="BN4" s="32">
        <f>IF(AND(B4&lt;=Assumptions!$B$123,A4&lt;=Assumptions!$B$124),Assumptions!$B$122,0)</f>
        <v>90</v>
      </c>
      <c r="BO4" s="32">
        <f t="shared" si="12"/>
        <v>1362</v>
      </c>
      <c r="BP4" s="32">
        <f>SUMIFS(SL_Budget!$B:$B,SL_Budget!$C:$C,"'"&amp;TEXT(DATE(B4,A4,1),"YYYY-MM"))</f>
        <v>4110</v>
      </c>
      <c r="BQ4" s="32">
        <f>MAX(BP4, IFERROR(SUMIFS(ShadowLedger!D:D, 
  ShadowLedger!C:C, "&gt;="&amp;DATE(B4,A4,1), 
  ShadowLedger!C:C, "&lt;"&amp;EOMONTH(DATE(B4,A4,1),0)+1), 0))
</f>
        <v>4110</v>
      </c>
      <c r="BR4" s="32">
        <f t="shared" si="42"/>
        <v>12164.18982</v>
      </c>
      <c r="BS4" s="32">
        <f t="shared" si="43"/>
        <v>0</v>
      </c>
      <c r="BT4" s="32">
        <f>IF(AS4&gt;0,-MAX(0,21550-MAX(0,MAX(0,(AM4-AP4-BE4-BO4-BQ4)-Assumptions!$B$93))-MIN(MAX(0,21550-MAX(0,MAX(0,(AM4-AP4-BE4-BO4-BQ4)-Assumptions!$B$93))),MAX(0,BY3-Assumptions!$B$91))),IF(BY3&gt;=Assumptions!$B$92,MAX(0,(AM4-AP4-BE4-BO4-BQ4)-Assumptions!$B$93),MAX(0,(AM4-AP4-BE4-BO4-BQ4)-Assumptions!$B$93)*Assumptions!$B$99))</f>
        <v>0</v>
      </c>
      <c r="BU4" s="32">
        <f>(BR4+BS4+MAX(0,BT4))*(Assumptions!$B$43-1)</f>
        <v>82.9354462</v>
      </c>
      <c r="BV4" s="32">
        <f t="shared" si="13"/>
        <v>12247.12527</v>
      </c>
      <c r="BW4" s="32">
        <f t="shared" si="44"/>
        <v>0</v>
      </c>
      <c r="BX4" s="32">
        <f>IF(AS4&gt;0,-MIN(MAX(0,21550-MAX(0,MAX(0,(AM4-AP4-BE4-BO4-BQ4)-Assumptions!$B$93))),MAX(0,BY3-Assumptions!$B$91)),IF(BY3&lt;Assumptions!$B$92,MAX(0,(AM4-AP4-BE4-BO4-BQ4)-Assumptions!$B$93)*Assumptions!$B$98,0))</f>
        <v>0</v>
      </c>
      <c r="BY4" s="32">
        <f t="shared" si="14"/>
        <v>0</v>
      </c>
      <c r="BZ4" s="32">
        <f t="shared" si="45"/>
        <v>886</v>
      </c>
      <c r="CA4" s="32">
        <f t="shared" si="15"/>
        <v>443</v>
      </c>
      <c r="CB4" s="32">
        <f t="shared" si="16"/>
        <v>1329</v>
      </c>
      <c r="CC4" s="55">
        <f>CC3+(G4+J4)/(Salary_Schedule!E4*12/208)</f>
        <v>1701.411812</v>
      </c>
      <c r="CD4" s="55">
        <f>CD3+(O4+R4)/(Salary_Schedule!G4*12/208)</f>
        <v>21.67859166</v>
      </c>
      <c r="CE4" s="32">
        <f t="shared" si="17"/>
        <v>12247.12527</v>
      </c>
      <c r="CF4" s="32">
        <f>Assumptions!$B$55*(1+Assumptions!$B$56)^((B4-2025)+(A4-1)/12)</f>
        <v>529111.3279</v>
      </c>
      <c r="CG4" s="32">
        <f t="shared" si="18"/>
        <v>-394559.4744</v>
      </c>
      <c r="CH4" s="32">
        <f t="shared" si="19"/>
        <v>-77704.5988</v>
      </c>
      <c r="CI4" s="32">
        <f>CC4*(Salary_Schedule!E4/173.33)*(1-Assumptions!$B$28)+CD4*(Salary_Schedule!G4/173.33)*(1-Assumptions!$B$28)</f>
        <v>47504.5163</v>
      </c>
      <c r="CJ4" s="32">
        <f t="shared" si="20"/>
        <v>116598.8963</v>
      </c>
    </row>
    <row r="5" ht="15.0" customHeight="1">
      <c r="A5" s="1">
        <v>4.0</v>
      </c>
      <c r="B5" s="1">
        <v>2026.0</v>
      </c>
      <c r="C5" s="1" t="s">
        <v>674</v>
      </c>
      <c r="D5" s="1" t="str">
        <f t="shared" si="21"/>
        <v>03/2026</v>
      </c>
      <c r="E5" s="1" t="str">
        <f t="shared" si="2"/>
        <v>FAT_BONUS</v>
      </c>
      <c r="F5" s="32">
        <f>Salary_Schedule!E5</f>
        <v>7366.42</v>
      </c>
      <c r="G5" s="32">
        <f>Assumptions!$B$8</f>
        <v>200</v>
      </c>
      <c r="H5" s="32">
        <f>F5*Assumptions!$B$58</f>
        <v>736.642</v>
      </c>
      <c r="I5" s="32">
        <f>Salary_Schedule!F5</f>
        <v>9821</v>
      </c>
      <c r="J5" s="32">
        <f>I5*Assumptions!$B$9</f>
        <v>3437.35</v>
      </c>
      <c r="K5" s="54">
        <f t="shared" si="3"/>
        <v>12813.428</v>
      </c>
      <c r="L5" s="32">
        <f>IF(COUNTIFS(SL_Income_Log!$B:$B,TEXT(B5,"0000")&amp;"-"&amp;TEXT(A5,"00"),SL_Income_Log!$C:$C,"salary",SL_Income_Log!$E:$E,"H")&gt;0,SUMIFS(SL_Income_Log!$D:$D,SL_Income_Log!$B:$B,TEXT(B5,"0000")&amp;"-"&amp;TEXT(A5,"00"),SL_Income_Log!$C:$C,"salary",SL_Income_Log!$E:$E,"H"),K5*(1-Assumptions!$B$102)-Z5-Y5)</f>
        <v>7320.2668</v>
      </c>
      <c r="M5" s="32">
        <f>RSU_Schedule!H4</f>
        <v>4788.75</v>
      </c>
      <c r="N5" s="32">
        <f>Salary_Schedule!G5</f>
        <v>6195.67</v>
      </c>
      <c r="O5" s="32">
        <f>Assumptions!$B$19</f>
        <v>200</v>
      </c>
      <c r="P5" s="32">
        <f>N5*Assumptions!$B$59</f>
        <v>619.567</v>
      </c>
      <c r="Q5" s="32">
        <f>Salary_Schedule!H5</f>
        <v>8261</v>
      </c>
      <c r="R5" s="32">
        <f>Q5*Assumptions!$B$20</f>
        <v>2891.35</v>
      </c>
      <c r="S5" s="54">
        <f t="shared" si="4"/>
        <v>10745.753</v>
      </c>
      <c r="T5" s="32">
        <f>IF(COUNTIFS(SL_Income_Log!$B:$B,TEXT(B5,"0000")&amp;"-"&amp;TEXT(A5,"00"),SL_Income_Log!$C:$C,"salary",SL_Income_Log!$E:$E,"W")&gt;0,SUMIFS(SL_Income_Log!$D:$D,SL_Income_Log!$B:$B,TEXT(B5,"0000")&amp;"-"&amp;TEXT(A5,"00"),SL_Income_Log!$C:$C,"salary",SL_Income_Log!$E:$E,"W"),S5*(1-Assumptions!$B$102)-AC5-AB5)
</f>
        <v>6079.6618</v>
      </c>
      <c r="U5" s="32">
        <f>RSU_Schedule!M4</f>
        <v>2394.38</v>
      </c>
      <c r="V5" s="32">
        <f>H5*(1+Assumptions!$B$60)+Assumptions!$B$61</f>
        <v>1051.2988</v>
      </c>
      <c r="W5" s="32">
        <f>P5*(1+Assumptions!$B$60)+Assumptions!$B$61</f>
        <v>887.3938</v>
      </c>
      <c r="X5" s="32">
        <f t="shared" si="5"/>
        <v>1938.6926</v>
      </c>
      <c r="Y5" s="32">
        <f t="shared" si="22"/>
        <v>76.12</v>
      </c>
      <c r="Z5" s="32">
        <v>291.67</v>
      </c>
      <c r="AA5" s="32">
        <f t="shared" si="23"/>
        <v>25083.32</v>
      </c>
      <c r="AB5" s="32">
        <f t="shared" si="24"/>
        <v>76.12</v>
      </c>
      <c r="AC5" s="32">
        <v>291.67</v>
      </c>
      <c r="AD5" s="32">
        <f t="shared" si="25"/>
        <v>25083.32</v>
      </c>
      <c r="AE5" s="32">
        <f t="shared" ref="AE5:AF5" si="46">Z5+AC5</f>
        <v>583.34</v>
      </c>
      <c r="AF5" s="32">
        <f t="shared" si="46"/>
        <v>50166.64</v>
      </c>
      <c r="AG5" s="32">
        <f>IF(COUNTIFS(SL_Income_Log!$B:$B,TEXT(B5,"0000")&amp;"-"&amp;TEXT(A5,"00"),SL_Income_Log!$C:$C,"youtube")&gt;0,SUMIFS(SL_Income_Log!$D:$D,SL_Income_Log!$B:$B,TEXT(B5,"0000")&amp;"-"&amp;TEXT(A5,"00"),SL_Income_Log!$C:$C,"youtube"),MIN(Assumptions!$B$49+FLOOR((ROW()-2)/6,1)*Assumptions!$B$50,Assumptions!$B$51))
</f>
        <v>1000</v>
      </c>
      <c r="AH5" s="32">
        <f>AG5*Assumptions!$B$104</f>
        <v>443</v>
      </c>
      <c r="AI5" s="32">
        <f t="shared" si="7"/>
        <v>557</v>
      </c>
      <c r="AJ5" s="32">
        <f>SUMIFS(SL_Income_Log!$D:$D,SL_Income_Log!$B:$B,TEXT(B5,"0000")&amp;"-"&amp;TEXT(A5,"00"),SL_Income_Log!$C:$C,"other")</f>
        <v>0</v>
      </c>
      <c r="AK5" s="32">
        <f t="shared" si="27"/>
        <v>-1000</v>
      </c>
      <c r="AL5" s="32">
        <f>L5+M5+T5+U5+AI5+AJ5-Y5-Z5-AB5-AC5+IF((Debt_Register!$C$2+Debt_Register!$C$6+Debt_Register!$C$7+Debt_Register!$C$8+Debt_Register!$C$9)&gt;5,X5,0)</f>
        <v>22343.1712</v>
      </c>
      <c r="AM5" s="32">
        <f t="shared" si="8"/>
        <v>21343.1712</v>
      </c>
      <c r="AN5" s="32">
        <f>MAX(Assumptions!$B$94,MIN(Assumptions!$B$93,AM5-AP5-BE5-BO5-BQ5))</f>
        <v>2725.5524</v>
      </c>
      <c r="AO5" s="32">
        <f t="shared" si="28"/>
        <v>394559.4744</v>
      </c>
      <c r="AP5" s="32">
        <f>IF(AO5&gt;0,Assumptions!$B$33,0)</f>
        <v>2281</v>
      </c>
      <c r="AQ5" s="32">
        <f>AO5*Assumptions!$B$32/12</f>
        <v>1279.030296</v>
      </c>
      <c r="AR5" s="32">
        <f t="shared" si="9"/>
        <v>1001.969704</v>
      </c>
      <c r="AS5" s="32">
        <f t="shared" si="29"/>
        <v>0</v>
      </c>
      <c r="AT5" s="32">
        <f t="shared" si="10"/>
        <v>393557.5047</v>
      </c>
      <c r="AU5" s="32">
        <f t="shared" si="30"/>
        <v>8014.6188</v>
      </c>
      <c r="AV5" s="32">
        <f t="shared" si="31"/>
        <v>0</v>
      </c>
      <c r="AW5" s="32">
        <f t="shared" si="32"/>
        <v>250</v>
      </c>
      <c r="AX5" s="32">
        <f t="shared" si="33"/>
        <v>1000</v>
      </c>
      <c r="AY5" s="32">
        <f t="shared" si="34"/>
        <v>200</v>
      </c>
      <c r="AZ5" s="32">
        <f t="shared" si="35"/>
        <v>1200</v>
      </c>
      <c r="BA5" s="32">
        <f t="shared" si="36"/>
        <v>0</v>
      </c>
      <c r="BB5" s="32">
        <f t="shared" si="37"/>
        <v>5500</v>
      </c>
      <c r="BC5" s="32">
        <f t="shared" si="38"/>
        <v>50</v>
      </c>
      <c r="BD5" s="32">
        <f t="shared" si="39"/>
        <v>240</v>
      </c>
      <c r="BE5" s="32">
        <f t="shared" si="11"/>
        <v>8514.6188</v>
      </c>
      <c r="BF5" s="32">
        <v>0.0</v>
      </c>
      <c r="BG5" s="32">
        <f t="shared" si="40"/>
        <v>5500</v>
      </c>
      <c r="BH5" s="32">
        <v>0.0</v>
      </c>
      <c r="BI5" s="32">
        <f t="shared" si="41"/>
        <v>5000</v>
      </c>
      <c r="BJ5" s="32">
        <f>IF(OR(B5&lt;Assumptions!$B$111,AND(B5=Assumptions!$B$111,A5&lt;=Assumptions!$B$112)),Assumptions!$B$110,0)</f>
        <v>650</v>
      </c>
      <c r="BK5" s="32">
        <f>IF(B5&lt;2027,Assumptions!$B$116+IF(OR(A5=4,A5=10),Assumptions!$B$117,0),IF(AND(B5=2027,A5&lt;=4),IF(A5=4,MIN(950,Assumptions!$B$116+Assumptions!$B$117),Assumptions!$B$116),0))</f>
        <v>2640</v>
      </c>
      <c r="BL5" s="32">
        <f>IF(OR(B5&lt;2030,AND(B5=2030,A5&lt;8)),Assumptions!$B$118,IF(AND(B5=2030,A5=8),MOD(11000,200),0))</f>
        <v>200</v>
      </c>
      <c r="BM5" s="32">
        <f>IF(OR(B5&lt;Assumptions!$B$120,AND(B5=Assumptions!$B$120,A5&lt;=Assumptions!$B$121)),Assumptions!$B$119,0)</f>
        <v>132</v>
      </c>
      <c r="BN5" s="32">
        <f>IF(AND(B5&lt;=Assumptions!$B$123,A5&lt;=Assumptions!$B$124),Assumptions!$B$122,0)</f>
        <v>90</v>
      </c>
      <c r="BO5" s="32">
        <f t="shared" si="12"/>
        <v>3712</v>
      </c>
      <c r="BP5" s="32">
        <f>SUMIFS(SL_Budget!$B:$B,SL_Budget!$C:$C,"'"&amp;TEXT(DATE(B5,A5,1),"YYYY-MM"))</f>
        <v>4110</v>
      </c>
      <c r="BQ5" s="32">
        <f>MAX(BP5, IFERROR(SUMIFS(ShadowLedger!D:D, 
  ShadowLedger!C:C, "&gt;="&amp;DATE(B5,A5,1), 
  ShadowLedger!C:C, "&lt;"&amp;EOMONTH(DATE(B5,A5,1),0)+1), 0))
</f>
        <v>4110</v>
      </c>
      <c r="BR5" s="32">
        <f t="shared" si="42"/>
        <v>12247.12527</v>
      </c>
      <c r="BS5" s="32">
        <f t="shared" si="43"/>
        <v>0</v>
      </c>
      <c r="BT5" s="32">
        <f>IF(AS5&gt;0,-MAX(0,21550-MAX(0,MAX(0,(AM5-AP5-BE5-BO5-BQ5)-Assumptions!$B$93))-MIN(MAX(0,21550-MAX(0,MAX(0,(AM5-AP5-BE5-BO5-BQ5)-Assumptions!$B$93))),MAX(0,BY4-Assumptions!$B$91))),IF(BY4&gt;=Assumptions!$B$92,MAX(0,(AM5-AP5-BE5-BO5-BQ5)-Assumptions!$B$93),MAX(0,(AM5-AP5-BE5-BO5-BQ5)-Assumptions!$B$93)*Assumptions!$B$99))</f>
        <v>0</v>
      </c>
      <c r="BU5" s="32">
        <f>(BR5+BS5+MAX(0,BT5))*(Assumptions!$B$43-1)</f>
        <v>83.50090008</v>
      </c>
      <c r="BV5" s="32">
        <f t="shared" si="13"/>
        <v>12330.62617</v>
      </c>
      <c r="BW5" s="32">
        <f t="shared" si="44"/>
        <v>0</v>
      </c>
      <c r="BX5" s="32">
        <f>IF(AS5&gt;0,-MIN(MAX(0,21550-MAX(0,MAX(0,(AM5-AP5-BE5-BO5-BQ5)-Assumptions!$B$93))),MAX(0,BY4-Assumptions!$B$91)),IF(BY4&lt;Assumptions!$B$92,MAX(0,(AM5-AP5-BE5-BO5-BQ5)-Assumptions!$B$93)*Assumptions!$B$98,0))</f>
        <v>0</v>
      </c>
      <c r="BY5" s="32">
        <f t="shared" si="14"/>
        <v>0</v>
      </c>
      <c r="BZ5" s="32">
        <f t="shared" si="45"/>
        <v>1329</v>
      </c>
      <c r="CA5" s="32">
        <f t="shared" si="15"/>
        <v>443</v>
      </c>
      <c r="CB5" s="32">
        <f t="shared" si="16"/>
        <v>1772</v>
      </c>
      <c r="CC5" s="55">
        <f>CC4+(G5+J5)/(Salary_Schedule!E5*12/208)</f>
        <v>1709.970569</v>
      </c>
      <c r="CD5" s="55">
        <f>CD4+(O5+R5)/(Salary_Schedule!G5*12/208)</f>
        <v>30.32711555</v>
      </c>
      <c r="CE5" s="32">
        <f t="shared" si="17"/>
        <v>12330.62617</v>
      </c>
      <c r="CF5" s="32">
        <f>Assumptions!$B$55*(1+Assumptions!$B$56)^((B5-2025)+(A5-1)/12)</f>
        <v>529768.2131</v>
      </c>
      <c r="CG5" s="32">
        <f t="shared" si="18"/>
        <v>-393557.5047</v>
      </c>
      <c r="CH5" s="32">
        <f t="shared" si="19"/>
        <v>-68606.64</v>
      </c>
      <c r="CI5" s="32">
        <f>CC5*(Salary_Schedule!E5/173.33)*(1-Assumptions!$B$28)+CD5*(Salary_Schedule!G5/173.33)*(1-Assumptions!$B$28)</f>
        <v>47941.89021</v>
      </c>
      <c r="CJ5" s="32">
        <f t="shared" si="20"/>
        <v>127876.5848</v>
      </c>
    </row>
    <row r="6" ht="15.0" customHeight="1">
      <c r="A6" s="1">
        <v>5.0</v>
      </c>
      <c r="B6" s="1">
        <v>2026.0</v>
      </c>
      <c r="C6" s="1" t="s">
        <v>675</v>
      </c>
      <c r="D6" s="1" t="str">
        <f t="shared" si="21"/>
        <v>04/2026</v>
      </c>
      <c r="E6" s="1" t="str">
        <f t="shared" si="2"/>
        <v>LEAN</v>
      </c>
      <c r="F6" s="32">
        <f>Salary_Schedule!E6</f>
        <v>7366.42</v>
      </c>
      <c r="G6" s="32">
        <f>Assumptions!$B$8</f>
        <v>200</v>
      </c>
      <c r="H6" s="32">
        <f>F6*Assumptions!$B$58</f>
        <v>736.642</v>
      </c>
      <c r="I6" s="32">
        <f>Salary_Schedule!F6</f>
        <v>0</v>
      </c>
      <c r="J6" s="32">
        <f>I6*Assumptions!$B$9</f>
        <v>0</v>
      </c>
      <c r="K6" s="54">
        <f t="shared" si="3"/>
        <v>6429.778</v>
      </c>
      <c r="L6" s="32">
        <f>IF(COUNTIFS(SL_Income_Log!$B:$B,TEXT(B6,"0000")&amp;"-"&amp;TEXT(A6,"00"),SL_Income_Log!$C:$C,"salary",SL_Income_Log!$E:$E,"H")&gt;0,SUMIFS(SL_Income_Log!$D:$D,SL_Income_Log!$B:$B,TEXT(B6,"0000")&amp;"-"&amp;TEXT(A6,"00"),SL_Income_Log!$C:$C,"salary",SL_Income_Log!$E:$E,"H"),K6*(1-Assumptions!$B$102)-Z6-Y6)</f>
        <v>3490.9468</v>
      </c>
      <c r="M6" s="32">
        <f>RSU_Schedule!H5</f>
        <v>0</v>
      </c>
      <c r="N6" s="32">
        <f>Salary_Schedule!G6</f>
        <v>6195.67</v>
      </c>
      <c r="O6" s="32">
        <f>Assumptions!$B$19</f>
        <v>200</v>
      </c>
      <c r="P6" s="32">
        <f>N6*Assumptions!$B$59</f>
        <v>619.567</v>
      </c>
      <c r="Q6" s="32">
        <f>Salary_Schedule!H6</f>
        <v>0</v>
      </c>
      <c r="R6" s="32">
        <f>Q6*Assumptions!$B$20</f>
        <v>0</v>
      </c>
      <c r="S6" s="54">
        <f t="shared" si="4"/>
        <v>5376.103</v>
      </c>
      <c r="T6" s="32">
        <f>IF(COUNTIFS(SL_Income_Log!$B:$B,TEXT(B6,"0000")&amp;"-"&amp;TEXT(A6,"00"),SL_Income_Log!$C:$C,"salary",SL_Income_Log!$E:$E,"W")&gt;0,SUMIFS(SL_Income_Log!$D:$D,SL_Income_Log!$B:$B,TEXT(B6,"0000")&amp;"-"&amp;TEXT(A6,"00"),SL_Income_Log!$C:$C,"salary",SL_Income_Log!$E:$E,"W"),S6*(1-Assumptions!$B$102)-AC6-AB6)
</f>
        <v>2858.7418</v>
      </c>
      <c r="U6" s="32">
        <f>RSU_Schedule!M5</f>
        <v>0</v>
      </c>
      <c r="V6" s="32">
        <f>H6*(1+Assumptions!$B$60)+Assumptions!$B$61</f>
        <v>1051.2988</v>
      </c>
      <c r="W6" s="32">
        <f>P6*(1+Assumptions!$B$60)+Assumptions!$B$61</f>
        <v>887.3938</v>
      </c>
      <c r="X6" s="32">
        <f t="shared" si="5"/>
        <v>1938.6926</v>
      </c>
      <c r="Y6" s="32">
        <f t="shared" si="22"/>
        <v>75.25</v>
      </c>
      <c r="Z6" s="32">
        <v>291.67</v>
      </c>
      <c r="AA6" s="32">
        <f t="shared" si="23"/>
        <v>24791.65</v>
      </c>
      <c r="AB6" s="32">
        <f t="shared" si="24"/>
        <v>75.25</v>
      </c>
      <c r="AC6" s="32">
        <v>291.67</v>
      </c>
      <c r="AD6" s="32">
        <f t="shared" si="25"/>
        <v>24791.65</v>
      </c>
      <c r="AE6" s="32">
        <f t="shared" ref="AE6:AF6" si="47">Z6+AC6</f>
        <v>583.34</v>
      </c>
      <c r="AF6" s="32">
        <f t="shared" si="47"/>
        <v>49583.3</v>
      </c>
      <c r="AG6" s="32">
        <f>IF(COUNTIFS(SL_Income_Log!$B:$B,TEXT(B6,"0000")&amp;"-"&amp;TEXT(A6,"00"),SL_Income_Log!$C:$C,"youtube")&gt;0,SUMIFS(SL_Income_Log!$D:$D,SL_Income_Log!$B:$B,TEXT(B6,"0000")&amp;"-"&amp;TEXT(A6,"00"),SL_Income_Log!$C:$C,"youtube"),MIN(Assumptions!$B$49+FLOOR((ROW()-2)/6,1)*Assumptions!$B$50,Assumptions!$B$51))
</f>
        <v>1000</v>
      </c>
      <c r="AH6" s="32">
        <f>AG6*Assumptions!$B$104</f>
        <v>443</v>
      </c>
      <c r="AI6" s="32">
        <f t="shared" si="7"/>
        <v>557</v>
      </c>
      <c r="AJ6" s="32">
        <f>SUMIFS(SL_Income_Log!$D:$D,SL_Income_Log!$B:$B,TEXT(B6,"0000")&amp;"-"&amp;TEXT(A6,"00"),SL_Income_Log!$C:$C,"other")</f>
        <v>0</v>
      </c>
      <c r="AK6" s="32">
        <f t="shared" si="27"/>
        <v>2725.5524</v>
      </c>
      <c r="AL6" s="32">
        <f>L6+M6+T6+U6+AI6+AJ6-Y6-Z6-AB6-AC6+IF((Debt_Register!$C$2+Debt_Register!$C$6+Debt_Register!$C$7+Debt_Register!$C$8+Debt_Register!$C$9)&gt;5,X6,0)</f>
        <v>8111.5412</v>
      </c>
      <c r="AM6" s="32">
        <f t="shared" si="8"/>
        <v>10837.0936</v>
      </c>
      <c r="AN6" s="32">
        <f>MAX(Assumptions!$B$94,MIN(Assumptions!$B$93,AM6-AP6-BE6-BO6-BQ6))</f>
        <v>0</v>
      </c>
      <c r="AO6" s="32">
        <f t="shared" si="28"/>
        <v>393557.5047</v>
      </c>
      <c r="AP6" s="32">
        <f>IF(AO6&gt;0,Assumptions!$B$33,0)</f>
        <v>2281</v>
      </c>
      <c r="AQ6" s="32">
        <f>AO6*Assumptions!$B$32/12</f>
        <v>1275.782244</v>
      </c>
      <c r="AR6" s="32">
        <f t="shared" si="9"/>
        <v>1005.217756</v>
      </c>
      <c r="AS6" s="32">
        <f t="shared" si="29"/>
        <v>0</v>
      </c>
      <c r="AT6" s="32">
        <f t="shared" si="10"/>
        <v>392552.287</v>
      </c>
      <c r="AU6" s="32">
        <f t="shared" si="30"/>
        <v>0</v>
      </c>
      <c r="AV6" s="32">
        <f t="shared" si="31"/>
        <v>0</v>
      </c>
      <c r="AW6" s="32">
        <f t="shared" si="32"/>
        <v>250</v>
      </c>
      <c r="AX6" s="32">
        <f t="shared" si="33"/>
        <v>750</v>
      </c>
      <c r="AY6" s="32">
        <f t="shared" si="34"/>
        <v>200</v>
      </c>
      <c r="AZ6" s="32">
        <f t="shared" si="35"/>
        <v>1000</v>
      </c>
      <c r="BA6" s="32">
        <f t="shared" si="36"/>
        <v>2674.0936</v>
      </c>
      <c r="BB6" s="32">
        <f t="shared" si="37"/>
        <v>2825.9064</v>
      </c>
      <c r="BC6" s="32">
        <f t="shared" si="38"/>
        <v>50</v>
      </c>
      <c r="BD6" s="32">
        <f t="shared" si="39"/>
        <v>190</v>
      </c>
      <c r="BE6" s="32">
        <f t="shared" si="11"/>
        <v>3174.0936</v>
      </c>
      <c r="BF6" s="32">
        <v>0.0</v>
      </c>
      <c r="BG6" s="32">
        <f t="shared" si="40"/>
        <v>5500</v>
      </c>
      <c r="BH6" s="32">
        <v>0.0</v>
      </c>
      <c r="BI6" s="32">
        <f t="shared" si="41"/>
        <v>5000</v>
      </c>
      <c r="BJ6" s="32">
        <f>IF(OR(B6&lt;Assumptions!$B$111,AND(B6=Assumptions!$B$111,A6&lt;=Assumptions!$B$112)),Assumptions!$B$110,0)</f>
        <v>650</v>
      </c>
      <c r="BK6" s="32">
        <f>IF(B6&lt;2027,Assumptions!$B$116+IF(OR(A6=4,A6=10),Assumptions!$B$117,0),IF(AND(B6=2027,A6&lt;=4),IF(A6=4,MIN(950,Assumptions!$B$116+Assumptions!$B$117),Assumptions!$B$116),0))</f>
        <v>290</v>
      </c>
      <c r="BL6" s="32">
        <f>IF(OR(B6&lt;2030,AND(B6=2030,A6&lt;8)),Assumptions!$B$118,IF(AND(B6=2030,A6=8),MOD(11000,200),0))</f>
        <v>200</v>
      </c>
      <c r="BM6" s="32">
        <f>IF(OR(B6&lt;Assumptions!$B$120,AND(B6=Assumptions!$B$120,A6&lt;=Assumptions!$B$121)),Assumptions!$B$119,0)</f>
        <v>132</v>
      </c>
      <c r="BN6" s="32">
        <f>IF(AND(B6&lt;=Assumptions!$B$123,A6&lt;=Assumptions!$B$124),Assumptions!$B$122,0)</f>
        <v>0</v>
      </c>
      <c r="BO6" s="32">
        <f t="shared" si="12"/>
        <v>1272</v>
      </c>
      <c r="BP6" s="32">
        <f>SUMIFS(SL_Budget!$B:$B,SL_Budget!$C:$C,"'"&amp;TEXT(DATE(B6,A6,1),"YYYY-MM"))</f>
        <v>4110</v>
      </c>
      <c r="BQ6" s="32">
        <f>MAX(BP6, IFERROR(SUMIFS(ShadowLedger!D:D, 
  ShadowLedger!C:C, "&gt;="&amp;DATE(B6,A6,1), 
  ShadowLedger!C:C, "&lt;"&amp;EOMONTH(DATE(B6,A6,1),0)+1), 0))
</f>
        <v>4110</v>
      </c>
      <c r="BR6" s="32">
        <f t="shared" si="42"/>
        <v>12330.62617</v>
      </c>
      <c r="BS6" s="32">
        <f t="shared" si="43"/>
        <v>0</v>
      </c>
      <c r="BT6" s="32">
        <f>IF(AS6&gt;0,-MAX(0,21550-MAX(0,MAX(0,(AM6-AP6-BE6-BO6-BQ6)-Assumptions!$B$93))-MIN(MAX(0,21550-MAX(0,MAX(0,(AM6-AP6-BE6-BO6-BQ6)-Assumptions!$B$93))),MAX(0,BY5-Assumptions!$B$91))),IF(BY5&gt;=Assumptions!$B$92,MAX(0,(AM6-AP6-BE6-BO6-BQ6)-Assumptions!$B$93),MAX(0,(AM6-AP6-BE6-BO6-BQ6)-Assumptions!$B$93)*Assumptions!$B$99))</f>
        <v>0</v>
      </c>
      <c r="BU6" s="32">
        <f>(BR6+BS6+MAX(0,BT6))*(Assumptions!$B$43-1)</f>
        <v>84.07020921</v>
      </c>
      <c r="BV6" s="32">
        <f t="shared" si="13"/>
        <v>12414.69638</v>
      </c>
      <c r="BW6" s="32">
        <f t="shared" si="44"/>
        <v>0</v>
      </c>
      <c r="BX6" s="32">
        <f>IF(AS6&gt;0,-MIN(MAX(0,21550-MAX(0,MAX(0,(AM6-AP6-BE6-BO6-BQ6)-Assumptions!$B$93))),MAX(0,BY5-Assumptions!$B$91)),IF(BY5&lt;Assumptions!$B$92,MAX(0,(AM6-AP6-BE6-BO6-BQ6)-Assumptions!$B$93)*Assumptions!$B$98,0))</f>
        <v>0</v>
      </c>
      <c r="BY6" s="32">
        <f t="shared" si="14"/>
        <v>0</v>
      </c>
      <c r="BZ6" s="32">
        <f t="shared" si="45"/>
        <v>1772</v>
      </c>
      <c r="CA6" s="32">
        <f t="shared" si="15"/>
        <v>443</v>
      </c>
      <c r="CB6" s="32">
        <f t="shared" si="16"/>
        <v>2215</v>
      </c>
      <c r="CC6" s="55">
        <f>CC5+(G6+J6)/(Salary_Schedule!E6*12/208)</f>
        <v>1710.441173</v>
      </c>
      <c r="CD6" s="55">
        <f>CD5+(O6+R6)/(Salary_Schedule!G6*12/208)</f>
        <v>30.8866461</v>
      </c>
      <c r="CE6" s="32">
        <f t="shared" si="17"/>
        <v>12414.69638</v>
      </c>
      <c r="CF6" s="32">
        <f>Assumptions!$B$55*(1+Assumptions!$B$56)^((B6-2025)+(A6-1)/12)</f>
        <v>530425.9139</v>
      </c>
      <c r="CG6" s="32">
        <f t="shared" si="18"/>
        <v>-392552.287</v>
      </c>
      <c r="CH6" s="32">
        <f t="shared" si="19"/>
        <v>-64849.2064</v>
      </c>
      <c r="CI6" s="32">
        <f>CC6*(Salary_Schedule!E6/173.33)*(1-Assumptions!$B$28)+CD6*(Salary_Schedule!G6/173.33)*(1-Assumptions!$B$28)</f>
        <v>47967.89071</v>
      </c>
      <c r="CJ6" s="32">
        <f t="shared" si="20"/>
        <v>133407.0076</v>
      </c>
    </row>
    <row r="7" ht="15.0" customHeight="1">
      <c r="A7" s="1">
        <v>6.0</v>
      </c>
      <c r="B7" s="1">
        <v>2026.0</v>
      </c>
      <c r="C7" s="1" t="s">
        <v>676</v>
      </c>
      <c r="D7" s="1" t="str">
        <f t="shared" si="21"/>
        <v>05/2026</v>
      </c>
      <c r="E7" s="1" t="str">
        <f t="shared" si="2"/>
        <v>LEAN</v>
      </c>
      <c r="F7" s="32">
        <f>Salary_Schedule!E7</f>
        <v>7366.42</v>
      </c>
      <c r="G7" s="32">
        <f>Assumptions!$B$8</f>
        <v>200</v>
      </c>
      <c r="H7" s="32">
        <f>F7*Assumptions!$B$58</f>
        <v>736.642</v>
      </c>
      <c r="I7" s="32">
        <f>Salary_Schedule!F7</f>
        <v>0</v>
      </c>
      <c r="J7" s="32">
        <f>I7*Assumptions!$B$9</f>
        <v>0</v>
      </c>
      <c r="K7" s="54">
        <f t="shared" si="3"/>
        <v>6429.778</v>
      </c>
      <c r="L7" s="32">
        <f>IF(COUNTIFS(SL_Income_Log!$B:$B,TEXT(B7,"0000")&amp;"-"&amp;TEXT(A7,"00"),SL_Income_Log!$C:$C,"salary",SL_Income_Log!$E:$E,"H")&gt;0,SUMIFS(SL_Income_Log!$D:$D,SL_Income_Log!$B:$B,TEXT(B7,"0000")&amp;"-"&amp;TEXT(A7,"00"),SL_Income_Log!$C:$C,"salary",SL_Income_Log!$E:$E,"H"),K7*(1-Assumptions!$B$102)-Z7-Y7)</f>
        <v>3491.8268</v>
      </c>
      <c r="M7" s="32">
        <f>RSU_Schedule!H6</f>
        <v>0</v>
      </c>
      <c r="N7" s="32">
        <f>Salary_Schedule!G7</f>
        <v>6195.67</v>
      </c>
      <c r="O7" s="32">
        <f>Assumptions!$B$19</f>
        <v>200</v>
      </c>
      <c r="P7" s="32">
        <f>N7*Assumptions!$B$59</f>
        <v>619.567</v>
      </c>
      <c r="Q7" s="32">
        <f>Salary_Schedule!H7</f>
        <v>0</v>
      </c>
      <c r="R7" s="32">
        <f>Q7*Assumptions!$B$20</f>
        <v>0</v>
      </c>
      <c r="S7" s="54">
        <f t="shared" si="4"/>
        <v>5376.103</v>
      </c>
      <c r="T7" s="32">
        <f>IF(COUNTIFS(SL_Income_Log!$B:$B,TEXT(B7,"0000")&amp;"-"&amp;TEXT(A7,"00"),SL_Income_Log!$C:$C,"salary",SL_Income_Log!$E:$E,"W")&gt;0,SUMIFS(SL_Income_Log!$D:$D,SL_Income_Log!$B:$B,TEXT(B7,"0000")&amp;"-"&amp;TEXT(A7,"00"),SL_Income_Log!$C:$C,"salary",SL_Income_Log!$E:$E,"W"),S7*(1-Assumptions!$B$102)-AC7-AB7)
</f>
        <v>2859.6218</v>
      </c>
      <c r="U7" s="32">
        <f>RSU_Schedule!M6</f>
        <v>0</v>
      </c>
      <c r="V7" s="32">
        <f>H7*(1+Assumptions!$B$60)+Assumptions!$B$61</f>
        <v>1051.2988</v>
      </c>
      <c r="W7" s="32">
        <f>P7*(1+Assumptions!$B$60)+Assumptions!$B$61</f>
        <v>887.3938</v>
      </c>
      <c r="X7" s="32">
        <f t="shared" si="5"/>
        <v>1938.6926</v>
      </c>
      <c r="Y7" s="32">
        <f t="shared" si="22"/>
        <v>74.37</v>
      </c>
      <c r="Z7" s="32">
        <v>291.67</v>
      </c>
      <c r="AA7" s="32">
        <f t="shared" si="23"/>
        <v>24499.98</v>
      </c>
      <c r="AB7" s="32">
        <f t="shared" si="24"/>
        <v>74.37</v>
      </c>
      <c r="AC7" s="32">
        <v>291.67</v>
      </c>
      <c r="AD7" s="32">
        <f t="shared" si="25"/>
        <v>24499.98</v>
      </c>
      <c r="AE7" s="32">
        <f t="shared" ref="AE7:AF7" si="48">Z7+AC7</f>
        <v>583.34</v>
      </c>
      <c r="AF7" s="32">
        <f t="shared" si="48"/>
        <v>48999.96</v>
      </c>
      <c r="AG7" s="32">
        <f>IF(COUNTIFS(SL_Income_Log!$B:$B,TEXT(B7,"0000")&amp;"-"&amp;TEXT(A7,"00"),SL_Income_Log!$C:$C,"youtube")&gt;0,SUMIFS(SL_Income_Log!$D:$D,SL_Income_Log!$B:$B,TEXT(B7,"0000")&amp;"-"&amp;TEXT(A7,"00"),SL_Income_Log!$C:$C,"youtube"),MIN(Assumptions!$B$49+FLOOR((ROW()-2)/6,1)*Assumptions!$B$50,Assumptions!$B$51))
</f>
        <v>1000</v>
      </c>
      <c r="AH7" s="32">
        <f>AG7*Assumptions!$B$104</f>
        <v>443</v>
      </c>
      <c r="AI7" s="32">
        <f t="shared" si="7"/>
        <v>557</v>
      </c>
      <c r="AJ7" s="32">
        <f>SUMIFS(SL_Income_Log!$D:$D,SL_Income_Log!$B:$B,TEXT(B7,"0000")&amp;"-"&amp;TEXT(A7,"00"),SL_Income_Log!$C:$C,"other")</f>
        <v>0</v>
      </c>
      <c r="AK7" s="32">
        <f t="shared" si="27"/>
        <v>0</v>
      </c>
      <c r="AL7" s="32">
        <f>L7+M7+T7+U7+AI7+AJ7-Y7-Z7-AB7-AC7+IF((Debt_Register!$C$2+Debt_Register!$C$6+Debt_Register!$C$7+Debt_Register!$C$8+Debt_Register!$C$9)&gt;5,X7,0)</f>
        <v>8115.0612</v>
      </c>
      <c r="AM7" s="32">
        <f t="shared" si="8"/>
        <v>8115.0612</v>
      </c>
      <c r="AN7" s="32">
        <f>MAX(Assumptions!$B$94,MIN(Assumptions!$B$93,AM7-AP7-BE7-BO7-BQ7))</f>
        <v>-47.9388</v>
      </c>
      <c r="AO7" s="32">
        <f t="shared" si="28"/>
        <v>392552.287</v>
      </c>
      <c r="AP7" s="32">
        <f>IF(AO7&gt;0,Assumptions!$B$33,0)</f>
        <v>2281</v>
      </c>
      <c r="AQ7" s="32">
        <f>AO7*Assumptions!$B$32/12</f>
        <v>1272.523664</v>
      </c>
      <c r="AR7" s="32">
        <f t="shared" si="9"/>
        <v>1008.476336</v>
      </c>
      <c r="AS7" s="32">
        <f t="shared" si="29"/>
        <v>0</v>
      </c>
      <c r="AT7" s="32">
        <f t="shared" si="10"/>
        <v>391543.8106</v>
      </c>
      <c r="AU7" s="32">
        <f t="shared" si="30"/>
        <v>0</v>
      </c>
      <c r="AV7" s="32">
        <f t="shared" si="31"/>
        <v>0</v>
      </c>
      <c r="AW7" s="32">
        <f t="shared" si="32"/>
        <v>250</v>
      </c>
      <c r="AX7" s="32">
        <f t="shared" si="33"/>
        <v>500</v>
      </c>
      <c r="AY7" s="32">
        <f t="shared" si="34"/>
        <v>200</v>
      </c>
      <c r="AZ7" s="32">
        <f t="shared" si="35"/>
        <v>800</v>
      </c>
      <c r="BA7" s="32">
        <f t="shared" si="36"/>
        <v>0</v>
      </c>
      <c r="BB7" s="32">
        <f t="shared" si="37"/>
        <v>2825.9064</v>
      </c>
      <c r="BC7" s="32">
        <f t="shared" si="38"/>
        <v>50</v>
      </c>
      <c r="BD7" s="32">
        <f t="shared" si="39"/>
        <v>140</v>
      </c>
      <c r="BE7" s="32">
        <f t="shared" si="11"/>
        <v>500</v>
      </c>
      <c r="BF7" s="32">
        <v>0.0</v>
      </c>
      <c r="BG7" s="32">
        <f t="shared" si="40"/>
        <v>5500</v>
      </c>
      <c r="BH7" s="32">
        <v>0.0</v>
      </c>
      <c r="BI7" s="32">
        <f t="shared" si="41"/>
        <v>5000</v>
      </c>
      <c r="BJ7" s="32">
        <f>IF(OR(B7&lt;Assumptions!$B$111,AND(B7=Assumptions!$B$111,A7&lt;=Assumptions!$B$112)),Assumptions!$B$110,0)</f>
        <v>650</v>
      </c>
      <c r="BK7" s="32">
        <f>IF(B7&lt;2027,Assumptions!$B$116+IF(OR(A7=4,A7=10),Assumptions!$B$117,0),IF(AND(B7=2027,A7&lt;=4),IF(A7=4,MIN(950,Assumptions!$B$116+Assumptions!$B$117),Assumptions!$B$116),0))</f>
        <v>290</v>
      </c>
      <c r="BL7" s="32">
        <f>IF(OR(B7&lt;2030,AND(B7=2030,A7&lt;8)),Assumptions!$B$118,IF(AND(B7=2030,A7=8),MOD(11000,200),0))</f>
        <v>200</v>
      </c>
      <c r="BM7" s="32">
        <f>IF(OR(B7&lt;Assumptions!$B$120,AND(B7=Assumptions!$B$120,A7&lt;=Assumptions!$B$121)),Assumptions!$B$119,0)</f>
        <v>132</v>
      </c>
      <c r="BN7" s="32">
        <f>IF(AND(B7&lt;=Assumptions!$B$123,A7&lt;=Assumptions!$B$124),Assumptions!$B$122,0)</f>
        <v>0</v>
      </c>
      <c r="BO7" s="32">
        <f t="shared" si="12"/>
        <v>1272</v>
      </c>
      <c r="BP7" s="32">
        <f>SUMIFS(SL_Budget!$B:$B,SL_Budget!$C:$C,"'"&amp;TEXT(DATE(B7,A7,1),"YYYY-MM"))</f>
        <v>4110</v>
      </c>
      <c r="BQ7" s="32">
        <f>MAX(BP7, IFERROR(SUMIFS(ShadowLedger!D:D, 
  ShadowLedger!C:C, "&gt;="&amp;DATE(B7,A7,1), 
  ShadowLedger!C:C, "&lt;"&amp;EOMONTH(DATE(B7,A7,1),0)+1), 0))
</f>
        <v>4110</v>
      </c>
      <c r="BR7" s="32">
        <f t="shared" si="42"/>
        <v>12414.69638</v>
      </c>
      <c r="BS7" s="32">
        <f t="shared" si="43"/>
        <v>0</v>
      </c>
      <c r="BT7" s="32">
        <f>IF(AS7&gt;0,-MAX(0,21550-MAX(0,MAX(0,(AM7-AP7-BE7-BO7-BQ7)-Assumptions!$B$93))-MIN(MAX(0,21550-MAX(0,MAX(0,(AM7-AP7-BE7-BO7-BQ7)-Assumptions!$B$93))),MAX(0,BY6-Assumptions!$B$91))),IF(BY6&gt;=Assumptions!$B$92,MAX(0,(AM7-AP7-BE7-BO7-BQ7)-Assumptions!$B$93),MAX(0,(AM7-AP7-BE7-BO7-BQ7)-Assumptions!$B$93)*Assumptions!$B$99))</f>
        <v>0</v>
      </c>
      <c r="BU7" s="32">
        <f>(BR7+BS7+MAX(0,BT7))*(Assumptions!$B$43-1)</f>
        <v>84.6433999</v>
      </c>
      <c r="BV7" s="32">
        <f t="shared" si="13"/>
        <v>12499.33978</v>
      </c>
      <c r="BW7" s="32">
        <f t="shared" si="44"/>
        <v>0</v>
      </c>
      <c r="BX7" s="32">
        <f>IF(AS7&gt;0,-MIN(MAX(0,21550-MAX(0,MAX(0,(AM7-AP7-BE7-BO7-BQ7)-Assumptions!$B$93))),MAX(0,BY6-Assumptions!$B$91)),IF(BY6&lt;Assumptions!$B$92,MAX(0,(AM7-AP7-BE7-BO7-BQ7)-Assumptions!$B$93)*Assumptions!$B$98,0))</f>
        <v>0</v>
      </c>
      <c r="BY7" s="32">
        <f t="shared" si="14"/>
        <v>0</v>
      </c>
      <c r="BZ7" s="32">
        <f t="shared" si="45"/>
        <v>2215</v>
      </c>
      <c r="CA7" s="32">
        <f t="shared" si="15"/>
        <v>443</v>
      </c>
      <c r="CB7" s="32">
        <f t="shared" si="16"/>
        <v>2658</v>
      </c>
      <c r="CC7" s="55">
        <f>CC6+(G7+J7)/(Salary_Schedule!E7*12/208)</f>
        <v>1710.911777</v>
      </c>
      <c r="CD7" s="55">
        <f>CD6+(O7+R7)/(Salary_Schedule!G7*12/208)</f>
        <v>31.44617666</v>
      </c>
      <c r="CE7" s="32">
        <f t="shared" si="17"/>
        <v>12499.33978</v>
      </c>
      <c r="CF7" s="32">
        <f>Assumptions!$B$55*(1+Assumptions!$B$56)^((B7-2025)+(A7-1)/12)</f>
        <v>531084.4311</v>
      </c>
      <c r="CG7" s="32">
        <f t="shared" si="18"/>
        <v>-391543.8106</v>
      </c>
      <c r="CH7" s="32">
        <f t="shared" si="19"/>
        <v>-63765.8664</v>
      </c>
      <c r="CI7" s="32">
        <f>CC7*(Salary_Schedule!E7/173.33)*(1-Assumptions!$B$28)+CD7*(Salary_Schedule!G7/173.33)*(1-Assumptions!$B$28)</f>
        <v>47993.89121</v>
      </c>
      <c r="CJ7" s="32">
        <f t="shared" si="20"/>
        <v>136267.9851</v>
      </c>
    </row>
    <row r="8" ht="15.0" customHeight="1">
      <c r="A8" s="1">
        <v>7.0</v>
      </c>
      <c r="B8" s="1">
        <v>2026.0</v>
      </c>
      <c r="C8" s="1" t="s">
        <v>677</v>
      </c>
      <c r="D8" s="1" t="str">
        <f t="shared" si="21"/>
        <v>06/2026</v>
      </c>
      <c r="E8" s="1" t="str">
        <f t="shared" si="2"/>
        <v>FAT_RSU</v>
      </c>
      <c r="F8" s="32">
        <f>Salary_Schedule!E8</f>
        <v>7366.42</v>
      </c>
      <c r="G8" s="32">
        <f>Assumptions!$B$8</f>
        <v>200</v>
      </c>
      <c r="H8" s="32">
        <f>F8*Assumptions!$B$58</f>
        <v>736.642</v>
      </c>
      <c r="I8" s="32">
        <f>Salary_Schedule!F8</f>
        <v>0</v>
      </c>
      <c r="J8" s="32">
        <f>I8*Assumptions!$B$9</f>
        <v>0</v>
      </c>
      <c r="K8" s="54">
        <f t="shared" si="3"/>
        <v>6429.778</v>
      </c>
      <c r="L8" s="32">
        <f>IF(COUNTIFS(SL_Income_Log!$B:$B,TEXT(B8,"0000")&amp;"-"&amp;TEXT(A8,"00"),SL_Income_Log!$C:$C,"salary",SL_Income_Log!$E:$E,"H")&gt;0,SUMIFS(SL_Income_Log!$D:$D,SL_Income_Log!$B:$B,TEXT(B8,"0000")&amp;"-"&amp;TEXT(A8,"00"),SL_Income_Log!$C:$C,"salary",SL_Income_Log!$E:$E,"H"),K8*(1-Assumptions!$B$102)-Z8-Y8)</f>
        <v>3492.6968</v>
      </c>
      <c r="M8" s="32">
        <f>RSU_Schedule!H7</f>
        <v>3030.69</v>
      </c>
      <c r="N8" s="32">
        <f>Salary_Schedule!G8</f>
        <v>6195.67</v>
      </c>
      <c r="O8" s="32">
        <f>Assumptions!$B$19</f>
        <v>200</v>
      </c>
      <c r="P8" s="32">
        <f>N8*Assumptions!$B$59</f>
        <v>619.567</v>
      </c>
      <c r="Q8" s="32">
        <f>Salary_Schedule!H8</f>
        <v>0</v>
      </c>
      <c r="R8" s="32">
        <f>Q8*Assumptions!$B$20</f>
        <v>0</v>
      </c>
      <c r="S8" s="54">
        <f t="shared" si="4"/>
        <v>5376.103</v>
      </c>
      <c r="T8" s="32">
        <f>IF(COUNTIFS(SL_Income_Log!$B:$B,TEXT(B8,"0000")&amp;"-"&amp;TEXT(A8,"00"),SL_Income_Log!$C:$C,"salary",SL_Income_Log!$E:$E,"W")&gt;0,SUMIFS(SL_Income_Log!$D:$D,SL_Income_Log!$B:$B,TEXT(B8,"0000")&amp;"-"&amp;TEXT(A8,"00"),SL_Income_Log!$C:$C,"salary",SL_Income_Log!$E:$E,"W"),S8*(1-Assumptions!$B$102)-AC8-AB8)
</f>
        <v>2860.4918</v>
      </c>
      <c r="U8" s="32">
        <f>RSU_Schedule!M7</f>
        <v>1515.35</v>
      </c>
      <c r="V8" s="32">
        <f>H8*(1+Assumptions!$B$60)+Assumptions!$B$61</f>
        <v>1051.2988</v>
      </c>
      <c r="W8" s="32">
        <f>P8*(1+Assumptions!$B$60)+Assumptions!$B$61</f>
        <v>887.3938</v>
      </c>
      <c r="X8" s="32">
        <f t="shared" si="5"/>
        <v>1938.6926</v>
      </c>
      <c r="Y8" s="32">
        <f t="shared" si="22"/>
        <v>73.5</v>
      </c>
      <c r="Z8" s="32">
        <v>291.67</v>
      </c>
      <c r="AA8" s="32">
        <f t="shared" si="23"/>
        <v>24208.31</v>
      </c>
      <c r="AB8" s="32">
        <f t="shared" si="24"/>
        <v>73.5</v>
      </c>
      <c r="AC8" s="32">
        <v>291.67</v>
      </c>
      <c r="AD8" s="32">
        <f t="shared" si="25"/>
        <v>24208.31</v>
      </c>
      <c r="AE8" s="32">
        <f t="shared" ref="AE8:AF8" si="49">Z8+AC8</f>
        <v>583.34</v>
      </c>
      <c r="AF8" s="32">
        <f t="shared" si="49"/>
        <v>48416.62</v>
      </c>
      <c r="AG8" s="32">
        <f>IF(COUNTIFS(SL_Income_Log!$B:$B,TEXT(B8,"0000")&amp;"-"&amp;TEXT(A8,"00"),SL_Income_Log!$C:$C,"youtube")&gt;0,SUMIFS(SL_Income_Log!$D:$D,SL_Income_Log!$B:$B,TEXT(B8,"0000")&amp;"-"&amp;TEXT(A8,"00"),SL_Income_Log!$C:$C,"youtube"),MIN(Assumptions!$B$49+FLOOR((ROW()-2)/6,1)*Assumptions!$B$50,Assumptions!$B$51))
</f>
        <v>2000</v>
      </c>
      <c r="AH8" s="32">
        <f>AG8*Assumptions!$B$104</f>
        <v>886</v>
      </c>
      <c r="AI8" s="32">
        <f t="shared" si="7"/>
        <v>1114</v>
      </c>
      <c r="AJ8" s="32">
        <f>SUMIFS(SL_Income_Log!$D:$D,SL_Income_Log!$B:$B,TEXT(B8,"0000")&amp;"-"&amp;TEXT(A8,"00"),SL_Income_Log!$C:$C,"other")</f>
        <v>0</v>
      </c>
      <c r="AK8" s="32">
        <f t="shared" si="27"/>
        <v>-47.9388</v>
      </c>
      <c r="AL8" s="32">
        <f>L8+M8+T8+U8+AI8+AJ8-Y8-Z8-AB8-AC8+IF((Debt_Register!$C$2+Debt_Register!$C$6+Debt_Register!$C$7+Debt_Register!$C$8+Debt_Register!$C$9)&gt;5,X8,0)</f>
        <v>13221.5812</v>
      </c>
      <c r="AM8" s="32">
        <f t="shared" si="8"/>
        <v>13173.6424</v>
      </c>
      <c r="AN8" s="32">
        <f>MAX(Assumptions!$B$94,MIN(Assumptions!$B$93,AM8-AP8-BE8-BO8-BQ8))</f>
        <v>2184.736</v>
      </c>
      <c r="AO8" s="32">
        <f t="shared" si="28"/>
        <v>391543.8106</v>
      </c>
      <c r="AP8" s="32">
        <f>IF(AO8&gt;0,Assumptions!$B$33,0)</f>
        <v>2281</v>
      </c>
      <c r="AQ8" s="32">
        <f>AO8*Assumptions!$B$32/12</f>
        <v>1269.254519</v>
      </c>
      <c r="AR8" s="32">
        <f t="shared" si="9"/>
        <v>1011.745481</v>
      </c>
      <c r="AS8" s="32">
        <f t="shared" si="29"/>
        <v>0</v>
      </c>
      <c r="AT8" s="32">
        <f t="shared" si="10"/>
        <v>390532.0651</v>
      </c>
      <c r="AU8" s="32">
        <f t="shared" si="30"/>
        <v>0</v>
      </c>
      <c r="AV8" s="32">
        <f t="shared" si="31"/>
        <v>0</v>
      </c>
      <c r="AW8" s="32">
        <f t="shared" si="32"/>
        <v>250</v>
      </c>
      <c r="AX8" s="32">
        <f t="shared" si="33"/>
        <v>250</v>
      </c>
      <c r="AY8" s="32">
        <f t="shared" si="34"/>
        <v>200</v>
      </c>
      <c r="AZ8" s="32">
        <f t="shared" si="35"/>
        <v>600</v>
      </c>
      <c r="BA8" s="32">
        <f t="shared" si="36"/>
        <v>2825.9064</v>
      </c>
      <c r="BB8" s="32">
        <f t="shared" si="37"/>
        <v>0</v>
      </c>
      <c r="BC8" s="32">
        <f t="shared" si="38"/>
        <v>50</v>
      </c>
      <c r="BD8" s="32">
        <f t="shared" si="39"/>
        <v>90</v>
      </c>
      <c r="BE8" s="32">
        <f t="shared" si="11"/>
        <v>3325.9064</v>
      </c>
      <c r="BF8" s="32">
        <v>0.0</v>
      </c>
      <c r="BG8" s="32">
        <f t="shared" si="40"/>
        <v>5500</v>
      </c>
      <c r="BH8" s="32">
        <v>0.0</v>
      </c>
      <c r="BI8" s="32">
        <f t="shared" si="41"/>
        <v>5000</v>
      </c>
      <c r="BJ8" s="32">
        <f>IF(OR(B8&lt;Assumptions!$B$111,AND(B8=Assumptions!$B$111,A8&lt;=Assumptions!$B$112)),Assumptions!$B$110,0)</f>
        <v>650</v>
      </c>
      <c r="BK8" s="32">
        <f>IF(B8&lt;2027,Assumptions!$B$116+IF(OR(A8=4,A8=10),Assumptions!$B$117,0),IF(AND(B8=2027,A8&lt;=4),IF(A8=4,MIN(950,Assumptions!$B$116+Assumptions!$B$117),Assumptions!$B$116),0))</f>
        <v>290</v>
      </c>
      <c r="BL8" s="32">
        <f>IF(OR(B8&lt;2030,AND(B8=2030,A8&lt;8)),Assumptions!$B$118,IF(AND(B8=2030,A8=8),MOD(11000,200),0))</f>
        <v>200</v>
      </c>
      <c r="BM8" s="32">
        <f>IF(OR(B8&lt;Assumptions!$B$120,AND(B8=Assumptions!$B$120,A8&lt;=Assumptions!$B$121)),Assumptions!$B$119,0)</f>
        <v>132</v>
      </c>
      <c r="BN8" s="32">
        <f>IF(AND(B8&lt;=Assumptions!$B$123,A8&lt;=Assumptions!$B$124),Assumptions!$B$122,0)</f>
        <v>0</v>
      </c>
      <c r="BO8" s="32">
        <f t="shared" si="12"/>
        <v>1272</v>
      </c>
      <c r="BP8" s="32">
        <f>SUMIFS(SL_Budget!$B:$B,SL_Budget!$C:$C,"'"&amp;TEXT(DATE(B8,A8,1),"YYYY-MM"))</f>
        <v>4110</v>
      </c>
      <c r="BQ8" s="32">
        <f>MAX(BP8, IFERROR(SUMIFS(ShadowLedger!D:D, 
  ShadowLedger!C:C, "&gt;="&amp;DATE(B8,A8,1), 
  ShadowLedger!C:C, "&lt;"&amp;EOMONTH(DATE(B8,A8,1),0)+1), 0))
</f>
        <v>4110</v>
      </c>
      <c r="BR8" s="32">
        <f t="shared" si="42"/>
        <v>12499.33978</v>
      </c>
      <c r="BS8" s="32">
        <f t="shared" si="43"/>
        <v>0</v>
      </c>
      <c r="BT8" s="32">
        <f>IF(AS8&gt;0,-MAX(0,21550-MAX(0,MAX(0,(AM8-AP8-BE8-BO8-BQ8)-Assumptions!$B$93))-MIN(MAX(0,21550-MAX(0,MAX(0,(AM8-AP8-BE8-BO8-BQ8)-Assumptions!$B$93))),MAX(0,BY7-Assumptions!$B$91))),IF(BY7&gt;=Assumptions!$B$92,MAX(0,(AM8-AP8-BE8-BO8-BQ8)-Assumptions!$B$93),MAX(0,(AM8-AP8-BE8-BO8-BQ8)-Assumptions!$B$93)*Assumptions!$B$99))</f>
        <v>0</v>
      </c>
      <c r="BU8" s="32">
        <f>(BR8+BS8+MAX(0,BT8))*(Assumptions!$B$43-1)</f>
        <v>85.2204986</v>
      </c>
      <c r="BV8" s="32">
        <f t="shared" si="13"/>
        <v>12584.56028</v>
      </c>
      <c r="BW8" s="32">
        <f t="shared" si="44"/>
        <v>0</v>
      </c>
      <c r="BX8" s="32">
        <f>IF(AS8&gt;0,-MIN(MAX(0,21550-MAX(0,MAX(0,(AM8-AP8-BE8-BO8-BQ8)-Assumptions!$B$93))),MAX(0,BY7-Assumptions!$B$91)),IF(BY7&lt;Assumptions!$B$92,MAX(0,(AM8-AP8-BE8-BO8-BQ8)-Assumptions!$B$93)*Assumptions!$B$98,0))</f>
        <v>0</v>
      </c>
      <c r="BY8" s="32">
        <f t="shared" si="14"/>
        <v>0</v>
      </c>
      <c r="BZ8" s="32">
        <f t="shared" si="45"/>
        <v>2658</v>
      </c>
      <c r="CA8" s="32">
        <f t="shared" si="15"/>
        <v>886</v>
      </c>
      <c r="CB8" s="32">
        <f t="shared" si="16"/>
        <v>3544</v>
      </c>
      <c r="CC8" s="55">
        <f>CC7+(G8+J8)/(Salary_Schedule!E8*12/208)</f>
        <v>1711.382381</v>
      </c>
      <c r="CD8" s="55">
        <f>CD7+(O8+R8)/(Salary_Schedule!G8*12/208)</f>
        <v>32.00570721</v>
      </c>
      <c r="CE8" s="32">
        <f t="shared" si="17"/>
        <v>12584.56028</v>
      </c>
      <c r="CF8" s="32">
        <f>Assumptions!$B$55*(1+Assumptions!$B$56)^((B8-2025)+(A8-1)/12)</f>
        <v>531743.7659</v>
      </c>
      <c r="CG8" s="32">
        <f t="shared" si="18"/>
        <v>-390532.0651</v>
      </c>
      <c r="CH8" s="32">
        <f t="shared" si="19"/>
        <v>-59856.62</v>
      </c>
      <c r="CI8" s="32">
        <f>CC8*(Salary_Schedule!E8/173.33)*(1-Assumptions!$B$28)+CD8*(Salary_Schedule!G8/173.33)*(1-Assumptions!$B$28)</f>
        <v>48019.89171</v>
      </c>
      <c r="CJ8" s="32">
        <f t="shared" si="20"/>
        <v>141959.5328</v>
      </c>
    </row>
    <row r="9" ht="15.0" customHeight="1">
      <c r="A9" s="1">
        <v>8.0</v>
      </c>
      <c r="B9" s="1">
        <v>2026.0</v>
      </c>
      <c r="C9" s="1" t="s">
        <v>678</v>
      </c>
      <c r="D9" s="1" t="str">
        <f t="shared" si="21"/>
        <v>07/2026</v>
      </c>
      <c r="E9" s="1" t="str">
        <f t="shared" si="2"/>
        <v>LEAN</v>
      </c>
      <c r="F9" s="32">
        <f>Salary_Schedule!E9</f>
        <v>7366.42</v>
      </c>
      <c r="G9" s="32">
        <f>Assumptions!$B$8</f>
        <v>200</v>
      </c>
      <c r="H9" s="32">
        <f>F9*Assumptions!$B$58</f>
        <v>736.642</v>
      </c>
      <c r="I9" s="32">
        <f>Salary_Schedule!F9</f>
        <v>0</v>
      </c>
      <c r="J9" s="32">
        <f>I9*Assumptions!$B$9</f>
        <v>0</v>
      </c>
      <c r="K9" s="54">
        <f t="shared" si="3"/>
        <v>6429.778</v>
      </c>
      <c r="L9" s="32">
        <f>IF(COUNTIFS(SL_Income_Log!$B:$B,TEXT(B9,"0000")&amp;"-"&amp;TEXT(A9,"00"),SL_Income_Log!$C:$C,"salary",SL_Income_Log!$E:$E,"H")&gt;0,SUMIFS(SL_Income_Log!$D:$D,SL_Income_Log!$B:$B,TEXT(B9,"0000")&amp;"-"&amp;TEXT(A9,"00"),SL_Income_Log!$C:$C,"salary",SL_Income_Log!$E:$E,"H"),K9*(1-Assumptions!$B$102)-Z9-Y9)</f>
        <v>3493.5768</v>
      </c>
      <c r="M9" s="32">
        <f>RSU_Schedule!H8</f>
        <v>0</v>
      </c>
      <c r="N9" s="32">
        <f>Salary_Schedule!G9</f>
        <v>6195.67</v>
      </c>
      <c r="O9" s="32">
        <f>Assumptions!$B$19</f>
        <v>200</v>
      </c>
      <c r="P9" s="32">
        <f>N9*Assumptions!$B$59</f>
        <v>619.567</v>
      </c>
      <c r="Q9" s="32">
        <f>Salary_Schedule!H9</f>
        <v>0</v>
      </c>
      <c r="R9" s="32">
        <f>Q9*Assumptions!$B$20</f>
        <v>0</v>
      </c>
      <c r="S9" s="54">
        <f t="shared" si="4"/>
        <v>5376.103</v>
      </c>
      <c r="T9" s="32">
        <f>IF(COUNTIFS(SL_Income_Log!$B:$B,TEXT(B9,"0000")&amp;"-"&amp;TEXT(A9,"00"),SL_Income_Log!$C:$C,"salary",SL_Income_Log!$E:$E,"W")&gt;0,SUMIFS(SL_Income_Log!$D:$D,SL_Income_Log!$B:$B,TEXT(B9,"0000")&amp;"-"&amp;TEXT(A9,"00"),SL_Income_Log!$C:$C,"salary",SL_Income_Log!$E:$E,"W"),S9*(1-Assumptions!$B$102)-AC9-AB9)
</f>
        <v>2861.3718</v>
      </c>
      <c r="U9" s="32">
        <f>RSU_Schedule!M8</f>
        <v>0</v>
      </c>
      <c r="V9" s="32">
        <f>H9*(1+Assumptions!$B$60)+Assumptions!$B$61</f>
        <v>1051.2988</v>
      </c>
      <c r="W9" s="32">
        <f>P9*(1+Assumptions!$B$60)+Assumptions!$B$61</f>
        <v>887.3938</v>
      </c>
      <c r="X9" s="32">
        <f t="shared" si="5"/>
        <v>1938.6926</v>
      </c>
      <c r="Y9" s="32">
        <f t="shared" si="22"/>
        <v>72.62</v>
      </c>
      <c r="Z9" s="32">
        <v>291.67</v>
      </c>
      <c r="AA9" s="32">
        <f t="shared" si="23"/>
        <v>23916.64</v>
      </c>
      <c r="AB9" s="32">
        <f t="shared" si="24"/>
        <v>72.62</v>
      </c>
      <c r="AC9" s="32">
        <v>291.67</v>
      </c>
      <c r="AD9" s="32">
        <f t="shared" si="25"/>
        <v>23916.64</v>
      </c>
      <c r="AE9" s="32">
        <f t="shared" ref="AE9:AF9" si="50">Z9+AC9</f>
        <v>583.34</v>
      </c>
      <c r="AF9" s="32">
        <f t="shared" si="50"/>
        <v>47833.28</v>
      </c>
      <c r="AG9" s="32">
        <f>IF(COUNTIFS(SL_Income_Log!$B:$B,TEXT(B9,"0000")&amp;"-"&amp;TEXT(A9,"00"),SL_Income_Log!$C:$C,"youtube")&gt;0,SUMIFS(SL_Income_Log!$D:$D,SL_Income_Log!$B:$B,TEXT(B9,"0000")&amp;"-"&amp;TEXT(A9,"00"),SL_Income_Log!$C:$C,"youtube"),MIN(Assumptions!$B$49+FLOOR((ROW()-2)/6,1)*Assumptions!$B$50,Assumptions!$B$51))
</f>
        <v>2000</v>
      </c>
      <c r="AH9" s="32">
        <f>AG9*Assumptions!$B$104</f>
        <v>886</v>
      </c>
      <c r="AI9" s="32">
        <f t="shared" si="7"/>
        <v>1114</v>
      </c>
      <c r="AJ9" s="32">
        <f>SUMIFS(SL_Income_Log!$D:$D,SL_Income_Log!$B:$B,TEXT(B9,"0000")&amp;"-"&amp;TEXT(A9,"00"),SL_Income_Log!$C:$C,"other")</f>
        <v>0</v>
      </c>
      <c r="AK9" s="32">
        <f t="shared" si="27"/>
        <v>2184.736</v>
      </c>
      <c r="AL9" s="32">
        <f>L9+M9+T9+U9+AI9+AJ9-Y9-Z9-AB9-AC9+IF((Debt_Register!$C$2+Debt_Register!$C$6+Debt_Register!$C$7+Debt_Register!$C$8+Debt_Register!$C$9)&gt;5,X9,0)</f>
        <v>8679.0612</v>
      </c>
      <c r="AM9" s="32">
        <f t="shared" si="8"/>
        <v>10863.7972</v>
      </c>
      <c r="AN9" s="32">
        <f>MAX(Assumptions!$B$94,MIN(Assumptions!$B$93,AM9-AP9-BE9-BO9-BQ9))</f>
        <v>2700.7972</v>
      </c>
      <c r="AO9" s="32">
        <f t="shared" si="28"/>
        <v>390532.0651</v>
      </c>
      <c r="AP9" s="32">
        <f>IF(AO9&gt;0,Assumptions!$B$33,0)</f>
        <v>2281</v>
      </c>
      <c r="AQ9" s="32">
        <f>AO9*Assumptions!$B$32/12</f>
        <v>1265.974778</v>
      </c>
      <c r="AR9" s="32">
        <f t="shared" si="9"/>
        <v>1015.025222</v>
      </c>
      <c r="AS9" s="32">
        <f t="shared" si="29"/>
        <v>0</v>
      </c>
      <c r="AT9" s="32">
        <f t="shared" si="10"/>
        <v>389517.0399</v>
      </c>
      <c r="AU9" s="32">
        <f t="shared" si="30"/>
        <v>0</v>
      </c>
      <c r="AV9" s="32">
        <f t="shared" si="31"/>
        <v>0</v>
      </c>
      <c r="AW9" s="32">
        <f t="shared" si="32"/>
        <v>250</v>
      </c>
      <c r="AX9" s="32">
        <f t="shared" si="33"/>
        <v>0</v>
      </c>
      <c r="AY9" s="32">
        <f t="shared" si="34"/>
        <v>200</v>
      </c>
      <c r="AZ9" s="32">
        <f t="shared" si="35"/>
        <v>400</v>
      </c>
      <c r="BA9" s="32">
        <f t="shared" si="36"/>
        <v>0</v>
      </c>
      <c r="BB9" s="32">
        <f t="shared" si="37"/>
        <v>0</v>
      </c>
      <c r="BC9" s="32">
        <f t="shared" si="38"/>
        <v>50</v>
      </c>
      <c r="BD9" s="32">
        <f t="shared" si="39"/>
        <v>40</v>
      </c>
      <c r="BE9" s="32">
        <f t="shared" si="11"/>
        <v>500</v>
      </c>
      <c r="BF9" s="32">
        <v>0.0</v>
      </c>
      <c r="BG9" s="32">
        <f t="shared" si="40"/>
        <v>5500</v>
      </c>
      <c r="BH9" s="32">
        <v>0.0</v>
      </c>
      <c r="BI9" s="32">
        <f t="shared" si="41"/>
        <v>5000</v>
      </c>
      <c r="BJ9" s="32">
        <f>IF(OR(B9&lt;Assumptions!$B$111,AND(B9=Assumptions!$B$111,A9&lt;=Assumptions!$B$112)),Assumptions!$B$110,0)</f>
        <v>650</v>
      </c>
      <c r="BK9" s="32">
        <f>IF(B9&lt;2027,Assumptions!$B$116+IF(OR(A9=4,A9=10),Assumptions!$B$117,0),IF(AND(B9=2027,A9&lt;=4),IF(A9=4,MIN(950,Assumptions!$B$116+Assumptions!$B$117),Assumptions!$B$116),0))</f>
        <v>290</v>
      </c>
      <c r="BL9" s="32">
        <f>IF(OR(B9&lt;2030,AND(B9=2030,A9&lt;8)),Assumptions!$B$118,IF(AND(B9=2030,A9=8),MOD(11000,200),0))</f>
        <v>200</v>
      </c>
      <c r="BM9" s="32">
        <f>IF(OR(B9&lt;Assumptions!$B$120,AND(B9=Assumptions!$B$120,A9&lt;=Assumptions!$B$121)),Assumptions!$B$119,0)</f>
        <v>132</v>
      </c>
      <c r="BN9" s="32">
        <f>IF(AND(B9&lt;=Assumptions!$B$123,A9&lt;=Assumptions!$B$124),Assumptions!$B$122,0)</f>
        <v>0</v>
      </c>
      <c r="BO9" s="32">
        <f t="shared" si="12"/>
        <v>1272</v>
      </c>
      <c r="BP9" s="32">
        <f>SUMIFS(SL_Budget!$B:$B,SL_Budget!$C:$C,"'"&amp;TEXT(DATE(B9,A9,1),"YYYY-MM"))</f>
        <v>4110</v>
      </c>
      <c r="BQ9" s="32">
        <f>MAX(BP9, IFERROR(SUMIFS(ShadowLedger!D:D, 
  ShadowLedger!C:C, "&gt;="&amp;DATE(B9,A9,1), 
  ShadowLedger!C:C, "&lt;"&amp;EOMONTH(DATE(B9,A9,1),0)+1), 0))
</f>
        <v>4110</v>
      </c>
      <c r="BR9" s="32">
        <f t="shared" si="42"/>
        <v>12584.56028</v>
      </c>
      <c r="BS9" s="32">
        <f t="shared" si="43"/>
        <v>0</v>
      </c>
      <c r="BT9" s="32">
        <f>IF(AS9&gt;0,-MAX(0,21550-MAX(0,MAX(0,(AM9-AP9-BE9-BO9-BQ9)-Assumptions!$B$93))-MIN(MAX(0,21550-MAX(0,MAX(0,(AM9-AP9-BE9-BO9-BQ9)-Assumptions!$B$93))),MAX(0,BY8-Assumptions!$B$91))),IF(BY8&gt;=Assumptions!$B$92,MAX(0,(AM9-AP9-BE9-BO9-BQ9)-Assumptions!$B$93),MAX(0,(AM9-AP9-BE9-BO9-BQ9)-Assumptions!$B$93)*Assumptions!$B$99))</f>
        <v>0</v>
      </c>
      <c r="BU9" s="32">
        <f>(BR9+BS9+MAX(0,BT9))*(Assumptions!$B$43-1)</f>
        <v>85.80153196</v>
      </c>
      <c r="BV9" s="32">
        <f t="shared" si="13"/>
        <v>12670.36181</v>
      </c>
      <c r="BW9" s="32">
        <f t="shared" si="44"/>
        <v>0</v>
      </c>
      <c r="BX9" s="32">
        <f>IF(AS9&gt;0,-MIN(MAX(0,21550-MAX(0,MAX(0,(AM9-AP9-BE9-BO9-BQ9)-Assumptions!$B$93))),MAX(0,BY8-Assumptions!$B$91)),IF(BY8&lt;Assumptions!$B$92,MAX(0,(AM9-AP9-BE9-BO9-BQ9)-Assumptions!$B$93)*Assumptions!$B$98,0))</f>
        <v>0</v>
      </c>
      <c r="BY9" s="32">
        <f t="shared" si="14"/>
        <v>0</v>
      </c>
      <c r="BZ9" s="32">
        <f t="shared" si="45"/>
        <v>3544</v>
      </c>
      <c r="CA9" s="32">
        <f t="shared" si="15"/>
        <v>886</v>
      </c>
      <c r="CB9" s="32">
        <f t="shared" si="16"/>
        <v>4430</v>
      </c>
      <c r="CC9" s="55">
        <f>CC8+(G9+J9)/(Salary_Schedule!E9*12/208)</f>
        <v>1711.852985</v>
      </c>
      <c r="CD9" s="55">
        <f>CD8+(O9+R9)/(Salary_Schedule!G9*12/208)</f>
        <v>32.56523777</v>
      </c>
      <c r="CE9" s="32">
        <f t="shared" si="17"/>
        <v>12670.36181</v>
      </c>
      <c r="CF9" s="32">
        <f>Assumptions!$B$55*(1+Assumptions!$B$56)^((B9-2025)+(A9-1)/12)</f>
        <v>532403.9193</v>
      </c>
      <c r="CG9" s="32">
        <f t="shared" si="18"/>
        <v>-389517.0399</v>
      </c>
      <c r="CH9" s="32">
        <f t="shared" si="19"/>
        <v>-58773.28</v>
      </c>
      <c r="CI9" s="32">
        <f>CC9*(Salary_Schedule!E9/173.33)*(1-Assumptions!$B$28)+CD9*(Salary_Schedule!G9/173.33)*(1-Assumptions!$B$28)</f>
        <v>48045.89221</v>
      </c>
      <c r="CJ9" s="32">
        <f t="shared" si="20"/>
        <v>144829.8534</v>
      </c>
    </row>
    <row r="10" ht="15.0" customHeight="1">
      <c r="A10" s="1">
        <v>9.0</v>
      </c>
      <c r="B10" s="1">
        <v>2026.0</v>
      </c>
      <c r="C10" s="1" t="s">
        <v>679</v>
      </c>
      <c r="D10" s="1" t="str">
        <f t="shared" si="21"/>
        <v>08/2026</v>
      </c>
      <c r="E10" s="1" t="str">
        <f t="shared" si="2"/>
        <v>LEAN</v>
      </c>
      <c r="F10" s="32">
        <f>Salary_Schedule!E10</f>
        <v>7366.42</v>
      </c>
      <c r="G10" s="32">
        <f>Assumptions!$B$8</f>
        <v>200</v>
      </c>
      <c r="H10" s="32">
        <f>F10*Assumptions!$B$58</f>
        <v>736.642</v>
      </c>
      <c r="I10" s="32">
        <f>Salary_Schedule!F10</f>
        <v>0</v>
      </c>
      <c r="J10" s="32">
        <f>I10*Assumptions!$B$9</f>
        <v>0</v>
      </c>
      <c r="K10" s="54">
        <f t="shared" si="3"/>
        <v>6429.778</v>
      </c>
      <c r="L10" s="32">
        <f>IF(COUNTIFS(SL_Income_Log!$B:$B,TEXT(B10,"0000")&amp;"-"&amp;TEXT(A10,"00"),SL_Income_Log!$C:$C,"salary",SL_Income_Log!$E:$E,"H")&gt;0,SUMIFS(SL_Income_Log!$D:$D,SL_Income_Log!$B:$B,TEXT(B10,"0000")&amp;"-"&amp;TEXT(A10,"00"),SL_Income_Log!$C:$C,"salary",SL_Income_Log!$E:$E,"H"),K10*(1-Assumptions!$B$102)-Z10-Y10)</f>
        <v>3494.4468</v>
      </c>
      <c r="M10" s="32">
        <f>RSU_Schedule!H9</f>
        <v>0</v>
      </c>
      <c r="N10" s="32">
        <f>Salary_Schedule!G10</f>
        <v>6195.67</v>
      </c>
      <c r="O10" s="32">
        <f>Assumptions!$B$19</f>
        <v>200</v>
      </c>
      <c r="P10" s="32">
        <f>N10*Assumptions!$B$59</f>
        <v>619.567</v>
      </c>
      <c r="Q10" s="32">
        <f>Salary_Schedule!H10</f>
        <v>0</v>
      </c>
      <c r="R10" s="32">
        <f>Q10*Assumptions!$B$20</f>
        <v>0</v>
      </c>
      <c r="S10" s="54">
        <f t="shared" si="4"/>
        <v>5376.103</v>
      </c>
      <c r="T10" s="32">
        <f>IF(COUNTIFS(SL_Income_Log!$B:$B,TEXT(B10,"0000")&amp;"-"&amp;TEXT(A10,"00"),SL_Income_Log!$C:$C,"salary",SL_Income_Log!$E:$E,"W")&gt;0,SUMIFS(SL_Income_Log!$D:$D,SL_Income_Log!$B:$B,TEXT(B10,"0000")&amp;"-"&amp;TEXT(A10,"00"),SL_Income_Log!$C:$C,"salary",SL_Income_Log!$E:$E,"W"),S10*(1-Assumptions!$B$102)-AC10-AB10)
</f>
        <v>2862.2418</v>
      </c>
      <c r="U10" s="32">
        <f>RSU_Schedule!M9</f>
        <v>0</v>
      </c>
      <c r="V10" s="32">
        <f>H10*(1+Assumptions!$B$60)+Assumptions!$B$61</f>
        <v>1051.2988</v>
      </c>
      <c r="W10" s="32">
        <f>P10*(1+Assumptions!$B$60)+Assumptions!$B$61</f>
        <v>887.3938</v>
      </c>
      <c r="X10" s="32">
        <f t="shared" si="5"/>
        <v>1938.6926</v>
      </c>
      <c r="Y10" s="32">
        <f t="shared" si="22"/>
        <v>71.75</v>
      </c>
      <c r="Z10" s="32">
        <v>291.67</v>
      </c>
      <c r="AA10" s="32">
        <f t="shared" si="23"/>
        <v>23624.97</v>
      </c>
      <c r="AB10" s="32">
        <f t="shared" si="24"/>
        <v>71.75</v>
      </c>
      <c r="AC10" s="32">
        <v>291.67</v>
      </c>
      <c r="AD10" s="32">
        <f t="shared" si="25"/>
        <v>23624.97</v>
      </c>
      <c r="AE10" s="32">
        <f t="shared" ref="AE10:AF10" si="51">Z10+AC10</f>
        <v>583.34</v>
      </c>
      <c r="AF10" s="32">
        <f t="shared" si="51"/>
        <v>47249.94</v>
      </c>
      <c r="AG10" s="32">
        <f>IF(COUNTIFS(SL_Income_Log!$B:$B,TEXT(B10,"0000")&amp;"-"&amp;TEXT(A10,"00"),SL_Income_Log!$C:$C,"youtube")&gt;0,SUMIFS(SL_Income_Log!$D:$D,SL_Income_Log!$B:$B,TEXT(B10,"0000")&amp;"-"&amp;TEXT(A10,"00"),SL_Income_Log!$C:$C,"youtube"),MIN(Assumptions!$B$49+FLOOR((ROW()-2)/6,1)*Assumptions!$B$50,Assumptions!$B$51))
</f>
        <v>2000</v>
      </c>
      <c r="AH10" s="32">
        <f>AG10*Assumptions!$B$104</f>
        <v>886</v>
      </c>
      <c r="AI10" s="32">
        <f t="shared" si="7"/>
        <v>1114</v>
      </c>
      <c r="AJ10" s="32">
        <f>SUMIFS(SL_Income_Log!$D:$D,SL_Income_Log!$B:$B,TEXT(B10,"0000")&amp;"-"&amp;TEXT(A10,"00"),SL_Income_Log!$C:$C,"other")</f>
        <v>0</v>
      </c>
      <c r="AK10" s="32">
        <f t="shared" si="27"/>
        <v>2700.7972</v>
      </c>
      <c r="AL10" s="32">
        <f>L10+M10+T10+U10+AI10+AJ10-Y10-Z10-AB10-AC10+IF((Debt_Register!$C$2+Debt_Register!$C$6+Debt_Register!$C$7+Debt_Register!$C$8+Debt_Register!$C$9)&gt;5,X10,0)</f>
        <v>8682.5412</v>
      </c>
      <c r="AM10" s="32">
        <f t="shared" si="8"/>
        <v>11383.3384</v>
      </c>
      <c r="AN10" s="32">
        <f>MAX(Assumptions!$B$94,MIN(Assumptions!$B$93,AM10-AP10-BE10-BO10-BQ10))</f>
        <v>3480.3384</v>
      </c>
      <c r="AO10" s="32">
        <f t="shared" si="28"/>
        <v>389517.0399</v>
      </c>
      <c r="AP10" s="32">
        <f>IF(AO10&gt;0,Assumptions!$B$33,0)</f>
        <v>2281</v>
      </c>
      <c r="AQ10" s="32">
        <f>AO10*Assumptions!$B$32/12</f>
        <v>1262.684404</v>
      </c>
      <c r="AR10" s="32">
        <f t="shared" si="9"/>
        <v>1018.315596</v>
      </c>
      <c r="AS10" s="32">
        <f t="shared" si="29"/>
        <v>0</v>
      </c>
      <c r="AT10" s="32">
        <f t="shared" si="10"/>
        <v>388498.7243</v>
      </c>
      <c r="AU10" s="32">
        <f t="shared" si="30"/>
        <v>0</v>
      </c>
      <c r="AV10" s="32">
        <f t="shared" si="31"/>
        <v>0</v>
      </c>
      <c r="AW10" s="32">
        <f t="shared" si="32"/>
        <v>0</v>
      </c>
      <c r="AX10" s="32">
        <f t="shared" si="33"/>
        <v>0</v>
      </c>
      <c r="AY10" s="32">
        <f t="shared" si="34"/>
        <v>200</v>
      </c>
      <c r="AZ10" s="32">
        <f t="shared" si="35"/>
        <v>200</v>
      </c>
      <c r="BA10" s="32">
        <f t="shared" si="36"/>
        <v>0</v>
      </c>
      <c r="BB10" s="32">
        <f t="shared" si="37"/>
        <v>0</v>
      </c>
      <c r="BC10" s="32">
        <f t="shared" si="38"/>
        <v>40</v>
      </c>
      <c r="BD10" s="32">
        <f t="shared" si="39"/>
        <v>0</v>
      </c>
      <c r="BE10" s="32">
        <f t="shared" si="11"/>
        <v>240</v>
      </c>
      <c r="BF10" s="32">
        <v>0.0</v>
      </c>
      <c r="BG10" s="32">
        <f t="shared" si="40"/>
        <v>5500</v>
      </c>
      <c r="BH10" s="32">
        <v>0.0</v>
      </c>
      <c r="BI10" s="32">
        <f t="shared" si="41"/>
        <v>5000</v>
      </c>
      <c r="BJ10" s="32">
        <f>IF(OR(B10&lt;Assumptions!$B$111,AND(B10=Assumptions!$B$111,A10&lt;=Assumptions!$B$112)),Assumptions!$B$110,0)</f>
        <v>650</v>
      </c>
      <c r="BK10" s="32">
        <f>IF(B10&lt;2027,Assumptions!$B$116+IF(OR(A10=4,A10=10),Assumptions!$B$117,0),IF(AND(B10=2027,A10&lt;=4),IF(A10=4,MIN(950,Assumptions!$B$116+Assumptions!$B$117),Assumptions!$B$116),0))</f>
        <v>290</v>
      </c>
      <c r="BL10" s="32">
        <f>IF(OR(B10&lt;2030,AND(B10=2030,A10&lt;8)),Assumptions!$B$118,IF(AND(B10=2030,A10=8),MOD(11000,200),0))</f>
        <v>200</v>
      </c>
      <c r="BM10" s="32">
        <f>IF(OR(B10&lt;Assumptions!$B$120,AND(B10=Assumptions!$B$120,A10&lt;=Assumptions!$B$121)),Assumptions!$B$119,0)</f>
        <v>132</v>
      </c>
      <c r="BN10" s="32">
        <f>IF(AND(B10&lt;=Assumptions!$B$123,A10&lt;=Assumptions!$B$124),Assumptions!$B$122,0)</f>
        <v>0</v>
      </c>
      <c r="BO10" s="32">
        <f t="shared" si="12"/>
        <v>1272</v>
      </c>
      <c r="BP10" s="32">
        <f>SUMIFS(SL_Budget!$B:$B,SL_Budget!$C:$C,"'"&amp;TEXT(DATE(B10,A10,1),"YYYY-MM"))</f>
        <v>4110</v>
      </c>
      <c r="BQ10" s="32">
        <f>MAX(BP10, IFERROR(SUMIFS(ShadowLedger!D:D, 
  ShadowLedger!C:C, "&gt;="&amp;DATE(B10,A10,1), 
  ShadowLedger!C:C, "&lt;"&amp;EOMONTH(DATE(B10,A10,1),0)+1), 0))
</f>
        <v>4110</v>
      </c>
      <c r="BR10" s="32">
        <f t="shared" si="42"/>
        <v>12670.36181</v>
      </c>
      <c r="BS10" s="32">
        <f t="shared" si="43"/>
        <v>0</v>
      </c>
      <c r="BT10" s="32">
        <f>IF(AS10&gt;0,-MAX(0,21550-MAX(0,MAX(0,(AM10-AP10-BE10-BO10-BQ10)-Assumptions!$B$93))-MIN(MAX(0,21550-MAX(0,MAX(0,(AM10-AP10-BE10-BO10-BQ10)-Assumptions!$B$93))),MAX(0,BY9-Assumptions!$B$91))),IF(BY9&gt;=Assumptions!$B$92,MAX(0,(AM10-AP10-BE10-BO10-BQ10)-Assumptions!$B$93),MAX(0,(AM10-AP10-BE10-BO10-BQ10)-Assumptions!$B$93)*Assumptions!$B$99))</f>
        <v>0</v>
      </c>
      <c r="BU10" s="32">
        <f>(BR10+BS10+MAX(0,BT10))*(Assumptions!$B$43-1)</f>
        <v>86.3865268</v>
      </c>
      <c r="BV10" s="32">
        <f t="shared" si="13"/>
        <v>12756.74833</v>
      </c>
      <c r="BW10" s="32">
        <f t="shared" si="44"/>
        <v>0</v>
      </c>
      <c r="BX10" s="32">
        <f>IF(AS10&gt;0,-MIN(MAX(0,21550-MAX(0,MAX(0,(AM10-AP10-BE10-BO10-BQ10)-Assumptions!$B$93))),MAX(0,BY9-Assumptions!$B$91)),IF(BY9&lt;Assumptions!$B$92,MAX(0,(AM10-AP10-BE10-BO10-BQ10)-Assumptions!$B$93)*Assumptions!$B$98,0))</f>
        <v>0</v>
      </c>
      <c r="BY10" s="32">
        <f t="shared" si="14"/>
        <v>0</v>
      </c>
      <c r="BZ10" s="32">
        <f t="shared" si="45"/>
        <v>4430</v>
      </c>
      <c r="CA10" s="32">
        <f t="shared" si="15"/>
        <v>886</v>
      </c>
      <c r="CB10" s="32">
        <f t="shared" si="16"/>
        <v>5316</v>
      </c>
      <c r="CC10" s="55">
        <f>CC9+(G10+J10)/(Salary_Schedule!E10*12/208)</f>
        <v>1712.323589</v>
      </c>
      <c r="CD10" s="55">
        <f>CD9+(O10+R10)/(Salary_Schedule!G10*12/208)</f>
        <v>33.12476832</v>
      </c>
      <c r="CE10" s="32">
        <f t="shared" si="17"/>
        <v>12756.74833</v>
      </c>
      <c r="CF10" s="32">
        <f>Assumptions!$B$55*(1+Assumptions!$B$56)^((B10-2025)+(A10-1)/12)</f>
        <v>533064.8922</v>
      </c>
      <c r="CG10" s="32">
        <f t="shared" si="18"/>
        <v>-388498.7243</v>
      </c>
      <c r="CH10" s="32">
        <f t="shared" si="19"/>
        <v>-57949.94</v>
      </c>
      <c r="CI10" s="32">
        <f>CC10*(Salary_Schedule!E10/173.33)*(1-Assumptions!$B$28)+CD10*(Salary_Schedule!G10/173.33)*(1-Assumptions!$B$28)</f>
        <v>48071.89271</v>
      </c>
      <c r="CJ10" s="32">
        <f t="shared" si="20"/>
        <v>147444.8689</v>
      </c>
    </row>
    <row r="11" ht="15.0" customHeight="1">
      <c r="A11" s="1">
        <v>10.0</v>
      </c>
      <c r="B11" s="1">
        <v>2026.0</v>
      </c>
      <c r="C11" s="1" t="s">
        <v>680</v>
      </c>
      <c r="D11" s="1" t="str">
        <f t="shared" si="21"/>
        <v>09/2026</v>
      </c>
      <c r="E11" s="1" t="str">
        <f t="shared" si="2"/>
        <v>FAT_RSU</v>
      </c>
      <c r="F11" s="32">
        <f>Salary_Schedule!E11</f>
        <v>7366.42</v>
      </c>
      <c r="G11" s="32">
        <f>Assumptions!$B$8</f>
        <v>200</v>
      </c>
      <c r="H11" s="32">
        <f>F11*Assumptions!$B$58</f>
        <v>736.642</v>
      </c>
      <c r="I11" s="32">
        <f>Salary_Schedule!F11</f>
        <v>0</v>
      </c>
      <c r="J11" s="32">
        <f>I11*Assumptions!$B$9</f>
        <v>0</v>
      </c>
      <c r="K11" s="54">
        <f t="shared" si="3"/>
        <v>6429.778</v>
      </c>
      <c r="L11" s="32">
        <f>IF(COUNTIFS(SL_Income_Log!$B:$B,TEXT(B11,"0000")&amp;"-"&amp;TEXT(A11,"00"),SL_Income_Log!$C:$C,"salary",SL_Income_Log!$E:$E,"H")&gt;0,SUMIFS(SL_Income_Log!$D:$D,SL_Income_Log!$B:$B,TEXT(B11,"0000")&amp;"-"&amp;TEXT(A11,"00"),SL_Income_Log!$C:$C,"salary",SL_Income_Log!$E:$E,"H"),K11*(1-Assumptions!$B$102)-Z11-Y11)</f>
        <v>3495.3268</v>
      </c>
      <c r="M11" s="32">
        <f>RSU_Schedule!H10</f>
        <v>3959.02</v>
      </c>
      <c r="N11" s="32">
        <f>Salary_Schedule!G11</f>
        <v>6195.67</v>
      </c>
      <c r="O11" s="32">
        <f>Assumptions!$B$19</f>
        <v>200</v>
      </c>
      <c r="P11" s="32">
        <f>N11*Assumptions!$B$59</f>
        <v>619.567</v>
      </c>
      <c r="Q11" s="32">
        <f>Salary_Schedule!H11</f>
        <v>0</v>
      </c>
      <c r="R11" s="32">
        <f>Q11*Assumptions!$B$20</f>
        <v>0</v>
      </c>
      <c r="S11" s="54">
        <f t="shared" si="4"/>
        <v>5376.103</v>
      </c>
      <c r="T11" s="32">
        <f>IF(COUNTIFS(SL_Income_Log!$B:$B,TEXT(B11,"0000")&amp;"-"&amp;TEXT(A11,"00"),SL_Income_Log!$C:$C,"salary",SL_Income_Log!$E:$E,"W")&gt;0,SUMIFS(SL_Income_Log!$D:$D,SL_Income_Log!$B:$B,TEXT(B11,"0000")&amp;"-"&amp;TEXT(A11,"00"),SL_Income_Log!$C:$C,"salary",SL_Income_Log!$E:$E,"W"),S11*(1-Assumptions!$B$102)-AC11-AB11)
</f>
        <v>2863.1218</v>
      </c>
      <c r="U11" s="32">
        <f>RSU_Schedule!M10</f>
        <v>1979.52</v>
      </c>
      <c r="V11" s="32">
        <f>H11*(1+Assumptions!$B$60)+Assumptions!$B$61</f>
        <v>1051.2988</v>
      </c>
      <c r="W11" s="32">
        <f>P11*(1+Assumptions!$B$60)+Assumptions!$B$61</f>
        <v>887.3938</v>
      </c>
      <c r="X11" s="32">
        <f t="shared" si="5"/>
        <v>1938.6926</v>
      </c>
      <c r="Y11" s="32">
        <f t="shared" si="22"/>
        <v>70.87</v>
      </c>
      <c r="Z11" s="32">
        <v>291.67</v>
      </c>
      <c r="AA11" s="32">
        <f t="shared" si="23"/>
        <v>23333.3</v>
      </c>
      <c r="AB11" s="32">
        <f t="shared" si="24"/>
        <v>70.87</v>
      </c>
      <c r="AC11" s="32">
        <v>291.67</v>
      </c>
      <c r="AD11" s="32">
        <f t="shared" si="25"/>
        <v>23333.3</v>
      </c>
      <c r="AE11" s="32">
        <f t="shared" ref="AE11:AF11" si="52">Z11+AC11</f>
        <v>583.34</v>
      </c>
      <c r="AF11" s="32">
        <f t="shared" si="52"/>
        <v>46666.6</v>
      </c>
      <c r="AG11" s="32">
        <f>IF(COUNTIFS(SL_Income_Log!$B:$B,TEXT(B11,"0000")&amp;"-"&amp;TEXT(A11,"00"),SL_Income_Log!$C:$C,"youtube")&gt;0,SUMIFS(SL_Income_Log!$D:$D,SL_Income_Log!$B:$B,TEXT(B11,"0000")&amp;"-"&amp;TEXT(A11,"00"),SL_Income_Log!$C:$C,"youtube"),MIN(Assumptions!$B$49+FLOOR((ROW()-2)/6,1)*Assumptions!$B$50,Assumptions!$B$51))
</f>
        <v>2000</v>
      </c>
      <c r="AH11" s="32">
        <f>AG11*Assumptions!$B$104</f>
        <v>886</v>
      </c>
      <c r="AI11" s="32">
        <f t="shared" si="7"/>
        <v>1114</v>
      </c>
      <c r="AJ11" s="32">
        <f>SUMIFS(SL_Income_Log!$D:$D,SL_Income_Log!$B:$B,TEXT(B11,"0000")&amp;"-"&amp;TEXT(A11,"00"),SL_Income_Log!$C:$C,"other")</f>
        <v>0</v>
      </c>
      <c r="AK11" s="32">
        <f t="shared" si="27"/>
        <v>3480.3384</v>
      </c>
      <c r="AL11" s="32">
        <f>L11+M11+T11+U11+AI11+AJ11-Y11-Z11-AB11-AC11+IF((Debt_Register!$C$2+Debt_Register!$C$6+Debt_Register!$C$7+Debt_Register!$C$8+Debt_Register!$C$9)&gt;5,X11,0)</f>
        <v>14624.6012</v>
      </c>
      <c r="AM11" s="32">
        <f t="shared" si="8"/>
        <v>18104.9396</v>
      </c>
      <c r="AN11" s="32">
        <f>MAX(Assumptions!$B$94,MIN(Assumptions!$B$93,AM11-AP11-BE11-BO11-BQ11))</f>
        <v>7891.9396</v>
      </c>
      <c r="AO11" s="32">
        <f t="shared" si="28"/>
        <v>388498.7243</v>
      </c>
      <c r="AP11" s="32">
        <f>IF(AO11&gt;0,Assumptions!$B$33,0)</f>
        <v>2281</v>
      </c>
      <c r="AQ11" s="32">
        <f>AO11*Assumptions!$B$32/12</f>
        <v>1259.383365</v>
      </c>
      <c r="AR11" s="32">
        <f t="shared" si="9"/>
        <v>1021.616635</v>
      </c>
      <c r="AS11" s="32">
        <f t="shared" si="29"/>
        <v>0</v>
      </c>
      <c r="AT11" s="32">
        <f t="shared" si="10"/>
        <v>387477.1077</v>
      </c>
      <c r="AU11" s="32">
        <f t="shared" si="30"/>
        <v>0</v>
      </c>
      <c r="AV11" s="32">
        <f t="shared" si="31"/>
        <v>0</v>
      </c>
      <c r="AW11" s="32">
        <f t="shared" si="32"/>
        <v>0</v>
      </c>
      <c r="AX11" s="32">
        <f t="shared" si="33"/>
        <v>0</v>
      </c>
      <c r="AY11" s="32">
        <f t="shared" si="34"/>
        <v>200</v>
      </c>
      <c r="AZ11" s="32">
        <f t="shared" si="35"/>
        <v>0</v>
      </c>
      <c r="BA11" s="32">
        <f t="shared" si="36"/>
        <v>0</v>
      </c>
      <c r="BB11" s="32">
        <f t="shared" si="37"/>
        <v>0</v>
      </c>
      <c r="BC11" s="32">
        <f t="shared" si="38"/>
        <v>0</v>
      </c>
      <c r="BD11" s="32">
        <f t="shared" si="39"/>
        <v>0</v>
      </c>
      <c r="BE11" s="32">
        <f t="shared" si="11"/>
        <v>200</v>
      </c>
      <c r="BF11" s="32">
        <v>0.0</v>
      </c>
      <c r="BG11" s="32">
        <f t="shared" si="40"/>
        <v>5500</v>
      </c>
      <c r="BH11" s="32">
        <v>0.0</v>
      </c>
      <c r="BI11" s="32">
        <f t="shared" si="41"/>
        <v>5000</v>
      </c>
      <c r="BJ11" s="32">
        <f>IF(OR(B11&lt;Assumptions!$B$111,AND(B11=Assumptions!$B$111,A11&lt;=Assumptions!$B$112)),Assumptions!$B$110,0)</f>
        <v>650</v>
      </c>
      <c r="BK11" s="32">
        <f>IF(B11&lt;2027,Assumptions!$B$116+IF(OR(A11=4,A11=10),Assumptions!$B$117,0),IF(AND(B11=2027,A11&lt;=4),IF(A11=4,MIN(950,Assumptions!$B$116+Assumptions!$B$117),Assumptions!$B$116),0))</f>
        <v>2640</v>
      </c>
      <c r="BL11" s="32">
        <f>IF(OR(B11&lt;2030,AND(B11=2030,A11&lt;8)),Assumptions!$B$118,IF(AND(B11=2030,A11=8),MOD(11000,200),0))</f>
        <v>200</v>
      </c>
      <c r="BM11" s="32">
        <f>IF(OR(B11&lt;Assumptions!$B$120,AND(B11=Assumptions!$B$120,A11&lt;=Assumptions!$B$121)),Assumptions!$B$119,0)</f>
        <v>132</v>
      </c>
      <c r="BN11" s="32">
        <f>IF(AND(B11&lt;=Assumptions!$B$123,A11&lt;=Assumptions!$B$124),Assumptions!$B$122,0)</f>
        <v>0</v>
      </c>
      <c r="BO11" s="32">
        <f t="shared" si="12"/>
        <v>3622</v>
      </c>
      <c r="BP11" s="32">
        <f>SUMIFS(SL_Budget!$B:$B,SL_Budget!$C:$C,"'"&amp;TEXT(DATE(B11,A11,1),"YYYY-MM"))</f>
        <v>4110</v>
      </c>
      <c r="BQ11" s="32">
        <f>MAX(BP11, IFERROR(SUMIFS(ShadowLedger!D:D, 
  ShadowLedger!C:C, "&gt;="&amp;DATE(B11,A11,1), 
  ShadowLedger!C:C, "&lt;"&amp;EOMONTH(DATE(B11,A11,1),0)+1), 0))
</f>
        <v>4110</v>
      </c>
      <c r="BR11" s="32">
        <f t="shared" si="42"/>
        <v>12756.74833</v>
      </c>
      <c r="BS11" s="32">
        <f t="shared" si="43"/>
        <v>0</v>
      </c>
      <c r="BT11" s="32">
        <f>IF(AS11&gt;0,-MAX(0,21550-MAX(0,MAX(0,(AM11-AP11-BE11-BO11-BQ11)-Assumptions!$B$93))-MIN(MAX(0,21550-MAX(0,MAX(0,(AM11-AP11-BE11-BO11-BQ11)-Assumptions!$B$93))),MAX(0,BY10-Assumptions!$B$91))),IF(BY10&gt;=Assumptions!$B$92,MAX(0,(AM11-AP11-BE11-BO11-BQ11)-Assumptions!$B$93),MAX(0,(AM11-AP11-BE11-BO11-BQ11)-Assumptions!$B$93)*Assumptions!$B$99))</f>
        <v>0</v>
      </c>
      <c r="BU11" s="32">
        <f>(BR11+BS11+MAX(0,BT11))*(Assumptions!$B$43-1)</f>
        <v>86.97551014</v>
      </c>
      <c r="BV11" s="32">
        <f t="shared" si="13"/>
        <v>12843.72384</v>
      </c>
      <c r="BW11" s="32">
        <f t="shared" si="44"/>
        <v>0</v>
      </c>
      <c r="BX11" s="32">
        <f>IF(AS11&gt;0,-MIN(MAX(0,21550-MAX(0,MAX(0,(AM11-AP11-BE11-BO11-BQ11)-Assumptions!$B$93))),MAX(0,BY10-Assumptions!$B$91)),IF(BY10&lt;Assumptions!$B$92,MAX(0,(AM11-AP11-BE11-BO11-BQ11)-Assumptions!$B$93)*Assumptions!$B$98,0))</f>
        <v>0</v>
      </c>
      <c r="BY11" s="32">
        <f t="shared" si="14"/>
        <v>0</v>
      </c>
      <c r="BZ11" s="32">
        <f t="shared" si="45"/>
        <v>5316</v>
      </c>
      <c r="CA11" s="32">
        <f t="shared" si="15"/>
        <v>886</v>
      </c>
      <c r="CB11" s="32">
        <f t="shared" si="16"/>
        <v>6202</v>
      </c>
      <c r="CC11" s="55">
        <f>CC10+(G11+J11)/(Salary_Schedule!E11*12/208)</f>
        <v>1712.794193</v>
      </c>
      <c r="CD11" s="55">
        <f>CD10+(O11+R11)/(Salary_Schedule!G11*12/208)</f>
        <v>33.68429887</v>
      </c>
      <c r="CE11" s="32">
        <f t="shared" si="17"/>
        <v>12843.72384</v>
      </c>
      <c r="CF11" s="32">
        <f>Assumptions!$B$55*(1+Assumptions!$B$56)^((B11-2025)+(A11-1)/12)</f>
        <v>533726.6857</v>
      </c>
      <c r="CG11" s="32">
        <f t="shared" si="18"/>
        <v>-387477.1077</v>
      </c>
      <c r="CH11" s="32">
        <f t="shared" si="19"/>
        <v>-57166.6</v>
      </c>
      <c r="CI11" s="32">
        <f>CC11*(Salary_Schedule!E11/173.33)*(1-Assumptions!$B$28)+CD11*(Salary_Schedule!G11/173.33)*(1-Assumptions!$B$28)</f>
        <v>48097.89321</v>
      </c>
      <c r="CJ11" s="32">
        <f t="shared" si="20"/>
        <v>150024.5951</v>
      </c>
    </row>
    <row r="12" ht="15.0" customHeight="1">
      <c r="A12" s="1">
        <v>11.0</v>
      </c>
      <c r="B12" s="1">
        <v>2026.0</v>
      </c>
      <c r="C12" s="1" t="s">
        <v>681</v>
      </c>
      <c r="D12" s="1" t="str">
        <f t="shared" si="21"/>
        <v>10/2026</v>
      </c>
      <c r="E12" s="1" t="str">
        <f t="shared" si="2"/>
        <v>LEAN</v>
      </c>
      <c r="F12" s="32">
        <f>Salary_Schedule!E12</f>
        <v>7366.42</v>
      </c>
      <c r="G12" s="32">
        <f>Assumptions!$B$8</f>
        <v>200</v>
      </c>
      <c r="H12" s="32">
        <f>F12*Assumptions!$B$58</f>
        <v>736.642</v>
      </c>
      <c r="I12" s="32">
        <f>Salary_Schedule!F12</f>
        <v>0</v>
      </c>
      <c r="J12" s="32">
        <f>I12*Assumptions!$B$9</f>
        <v>0</v>
      </c>
      <c r="K12" s="54">
        <f t="shared" si="3"/>
        <v>6429.778</v>
      </c>
      <c r="L12" s="32">
        <f>IF(COUNTIFS(SL_Income_Log!$B:$B,TEXT(B12,"0000")&amp;"-"&amp;TEXT(A12,"00"),SL_Income_Log!$C:$C,"salary",SL_Income_Log!$E:$E,"H")&gt;0,SUMIFS(SL_Income_Log!$D:$D,SL_Income_Log!$B:$B,TEXT(B12,"0000")&amp;"-"&amp;TEXT(A12,"00"),SL_Income_Log!$C:$C,"salary",SL_Income_Log!$E:$E,"H"),K12*(1-Assumptions!$B$102)-Z12-Y12)</f>
        <v>3496.1968</v>
      </c>
      <c r="M12" s="32">
        <f>RSU_Schedule!H11</f>
        <v>0</v>
      </c>
      <c r="N12" s="32">
        <f>Salary_Schedule!G12</f>
        <v>6195.67</v>
      </c>
      <c r="O12" s="32">
        <f>Assumptions!$B$19</f>
        <v>200</v>
      </c>
      <c r="P12" s="32">
        <f>N12*Assumptions!$B$59</f>
        <v>619.567</v>
      </c>
      <c r="Q12" s="32">
        <f>Salary_Schedule!H12</f>
        <v>0</v>
      </c>
      <c r="R12" s="32">
        <f>Q12*Assumptions!$B$20</f>
        <v>0</v>
      </c>
      <c r="S12" s="54">
        <f t="shared" si="4"/>
        <v>5376.103</v>
      </c>
      <c r="T12" s="32">
        <f>IF(COUNTIFS(SL_Income_Log!$B:$B,TEXT(B12,"0000")&amp;"-"&amp;TEXT(A12,"00"),SL_Income_Log!$C:$C,"salary",SL_Income_Log!$E:$E,"W")&gt;0,SUMIFS(SL_Income_Log!$D:$D,SL_Income_Log!$B:$B,TEXT(B12,"0000")&amp;"-"&amp;TEXT(A12,"00"),SL_Income_Log!$C:$C,"salary",SL_Income_Log!$E:$E,"W"),S12*(1-Assumptions!$B$102)-AC12-AB12)
</f>
        <v>2863.9918</v>
      </c>
      <c r="U12" s="32">
        <f>RSU_Schedule!M11</f>
        <v>0</v>
      </c>
      <c r="V12" s="32">
        <f>H12*(1+Assumptions!$B$60)+Assumptions!$B$61</f>
        <v>1051.2988</v>
      </c>
      <c r="W12" s="32">
        <f>P12*(1+Assumptions!$B$60)+Assumptions!$B$61</f>
        <v>887.3938</v>
      </c>
      <c r="X12" s="32">
        <f t="shared" si="5"/>
        <v>1938.6926</v>
      </c>
      <c r="Y12" s="32">
        <f t="shared" si="22"/>
        <v>70</v>
      </c>
      <c r="Z12" s="32">
        <v>291.67</v>
      </c>
      <c r="AA12" s="32">
        <f t="shared" si="23"/>
        <v>23041.63</v>
      </c>
      <c r="AB12" s="32">
        <f t="shared" si="24"/>
        <v>70</v>
      </c>
      <c r="AC12" s="32">
        <v>291.67</v>
      </c>
      <c r="AD12" s="32">
        <f t="shared" si="25"/>
        <v>23041.63</v>
      </c>
      <c r="AE12" s="32">
        <f t="shared" ref="AE12:AF12" si="53">Z12+AC12</f>
        <v>583.34</v>
      </c>
      <c r="AF12" s="32">
        <f t="shared" si="53"/>
        <v>46083.26</v>
      </c>
      <c r="AG12" s="32">
        <f>IF(COUNTIFS(SL_Income_Log!$B:$B,TEXT(B12,"0000")&amp;"-"&amp;TEXT(A12,"00"),SL_Income_Log!$C:$C,"youtube")&gt;0,SUMIFS(SL_Income_Log!$D:$D,SL_Income_Log!$B:$B,TEXT(B12,"0000")&amp;"-"&amp;TEXT(A12,"00"),SL_Income_Log!$C:$C,"youtube"),MIN(Assumptions!$B$49+FLOOR((ROW()-2)/6,1)*Assumptions!$B$50,Assumptions!$B$51))
</f>
        <v>2000</v>
      </c>
      <c r="AH12" s="32">
        <f>AG12*Assumptions!$B$104</f>
        <v>886</v>
      </c>
      <c r="AI12" s="32">
        <f t="shared" si="7"/>
        <v>1114</v>
      </c>
      <c r="AJ12" s="32">
        <f>SUMIFS(SL_Income_Log!$D:$D,SL_Income_Log!$B:$B,TEXT(B12,"0000")&amp;"-"&amp;TEXT(A12,"00"),SL_Income_Log!$C:$C,"other")</f>
        <v>0</v>
      </c>
      <c r="AK12" s="32">
        <f t="shared" si="27"/>
        <v>7891.9396</v>
      </c>
      <c r="AL12" s="32">
        <f>L12+M12+T12+U12+AI12+AJ12-Y12-Z12-AB12-AC12+IF((Debt_Register!$C$2+Debt_Register!$C$6+Debt_Register!$C$7+Debt_Register!$C$8+Debt_Register!$C$9)&gt;5,X12,0)</f>
        <v>8689.5412</v>
      </c>
      <c r="AM12" s="32">
        <f t="shared" si="8"/>
        <v>16581.4808</v>
      </c>
      <c r="AN12" s="32">
        <f>MAX(Assumptions!$B$94,MIN(Assumptions!$B$93,AM12-AP12-BE12-BO12-BQ12))</f>
        <v>8918.4808</v>
      </c>
      <c r="AO12" s="32">
        <f t="shared" si="28"/>
        <v>387477.1077</v>
      </c>
      <c r="AP12" s="32">
        <f>IF(AO12&gt;0,Assumptions!$B$33,0)</f>
        <v>2281</v>
      </c>
      <c r="AQ12" s="32">
        <f>AO12*Assumptions!$B$32/12</f>
        <v>1256.071624</v>
      </c>
      <c r="AR12" s="32">
        <f t="shared" si="9"/>
        <v>1024.928376</v>
      </c>
      <c r="AS12" s="32">
        <f t="shared" si="29"/>
        <v>0</v>
      </c>
      <c r="AT12" s="32">
        <f t="shared" si="10"/>
        <v>386452.1793</v>
      </c>
      <c r="AU12" s="32">
        <f t="shared" si="30"/>
        <v>0</v>
      </c>
      <c r="AV12" s="32">
        <f t="shared" si="31"/>
        <v>0</v>
      </c>
      <c r="AW12" s="32">
        <f t="shared" si="32"/>
        <v>0</v>
      </c>
      <c r="AX12" s="32">
        <f t="shared" si="33"/>
        <v>0</v>
      </c>
      <c r="AY12" s="32">
        <f t="shared" si="34"/>
        <v>0</v>
      </c>
      <c r="AZ12" s="32">
        <f t="shared" si="35"/>
        <v>0</v>
      </c>
      <c r="BA12" s="32">
        <f t="shared" si="36"/>
        <v>0</v>
      </c>
      <c r="BB12" s="32">
        <f t="shared" si="37"/>
        <v>0</v>
      </c>
      <c r="BC12" s="32">
        <f t="shared" si="38"/>
        <v>0</v>
      </c>
      <c r="BD12" s="32">
        <f t="shared" si="39"/>
        <v>0</v>
      </c>
      <c r="BE12" s="32">
        <f t="shared" si="11"/>
        <v>0</v>
      </c>
      <c r="BF12" s="32">
        <v>0.0</v>
      </c>
      <c r="BG12" s="32">
        <f t="shared" si="40"/>
        <v>5500</v>
      </c>
      <c r="BH12" s="32">
        <v>0.0</v>
      </c>
      <c r="BI12" s="32">
        <f t="shared" si="41"/>
        <v>5000</v>
      </c>
      <c r="BJ12" s="32">
        <f>IF(OR(B12&lt;Assumptions!$B$111,AND(B12=Assumptions!$B$111,A12&lt;=Assumptions!$B$112)),Assumptions!$B$110,0)</f>
        <v>650</v>
      </c>
      <c r="BK12" s="32">
        <f>IF(B12&lt;2027,Assumptions!$B$116+IF(OR(A12=4,A12=10),Assumptions!$B$117,0),IF(AND(B12=2027,A12&lt;=4),IF(A12=4,MIN(950,Assumptions!$B$116+Assumptions!$B$117),Assumptions!$B$116),0))</f>
        <v>290</v>
      </c>
      <c r="BL12" s="32">
        <f>IF(OR(B12&lt;2030,AND(B12=2030,A12&lt;8)),Assumptions!$B$118,IF(AND(B12=2030,A12=8),MOD(11000,200),0))</f>
        <v>200</v>
      </c>
      <c r="BM12" s="32">
        <f>IF(OR(B12&lt;Assumptions!$B$120,AND(B12=Assumptions!$B$120,A12&lt;=Assumptions!$B$121)),Assumptions!$B$119,0)</f>
        <v>132</v>
      </c>
      <c r="BN12" s="32">
        <f>IF(AND(B12&lt;=Assumptions!$B$123,A12&lt;=Assumptions!$B$124),Assumptions!$B$122,0)</f>
        <v>0</v>
      </c>
      <c r="BO12" s="32">
        <f t="shared" si="12"/>
        <v>1272</v>
      </c>
      <c r="BP12" s="32">
        <f>SUMIFS(SL_Budget!$B:$B,SL_Budget!$C:$C,"'"&amp;TEXT(DATE(B12,A12,1),"YYYY-MM"))</f>
        <v>4110</v>
      </c>
      <c r="BQ12" s="32">
        <f>MAX(BP12, IFERROR(SUMIFS(ShadowLedger!D:D, 
  ShadowLedger!C:C, "&gt;="&amp;DATE(B12,A12,1), 
  ShadowLedger!C:C, "&lt;"&amp;EOMONTH(DATE(B12,A12,1),0)+1), 0))
</f>
        <v>4110</v>
      </c>
      <c r="BR12" s="32">
        <f t="shared" si="42"/>
        <v>12843.72384</v>
      </c>
      <c r="BS12" s="32">
        <f t="shared" si="43"/>
        <v>1938.6926</v>
      </c>
      <c r="BT12" s="32">
        <f>IF(AS12&gt;0,-MAX(0,21550-MAX(0,MAX(0,(AM12-AP12-BE12-BO12-BQ12)-Assumptions!$B$93))-MIN(MAX(0,21550-MAX(0,MAX(0,(AM12-AP12-BE12-BO12-BQ12)-Assumptions!$B$93))),MAX(0,BY11-Assumptions!$B$91))),IF(BY11&gt;=Assumptions!$B$92,MAX(0,(AM12-AP12-BE12-BO12-BQ12)-Assumptions!$B$93),MAX(0,(AM12-AP12-BE12-BO12-BQ12)-Assumptions!$B$93)*Assumptions!$B$99))</f>
        <v>0</v>
      </c>
      <c r="BU12" s="32">
        <f>(BR12+BS12+MAX(0,BT12))*(Assumptions!$B$43-1)</f>
        <v>100.7865153</v>
      </c>
      <c r="BV12" s="32">
        <f t="shared" si="13"/>
        <v>14883.20296</v>
      </c>
      <c r="BW12" s="32">
        <f t="shared" si="44"/>
        <v>0</v>
      </c>
      <c r="BX12" s="32">
        <f>IF(AS12&gt;0,-MIN(MAX(0,21550-MAX(0,MAX(0,(AM12-AP12-BE12-BO12-BQ12)-Assumptions!$B$93))),MAX(0,BY11-Assumptions!$B$91)),IF(BY11&lt;Assumptions!$B$92,MAX(0,(AM12-AP12-BE12-BO12-BQ12)-Assumptions!$B$93)*Assumptions!$B$98,0))</f>
        <v>0</v>
      </c>
      <c r="BY12" s="32">
        <f t="shared" si="14"/>
        <v>0</v>
      </c>
      <c r="BZ12" s="32">
        <f t="shared" si="45"/>
        <v>6202</v>
      </c>
      <c r="CA12" s="32">
        <f t="shared" si="15"/>
        <v>886</v>
      </c>
      <c r="CB12" s="32">
        <f t="shared" si="16"/>
        <v>7088</v>
      </c>
      <c r="CC12" s="55">
        <f>CC11+(G12+J12)/(Salary_Schedule!E12*12/208)</f>
        <v>1713.264797</v>
      </c>
      <c r="CD12" s="55">
        <f>CD11+(O12+R12)/(Salary_Schedule!G12*12/208)</f>
        <v>34.24382943</v>
      </c>
      <c r="CE12" s="32">
        <f t="shared" si="17"/>
        <v>14883.20296</v>
      </c>
      <c r="CF12" s="32">
        <f>Assumptions!$B$55*(1+Assumptions!$B$56)^((B12-2025)+(A12-1)/12)</f>
        <v>534389.3008</v>
      </c>
      <c r="CG12" s="32">
        <f t="shared" si="18"/>
        <v>-386452.1793</v>
      </c>
      <c r="CH12" s="32">
        <f t="shared" si="19"/>
        <v>-56583.26</v>
      </c>
      <c r="CI12" s="32">
        <f>CC12*(Salary_Schedule!E12/173.33)*(1-Assumptions!$B$28)+CD12*(Salary_Schedule!G12/173.33)*(1-Assumptions!$B$28)</f>
        <v>48123.89371</v>
      </c>
      <c r="CJ12" s="32">
        <f t="shared" si="20"/>
        <v>154360.9582</v>
      </c>
    </row>
    <row r="13" ht="15.0" customHeight="1">
      <c r="A13" s="1">
        <v>12.0</v>
      </c>
      <c r="B13" s="1">
        <v>2026.0</v>
      </c>
      <c r="C13" s="1" t="s">
        <v>682</v>
      </c>
      <c r="D13" s="1" t="str">
        <f t="shared" si="21"/>
        <v>11/2026</v>
      </c>
      <c r="E13" s="1" t="str">
        <f t="shared" si="2"/>
        <v>LEAN</v>
      </c>
      <c r="F13" s="32">
        <f>Salary_Schedule!E13</f>
        <v>7366.42</v>
      </c>
      <c r="G13" s="32">
        <f>Assumptions!$B$8</f>
        <v>200</v>
      </c>
      <c r="H13" s="32">
        <f>F13*Assumptions!$B$58</f>
        <v>736.642</v>
      </c>
      <c r="I13" s="32">
        <f>Salary_Schedule!F13</f>
        <v>0</v>
      </c>
      <c r="J13" s="32">
        <f>I13*Assumptions!$B$9</f>
        <v>0</v>
      </c>
      <c r="K13" s="54">
        <f t="shared" si="3"/>
        <v>6429.778</v>
      </c>
      <c r="L13" s="32">
        <f>IF(COUNTIFS(SL_Income_Log!$B:$B,TEXT(B13,"0000")&amp;"-"&amp;TEXT(A13,"00"),SL_Income_Log!$C:$C,"salary",SL_Income_Log!$E:$E,"H")&gt;0,SUMIFS(SL_Income_Log!$D:$D,SL_Income_Log!$B:$B,TEXT(B13,"0000")&amp;"-"&amp;TEXT(A13,"00"),SL_Income_Log!$C:$C,"salary",SL_Income_Log!$E:$E,"H"),K13*(1-Assumptions!$B$102)-Z13-Y13)</f>
        <v>3497.0768</v>
      </c>
      <c r="M13" s="32">
        <f>RSU_Schedule!H12</f>
        <v>0</v>
      </c>
      <c r="N13" s="32">
        <f>Salary_Schedule!G13</f>
        <v>6195.67</v>
      </c>
      <c r="O13" s="32">
        <f>Assumptions!$B$19</f>
        <v>200</v>
      </c>
      <c r="P13" s="32">
        <f>N13*Assumptions!$B$59</f>
        <v>619.567</v>
      </c>
      <c r="Q13" s="32">
        <f>Salary_Schedule!H13</f>
        <v>0</v>
      </c>
      <c r="R13" s="32">
        <f>Q13*Assumptions!$B$20</f>
        <v>0</v>
      </c>
      <c r="S13" s="54">
        <f t="shared" si="4"/>
        <v>5376.103</v>
      </c>
      <c r="T13" s="32">
        <f>IF(COUNTIFS(SL_Income_Log!$B:$B,TEXT(B13,"0000")&amp;"-"&amp;TEXT(A13,"00"),SL_Income_Log!$C:$C,"salary",SL_Income_Log!$E:$E,"W")&gt;0,SUMIFS(SL_Income_Log!$D:$D,SL_Income_Log!$B:$B,TEXT(B13,"0000")&amp;"-"&amp;TEXT(A13,"00"),SL_Income_Log!$C:$C,"salary",SL_Income_Log!$E:$E,"W"),S13*(1-Assumptions!$B$102)-AC13-AB13)
</f>
        <v>2864.8718</v>
      </c>
      <c r="U13" s="32">
        <f>RSU_Schedule!M12</f>
        <v>0</v>
      </c>
      <c r="V13" s="32">
        <f>H13*(1+Assumptions!$B$60)+Assumptions!$B$61</f>
        <v>1051.2988</v>
      </c>
      <c r="W13" s="32">
        <f>P13*(1+Assumptions!$B$60)+Assumptions!$B$61</f>
        <v>887.3938</v>
      </c>
      <c r="X13" s="32">
        <f t="shared" si="5"/>
        <v>1938.6926</v>
      </c>
      <c r="Y13" s="32">
        <f t="shared" si="22"/>
        <v>69.12</v>
      </c>
      <c r="Z13" s="32">
        <v>291.67</v>
      </c>
      <c r="AA13" s="32">
        <f t="shared" si="23"/>
        <v>22749.96</v>
      </c>
      <c r="AB13" s="32">
        <f t="shared" si="24"/>
        <v>69.12</v>
      </c>
      <c r="AC13" s="32">
        <v>291.67</v>
      </c>
      <c r="AD13" s="32">
        <f t="shared" si="25"/>
        <v>22749.96</v>
      </c>
      <c r="AE13" s="32">
        <f t="shared" ref="AE13:AF13" si="54">Z13+AC13</f>
        <v>583.34</v>
      </c>
      <c r="AF13" s="32">
        <f t="shared" si="54"/>
        <v>45499.92</v>
      </c>
      <c r="AG13" s="32">
        <f>IF(COUNTIFS(SL_Income_Log!$B:$B,TEXT(B13,"0000")&amp;"-"&amp;TEXT(A13,"00"),SL_Income_Log!$C:$C,"youtube")&gt;0,SUMIFS(SL_Income_Log!$D:$D,SL_Income_Log!$B:$B,TEXT(B13,"0000")&amp;"-"&amp;TEXT(A13,"00"),SL_Income_Log!$C:$C,"youtube"),MIN(Assumptions!$B$49+FLOOR((ROW()-2)/6,1)*Assumptions!$B$50,Assumptions!$B$51))
</f>
        <v>2000</v>
      </c>
      <c r="AH13" s="32">
        <f>AG13*Assumptions!$B$104</f>
        <v>886</v>
      </c>
      <c r="AI13" s="32">
        <f t="shared" si="7"/>
        <v>1114</v>
      </c>
      <c r="AJ13" s="32">
        <f>SUMIFS(SL_Income_Log!$D:$D,SL_Income_Log!$B:$B,TEXT(B13,"0000")&amp;"-"&amp;TEXT(A13,"00"),SL_Income_Log!$C:$C,"other")</f>
        <v>0</v>
      </c>
      <c r="AK13" s="32">
        <f t="shared" si="27"/>
        <v>8918.4808</v>
      </c>
      <c r="AL13" s="32">
        <f>L13+M13+T13+U13+AI13+AJ13-Y13-Z13-AB13-AC13+IF((Debt_Register!$C$2+Debt_Register!$C$6+Debt_Register!$C$7+Debt_Register!$C$8+Debt_Register!$C$9)&gt;5,X13,0)</f>
        <v>8693.0612</v>
      </c>
      <c r="AM13" s="32">
        <f t="shared" si="8"/>
        <v>17611.542</v>
      </c>
      <c r="AN13" s="32">
        <f>MAX(Assumptions!$B$94,MIN(Assumptions!$B$93,AM13-AP13-BE13-BO13-BQ13))</f>
        <v>9948.542</v>
      </c>
      <c r="AO13" s="32">
        <f t="shared" si="28"/>
        <v>386452.1793</v>
      </c>
      <c r="AP13" s="32">
        <f>IF(AO13&gt;0,Assumptions!$B$33,0)</f>
        <v>2281</v>
      </c>
      <c r="AQ13" s="32">
        <f>AO13*Assumptions!$B$32/12</f>
        <v>1252.749148</v>
      </c>
      <c r="AR13" s="32">
        <f t="shared" si="9"/>
        <v>1028.250852</v>
      </c>
      <c r="AS13" s="32">
        <f t="shared" si="29"/>
        <v>0</v>
      </c>
      <c r="AT13" s="32">
        <f t="shared" si="10"/>
        <v>385423.9285</v>
      </c>
      <c r="AU13" s="32">
        <f t="shared" si="30"/>
        <v>0</v>
      </c>
      <c r="AV13" s="32">
        <f t="shared" si="31"/>
        <v>0</v>
      </c>
      <c r="AW13" s="32">
        <f t="shared" si="32"/>
        <v>0</v>
      </c>
      <c r="AX13" s="32">
        <f t="shared" si="33"/>
        <v>0</v>
      </c>
      <c r="AY13" s="32">
        <f t="shared" si="34"/>
        <v>0</v>
      </c>
      <c r="AZ13" s="32">
        <f t="shared" si="35"/>
        <v>0</v>
      </c>
      <c r="BA13" s="32">
        <f t="shared" si="36"/>
        <v>0</v>
      </c>
      <c r="BB13" s="32">
        <f t="shared" si="37"/>
        <v>0</v>
      </c>
      <c r="BC13" s="32">
        <f t="shared" si="38"/>
        <v>0</v>
      </c>
      <c r="BD13" s="32">
        <f t="shared" si="39"/>
        <v>0</v>
      </c>
      <c r="BE13" s="32">
        <f t="shared" si="11"/>
        <v>0</v>
      </c>
      <c r="BF13" s="32">
        <v>0.0</v>
      </c>
      <c r="BG13" s="32">
        <f t="shared" si="40"/>
        <v>5500</v>
      </c>
      <c r="BH13" s="32">
        <v>0.0</v>
      </c>
      <c r="BI13" s="32">
        <f t="shared" si="41"/>
        <v>5000</v>
      </c>
      <c r="BJ13" s="32">
        <f>IF(OR(B13&lt;Assumptions!$B$111,AND(B13=Assumptions!$B$111,A13&lt;=Assumptions!$B$112)),Assumptions!$B$110,0)</f>
        <v>650</v>
      </c>
      <c r="BK13" s="32">
        <f>IF(B13&lt;2027,Assumptions!$B$116+IF(OR(A13=4,A13=10),Assumptions!$B$117,0),IF(AND(B13=2027,A13&lt;=4),IF(A13=4,MIN(950,Assumptions!$B$116+Assumptions!$B$117),Assumptions!$B$116),0))</f>
        <v>290</v>
      </c>
      <c r="BL13" s="32">
        <f>IF(OR(B13&lt;2030,AND(B13=2030,A13&lt;8)),Assumptions!$B$118,IF(AND(B13=2030,A13=8),MOD(11000,200),0))</f>
        <v>200</v>
      </c>
      <c r="BM13" s="32">
        <f>IF(OR(B13&lt;Assumptions!$B$120,AND(B13=Assumptions!$B$120,A13&lt;=Assumptions!$B$121)),Assumptions!$B$119,0)</f>
        <v>132</v>
      </c>
      <c r="BN13" s="32">
        <f>IF(AND(B13&lt;=Assumptions!$B$123,A13&lt;=Assumptions!$B$124),Assumptions!$B$122,0)</f>
        <v>0</v>
      </c>
      <c r="BO13" s="32">
        <f t="shared" si="12"/>
        <v>1272</v>
      </c>
      <c r="BP13" s="32">
        <f>SUMIFS(SL_Budget!$B:$B,SL_Budget!$C:$C,"'"&amp;TEXT(DATE(B13,A13,1),"YYYY-MM"))</f>
        <v>4110</v>
      </c>
      <c r="BQ13" s="32">
        <f>MAX(BP13, IFERROR(SUMIFS(ShadowLedger!D:D, 
  ShadowLedger!C:C, "&gt;="&amp;DATE(B13,A13,1), 
  ShadowLedger!C:C, "&lt;"&amp;EOMONTH(DATE(B13,A13,1),0)+1), 0))
</f>
        <v>4110</v>
      </c>
      <c r="BR13" s="32">
        <f t="shared" si="42"/>
        <v>14883.20296</v>
      </c>
      <c r="BS13" s="32">
        <f t="shared" si="43"/>
        <v>1938.6926</v>
      </c>
      <c r="BT13" s="32">
        <f>IF(AS13&gt;0,-MAX(0,21550-MAX(0,MAX(0,(AM13-AP13-BE13-BO13-BQ13)-Assumptions!$B$93))-MIN(MAX(0,21550-MAX(0,MAX(0,(AM13-AP13-BE13-BO13-BQ13)-Assumptions!$B$93))),MAX(0,BY12-Assumptions!$B$91))),IF(BY12&gt;=Assumptions!$B$92,MAX(0,(AM13-AP13-BE13-BO13-BQ13)-Assumptions!$B$93),MAX(0,(AM13-AP13-BE13-BO13-BQ13)-Assumptions!$B$93)*Assumptions!$B$99))</f>
        <v>0</v>
      </c>
      <c r="BU13" s="32">
        <f>(BR13+BS13+MAX(0,BT13))*(Assumptions!$B$43-1)</f>
        <v>114.6916839</v>
      </c>
      <c r="BV13" s="32">
        <f t="shared" si="13"/>
        <v>16936.58724</v>
      </c>
      <c r="BW13" s="32">
        <f t="shared" si="44"/>
        <v>0</v>
      </c>
      <c r="BX13" s="32">
        <f>IF(AS13&gt;0,-MIN(MAX(0,21550-MAX(0,MAX(0,(AM13-AP13-BE13-BO13-BQ13)-Assumptions!$B$93))),MAX(0,BY12-Assumptions!$B$91)),IF(BY12&lt;Assumptions!$B$92,MAX(0,(AM13-AP13-BE13-BO13-BQ13)-Assumptions!$B$93)*Assumptions!$B$98,0))</f>
        <v>0</v>
      </c>
      <c r="BY13" s="32">
        <f t="shared" si="14"/>
        <v>0</v>
      </c>
      <c r="BZ13" s="32">
        <f t="shared" si="45"/>
        <v>7088</v>
      </c>
      <c r="CA13" s="32">
        <f t="shared" si="15"/>
        <v>886</v>
      </c>
      <c r="CB13" s="32">
        <f t="shared" si="16"/>
        <v>7974</v>
      </c>
      <c r="CC13" s="55">
        <f>CC12+(G13+J13)/(Salary_Schedule!E13*12/208)</f>
        <v>1713.735401</v>
      </c>
      <c r="CD13" s="55">
        <f>CD12+(O13+R13)/(Salary_Schedule!G13*12/208)</f>
        <v>34.80335998</v>
      </c>
      <c r="CE13" s="32">
        <f t="shared" si="17"/>
        <v>16936.58724</v>
      </c>
      <c r="CF13" s="32">
        <f>Assumptions!$B$55*(1+Assumptions!$B$56)^((B13-2025)+(A13-1)/12)</f>
        <v>535052.7386</v>
      </c>
      <c r="CG13" s="32">
        <f t="shared" si="18"/>
        <v>-385423.9285</v>
      </c>
      <c r="CH13" s="32">
        <f t="shared" si="19"/>
        <v>-55999.92</v>
      </c>
      <c r="CI13" s="32">
        <f>CC13*(Salary_Schedule!E13/173.33)*(1-Assumptions!$B$28)+CD13*(Salary_Schedule!G13/173.33)*(1-Assumptions!$B$28)</f>
        <v>48149.89421</v>
      </c>
      <c r="CJ13" s="32">
        <f t="shared" si="20"/>
        <v>158715.3716</v>
      </c>
    </row>
    <row r="14" ht="15.0" customHeight="1">
      <c r="A14" s="1">
        <v>1.0</v>
      </c>
      <c r="B14" s="1">
        <v>2027.0</v>
      </c>
      <c r="C14" s="1" t="s">
        <v>683</v>
      </c>
      <c r="D14" s="1" t="str">
        <f t="shared" si="21"/>
        <v>12/2026</v>
      </c>
      <c r="E14" s="1" t="str">
        <f t="shared" si="2"/>
        <v>FAT_RSU</v>
      </c>
      <c r="F14" s="32">
        <f>Salary_Schedule!E14</f>
        <v>7734.74</v>
      </c>
      <c r="G14" s="32">
        <f>Assumptions!$B$8</f>
        <v>200</v>
      </c>
      <c r="H14" s="32">
        <f>F14*Assumptions!$B$58</f>
        <v>773.474</v>
      </c>
      <c r="I14" s="32">
        <f>Salary_Schedule!F14</f>
        <v>0</v>
      </c>
      <c r="J14" s="32">
        <f>I14*Assumptions!$B$9</f>
        <v>0</v>
      </c>
      <c r="K14" s="54">
        <f t="shared" si="3"/>
        <v>6761.266</v>
      </c>
      <c r="L14" s="32">
        <f>IF(COUNTIFS(SL_Income_Log!$B:$B,TEXT(B14,"0000")&amp;"-"&amp;TEXT(A14,"00"),SL_Income_Log!$C:$C,"salary",SL_Income_Log!$E:$E,"H")&gt;0,SUMIFS(SL_Income_Log!$D:$D,SL_Income_Log!$B:$B,TEXT(B14,"0000")&amp;"-"&amp;TEXT(A14,"00"),SL_Income_Log!$C:$C,"salary",SL_Income_Log!$E:$E,"H"),K14*(1-Assumptions!$B$102)-Z14-Y14)</f>
        <v>3696.8396</v>
      </c>
      <c r="M14" s="32">
        <f>RSU_Schedule!H13</f>
        <v>3959.02</v>
      </c>
      <c r="N14" s="32">
        <f>Salary_Schedule!G14</f>
        <v>6412.51</v>
      </c>
      <c r="O14" s="32">
        <f>Assumptions!$B$19</f>
        <v>200</v>
      </c>
      <c r="P14" s="32">
        <f>N14*Assumptions!$B$59</f>
        <v>641.251</v>
      </c>
      <c r="Q14" s="32">
        <f>Salary_Schedule!H14</f>
        <v>0</v>
      </c>
      <c r="R14" s="32">
        <f>Q14*Assumptions!$B$20</f>
        <v>0</v>
      </c>
      <c r="S14" s="54">
        <f t="shared" si="4"/>
        <v>5571.259</v>
      </c>
      <c r="T14" s="32">
        <f>IF(COUNTIFS(SL_Income_Log!$B:$B,TEXT(B14,"0000")&amp;"-"&amp;TEXT(A14,"00"),SL_Income_Log!$C:$C,"salary",SL_Income_Log!$E:$E,"W")&gt;0,SUMIFS(SL_Income_Log!$D:$D,SL_Income_Log!$B:$B,TEXT(B14,"0000")&amp;"-"&amp;TEXT(A14,"00"),SL_Income_Log!$C:$C,"salary",SL_Income_Log!$E:$E,"W"),S14*(1-Assumptions!$B$102)-AC14-AB14)
</f>
        <v>2982.8354</v>
      </c>
      <c r="U14" s="32">
        <f>RSU_Schedule!M13</f>
        <v>1979.52</v>
      </c>
      <c r="V14" s="32">
        <f>H14*(1+Assumptions!$B$60)+Assumptions!$B$61</f>
        <v>1102.8636</v>
      </c>
      <c r="W14" s="32">
        <f>P14*(1+Assumptions!$B$60)+Assumptions!$B$61</f>
        <v>917.7514</v>
      </c>
      <c r="X14" s="32">
        <f t="shared" si="5"/>
        <v>2020.615</v>
      </c>
      <c r="Y14" s="32">
        <f t="shared" si="22"/>
        <v>68.25</v>
      </c>
      <c r="Z14" s="32">
        <v>291.67</v>
      </c>
      <c r="AA14" s="32">
        <f t="shared" si="23"/>
        <v>22458.29</v>
      </c>
      <c r="AB14" s="32">
        <f t="shared" si="24"/>
        <v>68.25</v>
      </c>
      <c r="AC14" s="32">
        <v>291.67</v>
      </c>
      <c r="AD14" s="32">
        <f t="shared" si="25"/>
        <v>22458.29</v>
      </c>
      <c r="AE14" s="32">
        <f t="shared" ref="AE14:AF14" si="55">Z14+AC14</f>
        <v>583.34</v>
      </c>
      <c r="AF14" s="32">
        <f t="shared" si="55"/>
        <v>44916.58</v>
      </c>
      <c r="AG14" s="32">
        <f>IF(COUNTIFS(SL_Income_Log!$B:$B,TEXT(B14,"0000")&amp;"-"&amp;TEXT(A14,"00"),SL_Income_Log!$C:$C,"youtube")&gt;0,SUMIFS(SL_Income_Log!$D:$D,SL_Income_Log!$B:$B,TEXT(B14,"0000")&amp;"-"&amp;TEXT(A14,"00"),SL_Income_Log!$C:$C,"youtube"),MIN(Assumptions!$B$49+FLOOR((ROW()-2)/6,1)*Assumptions!$B$50,Assumptions!$B$51))
</f>
        <v>3000</v>
      </c>
      <c r="AH14" s="32">
        <f>AG14*Assumptions!$B$104</f>
        <v>1329</v>
      </c>
      <c r="AI14" s="32">
        <f t="shared" si="7"/>
        <v>1671</v>
      </c>
      <c r="AJ14" s="32">
        <f>SUMIFS(SL_Income_Log!$D:$D,SL_Income_Log!$B:$B,TEXT(B14,"0000")&amp;"-"&amp;TEXT(A14,"00"),SL_Income_Log!$C:$C,"other")</f>
        <v>0</v>
      </c>
      <c r="AK14" s="32">
        <f t="shared" si="27"/>
        <v>9948.542</v>
      </c>
      <c r="AL14" s="32">
        <f>L14+M14+T14+U14+AI14+AJ14-Y14-Z14-AB14-AC14+IF((Debt_Register!$C$2+Debt_Register!$C$6+Debt_Register!$C$7+Debt_Register!$C$8+Debt_Register!$C$9)&gt;5,X14,0)</f>
        <v>15589.99</v>
      </c>
      <c r="AM14" s="32">
        <f t="shared" si="8"/>
        <v>25538.532</v>
      </c>
      <c r="AN14" s="32">
        <f>MAX(Assumptions!$B$94,MIN(Assumptions!$B$93,AM14-AP14-BE14-BO14-BQ14))</f>
        <v>10000</v>
      </c>
      <c r="AO14" s="32">
        <f t="shared" si="28"/>
        <v>385423.9285</v>
      </c>
      <c r="AP14" s="32">
        <f>IF(AO14&gt;0,Assumptions!$B$33,0)</f>
        <v>2281</v>
      </c>
      <c r="AQ14" s="32">
        <f>AO14*Assumptions!$B$32/12</f>
        <v>1249.415901</v>
      </c>
      <c r="AR14" s="32">
        <f t="shared" si="9"/>
        <v>1031.584099</v>
      </c>
      <c r="AS14" s="32">
        <f t="shared" si="29"/>
        <v>0</v>
      </c>
      <c r="AT14" s="32">
        <f t="shared" si="10"/>
        <v>384392.3444</v>
      </c>
      <c r="AU14" s="32">
        <f t="shared" si="30"/>
        <v>0</v>
      </c>
      <c r="AV14" s="32">
        <f t="shared" si="31"/>
        <v>0</v>
      </c>
      <c r="AW14" s="32">
        <f t="shared" si="32"/>
        <v>0</v>
      </c>
      <c r="AX14" s="32">
        <f t="shared" si="33"/>
        <v>0</v>
      </c>
      <c r="AY14" s="32">
        <f t="shared" si="34"/>
        <v>0</v>
      </c>
      <c r="AZ14" s="32">
        <f t="shared" si="35"/>
        <v>0</v>
      </c>
      <c r="BA14" s="32">
        <f t="shared" si="36"/>
        <v>0</v>
      </c>
      <c r="BB14" s="32">
        <f t="shared" si="37"/>
        <v>0</v>
      </c>
      <c r="BC14" s="32">
        <f t="shared" si="38"/>
        <v>0</v>
      </c>
      <c r="BD14" s="32">
        <f t="shared" si="39"/>
        <v>0</v>
      </c>
      <c r="BE14" s="32">
        <f t="shared" si="11"/>
        <v>0</v>
      </c>
      <c r="BF14" s="32">
        <v>0.0</v>
      </c>
      <c r="BG14" s="32">
        <f t="shared" si="40"/>
        <v>5500</v>
      </c>
      <c r="BH14" s="32">
        <v>0.0</v>
      </c>
      <c r="BI14" s="32">
        <f t="shared" si="41"/>
        <v>5000</v>
      </c>
      <c r="BJ14" s="32">
        <f>IF(OR(B14&lt;Assumptions!$B$111,AND(B14=Assumptions!$B$111,A14&lt;=Assumptions!$B$112)),Assumptions!$B$110,0)</f>
        <v>650</v>
      </c>
      <c r="BK14" s="32">
        <f>IF(B14&lt;2027,Assumptions!$B$116+IF(OR(A14=4,A14=10),Assumptions!$B$117,0),IF(AND(B14=2027,A14&lt;=4),IF(A14=4,MIN(950,Assumptions!$B$116+Assumptions!$B$117),Assumptions!$B$116),0))</f>
        <v>290</v>
      </c>
      <c r="BL14" s="32">
        <f>IF(OR(B14&lt;2030,AND(B14=2030,A14&lt;8)),Assumptions!$B$118,IF(AND(B14=2030,A14=8),MOD(11000,200),0))</f>
        <v>200</v>
      </c>
      <c r="BM14" s="32">
        <f>IF(OR(B14&lt;Assumptions!$B$120,AND(B14=Assumptions!$B$120,A14&lt;=Assumptions!$B$121)),Assumptions!$B$119,0)</f>
        <v>132</v>
      </c>
      <c r="BN14" s="32">
        <f>IF(AND(B14&lt;=Assumptions!$B$123,A14&lt;=Assumptions!$B$124),Assumptions!$B$122,0)</f>
        <v>0</v>
      </c>
      <c r="BO14" s="32">
        <f t="shared" si="12"/>
        <v>1272</v>
      </c>
      <c r="BP14" s="32">
        <f>SUMIFS(SL_Budget!$B:$B,SL_Budget!$C:$C,"'"&amp;TEXT(DATE(B14,A14,1),"YYYY-MM"))</f>
        <v>4237</v>
      </c>
      <c r="BQ14" s="32">
        <f>MAX(BP14, IFERROR(SUMIFS(ShadowLedger!D:D, 
  ShadowLedger!C:C, "&gt;="&amp;DATE(B14,A14,1), 
  ShadowLedger!C:C, "&lt;"&amp;EOMONTH(DATE(B14,A14,1),0)+1), 0))
</f>
        <v>4237</v>
      </c>
      <c r="BR14" s="32">
        <f t="shared" si="42"/>
        <v>16936.58724</v>
      </c>
      <c r="BS14" s="32">
        <f t="shared" si="43"/>
        <v>2020.615</v>
      </c>
      <c r="BT14" s="32">
        <f>IF(AS14&gt;0,-MAX(0,21550-MAX(0,MAX(0,(AM14-AP14-BE14-BO14-BQ14)-Assumptions!$B$93))-MIN(MAX(0,21550-MAX(0,MAX(0,(AM14-AP14-BE14-BO14-BQ14)-Assumptions!$B$93))),MAX(0,BY13-Assumptions!$B$91))),IF(BY13&gt;=Assumptions!$B$92,MAX(0,(AM14-AP14-BE14-BO14-BQ14)-Assumptions!$B$93),MAX(0,(AM14-AP14-BE14-BO14-BQ14)-Assumptions!$B$93)*Assumptions!$B$99))</f>
        <v>6198.8256</v>
      </c>
      <c r="BU14" s="32">
        <f>(BR14+BS14+MAX(0,BT14))*(Assumptions!$B$43-1)</f>
        <v>171.5137978</v>
      </c>
      <c r="BV14" s="32">
        <f t="shared" si="13"/>
        <v>25327.54164</v>
      </c>
      <c r="BW14" s="32">
        <f t="shared" si="44"/>
        <v>0</v>
      </c>
      <c r="BX14" s="32">
        <f>IF(AS14&gt;0,-MIN(MAX(0,21550-MAX(0,MAX(0,(AM14-AP14-BE14-BO14-BQ14)-Assumptions!$B$93))),MAX(0,BY13-Assumptions!$B$91)),IF(BY13&lt;Assumptions!$B$92,MAX(0,(AM14-AP14-BE14-BO14-BQ14)-Assumptions!$B$93)*Assumptions!$B$98,0))</f>
        <v>1549.7064</v>
      </c>
      <c r="BY14" s="32">
        <f t="shared" si="14"/>
        <v>1549.7064</v>
      </c>
      <c r="BZ14" s="32">
        <f t="shared" si="45"/>
        <v>0</v>
      </c>
      <c r="CA14" s="32">
        <f t="shared" si="15"/>
        <v>1329</v>
      </c>
      <c r="CB14" s="32">
        <f t="shared" si="16"/>
        <v>1329</v>
      </c>
      <c r="CC14" s="55">
        <f>CC13+(G14+J14)/(Salary_Schedule!E14*12/208)</f>
        <v>1714.183595</v>
      </c>
      <c r="CD14" s="55">
        <f>CD13+(O14+R14)/(Salary_Schedule!G14*12/208)</f>
        <v>35.34396992</v>
      </c>
      <c r="CE14" s="32">
        <f t="shared" si="17"/>
        <v>25327.54164</v>
      </c>
      <c r="CF14" s="32">
        <f>Assumptions!$B$55*(1+Assumptions!$B$56)^((B14-2025)+(A14-1)/12)</f>
        <v>535717</v>
      </c>
      <c r="CG14" s="32">
        <f t="shared" si="18"/>
        <v>-384392.3444</v>
      </c>
      <c r="CH14" s="32">
        <f t="shared" si="19"/>
        <v>-55416.58</v>
      </c>
      <c r="CI14" s="32">
        <f>CC14*(Salary_Schedule!E14/173.33)*(1-Assumptions!$B$28)+CD14*(Salary_Schedule!G14/173.33)*(1-Assumptions!$B$28)</f>
        <v>50571.25246</v>
      </c>
      <c r="CJ14" s="32">
        <f t="shared" si="20"/>
        <v>171806.8697</v>
      </c>
    </row>
    <row r="15" ht="15.0" customHeight="1">
      <c r="A15" s="1">
        <v>2.0</v>
      </c>
      <c r="B15" s="1">
        <v>2027.0</v>
      </c>
      <c r="C15" s="1" t="s">
        <v>684</v>
      </c>
      <c r="D15" s="1" t="str">
        <f t="shared" si="21"/>
        <v>01/2027</v>
      </c>
      <c r="E15" s="1" t="str">
        <f t="shared" si="2"/>
        <v>LEAN</v>
      </c>
      <c r="F15" s="32">
        <f>Salary_Schedule!E15</f>
        <v>7734.74</v>
      </c>
      <c r="G15" s="32">
        <f>Assumptions!$B$8</f>
        <v>200</v>
      </c>
      <c r="H15" s="32">
        <f>F15*Assumptions!$B$58</f>
        <v>773.474</v>
      </c>
      <c r="I15" s="32">
        <f>Salary_Schedule!F15</f>
        <v>0</v>
      </c>
      <c r="J15" s="32">
        <f>I15*Assumptions!$B$9</f>
        <v>0</v>
      </c>
      <c r="K15" s="54">
        <f t="shared" si="3"/>
        <v>6761.266</v>
      </c>
      <c r="L15" s="32">
        <f>IF(COUNTIFS(SL_Income_Log!$B:$B,TEXT(B15,"0000")&amp;"-"&amp;TEXT(A15,"00"),SL_Income_Log!$C:$C,"salary",SL_Income_Log!$E:$E,"H")&gt;0,SUMIFS(SL_Income_Log!$D:$D,SL_Income_Log!$B:$B,TEXT(B15,"0000")&amp;"-"&amp;TEXT(A15,"00"),SL_Income_Log!$C:$C,"salary",SL_Income_Log!$E:$E,"H"),K15*(1-Assumptions!$B$102)-Z15-Y15)</f>
        <v>3697.7196</v>
      </c>
      <c r="M15" s="32">
        <f>RSU_Schedule!H14</f>
        <v>0</v>
      </c>
      <c r="N15" s="32">
        <f>Salary_Schedule!G15</f>
        <v>6412.51</v>
      </c>
      <c r="O15" s="32">
        <f>Assumptions!$B$19</f>
        <v>200</v>
      </c>
      <c r="P15" s="32">
        <f>N15*Assumptions!$B$59</f>
        <v>641.251</v>
      </c>
      <c r="Q15" s="32">
        <f>Salary_Schedule!H15</f>
        <v>0</v>
      </c>
      <c r="R15" s="32">
        <f>Q15*Assumptions!$B$20</f>
        <v>0</v>
      </c>
      <c r="S15" s="54">
        <f t="shared" si="4"/>
        <v>5571.259</v>
      </c>
      <c r="T15" s="32">
        <f>IF(COUNTIFS(SL_Income_Log!$B:$B,TEXT(B15,"0000")&amp;"-"&amp;TEXT(A15,"00"),SL_Income_Log!$C:$C,"salary",SL_Income_Log!$E:$E,"W")&gt;0,SUMIFS(SL_Income_Log!$D:$D,SL_Income_Log!$B:$B,TEXT(B15,"0000")&amp;"-"&amp;TEXT(A15,"00"),SL_Income_Log!$C:$C,"salary",SL_Income_Log!$E:$E,"W"),S15*(1-Assumptions!$B$102)-AC15-AB15)
</f>
        <v>2983.7154</v>
      </c>
      <c r="U15" s="32">
        <f>RSU_Schedule!M14</f>
        <v>0</v>
      </c>
      <c r="V15" s="32">
        <f>H15*(1+Assumptions!$B$60)+Assumptions!$B$61</f>
        <v>1102.8636</v>
      </c>
      <c r="W15" s="32">
        <f>P15*(1+Assumptions!$B$60)+Assumptions!$B$61</f>
        <v>917.7514</v>
      </c>
      <c r="X15" s="32">
        <f t="shared" si="5"/>
        <v>2020.615</v>
      </c>
      <c r="Y15" s="32">
        <f t="shared" si="22"/>
        <v>67.37</v>
      </c>
      <c r="Z15" s="32">
        <v>291.67</v>
      </c>
      <c r="AA15" s="32">
        <f t="shared" si="23"/>
        <v>22166.62</v>
      </c>
      <c r="AB15" s="32">
        <f t="shared" si="24"/>
        <v>67.37</v>
      </c>
      <c r="AC15" s="32">
        <v>291.67</v>
      </c>
      <c r="AD15" s="32">
        <f t="shared" si="25"/>
        <v>22166.62</v>
      </c>
      <c r="AE15" s="32">
        <f t="shared" ref="AE15:AF15" si="56">Z15+AC15</f>
        <v>583.34</v>
      </c>
      <c r="AF15" s="32">
        <f t="shared" si="56"/>
        <v>44333.24</v>
      </c>
      <c r="AG15" s="32">
        <f>IF(COUNTIFS(SL_Income_Log!$B:$B,TEXT(B15,"0000")&amp;"-"&amp;TEXT(A15,"00"),SL_Income_Log!$C:$C,"youtube")&gt;0,SUMIFS(SL_Income_Log!$D:$D,SL_Income_Log!$B:$B,TEXT(B15,"0000")&amp;"-"&amp;TEXT(A15,"00"),SL_Income_Log!$C:$C,"youtube"),MIN(Assumptions!$B$49+FLOOR((ROW()-2)/6,1)*Assumptions!$B$50,Assumptions!$B$51))
</f>
        <v>3000</v>
      </c>
      <c r="AH15" s="32">
        <f>AG15*Assumptions!$B$104</f>
        <v>1329</v>
      </c>
      <c r="AI15" s="32">
        <f t="shared" si="7"/>
        <v>1671</v>
      </c>
      <c r="AJ15" s="32">
        <f>SUMIFS(SL_Income_Log!$D:$D,SL_Income_Log!$B:$B,TEXT(B15,"0000")&amp;"-"&amp;TEXT(A15,"00"),SL_Income_Log!$C:$C,"other")</f>
        <v>0</v>
      </c>
      <c r="AK15" s="32">
        <f t="shared" si="27"/>
        <v>10000</v>
      </c>
      <c r="AL15" s="32">
        <f>L15+M15+T15+U15+AI15+AJ15-Y15-Z15-AB15-AC15+IF((Debt_Register!$C$2+Debt_Register!$C$6+Debt_Register!$C$7+Debt_Register!$C$8+Debt_Register!$C$9)&gt;5,X15,0)</f>
        <v>9654.97</v>
      </c>
      <c r="AM15" s="32">
        <f t="shared" si="8"/>
        <v>19654.97</v>
      </c>
      <c r="AN15" s="32">
        <f>MAX(Assumptions!$B$94,MIN(Assumptions!$B$93,AM15-AP15-BE15-BO15-BQ15))</f>
        <v>10000</v>
      </c>
      <c r="AO15" s="32">
        <f t="shared" si="28"/>
        <v>384392.3444</v>
      </c>
      <c r="AP15" s="32">
        <f>IF(AO15&gt;0,Assumptions!$B$33,0)</f>
        <v>2281</v>
      </c>
      <c r="AQ15" s="32">
        <f>AO15*Assumptions!$B$32/12</f>
        <v>1246.07185</v>
      </c>
      <c r="AR15" s="32">
        <f t="shared" si="9"/>
        <v>1034.92815</v>
      </c>
      <c r="AS15" s="32">
        <f t="shared" si="29"/>
        <v>0</v>
      </c>
      <c r="AT15" s="32">
        <f t="shared" si="10"/>
        <v>383357.4162</v>
      </c>
      <c r="AU15" s="32">
        <f t="shared" si="30"/>
        <v>0</v>
      </c>
      <c r="AV15" s="32">
        <f t="shared" si="31"/>
        <v>0</v>
      </c>
      <c r="AW15" s="32">
        <f t="shared" si="32"/>
        <v>0</v>
      </c>
      <c r="AX15" s="32">
        <f t="shared" si="33"/>
        <v>0</v>
      </c>
      <c r="AY15" s="32">
        <f t="shared" si="34"/>
        <v>0</v>
      </c>
      <c r="AZ15" s="32">
        <f t="shared" si="35"/>
        <v>0</v>
      </c>
      <c r="BA15" s="32">
        <f t="shared" si="36"/>
        <v>0</v>
      </c>
      <c r="BB15" s="32">
        <f t="shared" si="37"/>
        <v>0</v>
      </c>
      <c r="BC15" s="32">
        <f t="shared" si="38"/>
        <v>0</v>
      </c>
      <c r="BD15" s="32">
        <f t="shared" si="39"/>
        <v>0</v>
      </c>
      <c r="BE15" s="32">
        <f t="shared" si="11"/>
        <v>0</v>
      </c>
      <c r="BF15" s="32">
        <v>0.0</v>
      </c>
      <c r="BG15" s="32">
        <f t="shared" si="40"/>
        <v>5500</v>
      </c>
      <c r="BH15" s="32">
        <v>0.0</v>
      </c>
      <c r="BI15" s="32">
        <f t="shared" si="41"/>
        <v>5000</v>
      </c>
      <c r="BJ15" s="32">
        <f>IF(OR(B15&lt;Assumptions!$B$111,AND(B15=Assumptions!$B$111,A15&lt;=Assumptions!$B$112)),Assumptions!$B$110,0)</f>
        <v>650</v>
      </c>
      <c r="BK15" s="32">
        <f>IF(B15&lt;2027,Assumptions!$B$116+IF(OR(A15=4,A15=10),Assumptions!$B$117,0),IF(AND(B15=2027,A15&lt;=4),IF(A15=4,MIN(950,Assumptions!$B$116+Assumptions!$B$117),Assumptions!$B$116),0))</f>
        <v>290</v>
      </c>
      <c r="BL15" s="32">
        <f>IF(OR(B15&lt;2030,AND(B15=2030,A15&lt;8)),Assumptions!$B$118,IF(AND(B15=2030,A15=8),MOD(11000,200),0))</f>
        <v>200</v>
      </c>
      <c r="BM15" s="32">
        <f>IF(OR(B15&lt;Assumptions!$B$120,AND(B15=Assumptions!$B$120,A15&lt;=Assumptions!$B$121)),Assumptions!$B$119,0)</f>
        <v>132</v>
      </c>
      <c r="BN15" s="32">
        <f>IF(AND(B15&lt;=Assumptions!$B$123,A15&lt;=Assumptions!$B$124),Assumptions!$B$122,0)</f>
        <v>0</v>
      </c>
      <c r="BO15" s="32">
        <f t="shared" si="12"/>
        <v>1272</v>
      </c>
      <c r="BP15" s="32">
        <f>SUMIFS(SL_Budget!$B:$B,SL_Budget!$C:$C,"'"&amp;TEXT(DATE(B15,A15,1),"YYYY-MM"))</f>
        <v>4237</v>
      </c>
      <c r="BQ15" s="32">
        <f>MAX(BP15, IFERROR(SUMIFS(ShadowLedger!D:D, 
  ShadowLedger!C:C, "&gt;="&amp;DATE(B15,A15,1), 
  ShadowLedger!C:C, "&lt;"&amp;EOMONTH(DATE(B15,A15,1),0)+1), 0))
</f>
        <v>4237</v>
      </c>
      <c r="BR15" s="32">
        <f t="shared" si="42"/>
        <v>25327.54164</v>
      </c>
      <c r="BS15" s="32">
        <f t="shared" si="43"/>
        <v>2020.615</v>
      </c>
      <c r="BT15" s="32">
        <f>IF(AS15&gt;0,-MAX(0,21550-MAX(0,MAX(0,(AM15-AP15-BE15-BO15-BQ15)-Assumptions!$B$93))-MIN(MAX(0,21550-MAX(0,MAX(0,(AM15-AP15-BE15-BO15-BQ15)-Assumptions!$B$93))),MAX(0,BY14-Assumptions!$B$91))),IF(BY14&gt;=Assumptions!$B$92,MAX(0,(AM15-AP15-BE15-BO15-BQ15)-Assumptions!$B$93),MAX(0,(AM15-AP15-BE15-BO15-BQ15)-Assumptions!$B$93)*Assumptions!$B$99))</f>
        <v>1491.976</v>
      </c>
      <c r="BU15" s="32">
        <f>(BR15+BS15+MAX(0,BT15))*(Assumptions!$B$43-1)</f>
        <v>196.6320243</v>
      </c>
      <c r="BV15" s="32">
        <f t="shared" si="13"/>
        <v>29036.76467</v>
      </c>
      <c r="BW15" s="32">
        <f t="shared" si="44"/>
        <v>1549.7064</v>
      </c>
      <c r="BX15" s="32">
        <f>IF(AS15&gt;0,-MIN(MAX(0,21550-MAX(0,MAX(0,(AM15-AP15-BE15-BO15-BQ15)-Assumptions!$B$93))),MAX(0,BY14-Assumptions!$B$91)),IF(BY14&lt;Assumptions!$B$92,MAX(0,(AM15-AP15-BE15-BO15-BQ15)-Assumptions!$B$93)*Assumptions!$B$98,0))</f>
        <v>372.994</v>
      </c>
      <c r="BY15" s="32">
        <f t="shared" si="14"/>
        <v>1922.7004</v>
      </c>
      <c r="BZ15" s="32">
        <f t="shared" si="45"/>
        <v>1329</v>
      </c>
      <c r="CA15" s="32">
        <f t="shared" si="15"/>
        <v>1329</v>
      </c>
      <c r="CB15" s="32">
        <f t="shared" si="16"/>
        <v>2658</v>
      </c>
      <c r="CC15" s="55">
        <f>CC14+(G15+J15)/(Salary_Schedule!E15*12/208)</f>
        <v>1714.63179</v>
      </c>
      <c r="CD15" s="55">
        <f>CD14+(O15+R15)/(Salary_Schedule!G15*12/208)</f>
        <v>35.88457987</v>
      </c>
      <c r="CE15" s="32">
        <f t="shared" si="17"/>
        <v>29036.76467</v>
      </c>
      <c r="CF15" s="32">
        <f>Assumptions!$B$55*(1+Assumptions!$B$56)^((B15-2025)+(A15-1)/12)</f>
        <v>536382.0861</v>
      </c>
      <c r="CG15" s="32">
        <f t="shared" si="18"/>
        <v>-383357.4162</v>
      </c>
      <c r="CH15" s="32">
        <f t="shared" si="19"/>
        <v>-54833.24</v>
      </c>
      <c r="CI15" s="32">
        <f>CC15*(Salary_Schedule!E15/173.33)*(1-Assumptions!$B$28)+CD15*(Salary_Schedule!G15/173.33)*(1-Assumptions!$B$28)</f>
        <v>50597.25296</v>
      </c>
      <c r="CJ15" s="32">
        <f t="shared" si="20"/>
        <v>177825.4475</v>
      </c>
    </row>
    <row r="16" ht="15.0" customHeight="1">
      <c r="A16" s="1">
        <v>3.0</v>
      </c>
      <c r="B16" s="1">
        <v>2027.0</v>
      </c>
      <c r="C16" s="1" t="s">
        <v>685</v>
      </c>
      <c r="D16" s="1" t="str">
        <f t="shared" si="21"/>
        <v>02/2027</v>
      </c>
      <c r="E16" s="1" t="str">
        <f t="shared" si="2"/>
        <v>LEAN</v>
      </c>
      <c r="F16" s="32">
        <f>Salary_Schedule!E16</f>
        <v>7734.74</v>
      </c>
      <c r="G16" s="32">
        <f>Assumptions!$B$8</f>
        <v>200</v>
      </c>
      <c r="H16" s="32">
        <f>F16*Assumptions!$B$58</f>
        <v>773.474</v>
      </c>
      <c r="I16" s="32">
        <f>Salary_Schedule!F16</f>
        <v>0</v>
      </c>
      <c r="J16" s="32">
        <f>I16*Assumptions!$B$9</f>
        <v>0</v>
      </c>
      <c r="K16" s="54">
        <f t="shared" si="3"/>
        <v>6761.266</v>
      </c>
      <c r="L16" s="32">
        <f>IF(COUNTIFS(SL_Income_Log!$B:$B,TEXT(B16,"0000")&amp;"-"&amp;TEXT(A16,"00"),SL_Income_Log!$C:$C,"salary",SL_Income_Log!$E:$E,"H")&gt;0,SUMIFS(SL_Income_Log!$D:$D,SL_Income_Log!$B:$B,TEXT(B16,"0000")&amp;"-"&amp;TEXT(A16,"00"),SL_Income_Log!$C:$C,"salary",SL_Income_Log!$E:$E,"H"),K16*(1-Assumptions!$B$102)-Z16-Y16)</f>
        <v>3698.5896</v>
      </c>
      <c r="M16" s="32">
        <f>RSU_Schedule!H15</f>
        <v>0</v>
      </c>
      <c r="N16" s="32">
        <f>Salary_Schedule!G16</f>
        <v>6412.51</v>
      </c>
      <c r="O16" s="32">
        <f>Assumptions!$B$19</f>
        <v>200</v>
      </c>
      <c r="P16" s="32">
        <f>N16*Assumptions!$B$59</f>
        <v>641.251</v>
      </c>
      <c r="Q16" s="32">
        <f>Salary_Schedule!H16</f>
        <v>0</v>
      </c>
      <c r="R16" s="32">
        <f>Q16*Assumptions!$B$20</f>
        <v>0</v>
      </c>
      <c r="S16" s="54">
        <f t="shared" si="4"/>
        <v>5571.259</v>
      </c>
      <c r="T16" s="32">
        <f>IF(COUNTIFS(SL_Income_Log!$B:$B,TEXT(B16,"0000")&amp;"-"&amp;TEXT(A16,"00"),SL_Income_Log!$C:$C,"salary",SL_Income_Log!$E:$E,"W")&gt;0,SUMIFS(SL_Income_Log!$D:$D,SL_Income_Log!$B:$B,TEXT(B16,"0000")&amp;"-"&amp;TEXT(A16,"00"),SL_Income_Log!$C:$C,"salary",SL_Income_Log!$E:$E,"W"),S16*(1-Assumptions!$B$102)-AC16-AB16)
</f>
        <v>2984.5854</v>
      </c>
      <c r="U16" s="32">
        <f>RSU_Schedule!M15</f>
        <v>0</v>
      </c>
      <c r="V16" s="32">
        <f>H16*(1+Assumptions!$B$60)+Assumptions!$B$61</f>
        <v>1102.8636</v>
      </c>
      <c r="W16" s="32">
        <f>P16*(1+Assumptions!$B$60)+Assumptions!$B$61</f>
        <v>917.7514</v>
      </c>
      <c r="X16" s="32">
        <f t="shared" si="5"/>
        <v>2020.615</v>
      </c>
      <c r="Y16" s="32">
        <f t="shared" si="22"/>
        <v>66.5</v>
      </c>
      <c r="Z16" s="32">
        <v>291.67</v>
      </c>
      <c r="AA16" s="32">
        <f t="shared" si="23"/>
        <v>21874.95</v>
      </c>
      <c r="AB16" s="32">
        <f t="shared" si="24"/>
        <v>66.5</v>
      </c>
      <c r="AC16" s="32">
        <v>291.67</v>
      </c>
      <c r="AD16" s="32">
        <f t="shared" si="25"/>
        <v>21874.95</v>
      </c>
      <c r="AE16" s="32">
        <f t="shared" ref="AE16:AF16" si="57">Z16+AC16</f>
        <v>583.34</v>
      </c>
      <c r="AF16" s="32">
        <f t="shared" si="57"/>
        <v>43749.9</v>
      </c>
      <c r="AG16" s="32">
        <f>IF(COUNTIFS(SL_Income_Log!$B:$B,TEXT(B16,"0000")&amp;"-"&amp;TEXT(A16,"00"),SL_Income_Log!$C:$C,"youtube")&gt;0,SUMIFS(SL_Income_Log!$D:$D,SL_Income_Log!$B:$B,TEXT(B16,"0000")&amp;"-"&amp;TEXT(A16,"00"),SL_Income_Log!$C:$C,"youtube"),MIN(Assumptions!$B$49+FLOOR((ROW()-2)/6,1)*Assumptions!$B$50,Assumptions!$B$51))
</f>
        <v>3000</v>
      </c>
      <c r="AH16" s="32">
        <f>AG16*Assumptions!$B$104</f>
        <v>1329</v>
      </c>
      <c r="AI16" s="32">
        <f t="shared" si="7"/>
        <v>1671</v>
      </c>
      <c r="AJ16" s="32">
        <f>SUMIFS(SL_Income_Log!$D:$D,SL_Income_Log!$B:$B,TEXT(B16,"0000")&amp;"-"&amp;TEXT(A16,"00"),SL_Income_Log!$C:$C,"other")</f>
        <v>0</v>
      </c>
      <c r="AK16" s="32">
        <f t="shared" si="27"/>
        <v>10000</v>
      </c>
      <c r="AL16" s="32">
        <f>L16+M16+T16+U16+AI16+AJ16-Y16-Z16-AB16-AC16+IF((Debt_Register!$C$2+Debt_Register!$C$6+Debt_Register!$C$7+Debt_Register!$C$8+Debt_Register!$C$9)&gt;5,X16,0)</f>
        <v>9658.45</v>
      </c>
      <c r="AM16" s="32">
        <f t="shared" si="8"/>
        <v>19658.45</v>
      </c>
      <c r="AN16" s="32">
        <f>MAX(Assumptions!$B$94,MIN(Assumptions!$B$93,AM16-AP16-BE16-BO16-BQ16))</f>
        <v>10000</v>
      </c>
      <c r="AO16" s="32">
        <f t="shared" si="28"/>
        <v>383357.4162</v>
      </c>
      <c r="AP16" s="32">
        <f>IF(AO16&gt;0,Assumptions!$B$33,0)</f>
        <v>2281</v>
      </c>
      <c r="AQ16" s="32">
        <f>AO16*Assumptions!$B$32/12</f>
        <v>1242.716958</v>
      </c>
      <c r="AR16" s="32">
        <f t="shared" si="9"/>
        <v>1038.283042</v>
      </c>
      <c r="AS16" s="32">
        <f t="shared" si="29"/>
        <v>0</v>
      </c>
      <c r="AT16" s="32">
        <f t="shared" si="10"/>
        <v>382319.1332</v>
      </c>
      <c r="AU16" s="32">
        <f t="shared" si="30"/>
        <v>0</v>
      </c>
      <c r="AV16" s="32">
        <f t="shared" si="31"/>
        <v>0</v>
      </c>
      <c r="AW16" s="32">
        <f t="shared" si="32"/>
        <v>0</v>
      </c>
      <c r="AX16" s="32">
        <f t="shared" si="33"/>
        <v>0</v>
      </c>
      <c r="AY16" s="32">
        <f t="shared" si="34"/>
        <v>0</v>
      </c>
      <c r="AZ16" s="32">
        <f t="shared" si="35"/>
        <v>0</v>
      </c>
      <c r="BA16" s="32">
        <f t="shared" si="36"/>
        <v>0</v>
      </c>
      <c r="BB16" s="32">
        <f t="shared" si="37"/>
        <v>0</v>
      </c>
      <c r="BC16" s="32">
        <f t="shared" si="38"/>
        <v>0</v>
      </c>
      <c r="BD16" s="32">
        <f t="shared" si="39"/>
        <v>0</v>
      </c>
      <c r="BE16" s="32">
        <f t="shared" si="11"/>
        <v>0</v>
      </c>
      <c r="BF16" s="32">
        <v>0.0</v>
      </c>
      <c r="BG16" s="32">
        <f t="shared" si="40"/>
        <v>5500</v>
      </c>
      <c r="BH16" s="32">
        <v>0.0</v>
      </c>
      <c r="BI16" s="32">
        <f t="shared" si="41"/>
        <v>5000</v>
      </c>
      <c r="BJ16" s="32">
        <f>IF(OR(B16&lt;Assumptions!$B$111,AND(B16=Assumptions!$B$111,A16&lt;=Assumptions!$B$112)),Assumptions!$B$110,0)</f>
        <v>650</v>
      </c>
      <c r="BK16" s="32">
        <f>IF(B16&lt;2027,Assumptions!$B$116+IF(OR(A16=4,A16=10),Assumptions!$B$117,0),IF(AND(B16=2027,A16&lt;=4),IF(A16=4,MIN(950,Assumptions!$B$116+Assumptions!$B$117),Assumptions!$B$116),0))</f>
        <v>290</v>
      </c>
      <c r="BL16" s="32">
        <f>IF(OR(B16&lt;2030,AND(B16=2030,A16&lt;8)),Assumptions!$B$118,IF(AND(B16=2030,A16=8),MOD(11000,200),0))</f>
        <v>200</v>
      </c>
      <c r="BM16" s="32">
        <f>IF(OR(B16&lt;Assumptions!$B$120,AND(B16=Assumptions!$B$120,A16&lt;=Assumptions!$B$121)),Assumptions!$B$119,0)</f>
        <v>132</v>
      </c>
      <c r="BN16" s="32">
        <f>IF(AND(B16&lt;=Assumptions!$B$123,A16&lt;=Assumptions!$B$124),Assumptions!$B$122,0)</f>
        <v>0</v>
      </c>
      <c r="BO16" s="32">
        <f t="shared" si="12"/>
        <v>1272</v>
      </c>
      <c r="BP16" s="32">
        <f>SUMIFS(SL_Budget!$B:$B,SL_Budget!$C:$C,"'"&amp;TEXT(DATE(B16,A16,1),"YYYY-MM"))</f>
        <v>4237</v>
      </c>
      <c r="BQ16" s="32">
        <f>MAX(BP16, IFERROR(SUMIFS(ShadowLedger!D:D, 
  ShadowLedger!C:C, "&gt;="&amp;DATE(B16,A16,1), 
  ShadowLedger!C:C, "&lt;"&amp;EOMONTH(DATE(B16,A16,1),0)+1), 0))
</f>
        <v>4237</v>
      </c>
      <c r="BR16" s="32">
        <f t="shared" si="42"/>
        <v>29036.76467</v>
      </c>
      <c r="BS16" s="32">
        <f t="shared" si="43"/>
        <v>2020.615</v>
      </c>
      <c r="BT16" s="32">
        <f>IF(AS16&gt;0,-MAX(0,21550-MAX(0,MAX(0,(AM16-AP16-BE16-BO16-BQ16)-Assumptions!$B$93))-MIN(MAX(0,21550-MAX(0,MAX(0,(AM16-AP16-BE16-BO16-BQ16)-Assumptions!$B$93))),MAX(0,BY15-Assumptions!$B$91))),IF(BY15&gt;=Assumptions!$B$92,MAX(0,(AM16-AP16-BE16-BO16-BQ16)-Assumptions!$B$93),MAX(0,(AM16-AP16-BE16-BO16-BQ16)-Assumptions!$B$93)*Assumptions!$B$99))</f>
        <v>1494.76</v>
      </c>
      <c r="BU16" s="32">
        <f>(BR16+BS16+MAX(0,BT16))*(Assumptions!$B$43-1)</f>
        <v>221.9404882</v>
      </c>
      <c r="BV16" s="32">
        <f t="shared" si="13"/>
        <v>32774.08015</v>
      </c>
      <c r="BW16" s="32">
        <f t="shared" si="44"/>
        <v>1922.7004</v>
      </c>
      <c r="BX16" s="32">
        <f>IF(AS16&gt;0,-MIN(MAX(0,21550-MAX(0,MAX(0,(AM16-AP16-BE16-BO16-BQ16)-Assumptions!$B$93))),MAX(0,BY15-Assumptions!$B$91)),IF(BY15&lt;Assumptions!$B$92,MAX(0,(AM16-AP16-BE16-BO16-BQ16)-Assumptions!$B$93)*Assumptions!$B$98,0))</f>
        <v>373.69</v>
      </c>
      <c r="BY16" s="32">
        <f t="shared" si="14"/>
        <v>2296.3904</v>
      </c>
      <c r="BZ16" s="32">
        <f t="shared" si="45"/>
        <v>2658</v>
      </c>
      <c r="CA16" s="32">
        <f t="shared" si="15"/>
        <v>1329</v>
      </c>
      <c r="CB16" s="32">
        <f t="shared" si="16"/>
        <v>3987</v>
      </c>
      <c r="CC16" s="55">
        <f>CC15+(G16+J16)/(Salary_Schedule!E16*12/208)</f>
        <v>1715.079984</v>
      </c>
      <c r="CD16" s="55">
        <f>CD15+(O16+R16)/(Salary_Schedule!G16*12/208)</f>
        <v>36.42518981</v>
      </c>
      <c r="CE16" s="32">
        <f t="shared" si="17"/>
        <v>32774.08015</v>
      </c>
      <c r="CF16" s="32">
        <f>Assumptions!$B$55*(1+Assumptions!$B$56)^((B16-2025)+(A16-1)/12)</f>
        <v>537047.9978</v>
      </c>
      <c r="CG16" s="32">
        <f t="shared" si="18"/>
        <v>-382319.1332</v>
      </c>
      <c r="CH16" s="32">
        <f t="shared" si="19"/>
        <v>-54249.9</v>
      </c>
      <c r="CI16" s="32">
        <f>CC16*(Salary_Schedule!E16/173.33)*(1-Assumptions!$B$28)+CD16*(Salary_Schedule!G16/173.33)*(1-Assumptions!$B$28)</f>
        <v>50623.25346</v>
      </c>
      <c r="CJ16" s="32">
        <f t="shared" si="20"/>
        <v>183876.2983</v>
      </c>
    </row>
    <row r="17" ht="15.0" customHeight="1">
      <c r="A17" s="1">
        <v>4.0</v>
      </c>
      <c r="B17" s="1">
        <v>2027.0</v>
      </c>
      <c r="C17" s="1" t="s">
        <v>686</v>
      </c>
      <c r="D17" s="1" t="str">
        <f t="shared" si="21"/>
        <v>03/2027</v>
      </c>
      <c r="E17" s="1" t="str">
        <f t="shared" si="2"/>
        <v>FAT_BONUS</v>
      </c>
      <c r="F17" s="32">
        <f>Salary_Schedule!E17</f>
        <v>7734.74</v>
      </c>
      <c r="G17" s="32">
        <f>Assumptions!$B$8</f>
        <v>200</v>
      </c>
      <c r="H17" s="32">
        <f>F17*Assumptions!$B$58</f>
        <v>773.474</v>
      </c>
      <c r="I17" s="32">
        <f>Salary_Schedule!F17</f>
        <v>10312.05</v>
      </c>
      <c r="J17" s="32">
        <f>I17*Assumptions!$B$9</f>
        <v>3609.2175</v>
      </c>
      <c r="K17" s="54">
        <f t="shared" si="3"/>
        <v>13464.0985</v>
      </c>
      <c r="L17" s="32">
        <f>IF(COUNTIFS(SL_Income_Log!$B:$B,TEXT(B17,"0000")&amp;"-"&amp;TEXT(A17,"00"),SL_Income_Log!$C:$C,"salary",SL_Income_Log!$E:$E,"H")&gt;0,SUMIFS(SL_Income_Log!$D:$D,SL_Income_Log!$B:$B,TEXT(B17,"0000")&amp;"-"&amp;TEXT(A17,"00"),SL_Income_Log!$C:$C,"salary",SL_Income_Log!$E:$E,"H"),K17*(1-Assumptions!$B$102)-Z17-Y17)</f>
        <v>7721.1691</v>
      </c>
      <c r="M17" s="32">
        <f>RSU_Schedule!H16</f>
        <v>3959.02</v>
      </c>
      <c r="N17" s="32">
        <f>Salary_Schedule!G17</f>
        <v>6412.51</v>
      </c>
      <c r="O17" s="32">
        <f>Assumptions!$B$19</f>
        <v>200</v>
      </c>
      <c r="P17" s="32">
        <f>N17*Assumptions!$B$59</f>
        <v>641.251</v>
      </c>
      <c r="Q17" s="32">
        <f>Salary_Schedule!H17</f>
        <v>8550.14</v>
      </c>
      <c r="R17" s="32">
        <f>Q17*Assumptions!$B$20</f>
        <v>2992.549</v>
      </c>
      <c r="S17" s="54">
        <f t="shared" si="4"/>
        <v>11128.85</v>
      </c>
      <c r="T17" s="32">
        <f>IF(COUNTIFS(SL_Income_Log!$B:$B,TEXT(B17,"0000")&amp;"-"&amp;TEXT(A17,"00"),SL_Income_Log!$C:$C,"salary",SL_Income_Log!$E:$E,"W")&gt;0,SUMIFS(SL_Income_Log!$D:$D,SL_Income_Log!$B:$B,TEXT(B17,"0000")&amp;"-"&amp;TEXT(A17,"00"),SL_Income_Log!$C:$C,"salary",SL_Income_Log!$E:$E,"W"),S17*(1-Assumptions!$B$102)-AC17-AB17)
</f>
        <v>6320.02</v>
      </c>
      <c r="U17" s="32">
        <f>RSU_Schedule!M16</f>
        <v>1979.52</v>
      </c>
      <c r="V17" s="32">
        <f>H17*(1+Assumptions!$B$60)+Assumptions!$B$61</f>
        <v>1102.8636</v>
      </c>
      <c r="W17" s="32">
        <f>P17*(1+Assumptions!$B$60)+Assumptions!$B$61</f>
        <v>917.7514</v>
      </c>
      <c r="X17" s="32">
        <f t="shared" si="5"/>
        <v>2020.615</v>
      </c>
      <c r="Y17" s="32">
        <f t="shared" si="22"/>
        <v>65.62</v>
      </c>
      <c r="Z17" s="32">
        <v>291.67</v>
      </c>
      <c r="AA17" s="32">
        <f t="shared" si="23"/>
        <v>21583.28</v>
      </c>
      <c r="AB17" s="32">
        <f t="shared" si="24"/>
        <v>65.62</v>
      </c>
      <c r="AC17" s="32">
        <v>291.67</v>
      </c>
      <c r="AD17" s="32">
        <f t="shared" si="25"/>
        <v>21583.28</v>
      </c>
      <c r="AE17" s="32">
        <f t="shared" ref="AE17:AF17" si="58">Z17+AC17</f>
        <v>583.34</v>
      </c>
      <c r="AF17" s="32">
        <f t="shared" si="58"/>
        <v>43166.56</v>
      </c>
      <c r="AG17" s="32">
        <f>IF(COUNTIFS(SL_Income_Log!$B:$B,TEXT(B17,"0000")&amp;"-"&amp;TEXT(A17,"00"),SL_Income_Log!$C:$C,"youtube")&gt;0,SUMIFS(SL_Income_Log!$D:$D,SL_Income_Log!$B:$B,TEXT(B17,"0000")&amp;"-"&amp;TEXT(A17,"00"),SL_Income_Log!$C:$C,"youtube"),MIN(Assumptions!$B$49+FLOOR((ROW()-2)/6,1)*Assumptions!$B$50,Assumptions!$B$51))
</f>
        <v>3000</v>
      </c>
      <c r="AH17" s="32">
        <f>AG17*Assumptions!$B$104</f>
        <v>1329</v>
      </c>
      <c r="AI17" s="32">
        <f t="shared" si="7"/>
        <v>1671</v>
      </c>
      <c r="AJ17" s="32">
        <f>SUMIFS(SL_Income_Log!$D:$D,SL_Income_Log!$B:$B,TEXT(B17,"0000")&amp;"-"&amp;TEXT(A17,"00"),SL_Income_Log!$C:$C,"other")</f>
        <v>0</v>
      </c>
      <c r="AK17" s="32">
        <f t="shared" si="27"/>
        <v>10000</v>
      </c>
      <c r="AL17" s="32">
        <f>L17+M17+T17+U17+AI17+AJ17-Y17-Z17-AB17-AC17+IF((Debt_Register!$C$2+Debt_Register!$C$6+Debt_Register!$C$7+Debt_Register!$C$8+Debt_Register!$C$9)&gt;5,X17,0)</f>
        <v>22956.7641</v>
      </c>
      <c r="AM17" s="32">
        <f t="shared" si="8"/>
        <v>32956.7641</v>
      </c>
      <c r="AN17" s="32">
        <f>MAX(Assumptions!$B$94,MIN(Assumptions!$B$93,AM17-AP17-BE17-BO17-BQ17))</f>
        <v>10000</v>
      </c>
      <c r="AO17" s="32">
        <f t="shared" si="28"/>
        <v>382319.1332</v>
      </c>
      <c r="AP17" s="32">
        <f>IF(AO17&gt;0,Assumptions!$B$33,0)</f>
        <v>2281</v>
      </c>
      <c r="AQ17" s="32">
        <f>AO17*Assumptions!$B$32/12</f>
        <v>1239.35119</v>
      </c>
      <c r="AR17" s="32">
        <f t="shared" si="9"/>
        <v>1041.64881</v>
      </c>
      <c r="AS17" s="32">
        <f t="shared" si="29"/>
        <v>0</v>
      </c>
      <c r="AT17" s="32">
        <f t="shared" si="10"/>
        <v>381277.4844</v>
      </c>
      <c r="AU17" s="32">
        <f t="shared" si="30"/>
        <v>0</v>
      </c>
      <c r="AV17" s="32">
        <f t="shared" si="31"/>
        <v>0</v>
      </c>
      <c r="AW17" s="32">
        <f t="shared" si="32"/>
        <v>0</v>
      </c>
      <c r="AX17" s="32">
        <f t="shared" si="33"/>
        <v>0</v>
      </c>
      <c r="AY17" s="32">
        <f t="shared" si="34"/>
        <v>0</v>
      </c>
      <c r="AZ17" s="32">
        <f t="shared" si="35"/>
        <v>0</v>
      </c>
      <c r="BA17" s="32">
        <f t="shared" si="36"/>
        <v>0</v>
      </c>
      <c r="BB17" s="32">
        <f t="shared" si="37"/>
        <v>0</v>
      </c>
      <c r="BC17" s="32">
        <f t="shared" si="38"/>
        <v>0</v>
      </c>
      <c r="BD17" s="32">
        <f t="shared" si="39"/>
        <v>0</v>
      </c>
      <c r="BE17" s="32">
        <f t="shared" si="11"/>
        <v>0</v>
      </c>
      <c r="BF17" s="32">
        <v>0.0</v>
      </c>
      <c r="BG17" s="32">
        <f t="shared" si="40"/>
        <v>5500</v>
      </c>
      <c r="BH17" s="32">
        <v>0.0</v>
      </c>
      <c r="BI17" s="32">
        <f t="shared" si="41"/>
        <v>5000</v>
      </c>
      <c r="BJ17" s="32">
        <f>IF(OR(B17&lt;Assumptions!$B$111,AND(B17=Assumptions!$B$111,A17&lt;=Assumptions!$B$112)),Assumptions!$B$110,0)</f>
        <v>650</v>
      </c>
      <c r="BK17" s="32">
        <f>IF(B17&lt;2027,Assumptions!$B$116+IF(OR(A17=4,A17=10),Assumptions!$B$117,0),IF(AND(B17=2027,A17&lt;=4),IF(A17=4,MIN(950,Assumptions!$B$116+Assumptions!$B$117),Assumptions!$B$116),0))</f>
        <v>950</v>
      </c>
      <c r="BL17" s="32">
        <f>IF(OR(B17&lt;2030,AND(B17=2030,A17&lt;8)),Assumptions!$B$118,IF(AND(B17=2030,A17=8),MOD(11000,200),0))</f>
        <v>200</v>
      </c>
      <c r="BM17" s="32">
        <f>IF(OR(B17&lt;Assumptions!$B$120,AND(B17=Assumptions!$B$120,A17&lt;=Assumptions!$B$121)),Assumptions!$B$119,0)</f>
        <v>132</v>
      </c>
      <c r="BN17" s="32">
        <f>IF(AND(B17&lt;=Assumptions!$B$123,A17&lt;=Assumptions!$B$124),Assumptions!$B$122,0)</f>
        <v>0</v>
      </c>
      <c r="BO17" s="32">
        <f t="shared" si="12"/>
        <v>1932</v>
      </c>
      <c r="BP17" s="32">
        <f>SUMIFS(SL_Budget!$B:$B,SL_Budget!$C:$C,"'"&amp;TEXT(DATE(B17,A17,1),"YYYY-MM"))</f>
        <v>4237</v>
      </c>
      <c r="BQ17" s="32">
        <f>MAX(BP17, IFERROR(SUMIFS(ShadowLedger!D:D, 
  ShadowLedger!C:C, "&gt;="&amp;DATE(B17,A17,1), 
  ShadowLedger!C:C, "&lt;"&amp;EOMONTH(DATE(B17,A17,1),0)+1), 0))
</f>
        <v>4237</v>
      </c>
      <c r="BR17" s="32">
        <f t="shared" si="42"/>
        <v>32774.08015</v>
      </c>
      <c r="BS17" s="32">
        <f t="shared" si="43"/>
        <v>2020.615</v>
      </c>
      <c r="BT17" s="32">
        <f>IF(AS17&gt;0,-MAX(0,21550-MAX(0,MAX(0,(AM17-AP17-BE17-BO17-BQ17)-Assumptions!$B$93))-MIN(MAX(0,21550-MAX(0,MAX(0,(AM17-AP17-BE17-BO17-BQ17)-Assumptions!$B$93))),MAX(0,BY16-Assumptions!$B$91))),IF(BY16&gt;=Assumptions!$B$92,MAX(0,(AM17-AP17-BE17-BO17-BQ17)-Assumptions!$B$93),MAX(0,(AM17-AP17-BE17-BO17-BQ17)-Assumptions!$B$93)*Assumptions!$B$99))</f>
        <v>11605.41128</v>
      </c>
      <c r="BU17" s="32">
        <f>(BR17+BS17+MAX(0,BT17))*(Assumptions!$B$43-1)</f>
        <v>316.3559257</v>
      </c>
      <c r="BV17" s="32">
        <f t="shared" si="13"/>
        <v>46716.46236</v>
      </c>
      <c r="BW17" s="32">
        <f t="shared" si="44"/>
        <v>2296.3904</v>
      </c>
      <c r="BX17" s="32">
        <f>IF(AS17&gt;0,-MIN(MAX(0,21550-MAX(0,MAX(0,(AM17-AP17-BE17-BO17-BQ17)-Assumptions!$B$93))),MAX(0,BY16-Assumptions!$B$91)),IF(BY16&lt;Assumptions!$B$92,MAX(0,(AM17-AP17-BE17-BO17-BQ17)-Assumptions!$B$93)*Assumptions!$B$98,0))</f>
        <v>2901.35282</v>
      </c>
      <c r="BY17" s="32">
        <f t="shared" si="14"/>
        <v>5197.74322</v>
      </c>
      <c r="BZ17" s="32">
        <f t="shared" si="45"/>
        <v>3987</v>
      </c>
      <c r="CA17" s="32">
        <f t="shared" si="15"/>
        <v>1329</v>
      </c>
      <c r="CB17" s="32">
        <f t="shared" si="16"/>
        <v>5316</v>
      </c>
      <c r="CC17" s="55">
        <f>CC16+(G17+J17)/(Salary_Schedule!E17*12/208)</f>
        <v>1723.616333</v>
      </c>
      <c r="CD17" s="55">
        <f>CD16+(O17+R17)/(Salary_Schedule!G17*12/208)</f>
        <v>45.05480848</v>
      </c>
      <c r="CE17" s="32">
        <f t="shared" si="17"/>
        <v>46716.46236</v>
      </c>
      <c r="CF17" s="32">
        <f>Assumptions!$B$55*(1+Assumptions!$B$56)^((B17-2025)+(A17-1)/12)</f>
        <v>537714.7363</v>
      </c>
      <c r="CG17" s="32">
        <f t="shared" si="18"/>
        <v>-381277.4844</v>
      </c>
      <c r="CH17" s="32">
        <f t="shared" si="19"/>
        <v>-53666.56</v>
      </c>
      <c r="CI17" s="32">
        <f>CC17*(Salary_Schedule!E17/173.33)*(1-Assumptions!$B$28)+CD17*(Salary_Schedule!G17/173.33)*(1-Assumptions!$B$28)</f>
        <v>51078.37704</v>
      </c>
      <c r="CJ17" s="32">
        <f t="shared" si="20"/>
        <v>200565.5314</v>
      </c>
    </row>
    <row r="18" ht="15.0" customHeight="1">
      <c r="A18" s="1">
        <v>5.0</v>
      </c>
      <c r="B18" s="1">
        <v>2027.0</v>
      </c>
      <c r="C18" s="1" t="s">
        <v>687</v>
      </c>
      <c r="D18" s="1" t="str">
        <f t="shared" si="21"/>
        <v>04/2027</v>
      </c>
      <c r="E18" s="1" t="str">
        <f t="shared" si="2"/>
        <v>LEAN</v>
      </c>
      <c r="F18" s="32">
        <f>Salary_Schedule!E18</f>
        <v>7734.74</v>
      </c>
      <c r="G18" s="32">
        <f>Assumptions!$B$8</f>
        <v>200</v>
      </c>
      <c r="H18" s="32">
        <f>F18*Assumptions!$B$58</f>
        <v>773.474</v>
      </c>
      <c r="I18" s="32">
        <f>Salary_Schedule!F18</f>
        <v>0</v>
      </c>
      <c r="J18" s="32">
        <f>I18*Assumptions!$B$9</f>
        <v>0</v>
      </c>
      <c r="K18" s="54">
        <f t="shared" si="3"/>
        <v>6761.266</v>
      </c>
      <c r="L18" s="32">
        <f>IF(COUNTIFS(SL_Income_Log!$B:$B,TEXT(B18,"0000")&amp;"-"&amp;TEXT(A18,"00"),SL_Income_Log!$C:$C,"salary",SL_Income_Log!$E:$E,"H")&gt;0,SUMIFS(SL_Income_Log!$D:$D,SL_Income_Log!$B:$B,TEXT(B18,"0000")&amp;"-"&amp;TEXT(A18,"00"),SL_Income_Log!$C:$C,"salary",SL_Income_Log!$E:$E,"H"),K18*(1-Assumptions!$B$102)-Z18-Y18)</f>
        <v>3700.3396</v>
      </c>
      <c r="M18" s="32">
        <f>RSU_Schedule!H17</f>
        <v>0</v>
      </c>
      <c r="N18" s="32">
        <f>Salary_Schedule!G18</f>
        <v>6412.51</v>
      </c>
      <c r="O18" s="32">
        <f>Assumptions!$B$19</f>
        <v>200</v>
      </c>
      <c r="P18" s="32">
        <f>N18*Assumptions!$B$59</f>
        <v>641.251</v>
      </c>
      <c r="Q18" s="32">
        <f>Salary_Schedule!H18</f>
        <v>0</v>
      </c>
      <c r="R18" s="32">
        <f>Q18*Assumptions!$B$20</f>
        <v>0</v>
      </c>
      <c r="S18" s="54">
        <f t="shared" si="4"/>
        <v>5571.259</v>
      </c>
      <c r="T18" s="32">
        <f>IF(COUNTIFS(SL_Income_Log!$B:$B,TEXT(B18,"0000")&amp;"-"&amp;TEXT(A18,"00"),SL_Income_Log!$C:$C,"salary",SL_Income_Log!$E:$E,"W")&gt;0,SUMIFS(SL_Income_Log!$D:$D,SL_Income_Log!$B:$B,TEXT(B18,"0000")&amp;"-"&amp;TEXT(A18,"00"),SL_Income_Log!$C:$C,"salary",SL_Income_Log!$E:$E,"W"),S18*(1-Assumptions!$B$102)-AC18-AB18)
</f>
        <v>2986.3354</v>
      </c>
      <c r="U18" s="32">
        <f>RSU_Schedule!M17</f>
        <v>0</v>
      </c>
      <c r="V18" s="32">
        <f>H18*(1+Assumptions!$B$60)+Assumptions!$B$61</f>
        <v>1102.8636</v>
      </c>
      <c r="W18" s="32">
        <f>P18*(1+Assumptions!$B$60)+Assumptions!$B$61</f>
        <v>917.7514</v>
      </c>
      <c r="X18" s="32">
        <f t="shared" si="5"/>
        <v>2020.615</v>
      </c>
      <c r="Y18" s="32">
        <f t="shared" si="22"/>
        <v>64.75</v>
      </c>
      <c r="Z18" s="32">
        <v>291.67</v>
      </c>
      <c r="AA18" s="32">
        <f t="shared" si="23"/>
        <v>21291.61</v>
      </c>
      <c r="AB18" s="32">
        <f t="shared" si="24"/>
        <v>64.75</v>
      </c>
      <c r="AC18" s="32">
        <v>291.67</v>
      </c>
      <c r="AD18" s="32">
        <f t="shared" si="25"/>
        <v>21291.61</v>
      </c>
      <c r="AE18" s="32">
        <f t="shared" ref="AE18:AF18" si="59">Z18+AC18</f>
        <v>583.34</v>
      </c>
      <c r="AF18" s="32">
        <f t="shared" si="59"/>
        <v>42583.22</v>
      </c>
      <c r="AG18" s="32">
        <f>IF(COUNTIFS(SL_Income_Log!$B:$B,TEXT(B18,"0000")&amp;"-"&amp;TEXT(A18,"00"),SL_Income_Log!$C:$C,"youtube")&gt;0,SUMIFS(SL_Income_Log!$D:$D,SL_Income_Log!$B:$B,TEXT(B18,"0000")&amp;"-"&amp;TEXT(A18,"00"),SL_Income_Log!$C:$C,"youtube"),MIN(Assumptions!$B$49+FLOOR((ROW()-2)/6,1)*Assumptions!$B$50,Assumptions!$B$51))
</f>
        <v>3000</v>
      </c>
      <c r="AH18" s="32">
        <f>AG18*Assumptions!$B$104</f>
        <v>1329</v>
      </c>
      <c r="AI18" s="32">
        <f t="shared" si="7"/>
        <v>1671</v>
      </c>
      <c r="AJ18" s="32">
        <f>SUMIFS(SL_Income_Log!$D:$D,SL_Income_Log!$B:$B,TEXT(B18,"0000")&amp;"-"&amp;TEXT(A18,"00"),SL_Income_Log!$C:$C,"other")</f>
        <v>0</v>
      </c>
      <c r="AK18" s="32">
        <f t="shared" si="27"/>
        <v>10000</v>
      </c>
      <c r="AL18" s="32">
        <f>L18+M18+T18+U18+AI18+AJ18-Y18-Z18-AB18-AC18+IF((Debt_Register!$C$2+Debt_Register!$C$6+Debt_Register!$C$7+Debt_Register!$C$8+Debt_Register!$C$9)&gt;5,X18,0)</f>
        <v>9665.45</v>
      </c>
      <c r="AM18" s="32">
        <f t="shared" si="8"/>
        <v>19665.45</v>
      </c>
      <c r="AN18" s="32">
        <f>MAX(Assumptions!$B$94,MIN(Assumptions!$B$93,AM18-AP18-BE18-BO18-BQ18))</f>
        <v>10000</v>
      </c>
      <c r="AO18" s="32">
        <f t="shared" si="28"/>
        <v>381277.4844</v>
      </c>
      <c r="AP18" s="32">
        <f>IF(AO18&gt;0,Assumptions!$B$33,0)</f>
        <v>2281</v>
      </c>
      <c r="AQ18" s="32">
        <f>AO18*Assumptions!$B$32/12</f>
        <v>1235.974512</v>
      </c>
      <c r="AR18" s="32">
        <f t="shared" si="9"/>
        <v>1045.025488</v>
      </c>
      <c r="AS18" s="32">
        <f t="shared" si="29"/>
        <v>21550</v>
      </c>
      <c r="AT18" s="32">
        <f t="shared" si="10"/>
        <v>358682.4589</v>
      </c>
      <c r="AU18" s="32">
        <f t="shared" si="30"/>
        <v>0</v>
      </c>
      <c r="AV18" s="32">
        <f t="shared" si="31"/>
        <v>0</v>
      </c>
      <c r="AW18" s="32">
        <f t="shared" si="32"/>
        <v>0</v>
      </c>
      <c r="AX18" s="32">
        <f t="shared" si="33"/>
        <v>0</v>
      </c>
      <c r="AY18" s="32">
        <f t="shared" si="34"/>
        <v>0</v>
      </c>
      <c r="AZ18" s="32">
        <f t="shared" si="35"/>
        <v>0</v>
      </c>
      <c r="BA18" s="32">
        <f t="shared" si="36"/>
        <v>0</v>
      </c>
      <c r="BB18" s="32">
        <f t="shared" si="37"/>
        <v>0</v>
      </c>
      <c r="BC18" s="32">
        <f t="shared" si="38"/>
        <v>0</v>
      </c>
      <c r="BD18" s="32">
        <f t="shared" si="39"/>
        <v>0</v>
      </c>
      <c r="BE18" s="32">
        <f t="shared" si="11"/>
        <v>0</v>
      </c>
      <c r="BF18" s="32">
        <v>0.0</v>
      </c>
      <c r="BG18" s="32">
        <f t="shared" si="40"/>
        <v>5500</v>
      </c>
      <c r="BH18" s="32">
        <v>0.0</v>
      </c>
      <c r="BI18" s="32">
        <f t="shared" si="41"/>
        <v>5000</v>
      </c>
      <c r="BJ18" s="32">
        <f>IF(OR(B18&lt;Assumptions!$B$111,AND(B18=Assumptions!$B$111,A18&lt;=Assumptions!$B$112)),Assumptions!$B$110,0)</f>
        <v>650</v>
      </c>
      <c r="BK18" s="32">
        <f>IF(B18&lt;2027,Assumptions!$B$116+IF(OR(A18=4,A18=10),Assumptions!$B$117,0),IF(AND(B18=2027,A18&lt;=4),IF(A18=4,MIN(950,Assumptions!$B$116+Assumptions!$B$117),Assumptions!$B$116),0))</f>
        <v>0</v>
      </c>
      <c r="BL18" s="32">
        <f>IF(OR(B18&lt;2030,AND(B18=2030,A18&lt;8)),Assumptions!$B$118,IF(AND(B18=2030,A18=8),MOD(11000,200),0))</f>
        <v>200</v>
      </c>
      <c r="BM18" s="32">
        <f>IF(OR(B18&lt;Assumptions!$B$120,AND(B18=Assumptions!$B$120,A18&lt;=Assumptions!$B$121)),Assumptions!$B$119,0)</f>
        <v>132</v>
      </c>
      <c r="BN18" s="32">
        <f>IF(AND(B18&lt;=Assumptions!$B$123,A18&lt;=Assumptions!$B$124),Assumptions!$B$122,0)</f>
        <v>0</v>
      </c>
      <c r="BO18" s="32">
        <f t="shared" si="12"/>
        <v>982</v>
      </c>
      <c r="BP18" s="32">
        <f>SUMIFS(SL_Budget!$B:$B,SL_Budget!$C:$C,"'"&amp;TEXT(DATE(B18,A18,1),"YYYY-MM"))</f>
        <v>4237</v>
      </c>
      <c r="BQ18" s="32">
        <f>MAX(BP18, IFERROR(SUMIFS(ShadowLedger!D:D, 
  ShadowLedger!C:C, "&gt;="&amp;DATE(B18,A18,1), 
  ShadowLedger!C:C, "&lt;"&amp;EOMONTH(DATE(B18,A18,1),0)+1), 0))
</f>
        <v>4237</v>
      </c>
      <c r="BR18" s="32">
        <f t="shared" si="42"/>
        <v>46716.46236</v>
      </c>
      <c r="BS18" s="32">
        <f t="shared" si="43"/>
        <v>2020.615</v>
      </c>
      <c r="BT18" s="32">
        <f>IF(AS18&gt;0,-MAX(0,21550-MAX(0,MAX(0,(AM18-AP18-BE18-BO18-BQ18)-Assumptions!$B$93))-MIN(MAX(0,21550-MAX(0,MAX(0,(AM18-AP18-BE18-BO18-BQ18)-Assumptions!$B$93))),MAX(0,BY17-Assumptions!$B$91))),IF(BY17&gt;=Assumptions!$B$92,MAX(0,(AM18-AP18-BE18-BO18-BQ18)-Assumptions!$B$93),MAX(0,(AM18-AP18-BE18-BO18-BQ18)-Assumptions!$B$93)*Assumptions!$B$99))</f>
        <v>-19186.80678</v>
      </c>
      <c r="BU18" s="32">
        <f>(BR18+BS18+MAX(0,BT18))*(Assumptions!$B$43-1)</f>
        <v>332.2893934</v>
      </c>
      <c r="BV18" s="32">
        <f t="shared" si="13"/>
        <v>29882.55997</v>
      </c>
      <c r="BW18" s="32">
        <f t="shared" si="44"/>
        <v>5197.74322</v>
      </c>
      <c r="BX18" s="32">
        <f>IF(AS18&gt;0,-MIN(MAX(0,21550-MAX(0,MAX(0,(AM18-AP18-BE18-BO18-BQ18)-Assumptions!$B$93))),MAX(0,BY17-Assumptions!$B$91)),IF(BY17&lt;Assumptions!$B$92,MAX(0,(AM18-AP18-BE18-BO18-BQ18)-Assumptions!$B$93)*Assumptions!$B$98,0))</f>
        <v>-197.74322</v>
      </c>
      <c r="BY18" s="32">
        <f t="shared" si="14"/>
        <v>5000</v>
      </c>
      <c r="BZ18" s="32">
        <f t="shared" si="45"/>
        <v>5316</v>
      </c>
      <c r="CA18" s="32">
        <f t="shared" si="15"/>
        <v>1329</v>
      </c>
      <c r="CB18" s="32">
        <f t="shared" si="16"/>
        <v>6645</v>
      </c>
      <c r="CC18" s="55">
        <f>CC17+(G18+J18)/(Salary_Schedule!E18*12/208)</f>
        <v>1724.064527</v>
      </c>
      <c r="CD18" s="55">
        <f>CD17+(O18+R18)/(Salary_Schedule!G18*12/208)</f>
        <v>45.59541842</v>
      </c>
      <c r="CE18" s="32">
        <f t="shared" si="17"/>
        <v>29882.55997</v>
      </c>
      <c r="CF18" s="32">
        <f>Assumptions!$B$55*(1+Assumptions!$B$56)^((B18-2025)+(A18-1)/12)</f>
        <v>538382.3026</v>
      </c>
      <c r="CG18" s="32">
        <f t="shared" si="18"/>
        <v>-358682.4589</v>
      </c>
      <c r="CH18" s="32">
        <f t="shared" si="19"/>
        <v>-53083.22</v>
      </c>
      <c r="CI18" s="32">
        <f>CC18*(Salary_Schedule!E18/173.33)*(1-Assumptions!$B$28)+CD18*(Salary_Schedule!G18/173.33)*(1-Assumptions!$B$28)</f>
        <v>51104.37754</v>
      </c>
      <c r="CJ18" s="32">
        <f t="shared" si="20"/>
        <v>207603.5612</v>
      </c>
    </row>
    <row r="19" ht="15.0" customHeight="1">
      <c r="A19" s="1">
        <v>6.0</v>
      </c>
      <c r="B19" s="1">
        <v>2027.0</v>
      </c>
      <c r="C19" s="1" t="s">
        <v>688</v>
      </c>
      <c r="D19" s="1" t="str">
        <f t="shared" si="21"/>
        <v>05/2027</v>
      </c>
      <c r="E19" s="1" t="str">
        <f t="shared" si="2"/>
        <v>LEAN</v>
      </c>
      <c r="F19" s="32">
        <f>Salary_Schedule!E19</f>
        <v>7734.74</v>
      </c>
      <c r="G19" s="32">
        <f>Assumptions!$B$8</f>
        <v>200</v>
      </c>
      <c r="H19" s="32">
        <f>F19*Assumptions!$B$58</f>
        <v>773.474</v>
      </c>
      <c r="I19" s="32">
        <f>Salary_Schedule!F19</f>
        <v>0</v>
      </c>
      <c r="J19" s="32">
        <f>I19*Assumptions!$B$9</f>
        <v>0</v>
      </c>
      <c r="K19" s="54">
        <f t="shared" si="3"/>
        <v>6761.266</v>
      </c>
      <c r="L19" s="32">
        <f>IF(COUNTIFS(SL_Income_Log!$B:$B,TEXT(B19,"0000")&amp;"-"&amp;TEXT(A19,"00"),SL_Income_Log!$C:$C,"salary",SL_Income_Log!$E:$E,"H")&gt;0,SUMIFS(SL_Income_Log!$D:$D,SL_Income_Log!$B:$B,TEXT(B19,"0000")&amp;"-"&amp;TEXT(A19,"00"),SL_Income_Log!$C:$C,"salary",SL_Income_Log!$E:$E,"H"),K19*(1-Assumptions!$B$102)-Z19-Y19)</f>
        <v>3701.2196</v>
      </c>
      <c r="M19" s="32">
        <f>RSU_Schedule!H18</f>
        <v>0</v>
      </c>
      <c r="N19" s="32">
        <f>Salary_Schedule!G19</f>
        <v>6412.51</v>
      </c>
      <c r="O19" s="32">
        <f>Assumptions!$B$19</f>
        <v>200</v>
      </c>
      <c r="P19" s="32">
        <f>N19*Assumptions!$B$59</f>
        <v>641.251</v>
      </c>
      <c r="Q19" s="32">
        <f>Salary_Schedule!H19</f>
        <v>0</v>
      </c>
      <c r="R19" s="32">
        <f>Q19*Assumptions!$B$20</f>
        <v>0</v>
      </c>
      <c r="S19" s="54">
        <f t="shared" si="4"/>
        <v>5571.259</v>
      </c>
      <c r="T19" s="32">
        <f>IF(COUNTIFS(SL_Income_Log!$B:$B,TEXT(B19,"0000")&amp;"-"&amp;TEXT(A19,"00"),SL_Income_Log!$C:$C,"salary",SL_Income_Log!$E:$E,"W")&gt;0,SUMIFS(SL_Income_Log!$D:$D,SL_Income_Log!$B:$B,TEXT(B19,"0000")&amp;"-"&amp;TEXT(A19,"00"),SL_Income_Log!$C:$C,"salary",SL_Income_Log!$E:$E,"W"),S19*(1-Assumptions!$B$102)-AC19-AB19)
</f>
        <v>2987.2154</v>
      </c>
      <c r="U19" s="32">
        <f>RSU_Schedule!M18</f>
        <v>0</v>
      </c>
      <c r="V19" s="32">
        <f>H19*(1+Assumptions!$B$60)+Assumptions!$B$61</f>
        <v>1102.8636</v>
      </c>
      <c r="W19" s="32">
        <f>P19*(1+Assumptions!$B$60)+Assumptions!$B$61</f>
        <v>917.7514</v>
      </c>
      <c r="X19" s="32">
        <f t="shared" si="5"/>
        <v>2020.615</v>
      </c>
      <c r="Y19" s="32">
        <f t="shared" si="22"/>
        <v>63.87</v>
      </c>
      <c r="Z19" s="32">
        <v>291.67</v>
      </c>
      <c r="AA19" s="32">
        <f t="shared" si="23"/>
        <v>20999.94</v>
      </c>
      <c r="AB19" s="32">
        <f t="shared" si="24"/>
        <v>63.87</v>
      </c>
      <c r="AC19" s="32">
        <v>291.67</v>
      </c>
      <c r="AD19" s="32">
        <f t="shared" si="25"/>
        <v>20999.94</v>
      </c>
      <c r="AE19" s="32">
        <f t="shared" ref="AE19:AF19" si="60">Z19+AC19</f>
        <v>583.34</v>
      </c>
      <c r="AF19" s="32">
        <f t="shared" si="60"/>
        <v>41999.88</v>
      </c>
      <c r="AG19" s="32">
        <f>IF(COUNTIFS(SL_Income_Log!$B:$B,TEXT(B19,"0000")&amp;"-"&amp;TEXT(A19,"00"),SL_Income_Log!$C:$C,"youtube")&gt;0,SUMIFS(SL_Income_Log!$D:$D,SL_Income_Log!$B:$B,TEXT(B19,"0000")&amp;"-"&amp;TEXT(A19,"00"),SL_Income_Log!$C:$C,"youtube"),MIN(Assumptions!$B$49+FLOOR((ROW()-2)/6,1)*Assumptions!$B$50,Assumptions!$B$51))
</f>
        <v>3000</v>
      </c>
      <c r="AH19" s="32">
        <f>AG19*Assumptions!$B$104</f>
        <v>1329</v>
      </c>
      <c r="AI19" s="32">
        <f t="shared" si="7"/>
        <v>1671</v>
      </c>
      <c r="AJ19" s="32">
        <f>SUMIFS(SL_Income_Log!$D:$D,SL_Income_Log!$B:$B,TEXT(B19,"0000")&amp;"-"&amp;TEXT(A19,"00"),SL_Income_Log!$C:$C,"other")</f>
        <v>0</v>
      </c>
      <c r="AK19" s="32">
        <f t="shared" si="27"/>
        <v>10000</v>
      </c>
      <c r="AL19" s="32">
        <f>L19+M19+T19+U19+AI19+AJ19-Y19-Z19-AB19-AC19+IF((Debt_Register!$C$2+Debt_Register!$C$6+Debt_Register!$C$7+Debt_Register!$C$8+Debt_Register!$C$9)&gt;5,X19,0)</f>
        <v>9668.97</v>
      </c>
      <c r="AM19" s="32">
        <f t="shared" si="8"/>
        <v>19668.97</v>
      </c>
      <c r="AN19" s="32">
        <f>MAX(Assumptions!$B$94,MIN(Assumptions!$B$93,AM19-AP19-BE19-BO19-BQ19))</f>
        <v>10000</v>
      </c>
      <c r="AO19" s="32">
        <f t="shared" si="28"/>
        <v>358682.4589</v>
      </c>
      <c r="AP19" s="32">
        <f>IF(AO19&gt;0,Assumptions!$B$33,0)</f>
        <v>2281</v>
      </c>
      <c r="AQ19" s="32">
        <f>AO19*Assumptions!$B$32/12</f>
        <v>1162.728971</v>
      </c>
      <c r="AR19" s="32">
        <f t="shared" si="9"/>
        <v>1118.271029</v>
      </c>
      <c r="AS19" s="32">
        <f t="shared" si="29"/>
        <v>0</v>
      </c>
      <c r="AT19" s="32">
        <f t="shared" si="10"/>
        <v>357564.1878</v>
      </c>
      <c r="AU19" s="32">
        <f t="shared" si="30"/>
        <v>0</v>
      </c>
      <c r="AV19" s="32">
        <f t="shared" si="31"/>
        <v>0</v>
      </c>
      <c r="AW19" s="32">
        <f t="shared" si="32"/>
        <v>0</v>
      </c>
      <c r="AX19" s="32">
        <f t="shared" si="33"/>
        <v>0</v>
      </c>
      <c r="AY19" s="32">
        <f t="shared" si="34"/>
        <v>0</v>
      </c>
      <c r="AZ19" s="32">
        <f t="shared" si="35"/>
        <v>0</v>
      </c>
      <c r="BA19" s="32">
        <f t="shared" si="36"/>
        <v>0</v>
      </c>
      <c r="BB19" s="32">
        <f t="shared" si="37"/>
        <v>0</v>
      </c>
      <c r="BC19" s="32">
        <f t="shared" si="38"/>
        <v>0</v>
      </c>
      <c r="BD19" s="32">
        <f t="shared" si="39"/>
        <v>0</v>
      </c>
      <c r="BE19" s="32">
        <f t="shared" si="11"/>
        <v>0</v>
      </c>
      <c r="BF19" s="32">
        <v>0.0</v>
      </c>
      <c r="BG19" s="32">
        <f t="shared" si="40"/>
        <v>5500</v>
      </c>
      <c r="BH19" s="32">
        <v>0.0</v>
      </c>
      <c r="BI19" s="32">
        <f t="shared" si="41"/>
        <v>5000</v>
      </c>
      <c r="BJ19" s="32">
        <f>IF(OR(B19&lt;Assumptions!$B$111,AND(B19=Assumptions!$B$111,A19&lt;=Assumptions!$B$112)),Assumptions!$B$110,0)</f>
        <v>650</v>
      </c>
      <c r="BK19" s="32">
        <f>IF(B19&lt;2027,Assumptions!$B$116+IF(OR(A19=4,A19=10),Assumptions!$B$117,0),IF(AND(B19=2027,A19&lt;=4),IF(A19=4,MIN(950,Assumptions!$B$116+Assumptions!$B$117),Assumptions!$B$116),0))</f>
        <v>0</v>
      </c>
      <c r="BL19" s="32">
        <f>IF(OR(B19&lt;2030,AND(B19=2030,A19&lt;8)),Assumptions!$B$118,IF(AND(B19=2030,A19=8),MOD(11000,200),0))</f>
        <v>200</v>
      </c>
      <c r="BM19" s="32">
        <f>IF(OR(B19&lt;Assumptions!$B$120,AND(B19=Assumptions!$B$120,A19&lt;=Assumptions!$B$121)),Assumptions!$B$119,0)</f>
        <v>132</v>
      </c>
      <c r="BN19" s="32">
        <f>IF(AND(B19&lt;=Assumptions!$B$123,A19&lt;=Assumptions!$B$124),Assumptions!$B$122,0)</f>
        <v>0</v>
      </c>
      <c r="BO19" s="32">
        <f t="shared" si="12"/>
        <v>982</v>
      </c>
      <c r="BP19" s="32">
        <f>SUMIFS(SL_Budget!$B:$B,SL_Budget!$C:$C,"'"&amp;TEXT(DATE(B19,A19,1),"YYYY-MM"))</f>
        <v>4237</v>
      </c>
      <c r="BQ19" s="32">
        <f>MAX(BP19, IFERROR(SUMIFS(ShadowLedger!D:D, 
  ShadowLedger!C:C, "&gt;="&amp;DATE(B19,A19,1), 
  ShadowLedger!C:C, "&lt;"&amp;EOMONTH(DATE(B19,A19,1),0)+1), 0))
</f>
        <v>4237</v>
      </c>
      <c r="BR19" s="32">
        <f t="shared" si="42"/>
        <v>29882.55997</v>
      </c>
      <c r="BS19" s="32">
        <f t="shared" si="43"/>
        <v>2020.615</v>
      </c>
      <c r="BT19" s="32">
        <f>IF(AS19&gt;0,-MAX(0,21550-MAX(0,MAX(0,(AM19-AP19-BE19-BO19-BQ19)-Assumptions!$B$93))-MIN(MAX(0,21550-MAX(0,MAX(0,(AM19-AP19-BE19-BO19-BQ19)-Assumptions!$B$93))),MAX(0,BY18-Assumptions!$B$91))),IF(BY18&gt;=Assumptions!$B$92,MAX(0,(AM19-AP19-BE19-BO19-BQ19)-Assumptions!$B$93),MAX(0,(AM19-AP19-BE19-BO19-BQ19)-Assumptions!$B$93)*Assumptions!$B$99))</f>
        <v>1735.176</v>
      </c>
      <c r="BU19" s="32">
        <f>(BR19+BS19+MAX(0,BT19))*(Assumptions!$B$43-1)</f>
        <v>229.3462769</v>
      </c>
      <c r="BV19" s="32">
        <f t="shared" si="13"/>
        <v>33867.69725</v>
      </c>
      <c r="BW19" s="32">
        <f t="shared" si="44"/>
        <v>5000</v>
      </c>
      <c r="BX19" s="32">
        <f>IF(AS19&gt;0,-MIN(MAX(0,21550-MAX(0,MAX(0,(AM19-AP19-BE19-BO19-BQ19)-Assumptions!$B$93))),MAX(0,BY18-Assumptions!$B$91)),IF(BY18&lt;Assumptions!$B$92,MAX(0,(AM19-AP19-BE19-BO19-BQ19)-Assumptions!$B$93)*Assumptions!$B$98,0))</f>
        <v>433.794</v>
      </c>
      <c r="BY19" s="32">
        <f t="shared" si="14"/>
        <v>5433.794</v>
      </c>
      <c r="BZ19" s="32">
        <f t="shared" si="45"/>
        <v>6645</v>
      </c>
      <c r="CA19" s="32">
        <f t="shared" si="15"/>
        <v>1329</v>
      </c>
      <c r="CB19" s="32">
        <f t="shared" si="16"/>
        <v>7974</v>
      </c>
      <c r="CC19" s="55">
        <f>CC18+(G19+J19)/(Salary_Schedule!E19*12/208)</f>
        <v>1724.512721</v>
      </c>
      <c r="CD19" s="55">
        <f>CD18+(O19+R19)/(Salary_Schedule!G19*12/208)</f>
        <v>46.13602836</v>
      </c>
      <c r="CE19" s="32">
        <f t="shared" si="17"/>
        <v>33867.69725</v>
      </c>
      <c r="CF19" s="32">
        <f>Assumptions!$B$55*(1+Assumptions!$B$56)^((B19-2025)+(A19-1)/12)</f>
        <v>539050.6976</v>
      </c>
      <c r="CG19" s="32">
        <f t="shared" si="18"/>
        <v>-357564.1878</v>
      </c>
      <c r="CH19" s="32">
        <f t="shared" si="19"/>
        <v>-52499.88</v>
      </c>
      <c r="CI19" s="32">
        <f>CC19*(Salary_Schedule!E19/173.33)*(1-Assumptions!$B$28)+CD19*(Salary_Schedule!G19/173.33)*(1-Assumptions!$B$28)</f>
        <v>51130.37804</v>
      </c>
      <c r="CJ19" s="32">
        <f t="shared" si="20"/>
        <v>213984.705</v>
      </c>
    </row>
    <row r="20" ht="15.0" customHeight="1">
      <c r="A20" s="1">
        <v>7.0</v>
      </c>
      <c r="B20" s="1">
        <v>2027.0</v>
      </c>
      <c r="C20" s="1" t="s">
        <v>689</v>
      </c>
      <c r="D20" s="1" t="str">
        <f t="shared" si="21"/>
        <v>06/2027</v>
      </c>
      <c r="E20" s="1" t="str">
        <f t="shared" si="2"/>
        <v>FAT_RSU</v>
      </c>
      <c r="F20" s="32">
        <f>Salary_Schedule!E20</f>
        <v>7734.74</v>
      </c>
      <c r="G20" s="32">
        <f>Assumptions!$B$8</f>
        <v>200</v>
      </c>
      <c r="H20" s="32">
        <f>F20*Assumptions!$B$58</f>
        <v>773.474</v>
      </c>
      <c r="I20" s="32">
        <f>Salary_Schedule!F20</f>
        <v>0</v>
      </c>
      <c r="J20" s="32">
        <f>I20*Assumptions!$B$9</f>
        <v>0</v>
      </c>
      <c r="K20" s="54">
        <f t="shared" si="3"/>
        <v>6761.266</v>
      </c>
      <c r="L20" s="32">
        <f>IF(COUNTIFS(SL_Income_Log!$B:$B,TEXT(B20,"0000")&amp;"-"&amp;TEXT(A20,"00"),SL_Income_Log!$C:$C,"salary",SL_Income_Log!$E:$E,"H")&gt;0,SUMIFS(SL_Income_Log!$D:$D,SL_Income_Log!$B:$B,TEXT(B20,"0000")&amp;"-"&amp;TEXT(A20,"00"),SL_Income_Log!$C:$C,"salary",SL_Income_Log!$E:$E,"H"),K20*(1-Assumptions!$B$102)-Z20-Y20)</f>
        <v>3702.0896</v>
      </c>
      <c r="M20" s="32">
        <f>RSU_Schedule!H19</f>
        <v>2044.22</v>
      </c>
      <c r="N20" s="32">
        <f>Salary_Schedule!G20</f>
        <v>6412.51</v>
      </c>
      <c r="O20" s="32">
        <f>Assumptions!$B$19</f>
        <v>200</v>
      </c>
      <c r="P20" s="32">
        <f>N20*Assumptions!$B$59</f>
        <v>641.251</v>
      </c>
      <c r="Q20" s="32">
        <f>Salary_Schedule!H20</f>
        <v>0</v>
      </c>
      <c r="R20" s="32">
        <f>Q20*Assumptions!$B$20</f>
        <v>0</v>
      </c>
      <c r="S20" s="54">
        <f t="shared" si="4"/>
        <v>5571.259</v>
      </c>
      <c r="T20" s="32">
        <f>IF(COUNTIFS(SL_Income_Log!$B:$B,TEXT(B20,"0000")&amp;"-"&amp;TEXT(A20,"00"),SL_Income_Log!$C:$C,"salary",SL_Income_Log!$E:$E,"W")&gt;0,SUMIFS(SL_Income_Log!$D:$D,SL_Income_Log!$B:$B,TEXT(B20,"0000")&amp;"-"&amp;TEXT(A20,"00"),SL_Income_Log!$C:$C,"salary",SL_Income_Log!$E:$E,"W"),S20*(1-Assumptions!$B$102)-AC20-AB20)
</f>
        <v>2988.0854</v>
      </c>
      <c r="U20" s="32">
        <f>RSU_Schedule!M19</f>
        <v>1022.12</v>
      </c>
      <c r="V20" s="32">
        <f>H20*(1+Assumptions!$B$60)+Assumptions!$B$61</f>
        <v>1102.8636</v>
      </c>
      <c r="W20" s="32">
        <f>P20*(1+Assumptions!$B$60)+Assumptions!$B$61</f>
        <v>917.7514</v>
      </c>
      <c r="X20" s="32">
        <f t="shared" si="5"/>
        <v>2020.615</v>
      </c>
      <c r="Y20" s="32">
        <f t="shared" si="22"/>
        <v>63</v>
      </c>
      <c r="Z20" s="32">
        <v>291.67</v>
      </c>
      <c r="AA20" s="32">
        <f t="shared" si="23"/>
        <v>20708.27</v>
      </c>
      <c r="AB20" s="32">
        <f t="shared" si="24"/>
        <v>63</v>
      </c>
      <c r="AC20" s="32">
        <v>291.67</v>
      </c>
      <c r="AD20" s="32">
        <f t="shared" si="25"/>
        <v>20708.27</v>
      </c>
      <c r="AE20" s="32">
        <f t="shared" ref="AE20:AF20" si="61">Z20+AC20</f>
        <v>583.34</v>
      </c>
      <c r="AF20" s="32">
        <f t="shared" si="61"/>
        <v>41416.54</v>
      </c>
      <c r="AG20" s="32">
        <f>IF(COUNTIFS(SL_Income_Log!$B:$B,TEXT(B20,"0000")&amp;"-"&amp;TEXT(A20,"00"),SL_Income_Log!$C:$C,"youtube")&gt;0,SUMIFS(SL_Income_Log!$D:$D,SL_Income_Log!$B:$B,TEXT(B20,"0000")&amp;"-"&amp;TEXT(A20,"00"),SL_Income_Log!$C:$C,"youtube"),MIN(Assumptions!$B$49+FLOOR((ROW()-2)/6,1)*Assumptions!$B$50,Assumptions!$B$51))
</f>
        <v>4000</v>
      </c>
      <c r="AH20" s="32">
        <f>AG20*Assumptions!$B$104</f>
        <v>1772</v>
      </c>
      <c r="AI20" s="32">
        <f t="shared" si="7"/>
        <v>2228</v>
      </c>
      <c r="AJ20" s="32">
        <f>SUMIFS(SL_Income_Log!$D:$D,SL_Income_Log!$B:$B,TEXT(B20,"0000")&amp;"-"&amp;TEXT(A20,"00"),SL_Income_Log!$C:$C,"other")</f>
        <v>0</v>
      </c>
      <c r="AK20" s="32">
        <f t="shared" si="27"/>
        <v>10000</v>
      </c>
      <c r="AL20" s="32">
        <f>L20+M20+T20+U20+AI20+AJ20-Y20-Z20-AB20-AC20+IF((Debt_Register!$C$2+Debt_Register!$C$6+Debt_Register!$C$7+Debt_Register!$C$8+Debt_Register!$C$9)&gt;5,X20,0)</f>
        <v>13295.79</v>
      </c>
      <c r="AM20" s="32">
        <f t="shared" si="8"/>
        <v>23295.79</v>
      </c>
      <c r="AN20" s="32">
        <f>MAX(Assumptions!$B$94,MIN(Assumptions!$B$93,AM20-AP20-BE20-BO20-BQ20))</f>
        <v>10000</v>
      </c>
      <c r="AO20" s="32">
        <f t="shared" si="28"/>
        <v>357564.1878</v>
      </c>
      <c r="AP20" s="32">
        <f>IF(AO20&gt;0,Assumptions!$B$33,0)</f>
        <v>2281</v>
      </c>
      <c r="AQ20" s="32">
        <f>AO20*Assumptions!$B$32/12</f>
        <v>1159.103909</v>
      </c>
      <c r="AR20" s="32">
        <f t="shared" si="9"/>
        <v>1121.896091</v>
      </c>
      <c r="AS20" s="32">
        <f t="shared" si="29"/>
        <v>0</v>
      </c>
      <c r="AT20" s="32">
        <f t="shared" si="10"/>
        <v>356442.2918</v>
      </c>
      <c r="AU20" s="32">
        <f t="shared" si="30"/>
        <v>0</v>
      </c>
      <c r="AV20" s="32">
        <f t="shared" si="31"/>
        <v>0</v>
      </c>
      <c r="AW20" s="32">
        <f t="shared" si="32"/>
        <v>0</v>
      </c>
      <c r="AX20" s="32">
        <f t="shared" si="33"/>
        <v>0</v>
      </c>
      <c r="AY20" s="32">
        <f t="shared" si="34"/>
        <v>0</v>
      </c>
      <c r="AZ20" s="32">
        <f t="shared" si="35"/>
        <v>0</v>
      </c>
      <c r="BA20" s="32">
        <f t="shared" si="36"/>
        <v>0</v>
      </c>
      <c r="BB20" s="32">
        <f t="shared" si="37"/>
        <v>0</v>
      </c>
      <c r="BC20" s="32">
        <f t="shared" si="38"/>
        <v>0</v>
      </c>
      <c r="BD20" s="32">
        <f t="shared" si="39"/>
        <v>0</v>
      </c>
      <c r="BE20" s="32">
        <f t="shared" si="11"/>
        <v>0</v>
      </c>
      <c r="BF20" s="32">
        <v>0.0</v>
      </c>
      <c r="BG20" s="32">
        <f t="shared" si="40"/>
        <v>5500</v>
      </c>
      <c r="BH20" s="32">
        <v>0.0</v>
      </c>
      <c r="BI20" s="32">
        <f t="shared" si="41"/>
        <v>5000</v>
      </c>
      <c r="BJ20" s="32">
        <f>IF(OR(B20&lt;Assumptions!$B$111,AND(B20=Assumptions!$B$111,A20&lt;=Assumptions!$B$112)),Assumptions!$B$110,0)</f>
        <v>650</v>
      </c>
      <c r="BK20" s="32">
        <f>IF(B20&lt;2027,Assumptions!$B$116+IF(OR(A20=4,A20=10),Assumptions!$B$117,0),IF(AND(B20=2027,A20&lt;=4),IF(A20=4,MIN(950,Assumptions!$B$116+Assumptions!$B$117),Assumptions!$B$116),0))</f>
        <v>0</v>
      </c>
      <c r="BL20" s="32">
        <f>IF(OR(B20&lt;2030,AND(B20=2030,A20&lt;8)),Assumptions!$B$118,IF(AND(B20=2030,A20=8),MOD(11000,200),0))</f>
        <v>200</v>
      </c>
      <c r="BM20" s="32">
        <f>IF(OR(B20&lt;Assumptions!$B$120,AND(B20=Assumptions!$B$120,A20&lt;=Assumptions!$B$121)),Assumptions!$B$119,0)</f>
        <v>132</v>
      </c>
      <c r="BN20" s="32">
        <f>IF(AND(B20&lt;=Assumptions!$B$123,A20&lt;=Assumptions!$B$124),Assumptions!$B$122,0)</f>
        <v>0</v>
      </c>
      <c r="BO20" s="32">
        <f t="shared" si="12"/>
        <v>982</v>
      </c>
      <c r="BP20" s="32">
        <f>SUMIFS(SL_Budget!$B:$B,SL_Budget!$C:$C,"'"&amp;TEXT(DATE(B20,A20,1),"YYYY-MM"))</f>
        <v>4237</v>
      </c>
      <c r="BQ20" s="32">
        <f>MAX(BP20, IFERROR(SUMIFS(ShadowLedger!D:D, 
  ShadowLedger!C:C, "&gt;="&amp;DATE(B20,A20,1), 
  ShadowLedger!C:C, "&lt;"&amp;EOMONTH(DATE(B20,A20,1),0)+1), 0))
</f>
        <v>4237</v>
      </c>
      <c r="BR20" s="32">
        <f t="shared" si="42"/>
        <v>33867.69725</v>
      </c>
      <c r="BS20" s="32">
        <f t="shared" si="43"/>
        <v>2020.615</v>
      </c>
      <c r="BT20" s="32">
        <f>IF(AS20&gt;0,-MAX(0,21550-MAX(0,MAX(0,(AM20-AP20-BE20-BO20-BQ20)-Assumptions!$B$93))-MIN(MAX(0,21550-MAX(0,MAX(0,(AM20-AP20-BE20-BO20-BQ20)-Assumptions!$B$93))),MAX(0,BY19-Assumptions!$B$91))),IF(BY19&gt;=Assumptions!$B$92,MAX(0,(AM20-AP20-BE20-BO20-BQ20)-Assumptions!$B$93),MAX(0,(AM20-AP20-BE20-BO20-BQ20)-Assumptions!$B$93)*Assumptions!$B$99))</f>
        <v>4636.632</v>
      </c>
      <c r="BU20" s="32">
        <f>(BR20+BS20+MAX(0,BT20))*(Assumptions!$B$43-1)</f>
        <v>276.2990699</v>
      </c>
      <c r="BV20" s="32">
        <f t="shared" si="13"/>
        <v>40801.24332</v>
      </c>
      <c r="BW20" s="32">
        <f t="shared" si="44"/>
        <v>5433.794</v>
      </c>
      <c r="BX20" s="32">
        <f>IF(AS20&gt;0,-MIN(MAX(0,21550-MAX(0,MAX(0,(AM20-AP20-BE20-BO20-BQ20)-Assumptions!$B$93))),MAX(0,BY19-Assumptions!$B$91)),IF(BY19&lt;Assumptions!$B$92,MAX(0,(AM20-AP20-BE20-BO20-BQ20)-Assumptions!$B$93)*Assumptions!$B$98,0))</f>
        <v>1159.158</v>
      </c>
      <c r="BY20" s="32">
        <f t="shared" si="14"/>
        <v>6592.952</v>
      </c>
      <c r="BZ20" s="32">
        <f t="shared" si="45"/>
        <v>7974</v>
      </c>
      <c r="CA20" s="32">
        <f t="shared" si="15"/>
        <v>1772</v>
      </c>
      <c r="CB20" s="32">
        <f t="shared" si="16"/>
        <v>9746</v>
      </c>
      <c r="CC20" s="55">
        <f>CC19+(G20+J20)/(Salary_Schedule!E20*12/208)</f>
        <v>1724.960916</v>
      </c>
      <c r="CD20" s="55">
        <f>CD19+(O20+R20)/(Salary_Schedule!G20*12/208)</f>
        <v>46.67663831</v>
      </c>
      <c r="CE20" s="32">
        <f t="shared" si="17"/>
        <v>40801.24332</v>
      </c>
      <c r="CF20" s="32">
        <f>Assumptions!$B$55*(1+Assumptions!$B$56)^((B20-2025)+(A20-1)/12)</f>
        <v>539719.9224</v>
      </c>
      <c r="CG20" s="32">
        <f t="shared" si="18"/>
        <v>-356442.2918</v>
      </c>
      <c r="CH20" s="32">
        <f t="shared" si="19"/>
        <v>-51916.54</v>
      </c>
      <c r="CI20" s="32">
        <f>CC20*(Salary_Schedule!E20/173.33)*(1-Assumptions!$B$28)+CD20*(Salary_Schedule!G20/173.33)*(1-Assumptions!$B$28)</f>
        <v>51156.37854</v>
      </c>
      <c r="CJ20" s="32">
        <f t="shared" si="20"/>
        <v>223318.7125</v>
      </c>
    </row>
    <row r="21" ht="15.0" customHeight="1">
      <c r="A21" s="1">
        <v>8.0</v>
      </c>
      <c r="B21" s="1">
        <v>2027.0</v>
      </c>
      <c r="C21" s="1" t="s">
        <v>690</v>
      </c>
      <c r="D21" s="1" t="str">
        <f t="shared" si="21"/>
        <v>07/2027</v>
      </c>
      <c r="E21" s="1" t="str">
        <f t="shared" si="2"/>
        <v>LEAN</v>
      </c>
      <c r="F21" s="32">
        <f>Salary_Schedule!E21</f>
        <v>7734.74</v>
      </c>
      <c r="G21" s="32">
        <f>Assumptions!$B$8</f>
        <v>200</v>
      </c>
      <c r="H21" s="32">
        <f>F21*Assumptions!$B$58</f>
        <v>773.474</v>
      </c>
      <c r="I21" s="32">
        <f>Salary_Schedule!F21</f>
        <v>0</v>
      </c>
      <c r="J21" s="32">
        <f>I21*Assumptions!$B$9</f>
        <v>0</v>
      </c>
      <c r="K21" s="54">
        <f t="shared" si="3"/>
        <v>6761.266</v>
      </c>
      <c r="L21" s="32">
        <f>IF(COUNTIFS(SL_Income_Log!$B:$B,TEXT(B21,"0000")&amp;"-"&amp;TEXT(A21,"00"),SL_Income_Log!$C:$C,"salary",SL_Income_Log!$E:$E,"H")&gt;0,SUMIFS(SL_Income_Log!$D:$D,SL_Income_Log!$B:$B,TEXT(B21,"0000")&amp;"-"&amp;TEXT(A21,"00"),SL_Income_Log!$C:$C,"salary",SL_Income_Log!$E:$E,"H"),K21*(1-Assumptions!$B$102)-Z21-Y21)</f>
        <v>3702.9696</v>
      </c>
      <c r="M21" s="32">
        <f>RSU_Schedule!H20</f>
        <v>0</v>
      </c>
      <c r="N21" s="32">
        <f>Salary_Schedule!G21</f>
        <v>6412.51</v>
      </c>
      <c r="O21" s="32">
        <f>Assumptions!$B$19</f>
        <v>200</v>
      </c>
      <c r="P21" s="32">
        <f>N21*Assumptions!$B$59</f>
        <v>641.251</v>
      </c>
      <c r="Q21" s="32">
        <f>Salary_Schedule!H21</f>
        <v>0</v>
      </c>
      <c r="R21" s="32">
        <f>Q21*Assumptions!$B$20</f>
        <v>0</v>
      </c>
      <c r="S21" s="54">
        <f t="shared" si="4"/>
        <v>5571.259</v>
      </c>
      <c r="T21" s="32">
        <f>IF(COUNTIFS(SL_Income_Log!$B:$B,TEXT(B21,"0000")&amp;"-"&amp;TEXT(A21,"00"),SL_Income_Log!$C:$C,"salary",SL_Income_Log!$E:$E,"W")&gt;0,SUMIFS(SL_Income_Log!$D:$D,SL_Income_Log!$B:$B,TEXT(B21,"0000")&amp;"-"&amp;TEXT(A21,"00"),SL_Income_Log!$C:$C,"salary",SL_Income_Log!$E:$E,"W"),S21*(1-Assumptions!$B$102)-AC21-AB21)
</f>
        <v>2988.9654</v>
      </c>
      <c r="U21" s="32">
        <f>RSU_Schedule!M20</f>
        <v>0</v>
      </c>
      <c r="V21" s="32">
        <f>H21*(1+Assumptions!$B$60)+Assumptions!$B$61</f>
        <v>1102.8636</v>
      </c>
      <c r="W21" s="32">
        <f>P21*(1+Assumptions!$B$60)+Assumptions!$B$61</f>
        <v>917.7514</v>
      </c>
      <c r="X21" s="32">
        <f t="shared" si="5"/>
        <v>2020.615</v>
      </c>
      <c r="Y21" s="32">
        <f t="shared" si="22"/>
        <v>62.12</v>
      </c>
      <c r="Z21" s="32">
        <v>291.67</v>
      </c>
      <c r="AA21" s="32">
        <f t="shared" si="23"/>
        <v>20416.6</v>
      </c>
      <c r="AB21" s="32">
        <f t="shared" si="24"/>
        <v>62.12</v>
      </c>
      <c r="AC21" s="32">
        <v>291.67</v>
      </c>
      <c r="AD21" s="32">
        <f t="shared" si="25"/>
        <v>20416.6</v>
      </c>
      <c r="AE21" s="32">
        <f t="shared" ref="AE21:AF21" si="62">Z21+AC21</f>
        <v>583.34</v>
      </c>
      <c r="AF21" s="32">
        <f t="shared" si="62"/>
        <v>40833.2</v>
      </c>
      <c r="AG21" s="32">
        <f>IF(COUNTIFS(SL_Income_Log!$B:$B,TEXT(B21,"0000")&amp;"-"&amp;TEXT(A21,"00"),SL_Income_Log!$C:$C,"youtube")&gt;0,SUMIFS(SL_Income_Log!$D:$D,SL_Income_Log!$B:$B,TEXT(B21,"0000")&amp;"-"&amp;TEXT(A21,"00"),SL_Income_Log!$C:$C,"youtube"),MIN(Assumptions!$B$49+FLOOR((ROW()-2)/6,1)*Assumptions!$B$50,Assumptions!$B$51))
</f>
        <v>4000</v>
      </c>
      <c r="AH21" s="32">
        <f>AG21*Assumptions!$B$104</f>
        <v>1772</v>
      </c>
      <c r="AI21" s="32">
        <f t="shared" si="7"/>
        <v>2228</v>
      </c>
      <c r="AJ21" s="32">
        <f>SUMIFS(SL_Income_Log!$D:$D,SL_Income_Log!$B:$B,TEXT(B21,"0000")&amp;"-"&amp;TEXT(A21,"00"),SL_Income_Log!$C:$C,"other")</f>
        <v>0</v>
      </c>
      <c r="AK21" s="32">
        <f t="shared" si="27"/>
        <v>10000</v>
      </c>
      <c r="AL21" s="32">
        <f>L21+M21+T21+U21+AI21+AJ21-Y21-Z21-AB21-AC21+IF((Debt_Register!$C$2+Debt_Register!$C$6+Debt_Register!$C$7+Debt_Register!$C$8+Debt_Register!$C$9)&gt;5,X21,0)</f>
        <v>10232.97</v>
      </c>
      <c r="AM21" s="32">
        <f t="shared" si="8"/>
        <v>20232.97</v>
      </c>
      <c r="AN21" s="32">
        <f>MAX(Assumptions!$B$94,MIN(Assumptions!$B$93,AM21-AP21-BE21-BO21-BQ21))</f>
        <v>10000</v>
      </c>
      <c r="AO21" s="32">
        <f t="shared" si="28"/>
        <v>356442.2918</v>
      </c>
      <c r="AP21" s="32">
        <f>IF(AO21&gt;0,Assumptions!$B$33,0)</f>
        <v>2281</v>
      </c>
      <c r="AQ21" s="32">
        <f>AO21*Assumptions!$B$32/12</f>
        <v>1155.467096</v>
      </c>
      <c r="AR21" s="32">
        <f t="shared" si="9"/>
        <v>1125.532904</v>
      </c>
      <c r="AS21" s="32">
        <f t="shared" si="29"/>
        <v>0</v>
      </c>
      <c r="AT21" s="32">
        <f t="shared" si="10"/>
        <v>355316.7588</v>
      </c>
      <c r="AU21" s="32">
        <f t="shared" si="30"/>
        <v>0</v>
      </c>
      <c r="AV21" s="32">
        <f t="shared" si="31"/>
        <v>0</v>
      </c>
      <c r="AW21" s="32">
        <f t="shared" si="32"/>
        <v>0</v>
      </c>
      <c r="AX21" s="32">
        <f t="shared" si="33"/>
        <v>0</v>
      </c>
      <c r="AY21" s="32">
        <f t="shared" si="34"/>
        <v>0</v>
      </c>
      <c r="AZ21" s="32">
        <f t="shared" si="35"/>
        <v>0</v>
      </c>
      <c r="BA21" s="32">
        <f t="shared" si="36"/>
        <v>0</v>
      </c>
      <c r="BB21" s="32">
        <f t="shared" si="37"/>
        <v>0</v>
      </c>
      <c r="BC21" s="32">
        <f t="shared" si="38"/>
        <v>0</v>
      </c>
      <c r="BD21" s="32">
        <f t="shared" si="39"/>
        <v>0</v>
      </c>
      <c r="BE21" s="32">
        <f t="shared" si="11"/>
        <v>0</v>
      </c>
      <c r="BF21" s="32">
        <v>0.0</v>
      </c>
      <c r="BG21" s="32">
        <f t="shared" si="40"/>
        <v>5500</v>
      </c>
      <c r="BH21" s="32">
        <v>0.0</v>
      </c>
      <c r="BI21" s="32">
        <f t="shared" si="41"/>
        <v>5000</v>
      </c>
      <c r="BJ21" s="32">
        <f>IF(OR(B21&lt;Assumptions!$B$111,AND(B21=Assumptions!$B$111,A21&lt;=Assumptions!$B$112)),Assumptions!$B$110,0)</f>
        <v>650</v>
      </c>
      <c r="BK21" s="32">
        <f>IF(B21&lt;2027,Assumptions!$B$116+IF(OR(A21=4,A21=10),Assumptions!$B$117,0),IF(AND(B21=2027,A21&lt;=4),IF(A21=4,MIN(950,Assumptions!$B$116+Assumptions!$B$117),Assumptions!$B$116),0))</f>
        <v>0</v>
      </c>
      <c r="BL21" s="32">
        <f>IF(OR(B21&lt;2030,AND(B21=2030,A21&lt;8)),Assumptions!$B$118,IF(AND(B21=2030,A21=8),MOD(11000,200),0))</f>
        <v>200</v>
      </c>
      <c r="BM21" s="32">
        <f>IF(OR(B21&lt;Assumptions!$B$120,AND(B21=Assumptions!$B$120,A21&lt;=Assumptions!$B$121)),Assumptions!$B$119,0)</f>
        <v>0</v>
      </c>
      <c r="BN21" s="32">
        <f>IF(AND(B21&lt;=Assumptions!$B$123,A21&lt;=Assumptions!$B$124),Assumptions!$B$122,0)</f>
        <v>0</v>
      </c>
      <c r="BO21" s="32">
        <f t="shared" si="12"/>
        <v>850</v>
      </c>
      <c r="BP21" s="32">
        <f>SUMIFS(SL_Budget!$B:$B,SL_Budget!$C:$C,"'"&amp;TEXT(DATE(B21,A21,1),"YYYY-MM"))</f>
        <v>4237</v>
      </c>
      <c r="BQ21" s="32">
        <f>MAX(BP21, IFERROR(SUMIFS(ShadowLedger!D:D, 
  ShadowLedger!C:C, "&gt;="&amp;DATE(B21,A21,1), 
  ShadowLedger!C:C, "&lt;"&amp;EOMONTH(DATE(B21,A21,1),0)+1), 0))
</f>
        <v>4237</v>
      </c>
      <c r="BR21" s="32">
        <f t="shared" si="42"/>
        <v>40801.24332</v>
      </c>
      <c r="BS21" s="32">
        <f t="shared" si="43"/>
        <v>2020.615</v>
      </c>
      <c r="BT21" s="32">
        <f>IF(AS21&gt;0,-MAX(0,21550-MAX(0,MAX(0,(AM21-AP21-BE21-BO21-BQ21)-Assumptions!$B$93))-MIN(MAX(0,21550-MAX(0,MAX(0,(AM21-AP21-BE21-BO21-BQ21)-Assumptions!$B$93))),MAX(0,BY20-Assumptions!$B$91))),IF(BY20&gt;=Assumptions!$B$92,MAX(0,(AM21-AP21-BE21-BO21-BQ21)-Assumptions!$B$93),MAX(0,(AM21-AP21-BE21-BO21-BQ21)-Assumptions!$B$93)*Assumptions!$B$99))</f>
        <v>2291.976</v>
      </c>
      <c r="BU21" s="32">
        <f>(BR21+BS21+MAX(0,BT21))*(Assumptions!$B$43-1)</f>
        <v>307.5861224</v>
      </c>
      <c r="BV21" s="32">
        <f t="shared" si="13"/>
        <v>45421.42044</v>
      </c>
      <c r="BW21" s="32">
        <f t="shared" si="44"/>
        <v>6592.952</v>
      </c>
      <c r="BX21" s="32">
        <f>IF(AS21&gt;0,-MIN(MAX(0,21550-MAX(0,MAX(0,(AM21-AP21-BE21-BO21-BQ21)-Assumptions!$B$93))),MAX(0,BY20-Assumptions!$B$91)),IF(BY20&lt;Assumptions!$B$92,MAX(0,(AM21-AP21-BE21-BO21-BQ21)-Assumptions!$B$93)*Assumptions!$B$98,0))</f>
        <v>572.994</v>
      </c>
      <c r="BY21" s="32">
        <f t="shared" si="14"/>
        <v>7165.946</v>
      </c>
      <c r="BZ21" s="32">
        <f t="shared" si="45"/>
        <v>9746</v>
      </c>
      <c r="CA21" s="32">
        <f t="shared" si="15"/>
        <v>1772</v>
      </c>
      <c r="CB21" s="32">
        <f t="shared" si="16"/>
        <v>11518</v>
      </c>
      <c r="CC21" s="55">
        <f>CC20+(G21+J21)/(Salary_Schedule!E21*12/208)</f>
        <v>1725.40911</v>
      </c>
      <c r="CD21" s="55">
        <f>CD20+(O21+R21)/(Salary_Schedule!G21*12/208)</f>
        <v>47.21724825</v>
      </c>
      <c r="CE21" s="32">
        <f t="shared" si="17"/>
        <v>45421.42044</v>
      </c>
      <c r="CF21" s="32">
        <f>Assumptions!$B$55*(1+Assumptions!$B$56)^((B21-2025)+(A21-1)/12)</f>
        <v>540389.9781</v>
      </c>
      <c r="CG21" s="32">
        <f t="shared" si="18"/>
        <v>-355316.7588</v>
      </c>
      <c r="CH21" s="32">
        <f t="shared" si="19"/>
        <v>-51333.2</v>
      </c>
      <c r="CI21" s="32">
        <f>CC21*(Salary_Schedule!E21/173.33)*(1-Assumptions!$B$28)+CD21*(Salary_Schedule!G21/173.33)*(1-Assumptions!$B$28)</f>
        <v>51182.37904</v>
      </c>
      <c r="CJ21" s="32">
        <f t="shared" si="20"/>
        <v>230343.8187</v>
      </c>
    </row>
    <row r="22" ht="15.0" customHeight="1">
      <c r="A22" s="1">
        <v>9.0</v>
      </c>
      <c r="B22" s="1">
        <v>2027.0</v>
      </c>
      <c r="C22" s="1" t="s">
        <v>691</v>
      </c>
      <c r="D22" s="1" t="str">
        <f t="shared" si="21"/>
        <v>08/2027</v>
      </c>
      <c r="E22" s="1" t="str">
        <f t="shared" si="2"/>
        <v>LEAN</v>
      </c>
      <c r="F22" s="32">
        <f>Salary_Schedule!E22</f>
        <v>7734.74</v>
      </c>
      <c r="G22" s="32">
        <f>Assumptions!$B$8</f>
        <v>200</v>
      </c>
      <c r="H22" s="32">
        <f>F22*Assumptions!$B$58</f>
        <v>773.474</v>
      </c>
      <c r="I22" s="32">
        <f>Salary_Schedule!F22</f>
        <v>0</v>
      </c>
      <c r="J22" s="32">
        <f>I22*Assumptions!$B$9</f>
        <v>0</v>
      </c>
      <c r="K22" s="54">
        <f t="shared" si="3"/>
        <v>6761.266</v>
      </c>
      <c r="L22" s="32">
        <f>IF(COUNTIFS(SL_Income_Log!$B:$B,TEXT(B22,"0000")&amp;"-"&amp;TEXT(A22,"00"),SL_Income_Log!$C:$C,"salary",SL_Income_Log!$E:$E,"H")&gt;0,SUMIFS(SL_Income_Log!$D:$D,SL_Income_Log!$B:$B,TEXT(B22,"0000")&amp;"-"&amp;TEXT(A22,"00"),SL_Income_Log!$C:$C,"salary",SL_Income_Log!$E:$E,"H"),K22*(1-Assumptions!$B$102)-Z22-Y22)</f>
        <v>3703.8396</v>
      </c>
      <c r="M22" s="32">
        <f>RSU_Schedule!H21</f>
        <v>0</v>
      </c>
      <c r="N22" s="32">
        <f>Salary_Schedule!G22</f>
        <v>6412.51</v>
      </c>
      <c r="O22" s="32">
        <f>Assumptions!$B$19</f>
        <v>200</v>
      </c>
      <c r="P22" s="32">
        <f>N22*Assumptions!$B$59</f>
        <v>641.251</v>
      </c>
      <c r="Q22" s="32">
        <f>Salary_Schedule!H22</f>
        <v>0</v>
      </c>
      <c r="R22" s="32">
        <f>Q22*Assumptions!$B$20</f>
        <v>0</v>
      </c>
      <c r="S22" s="54">
        <f t="shared" si="4"/>
        <v>5571.259</v>
      </c>
      <c r="T22" s="32">
        <f>IF(COUNTIFS(SL_Income_Log!$B:$B,TEXT(B22,"0000")&amp;"-"&amp;TEXT(A22,"00"),SL_Income_Log!$C:$C,"salary",SL_Income_Log!$E:$E,"W")&gt;0,SUMIFS(SL_Income_Log!$D:$D,SL_Income_Log!$B:$B,TEXT(B22,"0000")&amp;"-"&amp;TEXT(A22,"00"),SL_Income_Log!$C:$C,"salary",SL_Income_Log!$E:$E,"W"),S22*(1-Assumptions!$B$102)-AC22-AB22)
</f>
        <v>2989.8354</v>
      </c>
      <c r="U22" s="32">
        <f>RSU_Schedule!M21</f>
        <v>0</v>
      </c>
      <c r="V22" s="32">
        <f>H22*(1+Assumptions!$B$60)+Assumptions!$B$61</f>
        <v>1102.8636</v>
      </c>
      <c r="W22" s="32">
        <f>P22*(1+Assumptions!$B$60)+Assumptions!$B$61</f>
        <v>917.7514</v>
      </c>
      <c r="X22" s="32">
        <f t="shared" si="5"/>
        <v>2020.615</v>
      </c>
      <c r="Y22" s="32">
        <f t="shared" si="22"/>
        <v>61.25</v>
      </c>
      <c r="Z22" s="32">
        <v>291.67</v>
      </c>
      <c r="AA22" s="32">
        <f t="shared" si="23"/>
        <v>20124.93</v>
      </c>
      <c r="AB22" s="32">
        <f t="shared" si="24"/>
        <v>61.25</v>
      </c>
      <c r="AC22" s="32">
        <v>291.67</v>
      </c>
      <c r="AD22" s="32">
        <f t="shared" si="25"/>
        <v>20124.93</v>
      </c>
      <c r="AE22" s="32">
        <f t="shared" ref="AE22:AF22" si="63">Z22+AC22</f>
        <v>583.34</v>
      </c>
      <c r="AF22" s="32">
        <f t="shared" si="63"/>
        <v>40249.86</v>
      </c>
      <c r="AG22" s="32">
        <f>IF(COUNTIFS(SL_Income_Log!$B:$B,TEXT(B22,"0000")&amp;"-"&amp;TEXT(A22,"00"),SL_Income_Log!$C:$C,"youtube")&gt;0,SUMIFS(SL_Income_Log!$D:$D,SL_Income_Log!$B:$B,TEXT(B22,"0000")&amp;"-"&amp;TEXT(A22,"00"),SL_Income_Log!$C:$C,"youtube"),MIN(Assumptions!$B$49+FLOOR((ROW()-2)/6,1)*Assumptions!$B$50,Assumptions!$B$51))
</f>
        <v>4000</v>
      </c>
      <c r="AH22" s="32">
        <f>AG22*Assumptions!$B$104</f>
        <v>1772</v>
      </c>
      <c r="AI22" s="32">
        <f t="shared" si="7"/>
        <v>2228</v>
      </c>
      <c r="AJ22" s="32">
        <f>SUMIFS(SL_Income_Log!$D:$D,SL_Income_Log!$B:$B,TEXT(B22,"0000")&amp;"-"&amp;TEXT(A22,"00"),SL_Income_Log!$C:$C,"other")</f>
        <v>0</v>
      </c>
      <c r="AK22" s="32">
        <f t="shared" si="27"/>
        <v>10000</v>
      </c>
      <c r="AL22" s="32">
        <f>L22+M22+T22+U22+AI22+AJ22-Y22-Z22-AB22-AC22+IF((Debt_Register!$C$2+Debt_Register!$C$6+Debt_Register!$C$7+Debt_Register!$C$8+Debt_Register!$C$9)&gt;5,X22,0)</f>
        <v>10236.45</v>
      </c>
      <c r="AM22" s="32">
        <f t="shared" si="8"/>
        <v>20236.45</v>
      </c>
      <c r="AN22" s="32">
        <f>MAX(Assumptions!$B$94,MIN(Assumptions!$B$93,AM22-AP22-BE22-BO22-BQ22))</f>
        <v>10000</v>
      </c>
      <c r="AO22" s="32">
        <f t="shared" si="28"/>
        <v>355316.7588</v>
      </c>
      <c r="AP22" s="32">
        <f>IF(AO22&gt;0,Assumptions!$B$33,0)</f>
        <v>2281</v>
      </c>
      <c r="AQ22" s="32">
        <f>AO22*Assumptions!$B$32/12</f>
        <v>1151.818493</v>
      </c>
      <c r="AR22" s="32">
        <f t="shared" si="9"/>
        <v>1129.181507</v>
      </c>
      <c r="AS22" s="32">
        <f t="shared" si="29"/>
        <v>0</v>
      </c>
      <c r="AT22" s="32">
        <f t="shared" si="10"/>
        <v>354187.5773</v>
      </c>
      <c r="AU22" s="32">
        <f t="shared" si="30"/>
        <v>0</v>
      </c>
      <c r="AV22" s="32">
        <f t="shared" si="31"/>
        <v>0</v>
      </c>
      <c r="AW22" s="32">
        <f t="shared" si="32"/>
        <v>0</v>
      </c>
      <c r="AX22" s="32">
        <f t="shared" si="33"/>
        <v>0</v>
      </c>
      <c r="AY22" s="32">
        <f t="shared" si="34"/>
        <v>0</v>
      </c>
      <c r="AZ22" s="32">
        <f t="shared" si="35"/>
        <v>0</v>
      </c>
      <c r="BA22" s="32">
        <f t="shared" si="36"/>
        <v>0</v>
      </c>
      <c r="BB22" s="32">
        <f t="shared" si="37"/>
        <v>0</v>
      </c>
      <c r="BC22" s="32">
        <f t="shared" si="38"/>
        <v>0</v>
      </c>
      <c r="BD22" s="32">
        <f t="shared" si="39"/>
        <v>0</v>
      </c>
      <c r="BE22" s="32">
        <f t="shared" si="11"/>
        <v>0</v>
      </c>
      <c r="BF22" s="32">
        <v>0.0</v>
      </c>
      <c r="BG22" s="32">
        <f t="shared" si="40"/>
        <v>5500</v>
      </c>
      <c r="BH22" s="32">
        <v>0.0</v>
      </c>
      <c r="BI22" s="32">
        <f t="shared" si="41"/>
        <v>5000</v>
      </c>
      <c r="BJ22" s="32">
        <f>IF(OR(B22&lt;Assumptions!$B$111,AND(B22=Assumptions!$B$111,A22&lt;=Assumptions!$B$112)),Assumptions!$B$110,0)</f>
        <v>0</v>
      </c>
      <c r="BK22" s="32">
        <f>IF(B22&lt;2027,Assumptions!$B$116+IF(OR(A22=4,A22=10),Assumptions!$B$117,0),IF(AND(B22=2027,A22&lt;=4),IF(A22=4,MIN(950,Assumptions!$B$116+Assumptions!$B$117),Assumptions!$B$116),0))</f>
        <v>0</v>
      </c>
      <c r="BL22" s="32">
        <f>IF(OR(B22&lt;2030,AND(B22=2030,A22&lt;8)),Assumptions!$B$118,IF(AND(B22=2030,A22=8),MOD(11000,200),0))</f>
        <v>200</v>
      </c>
      <c r="BM22" s="32">
        <f>IF(OR(B22&lt;Assumptions!$B$120,AND(B22=Assumptions!$B$120,A22&lt;=Assumptions!$B$121)),Assumptions!$B$119,0)</f>
        <v>0</v>
      </c>
      <c r="BN22" s="32">
        <f>IF(AND(B22&lt;=Assumptions!$B$123,A22&lt;=Assumptions!$B$124),Assumptions!$B$122,0)</f>
        <v>0</v>
      </c>
      <c r="BO22" s="32">
        <f t="shared" si="12"/>
        <v>200</v>
      </c>
      <c r="BP22" s="32">
        <f>SUMIFS(SL_Budget!$B:$B,SL_Budget!$C:$C,"'"&amp;TEXT(DATE(B22,A22,1),"YYYY-MM"))</f>
        <v>4237</v>
      </c>
      <c r="BQ22" s="32">
        <f>MAX(BP22, IFERROR(SUMIFS(ShadowLedger!D:D, 
  ShadowLedger!C:C, "&gt;="&amp;DATE(B22,A22,1), 
  ShadowLedger!C:C, "&lt;"&amp;EOMONTH(DATE(B22,A22,1),0)+1), 0))
</f>
        <v>4237</v>
      </c>
      <c r="BR22" s="32">
        <f t="shared" si="42"/>
        <v>45421.42044</v>
      </c>
      <c r="BS22" s="32">
        <f t="shared" si="43"/>
        <v>2020.615</v>
      </c>
      <c r="BT22" s="32">
        <f>IF(AS22&gt;0,-MAX(0,21550-MAX(0,MAX(0,(AM22-AP22-BE22-BO22-BQ22)-Assumptions!$B$93))-MIN(MAX(0,21550-MAX(0,MAX(0,(AM22-AP22-BE22-BO22-BQ22)-Assumptions!$B$93))),MAX(0,BY21-Assumptions!$B$91))),IF(BY21&gt;=Assumptions!$B$92,MAX(0,(AM22-AP22-BE22-BO22-BQ22)-Assumptions!$B$93),MAX(0,(AM22-AP22-BE22-BO22-BQ22)-Assumptions!$B$93)*Assumptions!$B$99))</f>
        <v>2814.76</v>
      </c>
      <c r="BU22" s="32">
        <f>(BR22+BS22+MAX(0,BT22))*(Assumptions!$B$43-1)</f>
        <v>342.6508313</v>
      </c>
      <c r="BV22" s="32">
        <f t="shared" si="13"/>
        <v>50599.44627</v>
      </c>
      <c r="BW22" s="32">
        <f t="shared" si="44"/>
        <v>7165.946</v>
      </c>
      <c r="BX22" s="32">
        <f>IF(AS22&gt;0,-MIN(MAX(0,21550-MAX(0,MAX(0,(AM22-AP22-BE22-BO22-BQ22)-Assumptions!$B$93))),MAX(0,BY21-Assumptions!$B$91)),IF(BY21&lt;Assumptions!$B$92,MAX(0,(AM22-AP22-BE22-BO22-BQ22)-Assumptions!$B$93)*Assumptions!$B$98,0))</f>
        <v>703.69</v>
      </c>
      <c r="BY22" s="32">
        <f t="shared" si="14"/>
        <v>7869.636</v>
      </c>
      <c r="BZ22" s="32">
        <f t="shared" si="45"/>
        <v>11518</v>
      </c>
      <c r="CA22" s="32">
        <f t="shared" si="15"/>
        <v>1772</v>
      </c>
      <c r="CB22" s="32">
        <f t="shared" si="16"/>
        <v>13290</v>
      </c>
      <c r="CC22" s="55">
        <f>CC21+(G22+J22)/(Salary_Schedule!E22*12/208)</f>
        <v>1725.857304</v>
      </c>
      <c r="CD22" s="55">
        <f>CD21+(O22+R22)/(Salary_Schedule!G22*12/208)</f>
        <v>47.75785819</v>
      </c>
      <c r="CE22" s="32">
        <f t="shared" si="17"/>
        <v>50599.44627</v>
      </c>
      <c r="CF22" s="32">
        <f>Assumptions!$B$55*(1+Assumptions!$B$56)^((B22-2025)+(A22-1)/12)</f>
        <v>541060.8656</v>
      </c>
      <c r="CG22" s="32">
        <f t="shared" si="18"/>
        <v>-354187.5773</v>
      </c>
      <c r="CH22" s="32">
        <f t="shared" si="19"/>
        <v>-50749.86</v>
      </c>
      <c r="CI22" s="32">
        <f>CC22*(Salary_Schedule!E22/173.33)*(1-Assumptions!$B$28)+CD22*(Salary_Schedule!G22/173.33)*(1-Assumptions!$B$28)</f>
        <v>51208.37954</v>
      </c>
      <c r="CJ22" s="32">
        <f t="shared" si="20"/>
        <v>237931.2541</v>
      </c>
    </row>
    <row r="23" ht="15.0" customHeight="1">
      <c r="A23" s="1">
        <v>10.0</v>
      </c>
      <c r="B23" s="1">
        <v>2027.0</v>
      </c>
      <c r="C23" s="1" t="s">
        <v>692</v>
      </c>
      <c r="D23" s="1" t="str">
        <f t="shared" si="21"/>
        <v>09/2027</v>
      </c>
      <c r="E23" s="1" t="str">
        <f t="shared" si="2"/>
        <v>FAT_RSU</v>
      </c>
      <c r="F23" s="32">
        <f>Salary_Schedule!E23</f>
        <v>7734.74</v>
      </c>
      <c r="G23" s="32">
        <f>Assumptions!$B$8</f>
        <v>200</v>
      </c>
      <c r="H23" s="32">
        <f>F23*Assumptions!$B$58</f>
        <v>773.474</v>
      </c>
      <c r="I23" s="32">
        <f>Salary_Schedule!F23</f>
        <v>0</v>
      </c>
      <c r="J23" s="32">
        <f>I23*Assumptions!$B$9</f>
        <v>0</v>
      </c>
      <c r="K23" s="54">
        <f t="shared" si="3"/>
        <v>6761.266</v>
      </c>
      <c r="L23" s="32">
        <f>IF(COUNTIFS(SL_Income_Log!$B:$B,TEXT(B23,"0000")&amp;"-"&amp;TEXT(A23,"00"),SL_Income_Log!$C:$C,"salary",SL_Income_Log!$E:$E,"H")&gt;0,SUMIFS(SL_Income_Log!$D:$D,SL_Income_Log!$B:$B,TEXT(B23,"0000")&amp;"-"&amp;TEXT(A23,"00"),SL_Income_Log!$C:$C,"salary",SL_Income_Log!$E:$E,"H"),K23*(1-Assumptions!$B$102)-Z23-Y23)</f>
        <v>3704.7196</v>
      </c>
      <c r="M23" s="32">
        <f>RSU_Schedule!H22</f>
        <v>2972.56</v>
      </c>
      <c r="N23" s="32">
        <f>Salary_Schedule!G23</f>
        <v>6412.51</v>
      </c>
      <c r="O23" s="32">
        <f>Assumptions!$B$19</f>
        <v>200</v>
      </c>
      <c r="P23" s="32">
        <f>N23*Assumptions!$B$59</f>
        <v>641.251</v>
      </c>
      <c r="Q23" s="32">
        <f>Salary_Schedule!H23</f>
        <v>0</v>
      </c>
      <c r="R23" s="32">
        <f>Q23*Assumptions!$B$20</f>
        <v>0</v>
      </c>
      <c r="S23" s="54">
        <f t="shared" si="4"/>
        <v>5571.259</v>
      </c>
      <c r="T23" s="32">
        <f>IF(COUNTIFS(SL_Income_Log!$B:$B,TEXT(B23,"0000")&amp;"-"&amp;TEXT(A23,"00"),SL_Income_Log!$C:$C,"salary",SL_Income_Log!$E:$E,"W")&gt;0,SUMIFS(SL_Income_Log!$D:$D,SL_Income_Log!$B:$B,TEXT(B23,"0000")&amp;"-"&amp;TEXT(A23,"00"),SL_Income_Log!$C:$C,"salary",SL_Income_Log!$E:$E,"W"),S23*(1-Assumptions!$B$102)-AC23-AB23)
</f>
        <v>2990.7154</v>
      </c>
      <c r="U23" s="32">
        <f>RSU_Schedule!M22</f>
        <v>1486.28</v>
      </c>
      <c r="V23" s="32">
        <f>H23*(1+Assumptions!$B$60)+Assumptions!$B$61</f>
        <v>1102.8636</v>
      </c>
      <c r="W23" s="32">
        <f>P23*(1+Assumptions!$B$60)+Assumptions!$B$61</f>
        <v>917.7514</v>
      </c>
      <c r="X23" s="32">
        <f t="shared" si="5"/>
        <v>2020.615</v>
      </c>
      <c r="Y23" s="32">
        <f t="shared" si="22"/>
        <v>60.37</v>
      </c>
      <c r="Z23" s="32">
        <v>291.67</v>
      </c>
      <c r="AA23" s="32">
        <f t="shared" si="23"/>
        <v>19833.26</v>
      </c>
      <c r="AB23" s="32">
        <f t="shared" si="24"/>
        <v>60.37</v>
      </c>
      <c r="AC23" s="32">
        <v>291.67</v>
      </c>
      <c r="AD23" s="32">
        <f t="shared" si="25"/>
        <v>19833.26</v>
      </c>
      <c r="AE23" s="32">
        <f t="shared" ref="AE23:AF23" si="64">Z23+AC23</f>
        <v>583.34</v>
      </c>
      <c r="AF23" s="32">
        <f t="shared" si="64"/>
        <v>39666.52</v>
      </c>
      <c r="AG23" s="32">
        <f>IF(COUNTIFS(SL_Income_Log!$B:$B,TEXT(B23,"0000")&amp;"-"&amp;TEXT(A23,"00"),SL_Income_Log!$C:$C,"youtube")&gt;0,SUMIFS(SL_Income_Log!$D:$D,SL_Income_Log!$B:$B,TEXT(B23,"0000")&amp;"-"&amp;TEXT(A23,"00"),SL_Income_Log!$C:$C,"youtube"),MIN(Assumptions!$B$49+FLOOR((ROW()-2)/6,1)*Assumptions!$B$50,Assumptions!$B$51))
</f>
        <v>4000</v>
      </c>
      <c r="AH23" s="32">
        <f>AG23*Assumptions!$B$104</f>
        <v>1772</v>
      </c>
      <c r="AI23" s="32">
        <f t="shared" si="7"/>
        <v>2228</v>
      </c>
      <c r="AJ23" s="32">
        <f>SUMIFS(SL_Income_Log!$D:$D,SL_Income_Log!$B:$B,TEXT(B23,"0000")&amp;"-"&amp;TEXT(A23,"00"),SL_Income_Log!$C:$C,"other")</f>
        <v>0</v>
      </c>
      <c r="AK23" s="32">
        <f t="shared" si="27"/>
        <v>10000</v>
      </c>
      <c r="AL23" s="32">
        <f>L23+M23+T23+U23+AI23+AJ23-Y23-Z23-AB23-AC23+IF((Debt_Register!$C$2+Debt_Register!$C$6+Debt_Register!$C$7+Debt_Register!$C$8+Debt_Register!$C$9)&gt;5,X23,0)</f>
        <v>14698.81</v>
      </c>
      <c r="AM23" s="32">
        <f t="shared" si="8"/>
        <v>24698.81</v>
      </c>
      <c r="AN23" s="32">
        <f>MAX(Assumptions!$B$94,MIN(Assumptions!$B$93,AM23-AP23-BE23-BO23-BQ23))</f>
        <v>10000</v>
      </c>
      <c r="AO23" s="32">
        <f t="shared" si="28"/>
        <v>354187.5773</v>
      </c>
      <c r="AP23" s="32">
        <f>IF(AO23&gt;0,Assumptions!$B$33,0)</f>
        <v>2281</v>
      </c>
      <c r="AQ23" s="32">
        <f>AO23*Assumptions!$B$32/12</f>
        <v>1148.158063</v>
      </c>
      <c r="AR23" s="32">
        <f t="shared" si="9"/>
        <v>1132.841937</v>
      </c>
      <c r="AS23" s="32">
        <f t="shared" si="29"/>
        <v>0</v>
      </c>
      <c r="AT23" s="32">
        <f t="shared" si="10"/>
        <v>353054.7354</v>
      </c>
      <c r="AU23" s="32">
        <f t="shared" si="30"/>
        <v>0</v>
      </c>
      <c r="AV23" s="32">
        <f t="shared" si="31"/>
        <v>0</v>
      </c>
      <c r="AW23" s="32">
        <f t="shared" si="32"/>
        <v>0</v>
      </c>
      <c r="AX23" s="32">
        <f t="shared" si="33"/>
        <v>0</v>
      </c>
      <c r="AY23" s="32">
        <f t="shared" si="34"/>
        <v>0</v>
      </c>
      <c r="AZ23" s="32">
        <f t="shared" si="35"/>
        <v>0</v>
      </c>
      <c r="BA23" s="32">
        <f t="shared" si="36"/>
        <v>0</v>
      </c>
      <c r="BB23" s="32">
        <f t="shared" si="37"/>
        <v>0</v>
      </c>
      <c r="BC23" s="32">
        <f t="shared" si="38"/>
        <v>0</v>
      </c>
      <c r="BD23" s="32">
        <f t="shared" si="39"/>
        <v>0</v>
      </c>
      <c r="BE23" s="32">
        <f t="shared" si="11"/>
        <v>0</v>
      </c>
      <c r="BF23" s="32">
        <v>0.0</v>
      </c>
      <c r="BG23" s="32">
        <f t="shared" si="40"/>
        <v>5500</v>
      </c>
      <c r="BH23" s="32">
        <v>0.0</v>
      </c>
      <c r="BI23" s="32">
        <f t="shared" si="41"/>
        <v>5000</v>
      </c>
      <c r="BJ23" s="32">
        <f>IF(OR(B23&lt;Assumptions!$B$111,AND(B23=Assumptions!$B$111,A23&lt;=Assumptions!$B$112)),Assumptions!$B$110,0)</f>
        <v>0</v>
      </c>
      <c r="BK23" s="32">
        <f>IF(B23&lt;2027,Assumptions!$B$116+IF(OR(A23=4,A23=10),Assumptions!$B$117,0),IF(AND(B23=2027,A23&lt;=4),IF(A23=4,MIN(950,Assumptions!$B$116+Assumptions!$B$117),Assumptions!$B$116),0))</f>
        <v>0</v>
      </c>
      <c r="BL23" s="32">
        <f>IF(OR(B23&lt;2030,AND(B23=2030,A23&lt;8)),Assumptions!$B$118,IF(AND(B23=2030,A23=8),MOD(11000,200),0))</f>
        <v>200</v>
      </c>
      <c r="BM23" s="32">
        <f>IF(OR(B23&lt;Assumptions!$B$120,AND(B23=Assumptions!$B$120,A23&lt;=Assumptions!$B$121)),Assumptions!$B$119,0)</f>
        <v>0</v>
      </c>
      <c r="BN23" s="32">
        <f>IF(AND(B23&lt;=Assumptions!$B$123,A23&lt;=Assumptions!$B$124),Assumptions!$B$122,0)</f>
        <v>0</v>
      </c>
      <c r="BO23" s="32">
        <f t="shared" si="12"/>
        <v>200</v>
      </c>
      <c r="BP23" s="32">
        <f>SUMIFS(SL_Budget!$B:$B,SL_Budget!$C:$C,"'"&amp;TEXT(DATE(B23,A23,1),"YYYY-MM"))</f>
        <v>4237</v>
      </c>
      <c r="BQ23" s="32">
        <f>MAX(BP23, IFERROR(SUMIFS(ShadowLedger!D:D, 
  ShadowLedger!C:C, "&gt;="&amp;DATE(B23,A23,1), 
  ShadowLedger!C:C, "&lt;"&amp;EOMONTH(DATE(B23,A23,1),0)+1), 0))
</f>
        <v>4237</v>
      </c>
      <c r="BR23" s="32">
        <f t="shared" si="42"/>
        <v>50599.44627</v>
      </c>
      <c r="BS23" s="32">
        <f t="shared" si="43"/>
        <v>2020.615</v>
      </c>
      <c r="BT23" s="32">
        <f>IF(AS23&gt;0,-MAX(0,21550-MAX(0,MAX(0,(AM23-AP23-BE23-BO23-BQ23)-Assumptions!$B$93))-MIN(MAX(0,21550-MAX(0,MAX(0,(AM23-AP23-BE23-BO23-BQ23)-Assumptions!$B$93))),MAX(0,BY22-Assumptions!$B$91))),IF(BY22&gt;=Assumptions!$B$92,MAX(0,(AM23-AP23-BE23-BO23-BQ23)-Assumptions!$B$93),MAX(0,(AM23-AP23-BE23-BO23-BQ23)-Assumptions!$B$93)*Assumptions!$B$99))</f>
        <v>6384.648</v>
      </c>
      <c r="BU23" s="32">
        <f>(BR23+BS23+MAX(0,BT23))*(Assumptions!$B$43-1)</f>
        <v>402.2941078</v>
      </c>
      <c r="BV23" s="32">
        <f t="shared" si="13"/>
        <v>59407.00338</v>
      </c>
      <c r="BW23" s="32">
        <f t="shared" si="44"/>
        <v>7869.636</v>
      </c>
      <c r="BX23" s="32">
        <f>IF(AS23&gt;0,-MIN(MAX(0,21550-MAX(0,MAX(0,(AM23-AP23-BE23-BO23-BQ23)-Assumptions!$B$93))),MAX(0,BY22-Assumptions!$B$91)),IF(BY22&lt;Assumptions!$B$92,MAX(0,(AM23-AP23-BE23-BO23-BQ23)-Assumptions!$B$93)*Assumptions!$B$98,0))</f>
        <v>1596.162</v>
      </c>
      <c r="BY23" s="32">
        <f t="shared" si="14"/>
        <v>9465.798</v>
      </c>
      <c r="BZ23" s="32">
        <f t="shared" si="45"/>
        <v>13290</v>
      </c>
      <c r="CA23" s="32">
        <f t="shared" si="15"/>
        <v>1772</v>
      </c>
      <c r="CB23" s="32">
        <f t="shared" si="16"/>
        <v>15062</v>
      </c>
      <c r="CC23" s="55">
        <f>CC22+(G23+J23)/(Salary_Schedule!E23*12/208)</f>
        <v>1726.305499</v>
      </c>
      <c r="CD23" s="55">
        <f>CD22+(O23+R23)/(Salary_Schedule!G23*12/208)</f>
        <v>48.29846814</v>
      </c>
      <c r="CE23" s="32">
        <f t="shared" si="17"/>
        <v>59407.00338</v>
      </c>
      <c r="CF23" s="32">
        <f>Assumptions!$B$55*(1+Assumptions!$B$56)^((B23-2025)+(A23-1)/12)</f>
        <v>541732.586</v>
      </c>
      <c r="CG23" s="32">
        <f t="shared" si="18"/>
        <v>-353054.7354</v>
      </c>
      <c r="CH23" s="32">
        <f t="shared" si="19"/>
        <v>-50166.52</v>
      </c>
      <c r="CI23" s="32">
        <f>CC23*(Salary_Schedule!E23/173.33)*(1-Assumptions!$B$28)+CD23*(Salary_Schedule!G23/173.33)*(1-Assumptions!$B$28)</f>
        <v>51234.38004</v>
      </c>
      <c r="CJ23" s="32">
        <f t="shared" si="20"/>
        <v>249152.714</v>
      </c>
    </row>
    <row r="24" ht="15.0" customHeight="1">
      <c r="A24" s="1">
        <v>11.0</v>
      </c>
      <c r="B24" s="1">
        <v>2027.0</v>
      </c>
      <c r="C24" s="1" t="s">
        <v>693</v>
      </c>
      <c r="D24" s="1" t="str">
        <f t="shared" si="21"/>
        <v>10/2027</v>
      </c>
      <c r="E24" s="1" t="str">
        <f t="shared" si="2"/>
        <v>LEAN</v>
      </c>
      <c r="F24" s="32">
        <f>Salary_Schedule!E24</f>
        <v>7734.74</v>
      </c>
      <c r="G24" s="32">
        <f>Assumptions!$B$8</f>
        <v>200</v>
      </c>
      <c r="H24" s="32">
        <f>F24*Assumptions!$B$58</f>
        <v>773.474</v>
      </c>
      <c r="I24" s="32">
        <f>Salary_Schedule!F24</f>
        <v>0</v>
      </c>
      <c r="J24" s="32">
        <f>I24*Assumptions!$B$9</f>
        <v>0</v>
      </c>
      <c r="K24" s="54">
        <f t="shared" si="3"/>
        <v>6761.266</v>
      </c>
      <c r="L24" s="32">
        <f>IF(COUNTIFS(SL_Income_Log!$B:$B,TEXT(B24,"0000")&amp;"-"&amp;TEXT(A24,"00"),SL_Income_Log!$C:$C,"salary",SL_Income_Log!$E:$E,"H")&gt;0,SUMIFS(SL_Income_Log!$D:$D,SL_Income_Log!$B:$B,TEXT(B24,"0000")&amp;"-"&amp;TEXT(A24,"00"),SL_Income_Log!$C:$C,"salary",SL_Income_Log!$E:$E,"H"),K24*(1-Assumptions!$B$102)-Z24-Y24)</f>
        <v>3705.5896</v>
      </c>
      <c r="M24" s="32">
        <f>RSU_Schedule!H23</f>
        <v>0</v>
      </c>
      <c r="N24" s="32">
        <f>Salary_Schedule!G24</f>
        <v>6412.51</v>
      </c>
      <c r="O24" s="32">
        <f>Assumptions!$B$19</f>
        <v>200</v>
      </c>
      <c r="P24" s="32">
        <f>N24*Assumptions!$B$59</f>
        <v>641.251</v>
      </c>
      <c r="Q24" s="32">
        <f>Salary_Schedule!H24</f>
        <v>0</v>
      </c>
      <c r="R24" s="32">
        <f>Q24*Assumptions!$B$20</f>
        <v>0</v>
      </c>
      <c r="S24" s="54">
        <f t="shared" si="4"/>
        <v>5571.259</v>
      </c>
      <c r="T24" s="32">
        <f>IF(COUNTIFS(SL_Income_Log!$B:$B,TEXT(B24,"0000")&amp;"-"&amp;TEXT(A24,"00"),SL_Income_Log!$C:$C,"salary",SL_Income_Log!$E:$E,"W")&gt;0,SUMIFS(SL_Income_Log!$D:$D,SL_Income_Log!$B:$B,TEXT(B24,"0000")&amp;"-"&amp;TEXT(A24,"00"),SL_Income_Log!$C:$C,"salary",SL_Income_Log!$E:$E,"W"),S24*(1-Assumptions!$B$102)-AC24-AB24)
</f>
        <v>2991.5854</v>
      </c>
      <c r="U24" s="32">
        <f>RSU_Schedule!M23</f>
        <v>0</v>
      </c>
      <c r="V24" s="32">
        <f>H24*(1+Assumptions!$B$60)+Assumptions!$B$61</f>
        <v>1102.8636</v>
      </c>
      <c r="W24" s="32">
        <f>P24*(1+Assumptions!$B$60)+Assumptions!$B$61</f>
        <v>917.7514</v>
      </c>
      <c r="X24" s="32">
        <f t="shared" si="5"/>
        <v>2020.615</v>
      </c>
      <c r="Y24" s="32">
        <f t="shared" si="22"/>
        <v>59.5</v>
      </c>
      <c r="Z24" s="32">
        <v>291.67</v>
      </c>
      <c r="AA24" s="32">
        <f t="shared" si="23"/>
        <v>19541.59</v>
      </c>
      <c r="AB24" s="32">
        <f t="shared" si="24"/>
        <v>59.5</v>
      </c>
      <c r="AC24" s="32">
        <v>291.67</v>
      </c>
      <c r="AD24" s="32">
        <f t="shared" si="25"/>
        <v>19541.59</v>
      </c>
      <c r="AE24" s="32">
        <f t="shared" ref="AE24:AF24" si="65">Z24+AC24</f>
        <v>583.34</v>
      </c>
      <c r="AF24" s="32">
        <f t="shared" si="65"/>
        <v>39083.18</v>
      </c>
      <c r="AG24" s="32">
        <f>IF(COUNTIFS(SL_Income_Log!$B:$B,TEXT(B24,"0000")&amp;"-"&amp;TEXT(A24,"00"),SL_Income_Log!$C:$C,"youtube")&gt;0,SUMIFS(SL_Income_Log!$D:$D,SL_Income_Log!$B:$B,TEXT(B24,"0000")&amp;"-"&amp;TEXT(A24,"00"),SL_Income_Log!$C:$C,"youtube"),MIN(Assumptions!$B$49+FLOOR((ROW()-2)/6,1)*Assumptions!$B$50,Assumptions!$B$51))
</f>
        <v>4000</v>
      </c>
      <c r="AH24" s="32">
        <f>AG24*Assumptions!$B$104</f>
        <v>1772</v>
      </c>
      <c r="AI24" s="32">
        <f t="shared" si="7"/>
        <v>2228</v>
      </c>
      <c r="AJ24" s="32">
        <f>SUMIFS(SL_Income_Log!$D:$D,SL_Income_Log!$B:$B,TEXT(B24,"0000")&amp;"-"&amp;TEXT(A24,"00"),SL_Income_Log!$C:$C,"other")</f>
        <v>0</v>
      </c>
      <c r="AK24" s="32">
        <f t="shared" si="27"/>
        <v>10000</v>
      </c>
      <c r="AL24" s="32">
        <f>L24+M24+T24+U24+AI24+AJ24-Y24-Z24-AB24-AC24+IF((Debt_Register!$C$2+Debt_Register!$C$6+Debt_Register!$C$7+Debt_Register!$C$8+Debt_Register!$C$9)&gt;5,X24,0)</f>
        <v>10243.45</v>
      </c>
      <c r="AM24" s="32">
        <f t="shared" si="8"/>
        <v>20243.45</v>
      </c>
      <c r="AN24" s="32">
        <f>MAX(Assumptions!$B$94,MIN(Assumptions!$B$93,AM24-AP24-BE24-BO24-BQ24))</f>
        <v>10000</v>
      </c>
      <c r="AO24" s="32">
        <f t="shared" si="28"/>
        <v>353054.7354</v>
      </c>
      <c r="AP24" s="32">
        <f>IF(AO24&gt;0,Assumptions!$B$33,0)</f>
        <v>2281</v>
      </c>
      <c r="AQ24" s="32">
        <f>AO24*Assumptions!$B$32/12</f>
        <v>1144.485767</v>
      </c>
      <c r="AR24" s="32">
        <f t="shared" si="9"/>
        <v>1136.514233</v>
      </c>
      <c r="AS24" s="32">
        <f t="shared" si="29"/>
        <v>0</v>
      </c>
      <c r="AT24" s="32">
        <f t="shared" si="10"/>
        <v>351918.2212</v>
      </c>
      <c r="AU24" s="32">
        <f t="shared" si="30"/>
        <v>0</v>
      </c>
      <c r="AV24" s="32">
        <f t="shared" si="31"/>
        <v>0</v>
      </c>
      <c r="AW24" s="32">
        <f t="shared" si="32"/>
        <v>0</v>
      </c>
      <c r="AX24" s="32">
        <f t="shared" si="33"/>
        <v>0</v>
      </c>
      <c r="AY24" s="32">
        <f t="shared" si="34"/>
        <v>0</v>
      </c>
      <c r="AZ24" s="32">
        <f t="shared" si="35"/>
        <v>0</v>
      </c>
      <c r="BA24" s="32">
        <f t="shared" si="36"/>
        <v>0</v>
      </c>
      <c r="BB24" s="32">
        <f t="shared" si="37"/>
        <v>0</v>
      </c>
      <c r="BC24" s="32">
        <f t="shared" si="38"/>
        <v>0</v>
      </c>
      <c r="BD24" s="32">
        <f t="shared" si="39"/>
        <v>0</v>
      </c>
      <c r="BE24" s="32">
        <f t="shared" si="11"/>
        <v>0</v>
      </c>
      <c r="BF24" s="32">
        <v>0.0</v>
      </c>
      <c r="BG24" s="32">
        <f t="shared" si="40"/>
        <v>5500</v>
      </c>
      <c r="BH24" s="32">
        <v>0.0</v>
      </c>
      <c r="BI24" s="32">
        <f t="shared" si="41"/>
        <v>5000</v>
      </c>
      <c r="BJ24" s="32">
        <f>IF(OR(B24&lt;Assumptions!$B$111,AND(B24=Assumptions!$B$111,A24&lt;=Assumptions!$B$112)),Assumptions!$B$110,0)</f>
        <v>0</v>
      </c>
      <c r="BK24" s="32">
        <f>IF(B24&lt;2027,Assumptions!$B$116+IF(OR(A24=4,A24=10),Assumptions!$B$117,0),IF(AND(B24=2027,A24&lt;=4),IF(A24=4,MIN(950,Assumptions!$B$116+Assumptions!$B$117),Assumptions!$B$116),0))</f>
        <v>0</v>
      </c>
      <c r="BL24" s="32">
        <f>IF(OR(B24&lt;2030,AND(B24=2030,A24&lt;8)),Assumptions!$B$118,IF(AND(B24=2030,A24=8),MOD(11000,200),0))</f>
        <v>200</v>
      </c>
      <c r="BM24" s="32">
        <f>IF(OR(B24&lt;Assumptions!$B$120,AND(B24=Assumptions!$B$120,A24&lt;=Assumptions!$B$121)),Assumptions!$B$119,0)</f>
        <v>0</v>
      </c>
      <c r="BN24" s="32">
        <f>IF(AND(B24&lt;=Assumptions!$B$123,A24&lt;=Assumptions!$B$124),Assumptions!$B$122,0)</f>
        <v>0</v>
      </c>
      <c r="BO24" s="32">
        <f t="shared" si="12"/>
        <v>200</v>
      </c>
      <c r="BP24" s="32">
        <f>SUMIFS(SL_Budget!$B:$B,SL_Budget!$C:$C,"'"&amp;TEXT(DATE(B24,A24,1),"YYYY-MM"))</f>
        <v>4237</v>
      </c>
      <c r="BQ24" s="32">
        <f>MAX(BP24, IFERROR(SUMIFS(ShadowLedger!D:D, 
  ShadowLedger!C:C, "&gt;="&amp;DATE(B24,A24,1), 
  ShadowLedger!C:C, "&lt;"&amp;EOMONTH(DATE(B24,A24,1),0)+1), 0))
</f>
        <v>4237</v>
      </c>
      <c r="BR24" s="32">
        <f t="shared" si="42"/>
        <v>59407.00338</v>
      </c>
      <c r="BS24" s="32">
        <f t="shared" si="43"/>
        <v>2020.615</v>
      </c>
      <c r="BT24" s="32">
        <f>IF(AS24&gt;0,-MAX(0,21550-MAX(0,MAX(0,(AM24-AP24-BE24-BO24-BQ24)-Assumptions!$B$93))-MIN(MAX(0,21550-MAX(0,MAX(0,(AM24-AP24-BE24-BO24-BQ24)-Assumptions!$B$93))),MAX(0,BY23-Assumptions!$B$91))),IF(BY23&gt;=Assumptions!$B$92,MAX(0,(AM24-AP24-BE24-BO24-BQ24)-Assumptions!$B$93),MAX(0,(AM24-AP24-BE24-BO24-BQ24)-Assumptions!$B$93)*Assumptions!$B$99))</f>
        <v>2820.36</v>
      </c>
      <c r="BU24" s="32">
        <f>(BR24+BS24+MAX(0,BT24))*(Assumptions!$B$43-1)</f>
        <v>438.0427166</v>
      </c>
      <c r="BV24" s="32">
        <f t="shared" si="13"/>
        <v>64686.0211</v>
      </c>
      <c r="BW24" s="32">
        <f t="shared" si="44"/>
        <v>9465.798</v>
      </c>
      <c r="BX24" s="32">
        <f>IF(AS24&gt;0,-MIN(MAX(0,21550-MAX(0,MAX(0,(AM24-AP24-BE24-BO24-BQ24)-Assumptions!$B$93))),MAX(0,BY23-Assumptions!$B$91)),IF(BY23&lt;Assumptions!$B$92,MAX(0,(AM24-AP24-BE24-BO24-BQ24)-Assumptions!$B$93)*Assumptions!$B$98,0))</f>
        <v>705.09</v>
      </c>
      <c r="BY24" s="32">
        <f t="shared" si="14"/>
        <v>10170.888</v>
      </c>
      <c r="BZ24" s="32">
        <f t="shared" si="45"/>
        <v>15062</v>
      </c>
      <c r="CA24" s="32">
        <f t="shared" si="15"/>
        <v>1772</v>
      </c>
      <c r="CB24" s="32">
        <f t="shared" si="16"/>
        <v>16834</v>
      </c>
      <c r="CC24" s="55">
        <f>CC23+(G24+J24)/(Salary_Schedule!E24*12/208)</f>
        <v>1726.753693</v>
      </c>
      <c r="CD24" s="55">
        <f>CD23+(O24+R24)/(Salary_Schedule!G24*12/208)</f>
        <v>48.83907808</v>
      </c>
      <c r="CE24" s="32">
        <f t="shared" si="17"/>
        <v>64686.0211</v>
      </c>
      <c r="CF24" s="32">
        <f>Assumptions!$B$55*(1+Assumptions!$B$56)^((B24-2025)+(A24-1)/12)</f>
        <v>542405.1404</v>
      </c>
      <c r="CG24" s="32">
        <f t="shared" si="18"/>
        <v>-351918.2212</v>
      </c>
      <c r="CH24" s="32">
        <f t="shared" si="19"/>
        <v>-49583.18</v>
      </c>
      <c r="CI24" s="32">
        <f>CC24*(Salary_Schedule!E24/173.33)*(1-Assumptions!$B$28)+CD24*(Salary_Schedule!G24/173.33)*(1-Assumptions!$B$28)</f>
        <v>51260.38054</v>
      </c>
      <c r="CJ24" s="32">
        <f t="shared" si="20"/>
        <v>256850.1408</v>
      </c>
    </row>
    <row r="25" ht="15.0" customHeight="1">
      <c r="A25" s="1">
        <v>12.0</v>
      </c>
      <c r="B25" s="1">
        <v>2027.0</v>
      </c>
      <c r="C25" s="1" t="s">
        <v>694</v>
      </c>
      <c r="D25" s="1" t="str">
        <f t="shared" si="21"/>
        <v>11/2027</v>
      </c>
      <c r="E25" s="1" t="str">
        <f t="shared" si="2"/>
        <v>LEAN</v>
      </c>
      <c r="F25" s="32">
        <f>Salary_Schedule!E25</f>
        <v>7734.74</v>
      </c>
      <c r="G25" s="32">
        <f>Assumptions!$B$8</f>
        <v>200</v>
      </c>
      <c r="H25" s="32">
        <f>F25*Assumptions!$B$58</f>
        <v>773.474</v>
      </c>
      <c r="I25" s="32">
        <f>Salary_Schedule!F25</f>
        <v>0</v>
      </c>
      <c r="J25" s="32">
        <f>I25*Assumptions!$B$9</f>
        <v>0</v>
      </c>
      <c r="K25" s="54">
        <f t="shared" si="3"/>
        <v>6761.266</v>
      </c>
      <c r="L25" s="32">
        <f>IF(COUNTIFS(SL_Income_Log!$B:$B,TEXT(B25,"0000")&amp;"-"&amp;TEXT(A25,"00"),SL_Income_Log!$C:$C,"salary",SL_Income_Log!$E:$E,"H")&gt;0,SUMIFS(SL_Income_Log!$D:$D,SL_Income_Log!$B:$B,TEXT(B25,"0000")&amp;"-"&amp;TEXT(A25,"00"),SL_Income_Log!$C:$C,"salary",SL_Income_Log!$E:$E,"H"),K25*(1-Assumptions!$B$102)-Z25-Y25)</f>
        <v>3706.4696</v>
      </c>
      <c r="M25" s="32">
        <f>RSU_Schedule!H24</f>
        <v>0</v>
      </c>
      <c r="N25" s="32">
        <f>Salary_Schedule!G25</f>
        <v>6412.51</v>
      </c>
      <c r="O25" s="32">
        <f>Assumptions!$B$19</f>
        <v>200</v>
      </c>
      <c r="P25" s="32">
        <f>N25*Assumptions!$B$59</f>
        <v>641.251</v>
      </c>
      <c r="Q25" s="32">
        <f>Salary_Schedule!H25</f>
        <v>0</v>
      </c>
      <c r="R25" s="32">
        <f>Q25*Assumptions!$B$20</f>
        <v>0</v>
      </c>
      <c r="S25" s="54">
        <f t="shared" si="4"/>
        <v>5571.259</v>
      </c>
      <c r="T25" s="32">
        <f>IF(COUNTIFS(SL_Income_Log!$B:$B,TEXT(B25,"0000")&amp;"-"&amp;TEXT(A25,"00"),SL_Income_Log!$C:$C,"salary",SL_Income_Log!$E:$E,"W")&gt;0,SUMIFS(SL_Income_Log!$D:$D,SL_Income_Log!$B:$B,TEXT(B25,"0000")&amp;"-"&amp;TEXT(A25,"00"),SL_Income_Log!$C:$C,"salary",SL_Income_Log!$E:$E,"W"),S25*(1-Assumptions!$B$102)-AC25-AB25)
</f>
        <v>2992.4654</v>
      </c>
      <c r="U25" s="32">
        <f>RSU_Schedule!M24</f>
        <v>0</v>
      </c>
      <c r="V25" s="32">
        <f>H25*(1+Assumptions!$B$60)+Assumptions!$B$61</f>
        <v>1102.8636</v>
      </c>
      <c r="W25" s="32">
        <f>P25*(1+Assumptions!$B$60)+Assumptions!$B$61</f>
        <v>917.7514</v>
      </c>
      <c r="X25" s="32">
        <f t="shared" si="5"/>
        <v>2020.615</v>
      </c>
      <c r="Y25" s="32">
        <f t="shared" si="22"/>
        <v>58.62</v>
      </c>
      <c r="Z25" s="32">
        <v>291.67</v>
      </c>
      <c r="AA25" s="32">
        <f t="shared" si="23"/>
        <v>19249.92</v>
      </c>
      <c r="AB25" s="32">
        <f t="shared" si="24"/>
        <v>58.62</v>
      </c>
      <c r="AC25" s="32">
        <v>291.67</v>
      </c>
      <c r="AD25" s="32">
        <f t="shared" si="25"/>
        <v>19249.92</v>
      </c>
      <c r="AE25" s="32">
        <f t="shared" ref="AE25:AF25" si="66">Z25+AC25</f>
        <v>583.34</v>
      </c>
      <c r="AF25" s="32">
        <f t="shared" si="66"/>
        <v>38499.84</v>
      </c>
      <c r="AG25" s="32">
        <f>IF(COUNTIFS(SL_Income_Log!$B:$B,TEXT(B25,"0000")&amp;"-"&amp;TEXT(A25,"00"),SL_Income_Log!$C:$C,"youtube")&gt;0,SUMIFS(SL_Income_Log!$D:$D,SL_Income_Log!$B:$B,TEXT(B25,"0000")&amp;"-"&amp;TEXT(A25,"00"),SL_Income_Log!$C:$C,"youtube"),MIN(Assumptions!$B$49+FLOOR((ROW()-2)/6,1)*Assumptions!$B$50,Assumptions!$B$51))
</f>
        <v>4000</v>
      </c>
      <c r="AH25" s="32">
        <f>AG25*Assumptions!$B$104</f>
        <v>1772</v>
      </c>
      <c r="AI25" s="32">
        <f t="shared" si="7"/>
        <v>2228</v>
      </c>
      <c r="AJ25" s="32">
        <f>SUMIFS(SL_Income_Log!$D:$D,SL_Income_Log!$B:$B,TEXT(B25,"0000")&amp;"-"&amp;TEXT(A25,"00"),SL_Income_Log!$C:$C,"other")</f>
        <v>0</v>
      </c>
      <c r="AK25" s="32">
        <f t="shared" si="27"/>
        <v>10000</v>
      </c>
      <c r="AL25" s="32">
        <f>L25+M25+T25+U25+AI25+AJ25-Y25-Z25-AB25-AC25+IF((Debt_Register!$C$2+Debt_Register!$C$6+Debt_Register!$C$7+Debt_Register!$C$8+Debt_Register!$C$9)&gt;5,X25,0)</f>
        <v>10246.97</v>
      </c>
      <c r="AM25" s="32">
        <f t="shared" si="8"/>
        <v>20246.97</v>
      </c>
      <c r="AN25" s="32">
        <f>MAX(Assumptions!$B$94,MIN(Assumptions!$B$93,AM25-AP25-BE25-BO25-BQ25))</f>
        <v>10000</v>
      </c>
      <c r="AO25" s="32">
        <f t="shared" si="28"/>
        <v>351918.2212</v>
      </c>
      <c r="AP25" s="32">
        <f>IF(AO25&gt;0,Assumptions!$B$33,0)</f>
        <v>2281</v>
      </c>
      <c r="AQ25" s="32">
        <f>AO25*Assumptions!$B$32/12</f>
        <v>1140.801567</v>
      </c>
      <c r="AR25" s="32">
        <f t="shared" si="9"/>
        <v>1140.198433</v>
      </c>
      <c r="AS25" s="32">
        <f t="shared" si="29"/>
        <v>0</v>
      </c>
      <c r="AT25" s="32">
        <f t="shared" si="10"/>
        <v>350778.0227</v>
      </c>
      <c r="AU25" s="32">
        <f t="shared" si="30"/>
        <v>0</v>
      </c>
      <c r="AV25" s="32">
        <f t="shared" si="31"/>
        <v>0</v>
      </c>
      <c r="AW25" s="32">
        <f t="shared" si="32"/>
        <v>0</v>
      </c>
      <c r="AX25" s="32">
        <f t="shared" si="33"/>
        <v>0</v>
      </c>
      <c r="AY25" s="32">
        <f t="shared" si="34"/>
        <v>0</v>
      </c>
      <c r="AZ25" s="32">
        <f t="shared" si="35"/>
        <v>0</v>
      </c>
      <c r="BA25" s="32">
        <f t="shared" si="36"/>
        <v>0</v>
      </c>
      <c r="BB25" s="32">
        <f t="shared" si="37"/>
        <v>0</v>
      </c>
      <c r="BC25" s="32">
        <f t="shared" si="38"/>
        <v>0</v>
      </c>
      <c r="BD25" s="32">
        <f t="shared" si="39"/>
        <v>0</v>
      </c>
      <c r="BE25" s="32">
        <f t="shared" si="11"/>
        <v>0</v>
      </c>
      <c r="BF25" s="32">
        <v>0.0</v>
      </c>
      <c r="BG25" s="32">
        <f t="shared" si="40"/>
        <v>5500</v>
      </c>
      <c r="BH25" s="32">
        <v>0.0</v>
      </c>
      <c r="BI25" s="32">
        <f t="shared" si="41"/>
        <v>5000</v>
      </c>
      <c r="BJ25" s="32">
        <f>IF(OR(B25&lt;Assumptions!$B$111,AND(B25=Assumptions!$B$111,A25&lt;=Assumptions!$B$112)),Assumptions!$B$110,0)</f>
        <v>0</v>
      </c>
      <c r="BK25" s="32">
        <f>IF(B25&lt;2027,Assumptions!$B$116+IF(OR(A25=4,A25=10),Assumptions!$B$117,0),IF(AND(B25=2027,A25&lt;=4),IF(A25=4,MIN(950,Assumptions!$B$116+Assumptions!$B$117),Assumptions!$B$116),0))</f>
        <v>0</v>
      </c>
      <c r="BL25" s="32">
        <f>IF(OR(B25&lt;2030,AND(B25=2030,A25&lt;8)),Assumptions!$B$118,IF(AND(B25=2030,A25=8),MOD(11000,200),0))</f>
        <v>200</v>
      </c>
      <c r="BM25" s="32">
        <f>IF(OR(B25&lt;Assumptions!$B$120,AND(B25=Assumptions!$B$120,A25&lt;=Assumptions!$B$121)),Assumptions!$B$119,0)</f>
        <v>0</v>
      </c>
      <c r="BN25" s="32">
        <f>IF(AND(B25&lt;=Assumptions!$B$123,A25&lt;=Assumptions!$B$124),Assumptions!$B$122,0)</f>
        <v>0</v>
      </c>
      <c r="BO25" s="32">
        <f t="shared" si="12"/>
        <v>200</v>
      </c>
      <c r="BP25" s="32">
        <f>SUMIFS(SL_Budget!$B:$B,SL_Budget!$C:$C,"'"&amp;TEXT(DATE(B25,A25,1),"YYYY-MM"))</f>
        <v>4237</v>
      </c>
      <c r="BQ25" s="32">
        <f>MAX(BP25, IFERROR(SUMIFS(ShadowLedger!D:D, 
  ShadowLedger!C:C, "&gt;="&amp;DATE(B25,A25,1), 
  ShadowLedger!C:C, "&lt;"&amp;EOMONTH(DATE(B25,A25,1),0)+1), 0))
</f>
        <v>4237</v>
      </c>
      <c r="BR25" s="32">
        <f t="shared" si="42"/>
        <v>64686.0211</v>
      </c>
      <c r="BS25" s="32">
        <f t="shared" si="43"/>
        <v>2020.615</v>
      </c>
      <c r="BT25" s="32">
        <f>IF(AS25&gt;0,-MAX(0,21550-MAX(0,MAX(0,(AM25-AP25-BE25-BO25-BQ25)-Assumptions!$B$93))-MIN(MAX(0,21550-MAX(0,MAX(0,(AM25-AP25-BE25-BO25-BQ25)-Assumptions!$B$93))),MAX(0,BY24-Assumptions!$B$91))),IF(BY24&gt;=Assumptions!$B$92,MAX(0,(AM25-AP25-BE25-BO25-BQ25)-Assumptions!$B$93),MAX(0,(AM25-AP25-BE25-BO25-BQ25)-Assumptions!$B$93)*Assumptions!$B$99))</f>
        <v>2823.176</v>
      </c>
      <c r="BU25" s="32">
        <f>(BR25+BS25+MAX(0,BT25))*(Assumptions!$B$43-1)</f>
        <v>474.0542589</v>
      </c>
      <c r="BV25" s="32">
        <f t="shared" si="13"/>
        <v>70003.86636</v>
      </c>
      <c r="BW25" s="32">
        <f t="shared" si="44"/>
        <v>10170.888</v>
      </c>
      <c r="BX25" s="32">
        <f>IF(AS25&gt;0,-MIN(MAX(0,21550-MAX(0,MAX(0,(AM25-AP25-BE25-BO25-BQ25)-Assumptions!$B$93))),MAX(0,BY24-Assumptions!$B$91)),IF(BY24&lt;Assumptions!$B$92,MAX(0,(AM25-AP25-BE25-BO25-BQ25)-Assumptions!$B$93)*Assumptions!$B$98,0))</f>
        <v>705.794</v>
      </c>
      <c r="BY25" s="32">
        <f t="shared" si="14"/>
        <v>10876.682</v>
      </c>
      <c r="BZ25" s="32">
        <f t="shared" si="45"/>
        <v>16834</v>
      </c>
      <c r="CA25" s="32">
        <f t="shared" si="15"/>
        <v>1772</v>
      </c>
      <c r="CB25" s="32">
        <f t="shared" si="16"/>
        <v>18606</v>
      </c>
      <c r="CC25" s="55">
        <f>CC24+(G25+J25)/(Salary_Schedule!E25*12/208)</f>
        <v>1727.201887</v>
      </c>
      <c r="CD25" s="55">
        <f>CD24+(O25+R25)/(Salary_Schedule!G25*12/208)</f>
        <v>49.37968802</v>
      </c>
      <c r="CE25" s="32">
        <f t="shared" si="17"/>
        <v>70003.86636</v>
      </c>
      <c r="CF25" s="32">
        <f>Assumptions!$B$55*(1+Assumptions!$B$56)^((B25-2025)+(A25-1)/12)</f>
        <v>543078.5297</v>
      </c>
      <c r="CG25" s="32">
        <f t="shared" si="18"/>
        <v>-350778.0227</v>
      </c>
      <c r="CH25" s="32">
        <f t="shared" si="19"/>
        <v>-48999.84</v>
      </c>
      <c r="CI25" s="32">
        <f>CC25*(Salary_Schedule!E25/173.33)*(1-Assumptions!$B$28)+CD25*(Salary_Schedule!G25/173.33)*(1-Assumptions!$B$28)</f>
        <v>51286.38104</v>
      </c>
      <c r="CJ25" s="32">
        <f t="shared" si="20"/>
        <v>264590.9143</v>
      </c>
    </row>
    <row r="26" ht="15.0" customHeight="1">
      <c r="A26" s="1">
        <v>1.0</v>
      </c>
      <c r="B26" s="1">
        <v>2028.0</v>
      </c>
      <c r="C26" s="1" t="s">
        <v>695</v>
      </c>
      <c r="D26" s="1" t="str">
        <f t="shared" si="21"/>
        <v>12/2027</v>
      </c>
      <c r="E26" s="1" t="str">
        <f t="shared" si="2"/>
        <v>FAT_RSU</v>
      </c>
      <c r="F26" s="32">
        <f>Salary_Schedule!E26</f>
        <v>8121.47</v>
      </c>
      <c r="G26" s="32">
        <f>Assumptions!$B$8</f>
        <v>200</v>
      </c>
      <c r="H26" s="32">
        <f>F26*Assumptions!$B$58</f>
        <v>812.147</v>
      </c>
      <c r="I26" s="32">
        <f>Salary_Schedule!F26</f>
        <v>0</v>
      </c>
      <c r="J26" s="32">
        <f>I26*Assumptions!$B$9</f>
        <v>0</v>
      </c>
      <c r="K26" s="54">
        <f t="shared" si="3"/>
        <v>7109.323</v>
      </c>
      <c r="L26" s="32">
        <f>IF(COUNTIFS(SL_Income_Log!$B:$B,TEXT(B26,"0000")&amp;"-"&amp;TEXT(A26,"00"),SL_Income_Log!$C:$C,"salary",SL_Income_Log!$E:$E,"H")&gt;0,SUMIFS(SL_Income_Log!$D:$D,SL_Income_Log!$B:$B,TEXT(B26,"0000")&amp;"-"&amp;TEXT(A26,"00"),SL_Income_Log!$C:$C,"salary",SL_Income_Log!$E:$E,"H"),K26*(1-Assumptions!$B$102)-Z26-Y26)</f>
        <v>3916.1738</v>
      </c>
      <c r="M26" s="32">
        <f>RSU_Schedule!H25</f>
        <v>2972.56</v>
      </c>
      <c r="N26" s="32">
        <f>Salary_Schedule!G26</f>
        <v>6636.95</v>
      </c>
      <c r="O26" s="32">
        <f>Assumptions!$B$19</f>
        <v>200</v>
      </c>
      <c r="P26" s="32">
        <f>N26*Assumptions!$B$59</f>
        <v>663.695</v>
      </c>
      <c r="Q26" s="32">
        <f>Salary_Schedule!H26</f>
        <v>0</v>
      </c>
      <c r="R26" s="32">
        <f>Q26*Assumptions!$B$20</f>
        <v>0</v>
      </c>
      <c r="S26" s="54">
        <f t="shared" si="4"/>
        <v>5773.255</v>
      </c>
      <c r="T26" s="32">
        <f>IF(COUNTIFS(SL_Income_Log!$B:$B,TEXT(B26,"0000")&amp;"-"&amp;TEXT(A26,"00"),SL_Income_Log!$C:$C,"salary",SL_Income_Log!$E:$E,"W")&gt;0,SUMIFS(SL_Income_Log!$D:$D,SL_Income_Log!$B:$B,TEXT(B26,"0000")&amp;"-"&amp;TEXT(A26,"00"),SL_Income_Log!$C:$C,"salary",SL_Income_Log!$E:$E,"W"),S26*(1-Assumptions!$B$102)-AC26-AB26)
</f>
        <v>3114.533</v>
      </c>
      <c r="U26" s="32">
        <f>RSU_Schedule!M25</f>
        <v>1486.28</v>
      </c>
      <c r="V26" s="32">
        <f>H26*(1+Assumptions!$B$60)+Assumptions!$B$61</f>
        <v>1157.0058</v>
      </c>
      <c r="W26" s="32">
        <f>P26*(1+Assumptions!$B$60)+Assumptions!$B$61</f>
        <v>949.173</v>
      </c>
      <c r="X26" s="32">
        <f t="shared" si="5"/>
        <v>2106.1788</v>
      </c>
      <c r="Y26" s="32">
        <f t="shared" si="22"/>
        <v>57.75</v>
      </c>
      <c r="Z26" s="32">
        <v>291.67</v>
      </c>
      <c r="AA26" s="32">
        <f t="shared" si="23"/>
        <v>18958.25</v>
      </c>
      <c r="AB26" s="32">
        <f t="shared" si="24"/>
        <v>57.75</v>
      </c>
      <c r="AC26" s="32">
        <v>291.67</v>
      </c>
      <c r="AD26" s="32">
        <f t="shared" si="25"/>
        <v>18958.25</v>
      </c>
      <c r="AE26" s="32">
        <f t="shared" ref="AE26:AF26" si="67">Z26+AC26</f>
        <v>583.34</v>
      </c>
      <c r="AF26" s="32">
        <f t="shared" si="67"/>
        <v>37916.5</v>
      </c>
      <c r="AG26" s="32">
        <f>IF(COUNTIFS(SL_Income_Log!$B:$B,TEXT(B26,"0000")&amp;"-"&amp;TEXT(A26,"00"),SL_Income_Log!$C:$C,"youtube")&gt;0,SUMIFS(SL_Income_Log!$D:$D,SL_Income_Log!$B:$B,TEXT(B26,"0000")&amp;"-"&amp;TEXT(A26,"00"),SL_Income_Log!$C:$C,"youtube"),MIN(Assumptions!$B$49+FLOOR((ROW()-2)/6,1)*Assumptions!$B$50,Assumptions!$B$51))
</f>
        <v>5000</v>
      </c>
      <c r="AH26" s="32">
        <f>AG26*Assumptions!$B$104</f>
        <v>2215</v>
      </c>
      <c r="AI26" s="32">
        <f t="shared" si="7"/>
        <v>2785</v>
      </c>
      <c r="AJ26" s="32">
        <f>SUMIFS(SL_Income_Log!$D:$D,SL_Income_Log!$B:$B,TEXT(B26,"0000")&amp;"-"&amp;TEXT(A26,"00"),SL_Income_Log!$C:$C,"other")</f>
        <v>0</v>
      </c>
      <c r="AK26" s="32">
        <f t="shared" si="27"/>
        <v>10000</v>
      </c>
      <c r="AL26" s="32">
        <f>L26+M26+T26+U26+AI26+AJ26-Y26-Z26-AB26-AC26+IF((Debt_Register!$C$2+Debt_Register!$C$6+Debt_Register!$C$7+Debt_Register!$C$8+Debt_Register!$C$9)&gt;5,X26,0)</f>
        <v>15681.8856</v>
      </c>
      <c r="AM26" s="32">
        <f t="shared" si="8"/>
        <v>25681.8856</v>
      </c>
      <c r="AN26" s="32">
        <f>MAX(Assumptions!$B$94,MIN(Assumptions!$B$93,AM26-AP26-BE26-BO26-BQ26))</f>
        <v>10000</v>
      </c>
      <c r="AO26" s="32">
        <f t="shared" si="28"/>
        <v>350778.0227</v>
      </c>
      <c r="AP26" s="32">
        <f>IF(AO26&gt;0,Assumptions!$B$33,0)</f>
        <v>2281</v>
      </c>
      <c r="AQ26" s="32">
        <f>AO26*Assumptions!$B$32/12</f>
        <v>1137.105424</v>
      </c>
      <c r="AR26" s="32">
        <f t="shared" si="9"/>
        <v>1143.894576</v>
      </c>
      <c r="AS26" s="32">
        <f t="shared" si="29"/>
        <v>21550</v>
      </c>
      <c r="AT26" s="32">
        <f t="shared" si="10"/>
        <v>328084.1282</v>
      </c>
      <c r="AU26" s="32">
        <f t="shared" si="30"/>
        <v>0</v>
      </c>
      <c r="AV26" s="32">
        <f t="shared" si="31"/>
        <v>0</v>
      </c>
      <c r="AW26" s="32">
        <f t="shared" si="32"/>
        <v>0</v>
      </c>
      <c r="AX26" s="32">
        <f t="shared" si="33"/>
        <v>0</v>
      </c>
      <c r="AY26" s="32">
        <f t="shared" si="34"/>
        <v>0</v>
      </c>
      <c r="AZ26" s="32">
        <f t="shared" si="35"/>
        <v>0</v>
      </c>
      <c r="BA26" s="32">
        <f t="shared" si="36"/>
        <v>0</v>
      </c>
      <c r="BB26" s="32">
        <f t="shared" si="37"/>
        <v>0</v>
      </c>
      <c r="BC26" s="32">
        <f t="shared" si="38"/>
        <v>0</v>
      </c>
      <c r="BD26" s="32">
        <f t="shared" si="39"/>
        <v>0</v>
      </c>
      <c r="BE26" s="32">
        <f t="shared" si="11"/>
        <v>0</v>
      </c>
      <c r="BF26" s="32">
        <v>0.0</v>
      </c>
      <c r="BG26" s="32">
        <f t="shared" si="40"/>
        <v>5500</v>
      </c>
      <c r="BH26" s="32">
        <v>0.0</v>
      </c>
      <c r="BI26" s="32">
        <f t="shared" si="41"/>
        <v>5000</v>
      </c>
      <c r="BJ26" s="32">
        <f>IF(OR(B26&lt;Assumptions!$B$111,AND(B26=Assumptions!$B$111,A26&lt;=Assumptions!$B$112)),Assumptions!$B$110,0)</f>
        <v>0</v>
      </c>
      <c r="BK26" s="32">
        <f>IF(B26&lt;2027,Assumptions!$B$116+IF(OR(A26=4,A26=10),Assumptions!$B$117,0),IF(AND(B26=2027,A26&lt;=4),IF(A26=4,MIN(950,Assumptions!$B$116+Assumptions!$B$117),Assumptions!$B$116),0))</f>
        <v>0</v>
      </c>
      <c r="BL26" s="32">
        <f>IF(OR(B26&lt;2030,AND(B26=2030,A26&lt;8)),Assumptions!$B$118,IF(AND(B26=2030,A26=8),MOD(11000,200),0))</f>
        <v>200</v>
      </c>
      <c r="BM26" s="32">
        <f>IF(OR(B26&lt;Assumptions!$B$120,AND(B26=Assumptions!$B$120,A26&lt;=Assumptions!$B$121)),Assumptions!$B$119,0)</f>
        <v>0</v>
      </c>
      <c r="BN26" s="32">
        <f>IF(AND(B26&lt;=Assumptions!$B$123,A26&lt;=Assumptions!$B$124),Assumptions!$B$122,0)</f>
        <v>0</v>
      </c>
      <c r="BO26" s="32">
        <f t="shared" si="12"/>
        <v>200</v>
      </c>
      <c r="BP26" s="32">
        <f>SUMIFS(SL_Budget!$B:$B,SL_Budget!$C:$C,"'"&amp;TEXT(DATE(B26,A26,1),"YYYY-MM"))</f>
        <v>4358</v>
      </c>
      <c r="BQ26" s="32">
        <f>MAX(BP26, IFERROR(SUMIFS(ShadowLedger!D:D, 
  ShadowLedger!C:C, "&gt;="&amp;DATE(B26,A26,1), 
  ShadowLedger!C:C, "&lt;"&amp;EOMONTH(DATE(B26,A26,1),0)+1), 0))
</f>
        <v>4358</v>
      </c>
      <c r="BR26" s="32">
        <f t="shared" si="42"/>
        <v>70003.86636</v>
      </c>
      <c r="BS26" s="32">
        <f t="shared" si="43"/>
        <v>2106.1788</v>
      </c>
      <c r="BT26" s="32">
        <f>IF(AS26&gt;0,-MAX(0,21550-MAX(0,MAX(0,(AM26-AP26-BE26-BO26-BQ26)-Assumptions!$B$93))-MIN(MAX(0,21550-MAX(0,MAX(0,(AM26-AP26-BE26-BO26-BQ26)-Assumptions!$B$93))),MAX(0,BY25-Assumptions!$B$91))),IF(BY25&gt;=Assumptions!$B$92,MAX(0,(AM26-AP26-BE26-BO26-BQ26)-Assumptions!$B$93),MAX(0,(AM26-AP26-BE26-BO26-BQ26)-Assumptions!$B$93)*Assumptions!$B$99))</f>
        <v>-6830.4324</v>
      </c>
      <c r="BU26" s="32">
        <f>(BR26+BS26+MAX(0,BT26))*(Assumptions!$B$43-1)</f>
        <v>491.6462879</v>
      </c>
      <c r="BV26" s="32">
        <f t="shared" si="13"/>
        <v>65771.25904</v>
      </c>
      <c r="BW26" s="32">
        <f t="shared" si="44"/>
        <v>10876.682</v>
      </c>
      <c r="BX26" s="32">
        <f>IF(AS26&gt;0,-MIN(MAX(0,21550-MAX(0,MAX(0,(AM26-AP26-BE26-BO26-BQ26)-Assumptions!$B$93))),MAX(0,BY25-Assumptions!$B$91)),IF(BY25&lt;Assumptions!$B$92,MAX(0,(AM26-AP26-BE26-BO26-BQ26)-Assumptions!$B$93)*Assumptions!$B$98,0))</f>
        <v>-5876.682</v>
      </c>
      <c r="BY26" s="32">
        <f t="shared" si="14"/>
        <v>5000</v>
      </c>
      <c r="BZ26" s="32">
        <f t="shared" si="45"/>
        <v>0</v>
      </c>
      <c r="CA26" s="32">
        <f t="shared" si="15"/>
        <v>2215</v>
      </c>
      <c r="CB26" s="32">
        <f t="shared" si="16"/>
        <v>2215</v>
      </c>
      <c r="CC26" s="55">
        <f>CC25+(G26+J26)/(Salary_Schedule!E26*12/208)</f>
        <v>1727.628739</v>
      </c>
      <c r="CD26" s="55">
        <f>CD25+(O26+R26)/(Salary_Schedule!G26*12/208)</f>
        <v>49.9020163</v>
      </c>
      <c r="CE26" s="32">
        <f t="shared" si="17"/>
        <v>65771.25904</v>
      </c>
      <c r="CF26" s="32">
        <f>Assumptions!$B$55*(1+Assumptions!$B$56)^((B26-2025)+(A26-1)/12)</f>
        <v>543752.755</v>
      </c>
      <c r="CG26" s="32">
        <f t="shared" si="18"/>
        <v>-328084.1282</v>
      </c>
      <c r="CH26" s="32">
        <f t="shared" si="19"/>
        <v>-48416.5</v>
      </c>
      <c r="CI26" s="32">
        <f>CC26*(Salary_Schedule!E26/173.33)*(1-Assumptions!$B$28)+CD26*(Salary_Schedule!G26/173.33)*(1-Assumptions!$B$28)</f>
        <v>53858.84387</v>
      </c>
      <c r="CJ26" s="32">
        <f t="shared" si="20"/>
        <v>286882.2298</v>
      </c>
    </row>
    <row r="27" ht="15.0" customHeight="1">
      <c r="A27" s="1">
        <v>2.0</v>
      </c>
      <c r="B27" s="1">
        <v>2028.0</v>
      </c>
      <c r="C27" s="1" t="s">
        <v>696</v>
      </c>
      <c r="D27" s="1" t="str">
        <f t="shared" si="21"/>
        <v>01/2028</v>
      </c>
      <c r="E27" s="1" t="str">
        <f t="shared" si="2"/>
        <v>LEAN</v>
      </c>
      <c r="F27" s="32">
        <f>Salary_Schedule!E27</f>
        <v>8121.47</v>
      </c>
      <c r="G27" s="32">
        <f>Assumptions!$B$8</f>
        <v>200</v>
      </c>
      <c r="H27" s="32">
        <f>F27*Assumptions!$B$58</f>
        <v>812.147</v>
      </c>
      <c r="I27" s="32">
        <f>Salary_Schedule!F27</f>
        <v>0</v>
      </c>
      <c r="J27" s="32">
        <f>I27*Assumptions!$B$9</f>
        <v>0</v>
      </c>
      <c r="K27" s="54">
        <f t="shared" si="3"/>
        <v>7109.323</v>
      </c>
      <c r="L27" s="32">
        <f>IF(COUNTIFS(SL_Income_Log!$B:$B,TEXT(B27,"0000")&amp;"-"&amp;TEXT(A27,"00"),SL_Income_Log!$C:$C,"salary",SL_Income_Log!$E:$E,"H")&gt;0,SUMIFS(SL_Income_Log!$D:$D,SL_Income_Log!$B:$B,TEXT(B27,"0000")&amp;"-"&amp;TEXT(A27,"00"),SL_Income_Log!$C:$C,"salary",SL_Income_Log!$E:$E,"H"),K27*(1-Assumptions!$B$102)-Z27-Y27)</f>
        <v>3917.0538</v>
      </c>
      <c r="M27" s="32">
        <f>RSU_Schedule!H26</f>
        <v>0</v>
      </c>
      <c r="N27" s="32">
        <f>Salary_Schedule!G27</f>
        <v>6636.95</v>
      </c>
      <c r="O27" s="32">
        <f>Assumptions!$B$19</f>
        <v>200</v>
      </c>
      <c r="P27" s="32">
        <f>N27*Assumptions!$B$59</f>
        <v>663.695</v>
      </c>
      <c r="Q27" s="32">
        <f>Salary_Schedule!H27</f>
        <v>0</v>
      </c>
      <c r="R27" s="32">
        <f>Q27*Assumptions!$B$20</f>
        <v>0</v>
      </c>
      <c r="S27" s="54">
        <f t="shared" si="4"/>
        <v>5773.255</v>
      </c>
      <c r="T27" s="32">
        <f>IF(COUNTIFS(SL_Income_Log!$B:$B,TEXT(B27,"0000")&amp;"-"&amp;TEXT(A27,"00"),SL_Income_Log!$C:$C,"salary",SL_Income_Log!$E:$E,"W")&gt;0,SUMIFS(SL_Income_Log!$D:$D,SL_Income_Log!$B:$B,TEXT(B27,"0000")&amp;"-"&amp;TEXT(A27,"00"),SL_Income_Log!$C:$C,"salary",SL_Income_Log!$E:$E,"W"),S27*(1-Assumptions!$B$102)-AC27-AB27)
</f>
        <v>3115.413</v>
      </c>
      <c r="U27" s="32">
        <f>RSU_Schedule!M26</f>
        <v>0</v>
      </c>
      <c r="V27" s="32">
        <f>H27*(1+Assumptions!$B$60)+Assumptions!$B$61</f>
        <v>1157.0058</v>
      </c>
      <c r="W27" s="32">
        <f>P27*(1+Assumptions!$B$60)+Assumptions!$B$61</f>
        <v>949.173</v>
      </c>
      <c r="X27" s="32">
        <f t="shared" si="5"/>
        <v>2106.1788</v>
      </c>
      <c r="Y27" s="32">
        <f t="shared" si="22"/>
        <v>56.87</v>
      </c>
      <c r="Z27" s="32">
        <v>291.67</v>
      </c>
      <c r="AA27" s="32">
        <f t="shared" si="23"/>
        <v>18666.58</v>
      </c>
      <c r="AB27" s="32">
        <f t="shared" si="24"/>
        <v>56.87</v>
      </c>
      <c r="AC27" s="32">
        <v>291.67</v>
      </c>
      <c r="AD27" s="32">
        <f t="shared" si="25"/>
        <v>18666.58</v>
      </c>
      <c r="AE27" s="32">
        <f t="shared" ref="AE27:AF27" si="68">Z27+AC27</f>
        <v>583.34</v>
      </c>
      <c r="AF27" s="32">
        <f t="shared" si="68"/>
        <v>37333.16</v>
      </c>
      <c r="AG27" s="32">
        <f>IF(COUNTIFS(SL_Income_Log!$B:$B,TEXT(B27,"0000")&amp;"-"&amp;TEXT(A27,"00"),SL_Income_Log!$C:$C,"youtube")&gt;0,SUMIFS(SL_Income_Log!$D:$D,SL_Income_Log!$B:$B,TEXT(B27,"0000")&amp;"-"&amp;TEXT(A27,"00"),SL_Income_Log!$C:$C,"youtube"),MIN(Assumptions!$B$49+FLOOR((ROW()-2)/6,1)*Assumptions!$B$50,Assumptions!$B$51))
</f>
        <v>5000</v>
      </c>
      <c r="AH27" s="32">
        <f>AG27*Assumptions!$B$104</f>
        <v>2215</v>
      </c>
      <c r="AI27" s="32">
        <f t="shared" si="7"/>
        <v>2785</v>
      </c>
      <c r="AJ27" s="32">
        <f>SUMIFS(SL_Income_Log!$D:$D,SL_Income_Log!$B:$B,TEXT(B27,"0000")&amp;"-"&amp;TEXT(A27,"00"),SL_Income_Log!$C:$C,"other")</f>
        <v>0</v>
      </c>
      <c r="AK27" s="32">
        <f t="shared" si="27"/>
        <v>10000</v>
      </c>
      <c r="AL27" s="32">
        <f>L27+M27+T27+U27+AI27+AJ27-Y27-Z27-AB27-AC27+IF((Debt_Register!$C$2+Debt_Register!$C$6+Debt_Register!$C$7+Debt_Register!$C$8+Debt_Register!$C$9)&gt;5,X27,0)</f>
        <v>11226.5656</v>
      </c>
      <c r="AM27" s="32">
        <f t="shared" si="8"/>
        <v>21226.5656</v>
      </c>
      <c r="AN27" s="32">
        <f>MAX(Assumptions!$B$94,MIN(Assumptions!$B$93,AM27-AP27-BE27-BO27-BQ27))</f>
        <v>10000</v>
      </c>
      <c r="AO27" s="32">
        <f t="shared" si="28"/>
        <v>328084.1282</v>
      </c>
      <c r="AP27" s="32">
        <f>IF(AO27&gt;0,Assumptions!$B$33,0)</f>
        <v>2281</v>
      </c>
      <c r="AQ27" s="32">
        <f>AO27*Assumptions!$B$32/12</f>
        <v>1063.539382</v>
      </c>
      <c r="AR27" s="32">
        <f t="shared" si="9"/>
        <v>1217.460618</v>
      </c>
      <c r="AS27" s="32">
        <f t="shared" si="29"/>
        <v>0</v>
      </c>
      <c r="AT27" s="32">
        <f t="shared" si="10"/>
        <v>326866.6675</v>
      </c>
      <c r="AU27" s="32">
        <f t="shared" si="30"/>
        <v>0</v>
      </c>
      <c r="AV27" s="32">
        <f t="shared" si="31"/>
        <v>0</v>
      </c>
      <c r="AW27" s="32">
        <f t="shared" si="32"/>
        <v>0</v>
      </c>
      <c r="AX27" s="32">
        <f t="shared" si="33"/>
        <v>0</v>
      </c>
      <c r="AY27" s="32">
        <f t="shared" si="34"/>
        <v>0</v>
      </c>
      <c r="AZ27" s="32">
        <f t="shared" si="35"/>
        <v>0</v>
      </c>
      <c r="BA27" s="32">
        <f t="shared" si="36"/>
        <v>0</v>
      </c>
      <c r="BB27" s="32">
        <f t="shared" si="37"/>
        <v>0</v>
      </c>
      <c r="BC27" s="32">
        <f t="shared" si="38"/>
        <v>0</v>
      </c>
      <c r="BD27" s="32">
        <f t="shared" si="39"/>
        <v>0</v>
      </c>
      <c r="BE27" s="32">
        <f t="shared" si="11"/>
        <v>0</v>
      </c>
      <c r="BF27" s="32">
        <v>0.0</v>
      </c>
      <c r="BG27" s="32">
        <f t="shared" si="40"/>
        <v>5500</v>
      </c>
      <c r="BH27" s="32">
        <v>0.0</v>
      </c>
      <c r="BI27" s="32">
        <f t="shared" si="41"/>
        <v>5000</v>
      </c>
      <c r="BJ27" s="32">
        <f>IF(OR(B27&lt;Assumptions!$B$111,AND(B27=Assumptions!$B$111,A27&lt;=Assumptions!$B$112)),Assumptions!$B$110,0)</f>
        <v>0</v>
      </c>
      <c r="BK27" s="32">
        <f>IF(B27&lt;2027,Assumptions!$B$116+IF(OR(A27=4,A27=10),Assumptions!$B$117,0),IF(AND(B27=2027,A27&lt;=4),IF(A27=4,MIN(950,Assumptions!$B$116+Assumptions!$B$117),Assumptions!$B$116),0))</f>
        <v>0</v>
      </c>
      <c r="BL27" s="32">
        <f>IF(OR(B27&lt;2030,AND(B27=2030,A27&lt;8)),Assumptions!$B$118,IF(AND(B27=2030,A27=8),MOD(11000,200),0))</f>
        <v>200</v>
      </c>
      <c r="BM27" s="32">
        <f>IF(OR(B27&lt;Assumptions!$B$120,AND(B27=Assumptions!$B$120,A27&lt;=Assumptions!$B$121)),Assumptions!$B$119,0)</f>
        <v>0</v>
      </c>
      <c r="BN27" s="32">
        <f>IF(AND(B27&lt;=Assumptions!$B$123,A27&lt;=Assumptions!$B$124),Assumptions!$B$122,0)</f>
        <v>0</v>
      </c>
      <c r="BO27" s="32">
        <f t="shared" si="12"/>
        <v>200</v>
      </c>
      <c r="BP27" s="32">
        <f>SUMIFS(SL_Budget!$B:$B,SL_Budget!$C:$C,"'"&amp;TEXT(DATE(B27,A27,1),"YYYY-MM"))</f>
        <v>4358</v>
      </c>
      <c r="BQ27" s="32">
        <f>MAX(BP27, IFERROR(SUMIFS(ShadowLedger!D:D, 
  ShadowLedger!C:C, "&gt;="&amp;DATE(B27,A27,1), 
  ShadowLedger!C:C, "&lt;"&amp;EOMONTH(DATE(B27,A27,1),0)+1), 0))
</f>
        <v>4358</v>
      </c>
      <c r="BR27" s="32">
        <f t="shared" si="42"/>
        <v>65771.25904</v>
      </c>
      <c r="BS27" s="32">
        <f t="shared" si="43"/>
        <v>2106.1788</v>
      </c>
      <c r="BT27" s="32">
        <f>IF(AS27&gt;0,-MAX(0,21550-MAX(0,MAX(0,(AM27-AP27-BE27-BO27-BQ27)-Assumptions!$B$93))-MIN(MAX(0,21550-MAX(0,MAX(0,(AM27-AP27-BE27-BO27-BQ27)-Assumptions!$B$93))),MAX(0,BY26-Assumptions!$B$91))),IF(BY26&gt;=Assumptions!$B$92,MAX(0,(AM27-AP27-BE27-BO27-BQ27)-Assumptions!$B$93),MAX(0,(AM27-AP27-BE27-BO27-BQ27)-Assumptions!$B$93)*Assumptions!$B$99))</f>
        <v>3510.05248</v>
      </c>
      <c r="BU27" s="32">
        <f>(BR27+BS27+MAX(0,BT27))*(Assumptions!$B$43-1)</f>
        <v>486.719909</v>
      </c>
      <c r="BV27" s="32">
        <f t="shared" si="13"/>
        <v>71874.21023</v>
      </c>
      <c r="BW27" s="32">
        <f t="shared" si="44"/>
        <v>5000</v>
      </c>
      <c r="BX27" s="32">
        <f>IF(AS27&gt;0,-MIN(MAX(0,21550-MAX(0,MAX(0,(AM27-AP27-BE27-BO27-BQ27)-Assumptions!$B$93))),MAX(0,BY26-Assumptions!$B$91)),IF(BY26&lt;Assumptions!$B$92,MAX(0,(AM27-AP27-BE27-BO27-BQ27)-Assumptions!$B$93)*Assumptions!$B$98,0))</f>
        <v>877.51312</v>
      </c>
      <c r="BY27" s="32">
        <f t="shared" si="14"/>
        <v>5877.51312</v>
      </c>
      <c r="BZ27" s="32">
        <f t="shared" si="45"/>
        <v>2215</v>
      </c>
      <c r="CA27" s="32">
        <f t="shared" si="15"/>
        <v>2215</v>
      </c>
      <c r="CB27" s="32">
        <f t="shared" si="16"/>
        <v>4430</v>
      </c>
      <c r="CC27" s="55">
        <f>CC26+(G27+J27)/(Salary_Schedule!E27*12/208)</f>
        <v>1728.055592</v>
      </c>
      <c r="CD27" s="55">
        <f>CD26+(O27+R27)/(Salary_Schedule!G27*12/208)</f>
        <v>50.42434458</v>
      </c>
      <c r="CE27" s="32">
        <f t="shared" si="17"/>
        <v>71874.21023</v>
      </c>
      <c r="CF27" s="32">
        <f>Assumptions!$B$55*(1+Assumptions!$B$56)^((B27-2025)+(A27-1)/12)</f>
        <v>544427.8174</v>
      </c>
      <c r="CG27" s="32">
        <f t="shared" si="18"/>
        <v>-326866.6675</v>
      </c>
      <c r="CH27" s="32">
        <f t="shared" si="19"/>
        <v>-47833.16</v>
      </c>
      <c r="CI27" s="32">
        <f>CC27*(Salary_Schedule!E27/173.33)*(1-Assumptions!$B$28)+CD27*(Salary_Schedule!G27/173.33)*(1-Assumptions!$B$28)</f>
        <v>53884.84437</v>
      </c>
      <c r="CJ27" s="32">
        <f t="shared" si="20"/>
        <v>295487.0444</v>
      </c>
    </row>
    <row r="28" ht="15.0" customHeight="1">
      <c r="A28" s="1">
        <v>3.0</v>
      </c>
      <c r="B28" s="1">
        <v>2028.0</v>
      </c>
      <c r="C28" s="1" t="s">
        <v>697</v>
      </c>
      <c r="D28" s="1" t="str">
        <f t="shared" si="21"/>
        <v>02/2028</v>
      </c>
      <c r="E28" s="1" t="str">
        <f t="shared" si="2"/>
        <v>LEAN</v>
      </c>
      <c r="F28" s="32">
        <f>Salary_Schedule!E28</f>
        <v>8121.47</v>
      </c>
      <c r="G28" s="32">
        <f>Assumptions!$B$8</f>
        <v>200</v>
      </c>
      <c r="H28" s="32">
        <f>F28*Assumptions!$B$58</f>
        <v>812.147</v>
      </c>
      <c r="I28" s="32">
        <f>Salary_Schedule!F28</f>
        <v>0</v>
      </c>
      <c r="J28" s="32">
        <f>I28*Assumptions!$B$9</f>
        <v>0</v>
      </c>
      <c r="K28" s="54">
        <f t="shared" si="3"/>
        <v>7109.323</v>
      </c>
      <c r="L28" s="32">
        <f>IF(COUNTIFS(SL_Income_Log!$B:$B,TEXT(B28,"0000")&amp;"-"&amp;TEXT(A28,"00"),SL_Income_Log!$C:$C,"salary",SL_Income_Log!$E:$E,"H")&gt;0,SUMIFS(SL_Income_Log!$D:$D,SL_Income_Log!$B:$B,TEXT(B28,"0000")&amp;"-"&amp;TEXT(A28,"00"),SL_Income_Log!$C:$C,"salary",SL_Income_Log!$E:$E,"H"),K28*(1-Assumptions!$B$102)-Z28-Y28)</f>
        <v>3917.9238</v>
      </c>
      <c r="M28" s="32">
        <f>RSU_Schedule!H27</f>
        <v>0</v>
      </c>
      <c r="N28" s="32">
        <f>Salary_Schedule!G28</f>
        <v>6636.95</v>
      </c>
      <c r="O28" s="32">
        <f>Assumptions!$B$19</f>
        <v>200</v>
      </c>
      <c r="P28" s="32">
        <f>N28*Assumptions!$B$59</f>
        <v>663.695</v>
      </c>
      <c r="Q28" s="32">
        <f>Salary_Schedule!H28</f>
        <v>0</v>
      </c>
      <c r="R28" s="32">
        <f>Q28*Assumptions!$B$20</f>
        <v>0</v>
      </c>
      <c r="S28" s="54">
        <f t="shared" si="4"/>
        <v>5773.255</v>
      </c>
      <c r="T28" s="32">
        <f>IF(COUNTIFS(SL_Income_Log!$B:$B,TEXT(B28,"0000")&amp;"-"&amp;TEXT(A28,"00"),SL_Income_Log!$C:$C,"salary",SL_Income_Log!$E:$E,"W")&gt;0,SUMIFS(SL_Income_Log!$D:$D,SL_Income_Log!$B:$B,TEXT(B28,"0000")&amp;"-"&amp;TEXT(A28,"00"),SL_Income_Log!$C:$C,"salary",SL_Income_Log!$E:$E,"W"),S28*(1-Assumptions!$B$102)-AC28-AB28)
</f>
        <v>3116.283</v>
      </c>
      <c r="U28" s="32">
        <f>RSU_Schedule!M27</f>
        <v>0</v>
      </c>
      <c r="V28" s="32">
        <f>H28*(1+Assumptions!$B$60)+Assumptions!$B$61</f>
        <v>1157.0058</v>
      </c>
      <c r="W28" s="32">
        <f>P28*(1+Assumptions!$B$60)+Assumptions!$B$61</f>
        <v>949.173</v>
      </c>
      <c r="X28" s="32">
        <f t="shared" si="5"/>
        <v>2106.1788</v>
      </c>
      <c r="Y28" s="32">
        <f t="shared" si="22"/>
        <v>56</v>
      </c>
      <c r="Z28" s="32">
        <v>291.67</v>
      </c>
      <c r="AA28" s="32">
        <f t="shared" si="23"/>
        <v>18374.91</v>
      </c>
      <c r="AB28" s="32">
        <f t="shared" si="24"/>
        <v>56</v>
      </c>
      <c r="AC28" s="32">
        <v>291.67</v>
      </c>
      <c r="AD28" s="32">
        <f t="shared" si="25"/>
        <v>18374.91</v>
      </c>
      <c r="AE28" s="32">
        <f t="shared" ref="AE28:AF28" si="69">Z28+AC28</f>
        <v>583.34</v>
      </c>
      <c r="AF28" s="32">
        <f t="shared" si="69"/>
        <v>36749.82</v>
      </c>
      <c r="AG28" s="32">
        <f>IF(COUNTIFS(SL_Income_Log!$B:$B,TEXT(B28,"0000")&amp;"-"&amp;TEXT(A28,"00"),SL_Income_Log!$C:$C,"youtube")&gt;0,SUMIFS(SL_Income_Log!$D:$D,SL_Income_Log!$B:$B,TEXT(B28,"0000")&amp;"-"&amp;TEXT(A28,"00"),SL_Income_Log!$C:$C,"youtube"),MIN(Assumptions!$B$49+FLOOR((ROW()-2)/6,1)*Assumptions!$B$50,Assumptions!$B$51))
</f>
        <v>5000</v>
      </c>
      <c r="AH28" s="32">
        <f>AG28*Assumptions!$B$104</f>
        <v>2215</v>
      </c>
      <c r="AI28" s="32">
        <f t="shared" si="7"/>
        <v>2785</v>
      </c>
      <c r="AJ28" s="32">
        <f>SUMIFS(SL_Income_Log!$D:$D,SL_Income_Log!$B:$B,TEXT(B28,"0000")&amp;"-"&amp;TEXT(A28,"00"),SL_Income_Log!$C:$C,"other")</f>
        <v>0</v>
      </c>
      <c r="AK28" s="32">
        <f t="shared" si="27"/>
        <v>10000</v>
      </c>
      <c r="AL28" s="32">
        <f>L28+M28+T28+U28+AI28+AJ28-Y28-Z28-AB28-AC28+IF((Debt_Register!$C$2+Debt_Register!$C$6+Debt_Register!$C$7+Debt_Register!$C$8+Debt_Register!$C$9)&gt;5,X28,0)</f>
        <v>11230.0456</v>
      </c>
      <c r="AM28" s="32">
        <f t="shared" si="8"/>
        <v>21230.0456</v>
      </c>
      <c r="AN28" s="32">
        <f>MAX(Assumptions!$B$94,MIN(Assumptions!$B$93,AM28-AP28-BE28-BO28-BQ28))</f>
        <v>10000</v>
      </c>
      <c r="AO28" s="32">
        <f t="shared" si="28"/>
        <v>326866.6675</v>
      </c>
      <c r="AP28" s="32">
        <f>IF(AO28&gt;0,Assumptions!$B$33,0)</f>
        <v>2281</v>
      </c>
      <c r="AQ28" s="32">
        <f>AO28*Assumptions!$B$32/12</f>
        <v>1059.592781</v>
      </c>
      <c r="AR28" s="32">
        <f t="shared" si="9"/>
        <v>1221.407219</v>
      </c>
      <c r="AS28" s="32">
        <f t="shared" si="29"/>
        <v>0</v>
      </c>
      <c r="AT28" s="32">
        <f t="shared" si="10"/>
        <v>325645.2603</v>
      </c>
      <c r="AU28" s="32">
        <f t="shared" si="30"/>
        <v>0</v>
      </c>
      <c r="AV28" s="32">
        <f t="shared" si="31"/>
        <v>0</v>
      </c>
      <c r="AW28" s="32">
        <f t="shared" si="32"/>
        <v>0</v>
      </c>
      <c r="AX28" s="32">
        <f t="shared" si="33"/>
        <v>0</v>
      </c>
      <c r="AY28" s="32">
        <f t="shared" si="34"/>
        <v>0</v>
      </c>
      <c r="AZ28" s="32">
        <f t="shared" si="35"/>
        <v>0</v>
      </c>
      <c r="BA28" s="32">
        <f t="shared" si="36"/>
        <v>0</v>
      </c>
      <c r="BB28" s="32">
        <f t="shared" si="37"/>
        <v>0</v>
      </c>
      <c r="BC28" s="32">
        <f t="shared" si="38"/>
        <v>0</v>
      </c>
      <c r="BD28" s="32">
        <f t="shared" si="39"/>
        <v>0</v>
      </c>
      <c r="BE28" s="32">
        <f t="shared" si="11"/>
        <v>0</v>
      </c>
      <c r="BF28" s="32">
        <v>0.0</v>
      </c>
      <c r="BG28" s="32">
        <f t="shared" si="40"/>
        <v>5500</v>
      </c>
      <c r="BH28" s="32">
        <v>0.0</v>
      </c>
      <c r="BI28" s="32">
        <f t="shared" si="41"/>
        <v>5000</v>
      </c>
      <c r="BJ28" s="32">
        <f>IF(OR(B28&lt;Assumptions!$B$111,AND(B28=Assumptions!$B$111,A28&lt;=Assumptions!$B$112)),Assumptions!$B$110,0)</f>
        <v>0</v>
      </c>
      <c r="BK28" s="32">
        <f>IF(B28&lt;2027,Assumptions!$B$116+IF(OR(A28=4,A28=10),Assumptions!$B$117,0),IF(AND(B28=2027,A28&lt;=4),IF(A28=4,MIN(950,Assumptions!$B$116+Assumptions!$B$117),Assumptions!$B$116),0))</f>
        <v>0</v>
      </c>
      <c r="BL28" s="32">
        <f>IF(OR(B28&lt;2030,AND(B28=2030,A28&lt;8)),Assumptions!$B$118,IF(AND(B28=2030,A28=8),MOD(11000,200),0))</f>
        <v>200</v>
      </c>
      <c r="BM28" s="32">
        <f>IF(OR(B28&lt;Assumptions!$B$120,AND(B28=Assumptions!$B$120,A28&lt;=Assumptions!$B$121)),Assumptions!$B$119,0)</f>
        <v>0</v>
      </c>
      <c r="BN28" s="32">
        <f>IF(AND(B28&lt;=Assumptions!$B$123,A28&lt;=Assumptions!$B$124),Assumptions!$B$122,0)</f>
        <v>0</v>
      </c>
      <c r="BO28" s="32">
        <f t="shared" si="12"/>
        <v>200</v>
      </c>
      <c r="BP28" s="32">
        <f>SUMIFS(SL_Budget!$B:$B,SL_Budget!$C:$C,"'"&amp;TEXT(DATE(B28,A28,1),"YYYY-MM"))</f>
        <v>4358</v>
      </c>
      <c r="BQ28" s="32">
        <f>MAX(BP28, IFERROR(SUMIFS(ShadowLedger!D:D, 
  ShadowLedger!C:C, "&gt;="&amp;DATE(B28,A28,1), 
  ShadowLedger!C:C, "&lt;"&amp;EOMONTH(DATE(B28,A28,1),0)+1), 0))
</f>
        <v>4358</v>
      </c>
      <c r="BR28" s="32">
        <f t="shared" si="42"/>
        <v>71874.21023</v>
      </c>
      <c r="BS28" s="32">
        <f t="shared" si="43"/>
        <v>2106.1788</v>
      </c>
      <c r="BT28" s="32">
        <f>IF(AS28&gt;0,-MAX(0,21550-MAX(0,MAX(0,(AM28-AP28-BE28-BO28-BQ28)-Assumptions!$B$93))-MIN(MAX(0,21550-MAX(0,MAX(0,(AM28-AP28-BE28-BO28-BQ28)-Assumptions!$B$93))),MAX(0,BY27-Assumptions!$B$91))),IF(BY27&gt;=Assumptions!$B$92,MAX(0,(AM28-AP28-BE28-BO28-BQ28)-Assumptions!$B$93),MAX(0,(AM28-AP28-BE28-BO28-BQ28)-Assumptions!$B$93)*Assumptions!$B$99))</f>
        <v>3512.83648</v>
      </c>
      <c r="BU28" s="32">
        <f>(BR28+BS28+MAX(0,BT28))*(Assumptions!$B$43-1)</f>
        <v>528.3488116</v>
      </c>
      <c r="BV28" s="32">
        <f t="shared" si="13"/>
        <v>78021.57433</v>
      </c>
      <c r="BW28" s="32">
        <f t="shared" si="44"/>
        <v>5877.51312</v>
      </c>
      <c r="BX28" s="32">
        <f>IF(AS28&gt;0,-MIN(MAX(0,21550-MAX(0,MAX(0,(AM28-AP28-BE28-BO28-BQ28)-Assumptions!$B$93))),MAX(0,BY27-Assumptions!$B$91)),IF(BY27&lt;Assumptions!$B$92,MAX(0,(AM28-AP28-BE28-BO28-BQ28)-Assumptions!$B$93)*Assumptions!$B$98,0))</f>
        <v>878.20912</v>
      </c>
      <c r="BY28" s="32">
        <f t="shared" si="14"/>
        <v>6755.72224</v>
      </c>
      <c r="BZ28" s="32">
        <f t="shared" si="45"/>
        <v>4430</v>
      </c>
      <c r="CA28" s="32">
        <f t="shared" si="15"/>
        <v>2215</v>
      </c>
      <c r="CB28" s="32">
        <f t="shared" si="16"/>
        <v>6645</v>
      </c>
      <c r="CC28" s="55">
        <f>CC27+(G28+J28)/(Salary_Schedule!E28*12/208)</f>
        <v>1728.482444</v>
      </c>
      <c r="CD28" s="55">
        <f>CD27+(O28+R28)/(Salary_Schedule!G28*12/208)</f>
        <v>50.94667286</v>
      </c>
      <c r="CE28" s="32">
        <f t="shared" si="17"/>
        <v>78021.57433</v>
      </c>
      <c r="CF28" s="32">
        <f>Assumptions!$B$55*(1+Assumptions!$B$56)^((B28-2025)+(A28-1)/12)</f>
        <v>545103.7178</v>
      </c>
      <c r="CG28" s="32">
        <f t="shared" si="18"/>
        <v>-325645.2603</v>
      </c>
      <c r="CH28" s="32">
        <f t="shared" si="19"/>
        <v>-47249.82</v>
      </c>
      <c r="CI28" s="32">
        <f>CC28*(Salary_Schedule!E28/173.33)*(1-Assumptions!$B$28)+CD28*(Salary_Schedule!G28/173.33)*(1-Assumptions!$B$28)</f>
        <v>53910.84487</v>
      </c>
      <c r="CJ28" s="32">
        <f t="shared" si="20"/>
        <v>304141.0567</v>
      </c>
    </row>
    <row r="29" ht="15.0" customHeight="1">
      <c r="A29" s="1">
        <v>4.0</v>
      </c>
      <c r="B29" s="1">
        <v>2028.0</v>
      </c>
      <c r="C29" s="1" t="s">
        <v>698</v>
      </c>
      <c r="D29" s="1" t="str">
        <f t="shared" si="21"/>
        <v>03/2028</v>
      </c>
      <c r="E29" s="1" t="str">
        <f t="shared" si="2"/>
        <v>FAT_BONUS</v>
      </c>
      <c r="F29" s="32">
        <f>Salary_Schedule!E29</f>
        <v>8121.47</v>
      </c>
      <c r="G29" s="32">
        <f>Assumptions!$B$8</f>
        <v>200</v>
      </c>
      <c r="H29" s="32">
        <f>F29*Assumptions!$B$58</f>
        <v>812.147</v>
      </c>
      <c r="I29" s="32">
        <f>Salary_Schedule!F29</f>
        <v>10827.65</v>
      </c>
      <c r="J29" s="32">
        <f>I29*Assumptions!$B$9</f>
        <v>3789.6775</v>
      </c>
      <c r="K29" s="54">
        <f t="shared" si="3"/>
        <v>14147.2955</v>
      </c>
      <c r="L29" s="32">
        <f>IF(COUNTIFS(SL_Income_Log!$B:$B,TEXT(B29,"0000")&amp;"-"&amp;TEXT(A29,"00"),SL_Income_Log!$C:$C,"salary",SL_Income_Log!$E:$E,"H")&gt;0,SUMIFS(SL_Income_Log!$D:$D,SL_Income_Log!$B:$B,TEXT(B29,"0000")&amp;"-"&amp;TEXT(A29,"00"),SL_Income_Log!$C:$C,"salary",SL_Income_Log!$E:$E,"H"),K29*(1-Assumptions!$B$102)-Z29-Y29)</f>
        <v>8141.5873</v>
      </c>
      <c r="M29" s="32">
        <f>RSU_Schedule!H28</f>
        <v>2972.56</v>
      </c>
      <c r="N29" s="32">
        <f>Salary_Schedule!G29</f>
        <v>6636.95</v>
      </c>
      <c r="O29" s="32">
        <f>Assumptions!$B$19</f>
        <v>200</v>
      </c>
      <c r="P29" s="32">
        <f>N29*Assumptions!$B$59</f>
        <v>663.695</v>
      </c>
      <c r="Q29" s="32">
        <f>Salary_Schedule!H29</f>
        <v>8849.39</v>
      </c>
      <c r="R29" s="32">
        <f>Q29*Assumptions!$B$20</f>
        <v>3097.2865</v>
      </c>
      <c r="S29" s="54">
        <f t="shared" si="4"/>
        <v>11525.3585</v>
      </c>
      <c r="T29" s="32">
        <f>IF(COUNTIFS(SL_Income_Log!$B:$B,TEXT(B29,"0000")&amp;"-"&amp;TEXT(A29,"00"),SL_Income_Log!$C:$C,"salary",SL_Income_Log!$E:$E,"W")&gt;0,SUMIFS(SL_Income_Log!$D:$D,SL_Income_Log!$B:$B,TEXT(B29,"0000")&amp;"-"&amp;TEXT(A29,"00"),SL_Income_Log!$C:$C,"salary",SL_Income_Log!$E:$E,"W"),S29*(1-Assumptions!$B$102)-AC29-AB29)
</f>
        <v>6568.4251</v>
      </c>
      <c r="U29" s="32">
        <f>RSU_Schedule!M28</f>
        <v>1486.28</v>
      </c>
      <c r="V29" s="32">
        <f>H29*(1+Assumptions!$B$60)+Assumptions!$B$61</f>
        <v>1157.0058</v>
      </c>
      <c r="W29" s="32">
        <f>P29*(1+Assumptions!$B$60)+Assumptions!$B$61</f>
        <v>949.173</v>
      </c>
      <c r="X29" s="32">
        <f t="shared" si="5"/>
        <v>2106.1788</v>
      </c>
      <c r="Y29" s="32">
        <f t="shared" si="22"/>
        <v>55.12</v>
      </c>
      <c r="Z29" s="32">
        <v>291.67</v>
      </c>
      <c r="AA29" s="32">
        <f t="shared" si="23"/>
        <v>18083.24</v>
      </c>
      <c r="AB29" s="32">
        <f t="shared" si="24"/>
        <v>55.12</v>
      </c>
      <c r="AC29" s="32">
        <v>291.67</v>
      </c>
      <c r="AD29" s="32">
        <f t="shared" si="25"/>
        <v>18083.24</v>
      </c>
      <c r="AE29" s="32">
        <f t="shared" ref="AE29:AF29" si="70">Z29+AC29</f>
        <v>583.34</v>
      </c>
      <c r="AF29" s="32">
        <f t="shared" si="70"/>
        <v>36166.48</v>
      </c>
      <c r="AG29" s="32">
        <f>IF(COUNTIFS(SL_Income_Log!$B:$B,TEXT(B29,"0000")&amp;"-"&amp;TEXT(A29,"00"),SL_Income_Log!$C:$C,"youtube")&gt;0,SUMIFS(SL_Income_Log!$D:$D,SL_Income_Log!$B:$B,TEXT(B29,"0000")&amp;"-"&amp;TEXT(A29,"00"),SL_Income_Log!$C:$C,"youtube"),MIN(Assumptions!$B$49+FLOOR((ROW()-2)/6,1)*Assumptions!$B$50,Assumptions!$B$51))
</f>
        <v>5000</v>
      </c>
      <c r="AH29" s="32">
        <f>AG29*Assumptions!$B$104</f>
        <v>2215</v>
      </c>
      <c r="AI29" s="32">
        <f t="shared" si="7"/>
        <v>2785</v>
      </c>
      <c r="AJ29" s="32">
        <f>SUMIFS(SL_Income_Log!$D:$D,SL_Income_Log!$B:$B,TEXT(B29,"0000")&amp;"-"&amp;TEXT(A29,"00"),SL_Income_Log!$C:$C,"other")</f>
        <v>0</v>
      </c>
      <c r="AK29" s="32">
        <f t="shared" si="27"/>
        <v>10000</v>
      </c>
      <c r="AL29" s="32">
        <f>L29+M29+T29+U29+AI29+AJ29-Y29-Z29-AB29-AC29+IF((Debt_Register!$C$2+Debt_Register!$C$6+Debt_Register!$C$7+Debt_Register!$C$8+Debt_Register!$C$9)&gt;5,X29,0)</f>
        <v>23366.4512</v>
      </c>
      <c r="AM29" s="32">
        <f t="shared" si="8"/>
        <v>33366.4512</v>
      </c>
      <c r="AN29" s="32">
        <f>MAX(Assumptions!$B$94,MIN(Assumptions!$B$93,AM29-AP29-BE29-BO29-BQ29))</f>
        <v>10000</v>
      </c>
      <c r="AO29" s="32">
        <f t="shared" si="28"/>
        <v>325645.2603</v>
      </c>
      <c r="AP29" s="32">
        <f>IF(AO29&gt;0,Assumptions!$B$33,0)</f>
        <v>2281</v>
      </c>
      <c r="AQ29" s="32">
        <f>AO29*Assumptions!$B$32/12</f>
        <v>1055.633386</v>
      </c>
      <c r="AR29" s="32">
        <f t="shared" si="9"/>
        <v>1225.366614</v>
      </c>
      <c r="AS29" s="32">
        <f t="shared" si="29"/>
        <v>0</v>
      </c>
      <c r="AT29" s="32">
        <f t="shared" si="10"/>
        <v>324419.8937</v>
      </c>
      <c r="AU29" s="32">
        <f t="shared" si="30"/>
        <v>0</v>
      </c>
      <c r="AV29" s="32">
        <f t="shared" si="31"/>
        <v>0</v>
      </c>
      <c r="AW29" s="32">
        <f t="shared" si="32"/>
        <v>0</v>
      </c>
      <c r="AX29" s="32">
        <f t="shared" si="33"/>
        <v>0</v>
      </c>
      <c r="AY29" s="32">
        <f t="shared" si="34"/>
        <v>0</v>
      </c>
      <c r="AZ29" s="32">
        <f t="shared" si="35"/>
        <v>0</v>
      </c>
      <c r="BA29" s="32">
        <f t="shared" si="36"/>
        <v>0</v>
      </c>
      <c r="BB29" s="32">
        <f t="shared" si="37"/>
        <v>0</v>
      </c>
      <c r="BC29" s="32">
        <f t="shared" si="38"/>
        <v>0</v>
      </c>
      <c r="BD29" s="32">
        <f t="shared" si="39"/>
        <v>0</v>
      </c>
      <c r="BE29" s="32">
        <f t="shared" si="11"/>
        <v>0</v>
      </c>
      <c r="BF29" s="32">
        <v>0.0</v>
      </c>
      <c r="BG29" s="32">
        <f t="shared" si="40"/>
        <v>5500</v>
      </c>
      <c r="BH29" s="32">
        <v>0.0</v>
      </c>
      <c r="BI29" s="32">
        <f t="shared" si="41"/>
        <v>5000</v>
      </c>
      <c r="BJ29" s="32">
        <f>IF(OR(B29&lt;Assumptions!$B$111,AND(B29=Assumptions!$B$111,A29&lt;=Assumptions!$B$112)),Assumptions!$B$110,0)</f>
        <v>0</v>
      </c>
      <c r="BK29" s="32">
        <f>IF(B29&lt;2027,Assumptions!$B$116+IF(OR(A29=4,A29=10),Assumptions!$B$117,0),IF(AND(B29=2027,A29&lt;=4),IF(A29=4,MIN(950,Assumptions!$B$116+Assumptions!$B$117),Assumptions!$B$116),0))</f>
        <v>0</v>
      </c>
      <c r="BL29" s="32">
        <f>IF(OR(B29&lt;2030,AND(B29=2030,A29&lt;8)),Assumptions!$B$118,IF(AND(B29=2030,A29=8),MOD(11000,200),0))</f>
        <v>200</v>
      </c>
      <c r="BM29" s="32">
        <f>IF(OR(B29&lt;Assumptions!$B$120,AND(B29=Assumptions!$B$120,A29&lt;=Assumptions!$B$121)),Assumptions!$B$119,0)</f>
        <v>0</v>
      </c>
      <c r="BN29" s="32">
        <f>IF(AND(B29&lt;=Assumptions!$B$123,A29&lt;=Assumptions!$B$124),Assumptions!$B$122,0)</f>
        <v>0</v>
      </c>
      <c r="BO29" s="32">
        <f t="shared" si="12"/>
        <v>200</v>
      </c>
      <c r="BP29" s="32">
        <f>SUMIFS(SL_Budget!$B:$B,SL_Budget!$C:$C,"'"&amp;TEXT(DATE(B29,A29,1),"YYYY-MM"))</f>
        <v>4358</v>
      </c>
      <c r="BQ29" s="32">
        <f>MAX(BP29, IFERROR(SUMIFS(ShadowLedger!D:D, 
  ShadowLedger!C:C, "&gt;="&amp;DATE(B29,A29,1), 
  ShadowLedger!C:C, "&lt;"&amp;EOMONTH(DATE(B29,A29,1),0)+1), 0))
</f>
        <v>4358</v>
      </c>
      <c r="BR29" s="32">
        <f t="shared" si="42"/>
        <v>78021.57433</v>
      </c>
      <c r="BS29" s="32">
        <f t="shared" si="43"/>
        <v>2106.1788</v>
      </c>
      <c r="BT29" s="32">
        <f>IF(AS29&gt;0,-MAX(0,21550-MAX(0,MAX(0,(AM29-AP29-BE29-BO29-BQ29)-Assumptions!$B$93))-MIN(MAX(0,21550-MAX(0,MAX(0,(AM29-AP29-BE29-BO29-BQ29)-Assumptions!$B$93))),MAX(0,BY28-Assumptions!$B$91))),IF(BY28&gt;=Assumptions!$B$92,MAX(0,(AM29-AP29-BE29-BO29-BQ29)-Assumptions!$B$93),MAX(0,(AM29-AP29-BE29-BO29-BQ29)-Assumptions!$B$93)*Assumptions!$B$99))</f>
        <v>13221.96096</v>
      </c>
      <c r="BU29" s="32">
        <f>(BR29+BS29+MAX(0,BT29))*(Assumptions!$B$43-1)</f>
        <v>636.4583506</v>
      </c>
      <c r="BV29" s="32">
        <f t="shared" si="13"/>
        <v>93986.17244</v>
      </c>
      <c r="BW29" s="32">
        <f t="shared" si="44"/>
        <v>6755.72224</v>
      </c>
      <c r="BX29" s="32">
        <f>IF(AS29&gt;0,-MIN(MAX(0,21550-MAX(0,MAX(0,(AM29-AP29-BE29-BO29-BQ29)-Assumptions!$B$93))),MAX(0,BY28-Assumptions!$B$91)),IF(BY28&lt;Assumptions!$B$92,MAX(0,(AM29-AP29-BE29-BO29-BQ29)-Assumptions!$B$93)*Assumptions!$B$98,0))</f>
        <v>3305.49024</v>
      </c>
      <c r="BY29" s="32">
        <f t="shared" si="14"/>
        <v>10061.21248</v>
      </c>
      <c r="BZ29" s="32">
        <f t="shared" si="45"/>
        <v>6645</v>
      </c>
      <c r="CA29" s="32">
        <f t="shared" si="15"/>
        <v>2215</v>
      </c>
      <c r="CB29" s="32">
        <f t="shared" si="16"/>
        <v>8860</v>
      </c>
      <c r="CC29" s="55">
        <f>CC28+(G29+J29)/(Salary_Schedule!E29*12/208)</f>
        <v>1736.997455</v>
      </c>
      <c r="CD29" s="55">
        <f>CD28+(O29+R29)/(Salary_Schedule!G29*12/208)</f>
        <v>59.55800276</v>
      </c>
      <c r="CE29" s="32">
        <f t="shared" si="17"/>
        <v>93986.17244</v>
      </c>
      <c r="CF29" s="32">
        <f>Assumptions!$B$55*(1+Assumptions!$B$56)^((B29-2025)+(A29-1)/12)</f>
        <v>545780.4574</v>
      </c>
      <c r="CG29" s="32">
        <f t="shared" si="18"/>
        <v>-324419.8937</v>
      </c>
      <c r="CH29" s="32">
        <f t="shared" si="19"/>
        <v>-46666.48</v>
      </c>
      <c r="CI29" s="32">
        <f>CC29*(Salary_Schedule!E29/173.33)*(1-Assumptions!$B$28)+CD29*(Salary_Schedule!G29/173.33)*(1-Assumptions!$B$28)</f>
        <v>54384.50664</v>
      </c>
      <c r="CJ29" s="32">
        <f t="shared" si="20"/>
        <v>323064.7627</v>
      </c>
    </row>
    <row r="30" ht="15.0" customHeight="1">
      <c r="A30" s="1">
        <v>5.0</v>
      </c>
      <c r="B30" s="1">
        <v>2028.0</v>
      </c>
      <c r="C30" s="1" t="s">
        <v>699</v>
      </c>
      <c r="D30" s="1" t="str">
        <f t="shared" si="21"/>
        <v>04/2028</v>
      </c>
      <c r="E30" s="1" t="str">
        <f t="shared" si="2"/>
        <v>LEAN</v>
      </c>
      <c r="F30" s="32">
        <f>Salary_Schedule!E30</f>
        <v>8121.47</v>
      </c>
      <c r="G30" s="32">
        <f>Assumptions!$B$8</f>
        <v>200</v>
      </c>
      <c r="H30" s="32">
        <f>F30*Assumptions!$B$58</f>
        <v>812.147</v>
      </c>
      <c r="I30" s="32">
        <f>Salary_Schedule!F30</f>
        <v>0</v>
      </c>
      <c r="J30" s="32">
        <f>I30*Assumptions!$B$9</f>
        <v>0</v>
      </c>
      <c r="K30" s="54">
        <f t="shared" si="3"/>
        <v>7109.323</v>
      </c>
      <c r="L30" s="32">
        <f>IF(COUNTIFS(SL_Income_Log!$B:$B,TEXT(B30,"0000")&amp;"-"&amp;TEXT(A30,"00"),SL_Income_Log!$C:$C,"salary",SL_Income_Log!$E:$E,"H")&gt;0,SUMIFS(SL_Income_Log!$D:$D,SL_Income_Log!$B:$B,TEXT(B30,"0000")&amp;"-"&amp;TEXT(A30,"00"),SL_Income_Log!$C:$C,"salary",SL_Income_Log!$E:$E,"H"),K30*(1-Assumptions!$B$102)-Z30-Y30)</f>
        <v>3919.6738</v>
      </c>
      <c r="M30" s="32">
        <f>RSU_Schedule!H29</f>
        <v>0</v>
      </c>
      <c r="N30" s="32">
        <f>Salary_Schedule!G30</f>
        <v>6636.95</v>
      </c>
      <c r="O30" s="32">
        <f>Assumptions!$B$19</f>
        <v>200</v>
      </c>
      <c r="P30" s="32">
        <f>N30*Assumptions!$B$59</f>
        <v>663.695</v>
      </c>
      <c r="Q30" s="32">
        <f>Salary_Schedule!H30</f>
        <v>0</v>
      </c>
      <c r="R30" s="32">
        <f>Q30*Assumptions!$B$20</f>
        <v>0</v>
      </c>
      <c r="S30" s="54">
        <f t="shared" si="4"/>
        <v>5773.255</v>
      </c>
      <c r="T30" s="32">
        <f>IF(COUNTIFS(SL_Income_Log!$B:$B,TEXT(B30,"0000")&amp;"-"&amp;TEXT(A30,"00"),SL_Income_Log!$C:$C,"salary",SL_Income_Log!$E:$E,"W")&gt;0,SUMIFS(SL_Income_Log!$D:$D,SL_Income_Log!$B:$B,TEXT(B30,"0000")&amp;"-"&amp;TEXT(A30,"00"),SL_Income_Log!$C:$C,"salary",SL_Income_Log!$E:$E,"W"),S30*(1-Assumptions!$B$102)-AC30-AB30)
</f>
        <v>3118.033</v>
      </c>
      <c r="U30" s="32">
        <f>RSU_Schedule!M29</f>
        <v>0</v>
      </c>
      <c r="V30" s="32">
        <f>H30*(1+Assumptions!$B$60)+Assumptions!$B$61</f>
        <v>1157.0058</v>
      </c>
      <c r="W30" s="32">
        <f>P30*(1+Assumptions!$B$60)+Assumptions!$B$61</f>
        <v>949.173</v>
      </c>
      <c r="X30" s="32">
        <f t="shared" si="5"/>
        <v>2106.1788</v>
      </c>
      <c r="Y30" s="32">
        <f t="shared" si="22"/>
        <v>54.25</v>
      </c>
      <c r="Z30" s="32">
        <v>291.67</v>
      </c>
      <c r="AA30" s="32">
        <f t="shared" si="23"/>
        <v>17791.57</v>
      </c>
      <c r="AB30" s="32">
        <f t="shared" si="24"/>
        <v>54.25</v>
      </c>
      <c r="AC30" s="32">
        <v>291.67</v>
      </c>
      <c r="AD30" s="32">
        <f t="shared" si="25"/>
        <v>17791.57</v>
      </c>
      <c r="AE30" s="32">
        <f t="shared" ref="AE30:AF30" si="71">Z30+AC30</f>
        <v>583.34</v>
      </c>
      <c r="AF30" s="32">
        <f t="shared" si="71"/>
        <v>35583.14</v>
      </c>
      <c r="AG30" s="32">
        <f>IF(COUNTIFS(SL_Income_Log!$B:$B,TEXT(B30,"0000")&amp;"-"&amp;TEXT(A30,"00"),SL_Income_Log!$C:$C,"youtube")&gt;0,SUMIFS(SL_Income_Log!$D:$D,SL_Income_Log!$B:$B,TEXT(B30,"0000")&amp;"-"&amp;TEXT(A30,"00"),SL_Income_Log!$C:$C,"youtube"),MIN(Assumptions!$B$49+FLOOR((ROW()-2)/6,1)*Assumptions!$B$50,Assumptions!$B$51))
</f>
        <v>5000</v>
      </c>
      <c r="AH30" s="32">
        <f>AG30*Assumptions!$B$104</f>
        <v>2215</v>
      </c>
      <c r="AI30" s="32">
        <f t="shared" si="7"/>
        <v>2785</v>
      </c>
      <c r="AJ30" s="32">
        <f>SUMIFS(SL_Income_Log!$D:$D,SL_Income_Log!$B:$B,TEXT(B30,"0000")&amp;"-"&amp;TEXT(A30,"00"),SL_Income_Log!$C:$C,"other")</f>
        <v>0</v>
      </c>
      <c r="AK30" s="32">
        <f t="shared" si="27"/>
        <v>10000</v>
      </c>
      <c r="AL30" s="32">
        <f>L30+M30+T30+U30+AI30+AJ30-Y30-Z30-AB30-AC30+IF((Debt_Register!$C$2+Debt_Register!$C$6+Debt_Register!$C$7+Debt_Register!$C$8+Debt_Register!$C$9)&gt;5,X30,0)</f>
        <v>11237.0456</v>
      </c>
      <c r="AM30" s="32">
        <f t="shared" si="8"/>
        <v>21237.0456</v>
      </c>
      <c r="AN30" s="32">
        <f>MAX(Assumptions!$B$94,MIN(Assumptions!$B$93,AM30-AP30-BE30-BO30-BQ30))</f>
        <v>10000</v>
      </c>
      <c r="AO30" s="32">
        <f t="shared" si="28"/>
        <v>324419.8937</v>
      </c>
      <c r="AP30" s="32">
        <f>IF(AO30&gt;0,Assumptions!$B$33,0)</f>
        <v>2281</v>
      </c>
      <c r="AQ30" s="32">
        <f>AO30*Assumptions!$B$32/12</f>
        <v>1051.661155</v>
      </c>
      <c r="AR30" s="32">
        <f t="shared" si="9"/>
        <v>1229.338845</v>
      </c>
      <c r="AS30" s="32">
        <f t="shared" si="29"/>
        <v>0</v>
      </c>
      <c r="AT30" s="32">
        <f t="shared" si="10"/>
        <v>323190.5549</v>
      </c>
      <c r="AU30" s="32">
        <f t="shared" si="30"/>
        <v>0</v>
      </c>
      <c r="AV30" s="32">
        <f t="shared" si="31"/>
        <v>0</v>
      </c>
      <c r="AW30" s="32">
        <f t="shared" si="32"/>
        <v>0</v>
      </c>
      <c r="AX30" s="32">
        <f t="shared" si="33"/>
        <v>0</v>
      </c>
      <c r="AY30" s="32">
        <f t="shared" si="34"/>
        <v>0</v>
      </c>
      <c r="AZ30" s="32">
        <f t="shared" si="35"/>
        <v>0</v>
      </c>
      <c r="BA30" s="32">
        <f t="shared" si="36"/>
        <v>0</v>
      </c>
      <c r="BB30" s="32">
        <f t="shared" si="37"/>
        <v>0</v>
      </c>
      <c r="BC30" s="32">
        <f t="shared" si="38"/>
        <v>0</v>
      </c>
      <c r="BD30" s="32">
        <f t="shared" si="39"/>
        <v>0</v>
      </c>
      <c r="BE30" s="32">
        <f t="shared" si="11"/>
        <v>0</v>
      </c>
      <c r="BF30" s="32">
        <v>0.0</v>
      </c>
      <c r="BG30" s="32">
        <f t="shared" si="40"/>
        <v>5500</v>
      </c>
      <c r="BH30" s="32">
        <v>0.0</v>
      </c>
      <c r="BI30" s="32">
        <f t="shared" si="41"/>
        <v>5000</v>
      </c>
      <c r="BJ30" s="32">
        <f>IF(OR(B30&lt;Assumptions!$B$111,AND(B30=Assumptions!$B$111,A30&lt;=Assumptions!$B$112)),Assumptions!$B$110,0)</f>
        <v>0</v>
      </c>
      <c r="BK30" s="32">
        <f>IF(B30&lt;2027,Assumptions!$B$116+IF(OR(A30=4,A30=10),Assumptions!$B$117,0),IF(AND(B30=2027,A30&lt;=4),IF(A30=4,MIN(950,Assumptions!$B$116+Assumptions!$B$117),Assumptions!$B$116),0))</f>
        <v>0</v>
      </c>
      <c r="BL30" s="32">
        <f>IF(OR(B30&lt;2030,AND(B30=2030,A30&lt;8)),Assumptions!$B$118,IF(AND(B30=2030,A30=8),MOD(11000,200),0))</f>
        <v>200</v>
      </c>
      <c r="BM30" s="32">
        <f>IF(OR(B30&lt;Assumptions!$B$120,AND(B30=Assumptions!$B$120,A30&lt;=Assumptions!$B$121)),Assumptions!$B$119,0)</f>
        <v>0</v>
      </c>
      <c r="BN30" s="32">
        <f>IF(AND(B30&lt;=Assumptions!$B$123,A30&lt;=Assumptions!$B$124),Assumptions!$B$122,0)</f>
        <v>0</v>
      </c>
      <c r="BO30" s="32">
        <f t="shared" si="12"/>
        <v>200</v>
      </c>
      <c r="BP30" s="32">
        <f>SUMIFS(SL_Budget!$B:$B,SL_Budget!$C:$C,"'"&amp;TEXT(DATE(B30,A30,1),"YYYY-MM"))</f>
        <v>4358</v>
      </c>
      <c r="BQ30" s="32">
        <f>MAX(BP30, IFERROR(SUMIFS(ShadowLedger!D:D, 
  ShadowLedger!C:C, "&gt;="&amp;DATE(B30,A30,1), 
  ShadowLedger!C:C, "&lt;"&amp;EOMONTH(DATE(B30,A30,1),0)+1), 0))
</f>
        <v>4358</v>
      </c>
      <c r="BR30" s="32">
        <f t="shared" si="42"/>
        <v>93986.17244</v>
      </c>
      <c r="BS30" s="32">
        <f t="shared" si="43"/>
        <v>2106.1788</v>
      </c>
      <c r="BT30" s="32">
        <f>IF(AS30&gt;0,-MAX(0,21550-MAX(0,MAX(0,(AM30-AP30-BE30-BO30-BQ30)-Assumptions!$B$93))-MIN(MAX(0,21550-MAX(0,MAX(0,(AM30-AP30-BE30-BO30-BQ30)-Assumptions!$B$93))),MAX(0,BY29-Assumptions!$B$91))),IF(BY29&gt;=Assumptions!$B$92,MAX(0,(AM30-AP30-BE30-BO30-BQ30)-Assumptions!$B$93),MAX(0,(AM30-AP30-BE30-BO30-BQ30)-Assumptions!$B$93)*Assumptions!$B$99))</f>
        <v>3518.43648</v>
      </c>
      <c r="BU30" s="32">
        <f>(BR30+BS30+MAX(0,BT30))*(Assumptions!$B$43-1)</f>
        <v>679.1463506</v>
      </c>
      <c r="BV30" s="32">
        <f t="shared" si="13"/>
        <v>100289.9341</v>
      </c>
      <c r="BW30" s="32">
        <f t="shared" si="44"/>
        <v>10061.21248</v>
      </c>
      <c r="BX30" s="32">
        <f>IF(AS30&gt;0,-MIN(MAX(0,21550-MAX(0,MAX(0,(AM30-AP30-BE30-BO30-BQ30)-Assumptions!$B$93))),MAX(0,BY29-Assumptions!$B$91)),IF(BY29&lt;Assumptions!$B$92,MAX(0,(AM30-AP30-BE30-BO30-BQ30)-Assumptions!$B$93)*Assumptions!$B$98,0))</f>
        <v>879.60912</v>
      </c>
      <c r="BY30" s="32">
        <f t="shared" si="14"/>
        <v>10940.8216</v>
      </c>
      <c r="BZ30" s="32">
        <f t="shared" si="45"/>
        <v>8860</v>
      </c>
      <c r="CA30" s="32">
        <f t="shared" si="15"/>
        <v>2215</v>
      </c>
      <c r="CB30" s="32">
        <f t="shared" si="16"/>
        <v>11075</v>
      </c>
      <c r="CC30" s="55">
        <f>CC29+(G30+J30)/(Salary_Schedule!E30*12/208)</f>
        <v>1737.424307</v>
      </c>
      <c r="CD30" s="55">
        <f>CD29+(O30+R30)/(Salary_Schedule!G30*12/208)</f>
        <v>60.08033104</v>
      </c>
      <c r="CE30" s="32">
        <f t="shared" si="17"/>
        <v>100289.9341</v>
      </c>
      <c r="CF30" s="32">
        <f>Assumptions!$B$55*(1+Assumptions!$B$56)^((B30-2025)+(A30-1)/12)</f>
        <v>546458.0371</v>
      </c>
      <c r="CG30" s="32">
        <f t="shared" si="18"/>
        <v>-323190.5549</v>
      </c>
      <c r="CH30" s="32">
        <f t="shared" si="19"/>
        <v>-46083.14</v>
      </c>
      <c r="CI30" s="32">
        <f>CC30*(Salary_Schedule!E30/173.33)*(1-Assumptions!$B$28)+CD30*(Salary_Schedule!G30/173.33)*(1-Assumptions!$B$28)</f>
        <v>54410.50714</v>
      </c>
      <c r="CJ30" s="32">
        <f t="shared" si="20"/>
        <v>331884.7835</v>
      </c>
    </row>
    <row r="31" ht="15.0" customHeight="1">
      <c r="A31" s="1">
        <v>6.0</v>
      </c>
      <c r="B31" s="1">
        <v>2028.0</v>
      </c>
      <c r="C31" s="1" t="s">
        <v>700</v>
      </c>
      <c r="D31" s="1" t="str">
        <f t="shared" si="21"/>
        <v>05/2028</v>
      </c>
      <c r="E31" s="1" t="str">
        <f t="shared" si="2"/>
        <v>LEAN</v>
      </c>
      <c r="F31" s="32">
        <f>Salary_Schedule!E31</f>
        <v>8121.47</v>
      </c>
      <c r="G31" s="32">
        <f>Assumptions!$B$8</f>
        <v>200</v>
      </c>
      <c r="H31" s="32">
        <f>F31*Assumptions!$B$58</f>
        <v>812.147</v>
      </c>
      <c r="I31" s="32">
        <f>Salary_Schedule!F31</f>
        <v>0</v>
      </c>
      <c r="J31" s="32">
        <f>I31*Assumptions!$B$9</f>
        <v>0</v>
      </c>
      <c r="K31" s="54">
        <f t="shared" si="3"/>
        <v>7109.323</v>
      </c>
      <c r="L31" s="32">
        <f>IF(COUNTIFS(SL_Income_Log!$B:$B,TEXT(B31,"0000")&amp;"-"&amp;TEXT(A31,"00"),SL_Income_Log!$C:$C,"salary",SL_Income_Log!$E:$E,"H")&gt;0,SUMIFS(SL_Income_Log!$D:$D,SL_Income_Log!$B:$B,TEXT(B31,"0000")&amp;"-"&amp;TEXT(A31,"00"),SL_Income_Log!$C:$C,"salary",SL_Income_Log!$E:$E,"H"),K31*(1-Assumptions!$B$102)-Z31-Y31)</f>
        <v>3920.5538</v>
      </c>
      <c r="M31" s="32">
        <f>RSU_Schedule!H30</f>
        <v>0</v>
      </c>
      <c r="N31" s="32">
        <f>Salary_Schedule!G31</f>
        <v>6636.95</v>
      </c>
      <c r="O31" s="32">
        <f>Assumptions!$B$19</f>
        <v>200</v>
      </c>
      <c r="P31" s="32">
        <f>N31*Assumptions!$B$59</f>
        <v>663.695</v>
      </c>
      <c r="Q31" s="32">
        <f>Salary_Schedule!H31</f>
        <v>0</v>
      </c>
      <c r="R31" s="32">
        <f>Q31*Assumptions!$B$20</f>
        <v>0</v>
      </c>
      <c r="S31" s="54">
        <f t="shared" si="4"/>
        <v>5773.255</v>
      </c>
      <c r="T31" s="32">
        <f>IF(COUNTIFS(SL_Income_Log!$B:$B,TEXT(B31,"0000")&amp;"-"&amp;TEXT(A31,"00"),SL_Income_Log!$C:$C,"salary",SL_Income_Log!$E:$E,"W")&gt;0,SUMIFS(SL_Income_Log!$D:$D,SL_Income_Log!$B:$B,TEXT(B31,"0000")&amp;"-"&amp;TEXT(A31,"00"),SL_Income_Log!$C:$C,"salary",SL_Income_Log!$E:$E,"W"),S31*(1-Assumptions!$B$102)-AC31-AB31)
</f>
        <v>3118.913</v>
      </c>
      <c r="U31" s="32">
        <f>RSU_Schedule!M30</f>
        <v>0</v>
      </c>
      <c r="V31" s="32">
        <f>H31*(1+Assumptions!$B$60)+Assumptions!$B$61</f>
        <v>1157.0058</v>
      </c>
      <c r="W31" s="32">
        <f>P31*(1+Assumptions!$B$60)+Assumptions!$B$61</f>
        <v>949.173</v>
      </c>
      <c r="X31" s="32">
        <f t="shared" si="5"/>
        <v>2106.1788</v>
      </c>
      <c r="Y31" s="32">
        <f t="shared" si="22"/>
        <v>53.37</v>
      </c>
      <c r="Z31" s="32">
        <v>291.67</v>
      </c>
      <c r="AA31" s="32">
        <f t="shared" si="23"/>
        <v>17499.9</v>
      </c>
      <c r="AB31" s="32">
        <f t="shared" si="24"/>
        <v>53.37</v>
      </c>
      <c r="AC31" s="32">
        <v>291.67</v>
      </c>
      <c r="AD31" s="32">
        <f t="shared" si="25"/>
        <v>17499.9</v>
      </c>
      <c r="AE31" s="32">
        <f t="shared" ref="AE31:AF31" si="72">Z31+AC31</f>
        <v>583.34</v>
      </c>
      <c r="AF31" s="32">
        <f t="shared" si="72"/>
        <v>34999.8</v>
      </c>
      <c r="AG31" s="32">
        <f>IF(COUNTIFS(SL_Income_Log!$B:$B,TEXT(B31,"0000")&amp;"-"&amp;TEXT(A31,"00"),SL_Income_Log!$C:$C,"youtube")&gt;0,SUMIFS(SL_Income_Log!$D:$D,SL_Income_Log!$B:$B,TEXT(B31,"0000")&amp;"-"&amp;TEXT(A31,"00"),SL_Income_Log!$C:$C,"youtube"),MIN(Assumptions!$B$49+FLOOR((ROW()-2)/6,1)*Assumptions!$B$50,Assumptions!$B$51))
</f>
        <v>5000</v>
      </c>
      <c r="AH31" s="32">
        <f>AG31*Assumptions!$B$104</f>
        <v>2215</v>
      </c>
      <c r="AI31" s="32">
        <f t="shared" si="7"/>
        <v>2785</v>
      </c>
      <c r="AJ31" s="32">
        <f>SUMIFS(SL_Income_Log!$D:$D,SL_Income_Log!$B:$B,TEXT(B31,"0000")&amp;"-"&amp;TEXT(A31,"00"),SL_Income_Log!$C:$C,"other")</f>
        <v>0</v>
      </c>
      <c r="AK31" s="32">
        <f t="shared" si="27"/>
        <v>10000</v>
      </c>
      <c r="AL31" s="32">
        <f>L31+M31+T31+U31+AI31+AJ31-Y31-Z31-AB31-AC31+IF((Debt_Register!$C$2+Debt_Register!$C$6+Debt_Register!$C$7+Debt_Register!$C$8+Debt_Register!$C$9)&gt;5,X31,0)</f>
        <v>11240.5656</v>
      </c>
      <c r="AM31" s="32">
        <f t="shared" si="8"/>
        <v>21240.5656</v>
      </c>
      <c r="AN31" s="32">
        <f>MAX(Assumptions!$B$94,MIN(Assumptions!$B$93,AM31-AP31-BE31-BO31-BQ31))</f>
        <v>10000</v>
      </c>
      <c r="AO31" s="32">
        <f t="shared" si="28"/>
        <v>323190.5549</v>
      </c>
      <c r="AP31" s="32">
        <f>IF(AO31&gt;0,Assumptions!$B$33,0)</f>
        <v>2281</v>
      </c>
      <c r="AQ31" s="32">
        <f>AO31*Assumptions!$B$32/12</f>
        <v>1047.676049</v>
      </c>
      <c r="AR31" s="32">
        <f t="shared" si="9"/>
        <v>1233.323951</v>
      </c>
      <c r="AS31" s="32">
        <f t="shared" si="29"/>
        <v>0</v>
      </c>
      <c r="AT31" s="32">
        <f t="shared" si="10"/>
        <v>321957.2309</v>
      </c>
      <c r="AU31" s="32">
        <f t="shared" si="30"/>
        <v>0</v>
      </c>
      <c r="AV31" s="32">
        <f t="shared" si="31"/>
        <v>0</v>
      </c>
      <c r="AW31" s="32">
        <f t="shared" si="32"/>
        <v>0</v>
      </c>
      <c r="AX31" s="32">
        <f t="shared" si="33"/>
        <v>0</v>
      </c>
      <c r="AY31" s="32">
        <f t="shared" si="34"/>
        <v>0</v>
      </c>
      <c r="AZ31" s="32">
        <f t="shared" si="35"/>
        <v>0</v>
      </c>
      <c r="BA31" s="32">
        <f t="shared" si="36"/>
        <v>0</v>
      </c>
      <c r="BB31" s="32">
        <f t="shared" si="37"/>
        <v>0</v>
      </c>
      <c r="BC31" s="32">
        <f t="shared" si="38"/>
        <v>0</v>
      </c>
      <c r="BD31" s="32">
        <f t="shared" si="39"/>
        <v>0</v>
      </c>
      <c r="BE31" s="32">
        <f t="shared" si="11"/>
        <v>0</v>
      </c>
      <c r="BF31" s="32">
        <v>0.0</v>
      </c>
      <c r="BG31" s="32">
        <f t="shared" si="40"/>
        <v>5500</v>
      </c>
      <c r="BH31" s="32">
        <v>0.0</v>
      </c>
      <c r="BI31" s="32">
        <f t="shared" si="41"/>
        <v>5000</v>
      </c>
      <c r="BJ31" s="32">
        <f>IF(OR(B31&lt;Assumptions!$B$111,AND(B31=Assumptions!$B$111,A31&lt;=Assumptions!$B$112)),Assumptions!$B$110,0)</f>
        <v>0</v>
      </c>
      <c r="BK31" s="32">
        <f>IF(B31&lt;2027,Assumptions!$B$116+IF(OR(A31=4,A31=10),Assumptions!$B$117,0),IF(AND(B31=2027,A31&lt;=4),IF(A31=4,MIN(950,Assumptions!$B$116+Assumptions!$B$117),Assumptions!$B$116),0))</f>
        <v>0</v>
      </c>
      <c r="BL31" s="32">
        <f>IF(OR(B31&lt;2030,AND(B31=2030,A31&lt;8)),Assumptions!$B$118,IF(AND(B31=2030,A31=8),MOD(11000,200),0))</f>
        <v>200</v>
      </c>
      <c r="BM31" s="32">
        <f>IF(OR(B31&lt;Assumptions!$B$120,AND(B31=Assumptions!$B$120,A31&lt;=Assumptions!$B$121)),Assumptions!$B$119,0)</f>
        <v>0</v>
      </c>
      <c r="BN31" s="32">
        <f>IF(AND(B31&lt;=Assumptions!$B$123,A31&lt;=Assumptions!$B$124),Assumptions!$B$122,0)</f>
        <v>0</v>
      </c>
      <c r="BO31" s="32">
        <f t="shared" si="12"/>
        <v>200</v>
      </c>
      <c r="BP31" s="32">
        <f>SUMIFS(SL_Budget!$B:$B,SL_Budget!$C:$C,"'"&amp;TEXT(DATE(B31,A31,1),"YYYY-MM"))</f>
        <v>4358</v>
      </c>
      <c r="BQ31" s="32">
        <f>MAX(BP31, IFERROR(SUMIFS(ShadowLedger!D:D, 
  ShadowLedger!C:C, "&gt;="&amp;DATE(B31,A31,1), 
  ShadowLedger!C:C, "&lt;"&amp;EOMONTH(DATE(B31,A31,1),0)+1), 0))
</f>
        <v>4358</v>
      </c>
      <c r="BR31" s="32">
        <f t="shared" si="42"/>
        <v>100289.9341</v>
      </c>
      <c r="BS31" s="32">
        <f t="shared" si="43"/>
        <v>2106.1788</v>
      </c>
      <c r="BT31" s="32">
        <f>IF(AS31&gt;0,-MAX(0,21550-MAX(0,MAX(0,(AM31-AP31-BE31-BO31-BQ31)-Assumptions!$B$93))-MIN(MAX(0,21550-MAX(0,MAX(0,(AM31-AP31-BE31-BO31-BQ31)-Assumptions!$B$93))),MAX(0,BY30-Assumptions!$B$91))),IF(BY30&gt;=Assumptions!$B$92,MAX(0,(AM31-AP31-BE31-BO31-BQ31)-Assumptions!$B$93),MAX(0,(AM31-AP31-BE31-BO31-BQ31)-Assumptions!$B$93)*Assumptions!$B$99))</f>
        <v>3521.25248</v>
      </c>
      <c r="BU31" s="32">
        <f>(BR31+BS31+MAX(0,BT31))*(Assumptions!$B$43-1)</f>
        <v>722.1445969</v>
      </c>
      <c r="BV31" s="32">
        <f t="shared" si="13"/>
        <v>106639.5099</v>
      </c>
      <c r="BW31" s="32">
        <f t="shared" si="44"/>
        <v>10940.8216</v>
      </c>
      <c r="BX31" s="32">
        <f>IF(AS31&gt;0,-MIN(MAX(0,21550-MAX(0,MAX(0,(AM31-AP31-BE31-BO31-BQ31)-Assumptions!$B$93))),MAX(0,BY30-Assumptions!$B$91)),IF(BY30&lt;Assumptions!$B$92,MAX(0,(AM31-AP31-BE31-BO31-BQ31)-Assumptions!$B$93)*Assumptions!$B$98,0))</f>
        <v>880.31312</v>
      </c>
      <c r="BY31" s="32">
        <f t="shared" si="14"/>
        <v>11821.13472</v>
      </c>
      <c r="BZ31" s="32">
        <f t="shared" si="45"/>
        <v>11075</v>
      </c>
      <c r="CA31" s="32">
        <f t="shared" si="15"/>
        <v>2215</v>
      </c>
      <c r="CB31" s="32">
        <f t="shared" si="16"/>
        <v>13290</v>
      </c>
      <c r="CC31" s="55">
        <f>CC30+(G31+J31)/(Salary_Schedule!E31*12/208)</f>
        <v>1737.851159</v>
      </c>
      <c r="CD31" s="55">
        <f>CD30+(O31+R31)/(Salary_Schedule!G31*12/208)</f>
        <v>60.60265932</v>
      </c>
      <c r="CE31" s="32">
        <f t="shared" si="17"/>
        <v>106639.5099</v>
      </c>
      <c r="CF31" s="32">
        <f>Assumptions!$B$55*(1+Assumptions!$B$56)^((B31-2025)+(A31-1)/12)</f>
        <v>547136.4581</v>
      </c>
      <c r="CG31" s="32">
        <f t="shared" si="18"/>
        <v>-321957.2309</v>
      </c>
      <c r="CH31" s="32">
        <f t="shared" si="19"/>
        <v>-45499.8</v>
      </c>
      <c r="CI31" s="32">
        <f>CC31*(Salary_Schedule!E31/173.33)*(1-Assumptions!$B$28)+CD31*(Salary_Schedule!G31/173.33)*(1-Assumptions!$B$28)</f>
        <v>54436.50764</v>
      </c>
      <c r="CJ31" s="32">
        <f t="shared" si="20"/>
        <v>340755.4447</v>
      </c>
    </row>
    <row r="32" ht="15.0" customHeight="1">
      <c r="A32" s="1">
        <v>7.0</v>
      </c>
      <c r="B32" s="1">
        <v>2028.0</v>
      </c>
      <c r="C32" s="1" t="s">
        <v>701</v>
      </c>
      <c r="D32" s="1" t="str">
        <f t="shared" si="21"/>
        <v>06/2028</v>
      </c>
      <c r="E32" s="1" t="str">
        <f t="shared" si="2"/>
        <v>FAT_RSU</v>
      </c>
      <c r="F32" s="32">
        <f>Salary_Schedule!E32</f>
        <v>8121.47</v>
      </c>
      <c r="G32" s="32">
        <f>Assumptions!$B$8</f>
        <v>200</v>
      </c>
      <c r="H32" s="32">
        <f>F32*Assumptions!$B$58</f>
        <v>812.147</v>
      </c>
      <c r="I32" s="32">
        <f>Salary_Schedule!F32</f>
        <v>0</v>
      </c>
      <c r="J32" s="32">
        <f>I32*Assumptions!$B$9</f>
        <v>0</v>
      </c>
      <c r="K32" s="54">
        <f t="shared" si="3"/>
        <v>7109.323</v>
      </c>
      <c r="L32" s="32">
        <f>IF(COUNTIFS(SL_Income_Log!$B:$B,TEXT(B32,"0000")&amp;"-"&amp;TEXT(A32,"00"),SL_Income_Log!$C:$C,"salary",SL_Income_Log!$E:$E,"H")&gt;0,SUMIFS(SL_Income_Log!$D:$D,SL_Income_Log!$B:$B,TEXT(B32,"0000")&amp;"-"&amp;TEXT(A32,"00"),SL_Income_Log!$C:$C,"salary",SL_Income_Log!$E:$E,"H"),K32*(1-Assumptions!$B$102)-Z32-Y32)</f>
        <v>3921.4238</v>
      </c>
      <c r="M32" s="32">
        <f>RSU_Schedule!H31</f>
        <v>1856.66</v>
      </c>
      <c r="N32" s="32">
        <f>Salary_Schedule!G32</f>
        <v>6636.95</v>
      </c>
      <c r="O32" s="32">
        <f>Assumptions!$B$19</f>
        <v>200</v>
      </c>
      <c r="P32" s="32">
        <f>N32*Assumptions!$B$59</f>
        <v>663.695</v>
      </c>
      <c r="Q32" s="32">
        <f>Salary_Schedule!H32</f>
        <v>0</v>
      </c>
      <c r="R32" s="32">
        <f>Q32*Assumptions!$B$20</f>
        <v>0</v>
      </c>
      <c r="S32" s="54">
        <f t="shared" si="4"/>
        <v>5773.255</v>
      </c>
      <c r="T32" s="32">
        <f>IF(COUNTIFS(SL_Income_Log!$B:$B,TEXT(B32,"0000")&amp;"-"&amp;TEXT(A32,"00"),SL_Income_Log!$C:$C,"salary",SL_Income_Log!$E:$E,"W")&gt;0,SUMIFS(SL_Income_Log!$D:$D,SL_Income_Log!$B:$B,TEXT(B32,"0000")&amp;"-"&amp;TEXT(A32,"00"),SL_Income_Log!$C:$C,"salary",SL_Income_Log!$E:$E,"W"),S32*(1-Assumptions!$B$102)-AC32-AB32)
</f>
        <v>3119.783</v>
      </c>
      <c r="U32" s="32">
        <f>RSU_Schedule!M31</f>
        <v>928.33</v>
      </c>
      <c r="V32" s="32">
        <f>H32*(1+Assumptions!$B$60)+Assumptions!$B$61</f>
        <v>1157.0058</v>
      </c>
      <c r="W32" s="32">
        <f>P32*(1+Assumptions!$B$60)+Assumptions!$B$61</f>
        <v>949.173</v>
      </c>
      <c r="X32" s="32">
        <f t="shared" si="5"/>
        <v>2106.1788</v>
      </c>
      <c r="Y32" s="32">
        <f t="shared" si="22"/>
        <v>52.5</v>
      </c>
      <c r="Z32" s="32">
        <v>291.67</v>
      </c>
      <c r="AA32" s="32">
        <f t="shared" si="23"/>
        <v>17208.23</v>
      </c>
      <c r="AB32" s="32">
        <f t="shared" si="24"/>
        <v>52.5</v>
      </c>
      <c r="AC32" s="32">
        <v>291.67</v>
      </c>
      <c r="AD32" s="32">
        <f t="shared" si="25"/>
        <v>17208.23</v>
      </c>
      <c r="AE32" s="32">
        <f t="shared" ref="AE32:AF32" si="73">Z32+AC32</f>
        <v>583.34</v>
      </c>
      <c r="AF32" s="32">
        <f t="shared" si="73"/>
        <v>34416.46</v>
      </c>
      <c r="AG32" s="32">
        <f>IF(COUNTIFS(SL_Income_Log!$B:$B,TEXT(B32,"0000")&amp;"-"&amp;TEXT(A32,"00"),SL_Income_Log!$C:$C,"youtube")&gt;0,SUMIFS(SL_Income_Log!$D:$D,SL_Income_Log!$B:$B,TEXT(B32,"0000")&amp;"-"&amp;TEXT(A32,"00"),SL_Income_Log!$C:$C,"youtube"),MIN(Assumptions!$B$49+FLOOR((ROW()-2)/6,1)*Assumptions!$B$50,Assumptions!$B$51))
</f>
        <v>6000</v>
      </c>
      <c r="AH32" s="32">
        <f>AG32*Assumptions!$B$104</f>
        <v>2658</v>
      </c>
      <c r="AI32" s="32">
        <f t="shared" si="7"/>
        <v>3342</v>
      </c>
      <c r="AJ32" s="32">
        <f>SUMIFS(SL_Income_Log!$D:$D,SL_Income_Log!$B:$B,TEXT(B32,"0000")&amp;"-"&amp;TEXT(A32,"00"),SL_Income_Log!$C:$C,"other")</f>
        <v>0</v>
      </c>
      <c r="AK32" s="32">
        <f t="shared" si="27"/>
        <v>10000</v>
      </c>
      <c r="AL32" s="32">
        <f>L32+M32+T32+U32+AI32+AJ32-Y32-Z32-AB32-AC32+IF((Debt_Register!$C$2+Debt_Register!$C$6+Debt_Register!$C$7+Debt_Register!$C$8+Debt_Register!$C$9)&gt;5,X32,0)</f>
        <v>14586.0356</v>
      </c>
      <c r="AM32" s="32">
        <f t="shared" si="8"/>
        <v>24586.0356</v>
      </c>
      <c r="AN32" s="32">
        <f>MAX(Assumptions!$B$94,MIN(Assumptions!$B$93,AM32-AP32-BE32-BO32-BQ32))</f>
        <v>10000</v>
      </c>
      <c r="AO32" s="32">
        <f t="shared" si="28"/>
        <v>321957.2309</v>
      </c>
      <c r="AP32" s="32">
        <f>IF(AO32&gt;0,Assumptions!$B$33,0)</f>
        <v>2281</v>
      </c>
      <c r="AQ32" s="32">
        <f>AO32*Assumptions!$B$32/12</f>
        <v>1043.678024</v>
      </c>
      <c r="AR32" s="32">
        <f t="shared" si="9"/>
        <v>1237.321976</v>
      </c>
      <c r="AS32" s="32">
        <f t="shared" si="29"/>
        <v>0</v>
      </c>
      <c r="AT32" s="32">
        <f t="shared" si="10"/>
        <v>320719.9089</v>
      </c>
      <c r="AU32" s="32">
        <f t="shared" si="30"/>
        <v>0</v>
      </c>
      <c r="AV32" s="32">
        <f t="shared" si="31"/>
        <v>0</v>
      </c>
      <c r="AW32" s="32">
        <f t="shared" si="32"/>
        <v>0</v>
      </c>
      <c r="AX32" s="32">
        <f t="shared" si="33"/>
        <v>0</v>
      </c>
      <c r="AY32" s="32">
        <f t="shared" si="34"/>
        <v>0</v>
      </c>
      <c r="AZ32" s="32">
        <f t="shared" si="35"/>
        <v>0</v>
      </c>
      <c r="BA32" s="32">
        <f t="shared" si="36"/>
        <v>0</v>
      </c>
      <c r="BB32" s="32">
        <f t="shared" si="37"/>
        <v>0</v>
      </c>
      <c r="BC32" s="32">
        <f t="shared" si="38"/>
        <v>0</v>
      </c>
      <c r="BD32" s="32">
        <f t="shared" si="39"/>
        <v>0</v>
      </c>
      <c r="BE32" s="32">
        <f t="shared" si="11"/>
        <v>0</v>
      </c>
      <c r="BF32" s="32">
        <v>0.0</v>
      </c>
      <c r="BG32" s="32">
        <f t="shared" si="40"/>
        <v>5500</v>
      </c>
      <c r="BH32" s="32">
        <v>0.0</v>
      </c>
      <c r="BI32" s="32">
        <f t="shared" si="41"/>
        <v>5000</v>
      </c>
      <c r="BJ32" s="32">
        <f>IF(OR(B32&lt;Assumptions!$B$111,AND(B32=Assumptions!$B$111,A32&lt;=Assumptions!$B$112)),Assumptions!$B$110,0)</f>
        <v>0</v>
      </c>
      <c r="BK32" s="32">
        <f>IF(B32&lt;2027,Assumptions!$B$116+IF(OR(A32=4,A32=10),Assumptions!$B$117,0),IF(AND(B32=2027,A32&lt;=4),IF(A32=4,MIN(950,Assumptions!$B$116+Assumptions!$B$117),Assumptions!$B$116),0))</f>
        <v>0</v>
      </c>
      <c r="BL32" s="32">
        <f>IF(OR(B32&lt;2030,AND(B32=2030,A32&lt;8)),Assumptions!$B$118,IF(AND(B32=2030,A32=8),MOD(11000,200),0))</f>
        <v>200</v>
      </c>
      <c r="BM32" s="32">
        <f>IF(OR(B32&lt;Assumptions!$B$120,AND(B32=Assumptions!$B$120,A32&lt;=Assumptions!$B$121)),Assumptions!$B$119,0)</f>
        <v>0</v>
      </c>
      <c r="BN32" s="32">
        <f>IF(AND(B32&lt;=Assumptions!$B$123,A32&lt;=Assumptions!$B$124),Assumptions!$B$122,0)</f>
        <v>0</v>
      </c>
      <c r="BO32" s="32">
        <f t="shared" si="12"/>
        <v>200</v>
      </c>
      <c r="BP32" s="32">
        <f>SUMIFS(SL_Budget!$B:$B,SL_Budget!$C:$C,"'"&amp;TEXT(DATE(B32,A32,1),"YYYY-MM"))</f>
        <v>4358</v>
      </c>
      <c r="BQ32" s="32">
        <f>MAX(BP32, IFERROR(SUMIFS(ShadowLedger!D:D, 
  ShadowLedger!C:C, "&gt;="&amp;DATE(B32,A32,1), 
  ShadowLedger!C:C, "&lt;"&amp;EOMONTH(DATE(B32,A32,1),0)+1), 0))
</f>
        <v>4358</v>
      </c>
      <c r="BR32" s="32">
        <f t="shared" si="42"/>
        <v>106639.5099</v>
      </c>
      <c r="BS32" s="32">
        <f t="shared" si="43"/>
        <v>2106.1788</v>
      </c>
      <c r="BT32" s="32">
        <f>IF(AS32&gt;0,-MAX(0,21550-MAX(0,MAX(0,(AM32-AP32-BE32-BO32-BQ32)-Assumptions!$B$93))-MIN(MAX(0,21550-MAX(0,MAX(0,(AM32-AP32-BE32-BO32-BQ32)-Assumptions!$B$93))),MAX(0,BY31-Assumptions!$B$91))),IF(BY31&gt;=Assumptions!$B$92,MAX(0,(AM32-AP32-BE32-BO32-BQ32)-Assumptions!$B$93),MAX(0,(AM32-AP32-BE32-BO32-BQ32)-Assumptions!$B$93)*Assumptions!$B$99))</f>
        <v>6197.62848</v>
      </c>
      <c r="BU32" s="32">
        <f>(BR32+BS32+MAX(0,BT32))*(Assumptions!$B$43-1)</f>
        <v>783.6835368</v>
      </c>
      <c r="BV32" s="32">
        <f t="shared" si="13"/>
        <v>115727.0008</v>
      </c>
      <c r="BW32" s="32">
        <f t="shared" si="44"/>
        <v>11821.13472</v>
      </c>
      <c r="BX32" s="32">
        <f>IF(AS32&gt;0,-MIN(MAX(0,21550-MAX(0,MAX(0,(AM32-AP32-BE32-BO32-BQ32)-Assumptions!$B$93))),MAX(0,BY31-Assumptions!$B$91)),IF(BY31&lt;Assumptions!$B$92,MAX(0,(AM32-AP32-BE32-BO32-BQ32)-Assumptions!$B$93)*Assumptions!$B$98,0))</f>
        <v>1549.40712</v>
      </c>
      <c r="BY32" s="32">
        <f t="shared" si="14"/>
        <v>13370.54184</v>
      </c>
      <c r="BZ32" s="32">
        <f t="shared" si="45"/>
        <v>13290</v>
      </c>
      <c r="CA32" s="32">
        <f t="shared" si="15"/>
        <v>2658</v>
      </c>
      <c r="CB32" s="32">
        <f t="shared" si="16"/>
        <v>15948</v>
      </c>
      <c r="CC32" s="55">
        <f>CC31+(G32+J32)/(Salary_Schedule!E32*12/208)</f>
        <v>1738.278012</v>
      </c>
      <c r="CD32" s="55">
        <f>CD31+(O32+R32)/(Salary_Schedule!G32*12/208)</f>
        <v>61.1249876</v>
      </c>
      <c r="CE32" s="32">
        <f t="shared" si="17"/>
        <v>115727.0008</v>
      </c>
      <c r="CF32" s="32">
        <f>Assumptions!$B$55*(1+Assumptions!$B$56)^((B32-2025)+(A32-1)/12)</f>
        <v>547815.7212</v>
      </c>
      <c r="CG32" s="32">
        <f t="shared" si="18"/>
        <v>-320719.9089</v>
      </c>
      <c r="CH32" s="32">
        <f t="shared" si="19"/>
        <v>-44916.46</v>
      </c>
      <c r="CI32" s="32">
        <f>CC32*(Salary_Schedule!E32/173.33)*(1-Assumptions!$B$28)+CD32*(Salary_Schedule!G32/173.33)*(1-Assumptions!$B$28)</f>
        <v>54462.50814</v>
      </c>
      <c r="CJ32" s="32">
        <f t="shared" si="20"/>
        <v>352368.8612</v>
      </c>
    </row>
    <row r="33" ht="15.0" customHeight="1">
      <c r="A33" s="1">
        <v>8.0</v>
      </c>
      <c r="B33" s="1">
        <v>2028.0</v>
      </c>
      <c r="C33" s="1" t="s">
        <v>702</v>
      </c>
      <c r="D33" s="1" t="str">
        <f t="shared" si="21"/>
        <v>07/2028</v>
      </c>
      <c r="E33" s="1" t="str">
        <f t="shared" si="2"/>
        <v>LEAN</v>
      </c>
      <c r="F33" s="32">
        <f>Salary_Schedule!E33</f>
        <v>8121.47</v>
      </c>
      <c r="G33" s="32">
        <f>Assumptions!$B$8</f>
        <v>200</v>
      </c>
      <c r="H33" s="32">
        <f>F33*Assumptions!$B$58</f>
        <v>812.147</v>
      </c>
      <c r="I33" s="32">
        <f>Salary_Schedule!F33</f>
        <v>0</v>
      </c>
      <c r="J33" s="32">
        <f>I33*Assumptions!$B$9</f>
        <v>0</v>
      </c>
      <c r="K33" s="54">
        <f t="shared" si="3"/>
        <v>7109.323</v>
      </c>
      <c r="L33" s="32">
        <f>IF(COUNTIFS(SL_Income_Log!$B:$B,TEXT(B33,"0000")&amp;"-"&amp;TEXT(A33,"00"),SL_Income_Log!$C:$C,"salary",SL_Income_Log!$E:$E,"H")&gt;0,SUMIFS(SL_Income_Log!$D:$D,SL_Income_Log!$B:$B,TEXT(B33,"0000")&amp;"-"&amp;TEXT(A33,"00"),SL_Income_Log!$C:$C,"salary",SL_Income_Log!$E:$E,"H"),K33*(1-Assumptions!$B$102)-Z33-Y33)</f>
        <v>3922.3038</v>
      </c>
      <c r="M33" s="32">
        <f>RSU_Schedule!H32</f>
        <v>0</v>
      </c>
      <c r="N33" s="32">
        <f>Salary_Schedule!G33</f>
        <v>6636.95</v>
      </c>
      <c r="O33" s="32">
        <f>Assumptions!$B$19</f>
        <v>200</v>
      </c>
      <c r="P33" s="32">
        <f>N33*Assumptions!$B$59</f>
        <v>663.695</v>
      </c>
      <c r="Q33" s="32">
        <f>Salary_Schedule!H33</f>
        <v>0</v>
      </c>
      <c r="R33" s="32">
        <f>Q33*Assumptions!$B$20</f>
        <v>0</v>
      </c>
      <c r="S33" s="54">
        <f t="shared" si="4"/>
        <v>5773.255</v>
      </c>
      <c r="T33" s="32">
        <f>IF(COUNTIFS(SL_Income_Log!$B:$B,TEXT(B33,"0000")&amp;"-"&amp;TEXT(A33,"00"),SL_Income_Log!$C:$C,"salary",SL_Income_Log!$E:$E,"W")&gt;0,SUMIFS(SL_Income_Log!$D:$D,SL_Income_Log!$B:$B,TEXT(B33,"0000")&amp;"-"&amp;TEXT(A33,"00"),SL_Income_Log!$C:$C,"salary",SL_Income_Log!$E:$E,"W"),S33*(1-Assumptions!$B$102)-AC33-AB33)
</f>
        <v>3120.663</v>
      </c>
      <c r="U33" s="32">
        <f>RSU_Schedule!M32</f>
        <v>0</v>
      </c>
      <c r="V33" s="32">
        <f>H33*(1+Assumptions!$B$60)+Assumptions!$B$61</f>
        <v>1157.0058</v>
      </c>
      <c r="W33" s="32">
        <f>P33*(1+Assumptions!$B$60)+Assumptions!$B$61</f>
        <v>949.173</v>
      </c>
      <c r="X33" s="32">
        <f t="shared" si="5"/>
        <v>2106.1788</v>
      </c>
      <c r="Y33" s="32">
        <f t="shared" si="22"/>
        <v>51.62</v>
      </c>
      <c r="Z33" s="32">
        <v>291.67</v>
      </c>
      <c r="AA33" s="32">
        <f t="shared" si="23"/>
        <v>16916.56</v>
      </c>
      <c r="AB33" s="32">
        <f t="shared" si="24"/>
        <v>51.62</v>
      </c>
      <c r="AC33" s="32">
        <v>291.67</v>
      </c>
      <c r="AD33" s="32">
        <f t="shared" si="25"/>
        <v>16916.56</v>
      </c>
      <c r="AE33" s="32">
        <f t="shared" ref="AE33:AF33" si="74">Z33+AC33</f>
        <v>583.34</v>
      </c>
      <c r="AF33" s="32">
        <f t="shared" si="74"/>
        <v>33833.12</v>
      </c>
      <c r="AG33" s="32">
        <f>IF(COUNTIFS(SL_Income_Log!$B:$B,TEXT(B33,"0000")&amp;"-"&amp;TEXT(A33,"00"),SL_Income_Log!$C:$C,"youtube")&gt;0,SUMIFS(SL_Income_Log!$D:$D,SL_Income_Log!$B:$B,TEXT(B33,"0000")&amp;"-"&amp;TEXT(A33,"00"),SL_Income_Log!$C:$C,"youtube"),MIN(Assumptions!$B$49+FLOOR((ROW()-2)/6,1)*Assumptions!$B$50,Assumptions!$B$51))
</f>
        <v>6000</v>
      </c>
      <c r="AH33" s="32">
        <f>AG33*Assumptions!$B$104</f>
        <v>2658</v>
      </c>
      <c r="AI33" s="32">
        <f t="shared" si="7"/>
        <v>3342</v>
      </c>
      <c r="AJ33" s="32">
        <f>SUMIFS(SL_Income_Log!$D:$D,SL_Income_Log!$B:$B,TEXT(B33,"0000")&amp;"-"&amp;TEXT(A33,"00"),SL_Income_Log!$C:$C,"other")</f>
        <v>0</v>
      </c>
      <c r="AK33" s="32">
        <f t="shared" si="27"/>
        <v>10000</v>
      </c>
      <c r="AL33" s="32">
        <f>L33+M33+T33+U33+AI33+AJ33-Y33-Z33-AB33-AC33+IF((Debt_Register!$C$2+Debt_Register!$C$6+Debt_Register!$C$7+Debt_Register!$C$8+Debt_Register!$C$9)&gt;5,X33,0)</f>
        <v>11804.5656</v>
      </c>
      <c r="AM33" s="32">
        <f t="shared" si="8"/>
        <v>21804.5656</v>
      </c>
      <c r="AN33" s="32">
        <f>MAX(Assumptions!$B$94,MIN(Assumptions!$B$93,AM33-AP33-BE33-BO33-BQ33))</f>
        <v>10000</v>
      </c>
      <c r="AO33" s="32">
        <f t="shared" si="28"/>
        <v>320719.9089</v>
      </c>
      <c r="AP33" s="32">
        <f>IF(AO33&gt;0,Assumptions!$B$33,0)</f>
        <v>2281</v>
      </c>
      <c r="AQ33" s="32">
        <f>AO33*Assumptions!$B$32/12</f>
        <v>1039.667038</v>
      </c>
      <c r="AR33" s="32">
        <f t="shared" si="9"/>
        <v>1241.332962</v>
      </c>
      <c r="AS33" s="32">
        <f t="shared" si="29"/>
        <v>0</v>
      </c>
      <c r="AT33" s="32">
        <f t="shared" si="10"/>
        <v>319478.576</v>
      </c>
      <c r="AU33" s="32">
        <f t="shared" si="30"/>
        <v>0</v>
      </c>
      <c r="AV33" s="32">
        <f t="shared" si="31"/>
        <v>0</v>
      </c>
      <c r="AW33" s="32">
        <f t="shared" si="32"/>
        <v>0</v>
      </c>
      <c r="AX33" s="32">
        <f t="shared" si="33"/>
        <v>0</v>
      </c>
      <c r="AY33" s="32">
        <f t="shared" si="34"/>
        <v>0</v>
      </c>
      <c r="AZ33" s="32">
        <f t="shared" si="35"/>
        <v>0</v>
      </c>
      <c r="BA33" s="32">
        <f t="shared" si="36"/>
        <v>0</v>
      </c>
      <c r="BB33" s="32">
        <f t="shared" si="37"/>
        <v>0</v>
      </c>
      <c r="BC33" s="32">
        <f t="shared" si="38"/>
        <v>0</v>
      </c>
      <c r="BD33" s="32">
        <f t="shared" si="39"/>
        <v>0</v>
      </c>
      <c r="BE33" s="32">
        <f t="shared" si="11"/>
        <v>0</v>
      </c>
      <c r="BF33" s="32">
        <v>0.0</v>
      </c>
      <c r="BG33" s="32">
        <f t="shared" si="40"/>
        <v>5500</v>
      </c>
      <c r="BH33" s="32">
        <v>0.0</v>
      </c>
      <c r="BI33" s="32">
        <f t="shared" si="41"/>
        <v>5000</v>
      </c>
      <c r="BJ33" s="32">
        <f>IF(OR(B33&lt;Assumptions!$B$111,AND(B33=Assumptions!$B$111,A33&lt;=Assumptions!$B$112)),Assumptions!$B$110,0)</f>
        <v>0</v>
      </c>
      <c r="BK33" s="32">
        <f>IF(B33&lt;2027,Assumptions!$B$116+IF(OR(A33=4,A33=10),Assumptions!$B$117,0),IF(AND(B33=2027,A33&lt;=4),IF(A33=4,MIN(950,Assumptions!$B$116+Assumptions!$B$117),Assumptions!$B$116),0))</f>
        <v>0</v>
      </c>
      <c r="BL33" s="32">
        <f>IF(OR(B33&lt;2030,AND(B33=2030,A33&lt;8)),Assumptions!$B$118,IF(AND(B33=2030,A33=8),MOD(11000,200),0))</f>
        <v>200</v>
      </c>
      <c r="BM33" s="32">
        <f>IF(OR(B33&lt;Assumptions!$B$120,AND(B33=Assumptions!$B$120,A33&lt;=Assumptions!$B$121)),Assumptions!$B$119,0)</f>
        <v>0</v>
      </c>
      <c r="BN33" s="32">
        <f>IF(AND(B33&lt;=Assumptions!$B$123,A33&lt;=Assumptions!$B$124),Assumptions!$B$122,0)</f>
        <v>0</v>
      </c>
      <c r="BO33" s="32">
        <f t="shared" si="12"/>
        <v>200</v>
      </c>
      <c r="BP33" s="32">
        <f>SUMIFS(SL_Budget!$B:$B,SL_Budget!$C:$C,"'"&amp;TEXT(DATE(B33,A33,1),"YYYY-MM"))</f>
        <v>4358</v>
      </c>
      <c r="BQ33" s="32">
        <f>MAX(BP33, IFERROR(SUMIFS(ShadowLedger!D:D, 
  ShadowLedger!C:C, "&gt;="&amp;DATE(B33,A33,1), 
  ShadowLedger!C:C, "&lt;"&amp;EOMONTH(DATE(B33,A33,1),0)+1), 0))
</f>
        <v>4358</v>
      </c>
      <c r="BR33" s="32">
        <f t="shared" si="42"/>
        <v>115727.0008</v>
      </c>
      <c r="BS33" s="32">
        <f t="shared" si="43"/>
        <v>2106.1788</v>
      </c>
      <c r="BT33" s="32">
        <f>IF(AS33&gt;0,-MAX(0,21550-MAX(0,MAX(0,(AM33-AP33-BE33-BO33-BQ33)-Assumptions!$B$93))-MIN(MAX(0,21550-MAX(0,MAX(0,(AM33-AP33-BE33-BO33-BQ33)-Assumptions!$B$93))),MAX(0,BY32-Assumptions!$B$91))),IF(BY32&gt;=Assumptions!$B$92,MAX(0,(AM33-AP33-BE33-BO33-BQ33)-Assumptions!$B$93),MAX(0,(AM33-AP33-BE33-BO33-BQ33)-Assumptions!$B$93)*Assumptions!$B$99))</f>
        <v>3972.45248</v>
      </c>
      <c r="BU33" s="32">
        <f>(BR33+BS33+MAX(0,BT33))*(Assumptions!$B$43-1)</f>
        <v>830.4707993</v>
      </c>
      <c r="BV33" s="32">
        <f t="shared" si="13"/>
        <v>122636.1028</v>
      </c>
      <c r="BW33" s="32">
        <f t="shared" si="44"/>
        <v>13370.54184</v>
      </c>
      <c r="BX33" s="32">
        <f>IF(AS33&gt;0,-MIN(MAX(0,21550-MAX(0,MAX(0,(AM33-AP33-BE33-BO33-BQ33)-Assumptions!$B$93))),MAX(0,BY32-Assumptions!$B$91)),IF(BY32&lt;Assumptions!$B$92,MAX(0,(AM33-AP33-BE33-BO33-BQ33)-Assumptions!$B$93)*Assumptions!$B$98,0))</f>
        <v>993.11312</v>
      </c>
      <c r="BY33" s="32">
        <f t="shared" si="14"/>
        <v>14363.65496</v>
      </c>
      <c r="BZ33" s="32">
        <f t="shared" si="45"/>
        <v>15948</v>
      </c>
      <c r="CA33" s="32">
        <f t="shared" si="15"/>
        <v>2658</v>
      </c>
      <c r="CB33" s="32">
        <f t="shared" si="16"/>
        <v>18606</v>
      </c>
      <c r="CC33" s="55">
        <f>CC32+(G33+J33)/(Salary_Schedule!E33*12/208)</f>
        <v>1738.704864</v>
      </c>
      <c r="CD33" s="55">
        <f>CD32+(O33+R33)/(Salary_Schedule!G33*12/208)</f>
        <v>61.64731587</v>
      </c>
      <c r="CE33" s="32">
        <f t="shared" si="17"/>
        <v>122636.1028</v>
      </c>
      <c r="CF33" s="32">
        <f>Assumptions!$B$55*(1+Assumptions!$B$56)^((B33-2025)+(A33-1)/12)</f>
        <v>548495.8277</v>
      </c>
      <c r="CG33" s="32">
        <f t="shared" si="18"/>
        <v>-319478.576</v>
      </c>
      <c r="CH33" s="32">
        <f t="shared" si="19"/>
        <v>-44333.12</v>
      </c>
      <c r="CI33" s="32">
        <f>CC33*(Salary_Schedule!E33/173.33)*(1-Assumptions!$B$28)+CD33*(Salary_Schedule!G33/173.33)*(1-Assumptions!$B$28)</f>
        <v>54488.50864</v>
      </c>
      <c r="CJ33" s="32">
        <f t="shared" si="20"/>
        <v>361808.7432</v>
      </c>
    </row>
    <row r="34" ht="15.0" customHeight="1">
      <c r="A34" s="1">
        <v>9.0</v>
      </c>
      <c r="B34" s="1">
        <v>2028.0</v>
      </c>
      <c r="C34" s="1" t="s">
        <v>703</v>
      </c>
      <c r="D34" s="1" t="str">
        <f t="shared" si="21"/>
        <v>08/2028</v>
      </c>
      <c r="E34" s="1" t="str">
        <f t="shared" si="2"/>
        <v>LEAN</v>
      </c>
      <c r="F34" s="32">
        <f>Salary_Schedule!E34</f>
        <v>8121.47</v>
      </c>
      <c r="G34" s="32">
        <f>Assumptions!$B$8</f>
        <v>200</v>
      </c>
      <c r="H34" s="32">
        <f>F34*Assumptions!$B$58</f>
        <v>812.147</v>
      </c>
      <c r="I34" s="32">
        <f>Salary_Schedule!F34</f>
        <v>0</v>
      </c>
      <c r="J34" s="32">
        <f>I34*Assumptions!$B$9</f>
        <v>0</v>
      </c>
      <c r="K34" s="54">
        <f t="shared" si="3"/>
        <v>7109.323</v>
      </c>
      <c r="L34" s="32">
        <f>IF(COUNTIFS(SL_Income_Log!$B:$B,TEXT(B34,"0000")&amp;"-"&amp;TEXT(A34,"00"),SL_Income_Log!$C:$C,"salary",SL_Income_Log!$E:$E,"H")&gt;0,SUMIFS(SL_Income_Log!$D:$D,SL_Income_Log!$B:$B,TEXT(B34,"0000")&amp;"-"&amp;TEXT(A34,"00"),SL_Income_Log!$C:$C,"salary",SL_Income_Log!$E:$E,"H"),K34*(1-Assumptions!$B$102)-Z34-Y34)</f>
        <v>3923.1738</v>
      </c>
      <c r="M34" s="32">
        <f>RSU_Schedule!H33</f>
        <v>0</v>
      </c>
      <c r="N34" s="32">
        <f>Salary_Schedule!G34</f>
        <v>6636.95</v>
      </c>
      <c r="O34" s="32">
        <f>Assumptions!$B$19</f>
        <v>200</v>
      </c>
      <c r="P34" s="32">
        <f>N34*Assumptions!$B$59</f>
        <v>663.695</v>
      </c>
      <c r="Q34" s="32">
        <f>Salary_Schedule!H34</f>
        <v>0</v>
      </c>
      <c r="R34" s="32">
        <f>Q34*Assumptions!$B$20</f>
        <v>0</v>
      </c>
      <c r="S34" s="54">
        <f t="shared" si="4"/>
        <v>5773.255</v>
      </c>
      <c r="T34" s="32">
        <f>IF(COUNTIFS(SL_Income_Log!$B:$B,TEXT(B34,"0000")&amp;"-"&amp;TEXT(A34,"00"),SL_Income_Log!$C:$C,"salary",SL_Income_Log!$E:$E,"W")&gt;0,SUMIFS(SL_Income_Log!$D:$D,SL_Income_Log!$B:$B,TEXT(B34,"0000")&amp;"-"&amp;TEXT(A34,"00"),SL_Income_Log!$C:$C,"salary",SL_Income_Log!$E:$E,"W"),S34*(1-Assumptions!$B$102)-AC34-AB34)
</f>
        <v>3121.533</v>
      </c>
      <c r="U34" s="32">
        <f>RSU_Schedule!M33</f>
        <v>0</v>
      </c>
      <c r="V34" s="32">
        <f>H34*(1+Assumptions!$B$60)+Assumptions!$B$61</f>
        <v>1157.0058</v>
      </c>
      <c r="W34" s="32">
        <f>P34*(1+Assumptions!$B$60)+Assumptions!$B$61</f>
        <v>949.173</v>
      </c>
      <c r="X34" s="32">
        <f t="shared" si="5"/>
        <v>2106.1788</v>
      </c>
      <c r="Y34" s="32">
        <f t="shared" si="22"/>
        <v>50.75</v>
      </c>
      <c r="Z34" s="32">
        <v>291.67</v>
      </c>
      <c r="AA34" s="32">
        <f t="shared" si="23"/>
        <v>16624.89</v>
      </c>
      <c r="AB34" s="32">
        <f t="shared" si="24"/>
        <v>50.75</v>
      </c>
      <c r="AC34" s="32">
        <v>291.67</v>
      </c>
      <c r="AD34" s="32">
        <f t="shared" si="25"/>
        <v>16624.89</v>
      </c>
      <c r="AE34" s="32">
        <f t="shared" ref="AE34:AF34" si="75">Z34+AC34</f>
        <v>583.34</v>
      </c>
      <c r="AF34" s="32">
        <f t="shared" si="75"/>
        <v>33249.78</v>
      </c>
      <c r="AG34" s="32">
        <f>IF(COUNTIFS(SL_Income_Log!$B:$B,TEXT(B34,"0000")&amp;"-"&amp;TEXT(A34,"00"),SL_Income_Log!$C:$C,"youtube")&gt;0,SUMIFS(SL_Income_Log!$D:$D,SL_Income_Log!$B:$B,TEXT(B34,"0000")&amp;"-"&amp;TEXT(A34,"00"),SL_Income_Log!$C:$C,"youtube"),MIN(Assumptions!$B$49+FLOOR((ROW()-2)/6,1)*Assumptions!$B$50,Assumptions!$B$51))
</f>
        <v>6000</v>
      </c>
      <c r="AH34" s="32">
        <f>AG34*Assumptions!$B$104</f>
        <v>2658</v>
      </c>
      <c r="AI34" s="32">
        <f t="shared" si="7"/>
        <v>3342</v>
      </c>
      <c r="AJ34" s="32">
        <f>SUMIFS(SL_Income_Log!$D:$D,SL_Income_Log!$B:$B,TEXT(B34,"0000")&amp;"-"&amp;TEXT(A34,"00"),SL_Income_Log!$C:$C,"other")</f>
        <v>0</v>
      </c>
      <c r="AK34" s="32">
        <f t="shared" si="27"/>
        <v>10000</v>
      </c>
      <c r="AL34" s="32">
        <f>L34+M34+T34+U34+AI34+AJ34-Y34-Z34-AB34-AC34+IF((Debt_Register!$C$2+Debt_Register!$C$6+Debt_Register!$C$7+Debt_Register!$C$8+Debt_Register!$C$9)&gt;5,X34,0)</f>
        <v>11808.0456</v>
      </c>
      <c r="AM34" s="32">
        <f t="shared" si="8"/>
        <v>21808.0456</v>
      </c>
      <c r="AN34" s="32">
        <f>MAX(Assumptions!$B$94,MIN(Assumptions!$B$93,AM34-AP34-BE34-BO34-BQ34))</f>
        <v>10000</v>
      </c>
      <c r="AO34" s="32">
        <f t="shared" si="28"/>
        <v>319478.576</v>
      </c>
      <c r="AP34" s="32">
        <f>IF(AO34&gt;0,Assumptions!$B$33,0)</f>
        <v>2281</v>
      </c>
      <c r="AQ34" s="32">
        <f>AO34*Assumptions!$B$32/12</f>
        <v>1035.64305</v>
      </c>
      <c r="AR34" s="32">
        <f t="shared" si="9"/>
        <v>1245.35695</v>
      </c>
      <c r="AS34" s="32">
        <f t="shared" si="29"/>
        <v>0</v>
      </c>
      <c r="AT34" s="32">
        <f t="shared" si="10"/>
        <v>318233.219</v>
      </c>
      <c r="AU34" s="32">
        <f t="shared" si="30"/>
        <v>0</v>
      </c>
      <c r="AV34" s="32">
        <f t="shared" si="31"/>
        <v>0</v>
      </c>
      <c r="AW34" s="32">
        <f t="shared" si="32"/>
        <v>0</v>
      </c>
      <c r="AX34" s="32">
        <f t="shared" si="33"/>
        <v>0</v>
      </c>
      <c r="AY34" s="32">
        <f t="shared" si="34"/>
        <v>0</v>
      </c>
      <c r="AZ34" s="32">
        <f t="shared" si="35"/>
        <v>0</v>
      </c>
      <c r="BA34" s="32">
        <f t="shared" si="36"/>
        <v>0</v>
      </c>
      <c r="BB34" s="32">
        <f t="shared" si="37"/>
        <v>0</v>
      </c>
      <c r="BC34" s="32">
        <f t="shared" si="38"/>
        <v>0</v>
      </c>
      <c r="BD34" s="32">
        <f t="shared" si="39"/>
        <v>0</v>
      </c>
      <c r="BE34" s="32">
        <f t="shared" si="11"/>
        <v>0</v>
      </c>
      <c r="BF34" s="32">
        <v>0.0</v>
      </c>
      <c r="BG34" s="32">
        <f t="shared" si="40"/>
        <v>5500</v>
      </c>
      <c r="BH34" s="32">
        <v>0.0</v>
      </c>
      <c r="BI34" s="32">
        <f t="shared" si="41"/>
        <v>5000</v>
      </c>
      <c r="BJ34" s="32">
        <f>IF(OR(B34&lt;Assumptions!$B$111,AND(B34=Assumptions!$B$111,A34&lt;=Assumptions!$B$112)),Assumptions!$B$110,0)</f>
        <v>0</v>
      </c>
      <c r="BK34" s="32">
        <f>IF(B34&lt;2027,Assumptions!$B$116+IF(OR(A34=4,A34=10),Assumptions!$B$117,0),IF(AND(B34=2027,A34&lt;=4),IF(A34=4,MIN(950,Assumptions!$B$116+Assumptions!$B$117),Assumptions!$B$116),0))</f>
        <v>0</v>
      </c>
      <c r="BL34" s="32">
        <f>IF(OR(B34&lt;2030,AND(B34=2030,A34&lt;8)),Assumptions!$B$118,IF(AND(B34=2030,A34=8),MOD(11000,200),0))</f>
        <v>200</v>
      </c>
      <c r="BM34" s="32">
        <f>IF(OR(B34&lt;Assumptions!$B$120,AND(B34=Assumptions!$B$120,A34&lt;=Assumptions!$B$121)),Assumptions!$B$119,0)</f>
        <v>0</v>
      </c>
      <c r="BN34" s="32">
        <f>IF(AND(B34&lt;=Assumptions!$B$123,A34&lt;=Assumptions!$B$124),Assumptions!$B$122,0)</f>
        <v>0</v>
      </c>
      <c r="BO34" s="32">
        <f t="shared" si="12"/>
        <v>200</v>
      </c>
      <c r="BP34" s="32">
        <f>SUMIFS(SL_Budget!$B:$B,SL_Budget!$C:$C,"'"&amp;TEXT(DATE(B34,A34,1),"YYYY-MM"))</f>
        <v>4358</v>
      </c>
      <c r="BQ34" s="32">
        <f>MAX(BP34, IFERROR(SUMIFS(ShadowLedger!D:D, 
  ShadowLedger!C:C, "&gt;="&amp;DATE(B34,A34,1), 
  ShadowLedger!C:C, "&lt;"&amp;EOMONTH(DATE(B34,A34,1),0)+1), 0))
</f>
        <v>4358</v>
      </c>
      <c r="BR34" s="32">
        <f t="shared" si="42"/>
        <v>122636.1028</v>
      </c>
      <c r="BS34" s="32">
        <f t="shared" si="43"/>
        <v>2106.1788</v>
      </c>
      <c r="BT34" s="32">
        <f>IF(AS34&gt;0,-MAX(0,21550-MAX(0,MAX(0,(AM34-AP34-BE34-BO34-BQ34)-Assumptions!$B$93))-MIN(MAX(0,21550-MAX(0,MAX(0,(AM34-AP34-BE34-BO34-BQ34)-Assumptions!$B$93))),MAX(0,BY33-Assumptions!$B$91))),IF(BY33&gt;=Assumptions!$B$92,MAX(0,(AM34-AP34-BE34-BO34-BQ34)-Assumptions!$B$93),MAX(0,(AM34-AP34-BE34-BO34-BQ34)-Assumptions!$B$93)*Assumptions!$B$99))</f>
        <v>3975.23648</v>
      </c>
      <c r="BU34" s="32">
        <f>(BR34+BS34+MAX(0,BT34))*(Assumptions!$B$43-1)</f>
        <v>877.5960385</v>
      </c>
      <c r="BV34" s="32">
        <f t="shared" si="13"/>
        <v>129595.1142</v>
      </c>
      <c r="BW34" s="32">
        <f t="shared" si="44"/>
        <v>14363.65496</v>
      </c>
      <c r="BX34" s="32">
        <f>IF(AS34&gt;0,-MIN(MAX(0,21550-MAX(0,MAX(0,(AM34-AP34-BE34-BO34-BQ34)-Assumptions!$B$93))),MAX(0,BY33-Assumptions!$B$91)),IF(BY33&lt;Assumptions!$B$92,MAX(0,(AM34-AP34-BE34-BO34-BQ34)-Assumptions!$B$93)*Assumptions!$B$98,0))</f>
        <v>993.80912</v>
      </c>
      <c r="BY34" s="32">
        <f t="shared" si="14"/>
        <v>15357.46408</v>
      </c>
      <c r="BZ34" s="32">
        <f t="shared" si="45"/>
        <v>18606</v>
      </c>
      <c r="CA34" s="32">
        <f t="shared" si="15"/>
        <v>2658</v>
      </c>
      <c r="CB34" s="32">
        <f t="shared" si="16"/>
        <v>21264</v>
      </c>
      <c r="CC34" s="55">
        <f>CC33+(G34+J34)/(Salary_Schedule!E34*12/208)</f>
        <v>1739.131716</v>
      </c>
      <c r="CD34" s="55">
        <f>CD33+(O34+R34)/(Salary_Schedule!G34*12/208)</f>
        <v>62.16964415</v>
      </c>
      <c r="CE34" s="32">
        <f t="shared" si="17"/>
        <v>129595.1142</v>
      </c>
      <c r="CF34" s="32">
        <f>Assumptions!$B$55*(1+Assumptions!$B$56)^((B34-2025)+(A34-1)/12)</f>
        <v>549176.7786</v>
      </c>
      <c r="CG34" s="32">
        <f t="shared" si="18"/>
        <v>-318233.219</v>
      </c>
      <c r="CH34" s="32">
        <f t="shared" si="19"/>
        <v>-43749.78</v>
      </c>
      <c r="CI34" s="32">
        <f>CC34*(Salary_Schedule!E34/173.33)*(1-Assumptions!$B$28)+CD34*(Salary_Schedule!G34/173.33)*(1-Assumptions!$B$28)</f>
        <v>54514.50914</v>
      </c>
      <c r="CJ34" s="32">
        <f t="shared" si="20"/>
        <v>371303.4028</v>
      </c>
    </row>
    <row r="35" ht="15.0" customHeight="1">
      <c r="A35" s="1">
        <v>10.0</v>
      </c>
      <c r="B35" s="1">
        <v>2028.0</v>
      </c>
      <c r="C35" s="1" t="s">
        <v>704</v>
      </c>
      <c r="D35" s="1" t="str">
        <f t="shared" si="21"/>
        <v>09/2028</v>
      </c>
      <c r="E35" s="1" t="str">
        <f t="shared" si="2"/>
        <v>FAT_RSU</v>
      </c>
      <c r="F35" s="32">
        <f>Salary_Schedule!E35</f>
        <v>8121.47</v>
      </c>
      <c r="G35" s="32">
        <f>Assumptions!$B$8</f>
        <v>200</v>
      </c>
      <c r="H35" s="32">
        <f>F35*Assumptions!$B$58</f>
        <v>812.147</v>
      </c>
      <c r="I35" s="32">
        <f>Salary_Schedule!F35</f>
        <v>0</v>
      </c>
      <c r="J35" s="32">
        <f>I35*Assumptions!$B$9</f>
        <v>0</v>
      </c>
      <c r="K35" s="54">
        <f t="shared" si="3"/>
        <v>7109.323</v>
      </c>
      <c r="L35" s="32">
        <f>IF(COUNTIFS(SL_Income_Log!$B:$B,TEXT(B35,"0000")&amp;"-"&amp;TEXT(A35,"00"),SL_Income_Log!$C:$C,"salary",SL_Income_Log!$E:$E,"H")&gt;0,SUMIFS(SL_Income_Log!$D:$D,SL_Income_Log!$B:$B,TEXT(B35,"0000")&amp;"-"&amp;TEXT(A35,"00"),SL_Income_Log!$C:$C,"salary",SL_Income_Log!$E:$E,"H"),K35*(1-Assumptions!$B$102)-Z35-Y35)</f>
        <v>3924.0538</v>
      </c>
      <c r="M35" s="32">
        <f>RSU_Schedule!H34</f>
        <v>2784.99</v>
      </c>
      <c r="N35" s="32">
        <f>Salary_Schedule!G35</f>
        <v>6636.95</v>
      </c>
      <c r="O35" s="32">
        <f>Assumptions!$B$19</f>
        <v>200</v>
      </c>
      <c r="P35" s="32">
        <f>N35*Assumptions!$B$59</f>
        <v>663.695</v>
      </c>
      <c r="Q35" s="32">
        <f>Salary_Schedule!H35</f>
        <v>0</v>
      </c>
      <c r="R35" s="32">
        <f>Q35*Assumptions!$B$20</f>
        <v>0</v>
      </c>
      <c r="S35" s="54">
        <f t="shared" si="4"/>
        <v>5773.255</v>
      </c>
      <c r="T35" s="32">
        <f>IF(COUNTIFS(SL_Income_Log!$B:$B,TEXT(B35,"0000")&amp;"-"&amp;TEXT(A35,"00"),SL_Income_Log!$C:$C,"salary",SL_Income_Log!$E:$E,"W")&gt;0,SUMIFS(SL_Income_Log!$D:$D,SL_Income_Log!$B:$B,TEXT(B35,"0000")&amp;"-"&amp;TEXT(A35,"00"),SL_Income_Log!$C:$C,"salary",SL_Income_Log!$E:$E,"W"),S35*(1-Assumptions!$B$102)-AC35-AB35)
</f>
        <v>3122.413</v>
      </c>
      <c r="U35" s="32">
        <f>RSU_Schedule!M34</f>
        <v>1392.51</v>
      </c>
      <c r="V35" s="32">
        <f>H35*(1+Assumptions!$B$60)+Assumptions!$B$61</f>
        <v>1157.0058</v>
      </c>
      <c r="W35" s="32">
        <f>P35*(1+Assumptions!$B$60)+Assumptions!$B$61</f>
        <v>949.173</v>
      </c>
      <c r="X35" s="32">
        <f t="shared" si="5"/>
        <v>2106.1788</v>
      </c>
      <c r="Y35" s="32">
        <f t="shared" si="22"/>
        <v>49.87</v>
      </c>
      <c r="Z35" s="32">
        <v>291.67</v>
      </c>
      <c r="AA35" s="32">
        <f t="shared" si="23"/>
        <v>16333.22</v>
      </c>
      <c r="AB35" s="32">
        <f t="shared" si="24"/>
        <v>49.87</v>
      </c>
      <c r="AC35" s="32">
        <v>291.67</v>
      </c>
      <c r="AD35" s="32">
        <f t="shared" si="25"/>
        <v>16333.22</v>
      </c>
      <c r="AE35" s="32">
        <f t="shared" ref="AE35:AF35" si="76">Z35+AC35</f>
        <v>583.34</v>
      </c>
      <c r="AF35" s="32">
        <f t="shared" si="76"/>
        <v>32666.44</v>
      </c>
      <c r="AG35" s="32">
        <f>IF(COUNTIFS(SL_Income_Log!$B:$B,TEXT(B35,"0000")&amp;"-"&amp;TEXT(A35,"00"),SL_Income_Log!$C:$C,"youtube")&gt;0,SUMIFS(SL_Income_Log!$D:$D,SL_Income_Log!$B:$B,TEXT(B35,"0000")&amp;"-"&amp;TEXT(A35,"00"),SL_Income_Log!$C:$C,"youtube"),MIN(Assumptions!$B$49+FLOOR((ROW()-2)/6,1)*Assumptions!$B$50,Assumptions!$B$51))
</f>
        <v>6000</v>
      </c>
      <c r="AH35" s="32">
        <f>AG35*Assumptions!$B$104</f>
        <v>2658</v>
      </c>
      <c r="AI35" s="32">
        <f t="shared" si="7"/>
        <v>3342</v>
      </c>
      <c r="AJ35" s="32">
        <f>SUMIFS(SL_Income_Log!$D:$D,SL_Income_Log!$B:$B,TEXT(B35,"0000")&amp;"-"&amp;TEXT(A35,"00"),SL_Income_Log!$C:$C,"other")</f>
        <v>0</v>
      </c>
      <c r="AK35" s="32">
        <f t="shared" si="27"/>
        <v>10000</v>
      </c>
      <c r="AL35" s="32">
        <f>L35+M35+T35+U35+AI35+AJ35-Y35-Z35-AB35-AC35+IF((Debt_Register!$C$2+Debt_Register!$C$6+Debt_Register!$C$7+Debt_Register!$C$8+Debt_Register!$C$9)&gt;5,X35,0)</f>
        <v>15989.0656</v>
      </c>
      <c r="AM35" s="32">
        <f t="shared" si="8"/>
        <v>25989.0656</v>
      </c>
      <c r="AN35" s="32">
        <f>MAX(Assumptions!$B$94,MIN(Assumptions!$B$93,AM35-AP35-BE35-BO35-BQ35))</f>
        <v>10000</v>
      </c>
      <c r="AO35" s="32">
        <f t="shared" si="28"/>
        <v>318233.219</v>
      </c>
      <c r="AP35" s="32">
        <f>IF(AO35&gt;0,Assumptions!$B$33,0)</f>
        <v>2281</v>
      </c>
      <c r="AQ35" s="32">
        <f>AO35*Assumptions!$B$32/12</f>
        <v>1031.606018</v>
      </c>
      <c r="AR35" s="32">
        <f t="shared" si="9"/>
        <v>1249.393982</v>
      </c>
      <c r="AS35" s="32">
        <f t="shared" si="29"/>
        <v>0</v>
      </c>
      <c r="AT35" s="32">
        <f t="shared" si="10"/>
        <v>316983.825</v>
      </c>
      <c r="AU35" s="32">
        <f t="shared" si="30"/>
        <v>0</v>
      </c>
      <c r="AV35" s="32">
        <f t="shared" si="31"/>
        <v>0</v>
      </c>
      <c r="AW35" s="32">
        <f t="shared" si="32"/>
        <v>0</v>
      </c>
      <c r="AX35" s="32">
        <f t="shared" si="33"/>
        <v>0</v>
      </c>
      <c r="AY35" s="32">
        <f t="shared" si="34"/>
        <v>0</v>
      </c>
      <c r="AZ35" s="32">
        <f t="shared" si="35"/>
        <v>0</v>
      </c>
      <c r="BA35" s="32">
        <f t="shared" si="36"/>
        <v>0</v>
      </c>
      <c r="BB35" s="32">
        <f t="shared" si="37"/>
        <v>0</v>
      </c>
      <c r="BC35" s="32">
        <f t="shared" si="38"/>
        <v>0</v>
      </c>
      <c r="BD35" s="32">
        <f t="shared" si="39"/>
        <v>0</v>
      </c>
      <c r="BE35" s="32">
        <f t="shared" si="11"/>
        <v>0</v>
      </c>
      <c r="BF35" s="32">
        <v>0.0</v>
      </c>
      <c r="BG35" s="32">
        <f t="shared" si="40"/>
        <v>5500</v>
      </c>
      <c r="BH35" s="32">
        <v>0.0</v>
      </c>
      <c r="BI35" s="32">
        <f t="shared" si="41"/>
        <v>5000</v>
      </c>
      <c r="BJ35" s="32">
        <f>IF(OR(B35&lt;Assumptions!$B$111,AND(B35=Assumptions!$B$111,A35&lt;=Assumptions!$B$112)),Assumptions!$B$110,0)</f>
        <v>0</v>
      </c>
      <c r="BK35" s="32">
        <f>IF(B35&lt;2027,Assumptions!$B$116+IF(OR(A35=4,A35=10),Assumptions!$B$117,0),IF(AND(B35=2027,A35&lt;=4),IF(A35=4,MIN(950,Assumptions!$B$116+Assumptions!$B$117),Assumptions!$B$116),0))</f>
        <v>0</v>
      </c>
      <c r="BL35" s="32">
        <f>IF(OR(B35&lt;2030,AND(B35=2030,A35&lt;8)),Assumptions!$B$118,IF(AND(B35=2030,A35=8),MOD(11000,200),0))</f>
        <v>200</v>
      </c>
      <c r="BM35" s="32">
        <f>IF(OR(B35&lt;Assumptions!$B$120,AND(B35=Assumptions!$B$120,A35&lt;=Assumptions!$B$121)),Assumptions!$B$119,0)</f>
        <v>0</v>
      </c>
      <c r="BN35" s="32">
        <f>IF(AND(B35&lt;=Assumptions!$B$123,A35&lt;=Assumptions!$B$124),Assumptions!$B$122,0)</f>
        <v>0</v>
      </c>
      <c r="BO35" s="32">
        <f t="shared" si="12"/>
        <v>200</v>
      </c>
      <c r="BP35" s="32">
        <f>SUMIFS(SL_Budget!$B:$B,SL_Budget!$C:$C,"'"&amp;TEXT(DATE(B35,A35,1),"YYYY-MM"))</f>
        <v>4358</v>
      </c>
      <c r="BQ35" s="32">
        <f>MAX(BP35, IFERROR(SUMIFS(ShadowLedger!D:D, 
  ShadowLedger!C:C, "&gt;="&amp;DATE(B35,A35,1), 
  ShadowLedger!C:C, "&lt;"&amp;EOMONTH(DATE(B35,A35,1),0)+1), 0))
</f>
        <v>4358</v>
      </c>
      <c r="BR35" s="32">
        <f t="shared" si="42"/>
        <v>129595.1142</v>
      </c>
      <c r="BS35" s="32">
        <f t="shared" si="43"/>
        <v>2106.1788</v>
      </c>
      <c r="BT35" s="32">
        <f>IF(AS35&gt;0,-MAX(0,21550-MAX(0,MAX(0,(AM35-AP35-BE35-BO35-BQ35)-Assumptions!$B$93))-MIN(MAX(0,21550-MAX(0,MAX(0,(AM35-AP35-BE35-BO35-BQ35)-Assumptions!$B$93))),MAX(0,BY34-Assumptions!$B$91))),IF(BY34&gt;=Assumptions!$B$92,MAX(0,(AM35-AP35-BE35-BO35-BQ35)-Assumptions!$B$93),MAX(0,(AM35-AP35-BE35-BO35-BQ35)-Assumptions!$B$93)*Assumptions!$B$99))</f>
        <v>9150.0656</v>
      </c>
      <c r="BU35" s="32">
        <f>(BR35+BS35+MAX(0,BT35))*(Assumptions!$B$43-1)</f>
        <v>960.3245627</v>
      </c>
      <c r="BV35" s="32">
        <f t="shared" si="13"/>
        <v>141811.6831</v>
      </c>
      <c r="BW35" s="32">
        <f t="shared" si="44"/>
        <v>15357.46408</v>
      </c>
      <c r="BX35" s="32">
        <f>IF(AS35&gt;0,-MIN(MAX(0,21550-MAX(0,MAX(0,(AM35-AP35-BE35-BO35-BQ35)-Assumptions!$B$93))),MAX(0,BY34-Assumptions!$B$91)),IF(BY34&lt;Assumptions!$B$92,MAX(0,(AM35-AP35-BE35-BO35-BQ35)-Assumptions!$B$93)*Assumptions!$B$98,0))</f>
        <v>0</v>
      </c>
      <c r="BY35" s="32">
        <f t="shared" si="14"/>
        <v>15357.46408</v>
      </c>
      <c r="BZ35" s="32">
        <f t="shared" si="45"/>
        <v>21264</v>
      </c>
      <c r="CA35" s="32">
        <f t="shared" si="15"/>
        <v>2658</v>
      </c>
      <c r="CB35" s="32">
        <f t="shared" si="16"/>
        <v>23922</v>
      </c>
      <c r="CC35" s="55">
        <f>CC34+(G35+J35)/(Salary_Schedule!E35*12/208)</f>
        <v>1739.558568</v>
      </c>
      <c r="CD35" s="55">
        <f>CD34+(O35+R35)/(Salary_Schedule!G35*12/208)</f>
        <v>62.69197243</v>
      </c>
      <c r="CE35" s="32">
        <f t="shared" si="17"/>
        <v>141811.6831</v>
      </c>
      <c r="CF35" s="32">
        <f>Assumptions!$B$55*(1+Assumptions!$B$56)^((B35-2025)+(A35-1)/12)</f>
        <v>549858.5748</v>
      </c>
      <c r="CG35" s="32">
        <f t="shared" si="18"/>
        <v>-316983.825</v>
      </c>
      <c r="CH35" s="32">
        <f t="shared" si="19"/>
        <v>-43166.44</v>
      </c>
      <c r="CI35" s="32">
        <f>CC35*(Salary_Schedule!E35/173.33)*(1-Assumptions!$B$28)+CD35*(Salary_Schedule!G35/173.33)*(1-Assumptions!$B$28)</f>
        <v>54540.50964</v>
      </c>
      <c r="CJ35" s="32">
        <f t="shared" si="20"/>
        <v>386060.5025</v>
      </c>
    </row>
    <row r="36" ht="15.0" customHeight="1">
      <c r="A36" s="1">
        <v>11.0</v>
      </c>
      <c r="B36" s="1">
        <v>2028.0</v>
      </c>
      <c r="C36" s="1" t="s">
        <v>705</v>
      </c>
      <c r="D36" s="1" t="str">
        <f t="shared" si="21"/>
        <v>10/2028</v>
      </c>
      <c r="E36" s="1" t="str">
        <f t="shared" si="2"/>
        <v>LEAN</v>
      </c>
      <c r="F36" s="32">
        <f>Salary_Schedule!E36</f>
        <v>8121.47</v>
      </c>
      <c r="G36" s="32">
        <f>Assumptions!$B$8</f>
        <v>200</v>
      </c>
      <c r="H36" s="32">
        <f>F36*Assumptions!$B$58</f>
        <v>812.147</v>
      </c>
      <c r="I36" s="32">
        <f>Salary_Schedule!F36</f>
        <v>0</v>
      </c>
      <c r="J36" s="32">
        <f>I36*Assumptions!$B$9</f>
        <v>0</v>
      </c>
      <c r="K36" s="54">
        <f t="shared" si="3"/>
        <v>7109.323</v>
      </c>
      <c r="L36" s="32">
        <f>IF(COUNTIFS(SL_Income_Log!$B:$B,TEXT(B36,"0000")&amp;"-"&amp;TEXT(A36,"00"),SL_Income_Log!$C:$C,"salary",SL_Income_Log!$E:$E,"H")&gt;0,SUMIFS(SL_Income_Log!$D:$D,SL_Income_Log!$B:$B,TEXT(B36,"0000")&amp;"-"&amp;TEXT(A36,"00"),SL_Income_Log!$C:$C,"salary",SL_Income_Log!$E:$E,"H"),K36*(1-Assumptions!$B$102)-Z36-Y36)</f>
        <v>3924.9238</v>
      </c>
      <c r="M36" s="32">
        <f>RSU_Schedule!H35</f>
        <v>0</v>
      </c>
      <c r="N36" s="32">
        <f>Salary_Schedule!G36</f>
        <v>6636.95</v>
      </c>
      <c r="O36" s="32">
        <f>Assumptions!$B$19</f>
        <v>200</v>
      </c>
      <c r="P36" s="32">
        <f>N36*Assumptions!$B$59</f>
        <v>663.695</v>
      </c>
      <c r="Q36" s="32">
        <f>Salary_Schedule!H36</f>
        <v>0</v>
      </c>
      <c r="R36" s="32">
        <f>Q36*Assumptions!$B$20</f>
        <v>0</v>
      </c>
      <c r="S36" s="54">
        <f t="shared" si="4"/>
        <v>5773.255</v>
      </c>
      <c r="T36" s="32">
        <f>IF(COUNTIFS(SL_Income_Log!$B:$B,TEXT(B36,"0000")&amp;"-"&amp;TEXT(A36,"00"),SL_Income_Log!$C:$C,"salary",SL_Income_Log!$E:$E,"W")&gt;0,SUMIFS(SL_Income_Log!$D:$D,SL_Income_Log!$B:$B,TEXT(B36,"0000")&amp;"-"&amp;TEXT(A36,"00"),SL_Income_Log!$C:$C,"salary",SL_Income_Log!$E:$E,"W"),S36*(1-Assumptions!$B$102)-AC36-AB36)
</f>
        <v>3123.283</v>
      </c>
      <c r="U36" s="32">
        <f>RSU_Schedule!M35</f>
        <v>0</v>
      </c>
      <c r="V36" s="32">
        <f>H36*(1+Assumptions!$B$60)+Assumptions!$B$61</f>
        <v>1157.0058</v>
      </c>
      <c r="W36" s="32">
        <f>P36*(1+Assumptions!$B$60)+Assumptions!$B$61</f>
        <v>949.173</v>
      </c>
      <c r="X36" s="32">
        <f t="shared" si="5"/>
        <v>2106.1788</v>
      </c>
      <c r="Y36" s="32">
        <f t="shared" si="22"/>
        <v>49</v>
      </c>
      <c r="Z36" s="32">
        <v>291.67</v>
      </c>
      <c r="AA36" s="32">
        <f t="shared" si="23"/>
        <v>16041.55</v>
      </c>
      <c r="AB36" s="32">
        <f t="shared" si="24"/>
        <v>49</v>
      </c>
      <c r="AC36" s="32">
        <v>291.67</v>
      </c>
      <c r="AD36" s="32">
        <f t="shared" si="25"/>
        <v>16041.55</v>
      </c>
      <c r="AE36" s="32">
        <f t="shared" ref="AE36:AF36" si="77">Z36+AC36</f>
        <v>583.34</v>
      </c>
      <c r="AF36" s="32">
        <f t="shared" si="77"/>
        <v>32083.1</v>
      </c>
      <c r="AG36" s="32">
        <f>IF(COUNTIFS(SL_Income_Log!$B:$B,TEXT(B36,"0000")&amp;"-"&amp;TEXT(A36,"00"),SL_Income_Log!$C:$C,"youtube")&gt;0,SUMIFS(SL_Income_Log!$D:$D,SL_Income_Log!$B:$B,TEXT(B36,"0000")&amp;"-"&amp;TEXT(A36,"00"),SL_Income_Log!$C:$C,"youtube"),MIN(Assumptions!$B$49+FLOOR((ROW()-2)/6,1)*Assumptions!$B$50,Assumptions!$B$51))
</f>
        <v>6000</v>
      </c>
      <c r="AH36" s="32">
        <f>AG36*Assumptions!$B$104</f>
        <v>2658</v>
      </c>
      <c r="AI36" s="32">
        <f t="shared" si="7"/>
        <v>3342</v>
      </c>
      <c r="AJ36" s="32">
        <f>SUMIFS(SL_Income_Log!$D:$D,SL_Income_Log!$B:$B,TEXT(B36,"0000")&amp;"-"&amp;TEXT(A36,"00"),SL_Income_Log!$C:$C,"other")</f>
        <v>0</v>
      </c>
      <c r="AK36" s="32">
        <f t="shared" si="27"/>
        <v>10000</v>
      </c>
      <c r="AL36" s="32">
        <f>L36+M36+T36+U36+AI36+AJ36-Y36-Z36-AB36-AC36+IF((Debt_Register!$C$2+Debt_Register!$C$6+Debt_Register!$C$7+Debt_Register!$C$8+Debt_Register!$C$9)&gt;5,X36,0)</f>
        <v>11815.0456</v>
      </c>
      <c r="AM36" s="32">
        <f t="shared" si="8"/>
        <v>21815.0456</v>
      </c>
      <c r="AN36" s="32">
        <f>MAX(Assumptions!$B$94,MIN(Assumptions!$B$93,AM36-AP36-BE36-BO36-BQ36))</f>
        <v>10000</v>
      </c>
      <c r="AO36" s="32">
        <f t="shared" si="28"/>
        <v>316983.825</v>
      </c>
      <c r="AP36" s="32">
        <f>IF(AO36&gt;0,Assumptions!$B$33,0)</f>
        <v>2281</v>
      </c>
      <c r="AQ36" s="32">
        <f>AO36*Assumptions!$B$32/12</f>
        <v>1027.5559</v>
      </c>
      <c r="AR36" s="32">
        <f t="shared" si="9"/>
        <v>1253.4441</v>
      </c>
      <c r="AS36" s="32">
        <f t="shared" si="29"/>
        <v>0</v>
      </c>
      <c r="AT36" s="32">
        <f t="shared" si="10"/>
        <v>315730.3809</v>
      </c>
      <c r="AU36" s="32">
        <f t="shared" si="30"/>
        <v>0</v>
      </c>
      <c r="AV36" s="32">
        <f t="shared" si="31"/>
        <v>0</v>
      </c>
      <c r="AW36" s="32">
        <f t="shared" si="32"/>
        <v>0</v>
      </c>
      <c r="AX36" s="32">
        <f t="shared" si="33"/>
        <v>0</v>
      </c>
      <c r="AY36" s="32">
        <f t="shared" si="34"/>
        <v>0</v>
      </c>
      <c r="AZ36" s="32">
        <f t="shared" si="35"/>
        <v>0</v>
      </c>
      <c r="BA36" s="32">
        <f t="shared" si="36"/>
        <v>0</v>
      </c>
      <c r="BB36" s="32">
        <f t="shared" si="37"/>
        <v>0</v>
      </c>
      <c r="BC36" s="32">
        <f t="shared" si="38"/>
        <v>0</v>
      </c>
      <c r="BD36" s="32">
        <f t="shared" si="39"/>
        <v>0</v>
      </c>
      <c r="BE36" s="32">
        <f t="shared" si="11"/>
        <v>0</v>
      </c>
      <c r="BF36" s="32">
        <v>0.0</v>
      </c>
      <c r="BG36" s="32">
        <f t="shared" si="40"/>
        <v>5500</v>
      </c>
      <c r="BH36" s="32">
        <v>0.0</v>
      </c>
      <c r="BI36" s="32">
        <f t="shared" si="41"/>
        <v>5000</v>
      </c>
      <c r="BJ36" s="32">
        <f>IF(OR(B36&lt;Assumptions!$B$111,AND(B36=Assumptions!$B$111,A36&lt;=Assumptions!$B$112)),Assumptions!$B$110,0)</f>
        <v>0</v>
      </c>
      <c r="BK36" s="32">
        <f>IF(B36&lt;2027,Assumptions!$B$116+IF(OR(A36=4,A36=10),Assumptions!$B$117,0),IF(AND(B36=2027,A36&lt;=4),IF(A36=4,MIN(950,Assumptions!$B$116+Assumptions!$B$117),Assumptions!$B$116),0))</f>
        <v>0</v>
      </c>
      <c r="BL36" s="32">
        <f>IF(OR(B36&lt;2030,AND(B36=2030,A36&lt;8)),Assumptions!$B$118,IF(AND(B36=2030,A36=8),MOD(11000,200),0))</f>
        <v>200</v>
      </c>
      <c r="BM36" s="32">
        <f>IF(OR(B36&lt;Assumptions!$B$120,AND(B36=Assumptions!$B$120,A36&lt;=Assumptions!$B$121)),Assumptions!$B$119,0)</f>
        <v>0</v>
      </c>
      <c r="BN36" s="32">
        <f>IF(AND(B36&lt;=Assumptions!$B$123,A36&lt;=Assumptions!$B$124),Assumptions!$B$122,0)</f>
        <v>0</v>
      </c>
      <c r="BO36" s="32">
        <f t="shared" si="12"/>
        <v>200</v>
      </c>
      <c r="BP36" s="32">
        <f>SUMIFS(SL_Budget!$B:$B,SL_Budget!$C:$C,"'"&amp;TEXT(DATE(B36,A36,1),"YYYY-MM"))</f>
        <v>4358</v>
      </c>
      <c r="BQ36" s="32">
        <f>MAX(BP36, IFERROR(SUMIFS(ShadowLedger!D:D, 
  ShadowLedger!C:C, "&gt;="&amp;DATE(B36,A36,1), 
  ShadowLedger!C:C, "&lt;"&amp;EOMONTH(DATE(B36,A36,1),0)+1), 0))
</f>
        <v>4358</v>
      </c>
      <c r="BR36" s="32">
        <f t="shared" si="42"/>
        <v>141811.6831</v>
      </c>
      <c r="BS36" s="32">
        <f t="shared" si="43"/>
        <v>2106.1788</v>
      </c>
      <c r="BT36" s="32">
        <f>IF(AS36&gt;0,-MAX(0,21550-MAX(0,MAX(0,(AM36-AP36-BE36-BO36-BQ36)-Assumptions!$B$93))-MIN(MAX(0,21550-MAX(0,MAX(0,(AM36-AP36-BE36-BO36-BQ36)-Assumptions!$B$93))),MAX(0,BY35-Assumptions!$B$91))),IF(BY35&gt;=Assumptions!$B$92,MAX(0,(AM36-AP36-BE36-BO36-BQ36)-Assumptions!$B$93),MAX(0,(AM36-AP36-BE36-BO36-BQ36)-Assumptions!$B$93)*Assumptions!$B$99))</f>
        <v>4976.0456</v>
      </c>
      <c r="BU36" s="32">
        <f>(BR36+BS36+MAX(0,BT36))*(Assumptions!$B$43-1)</f>
        <v>1015.158661</v>
      </c>
      <c r="BV36" s="32">
        <f t="shared" si="13"/>
        <v>149909.0662</v>
      </c>
      <c r="BW36" s="32">
        <f t="shared" si="44"/>
        <v>15357.46408</v>
      </c>
      <c r="BX36" s="32">
        <f>IF(AS36&gt;0,-MIN(MAX(0,21550-MAX(0,MAX(0,(AM36-AP36-BE36-BO36-BQ36)-Assumptions!$B$93))),MAX(0,BY35-Assumptions!$B$91)),IF(BY35&lt;Assumptions!$B$92,MAX(0,(AM36-AP36-BE36-BO36-BQ36)-Assumptions!$B$93)*Assumptions!$B$98,0))</f>
        <v>0</v>
      </c>
      <c r="BY36" s="32">
        <f t="shared" si="14"/>
        <v>15357.46408</v>
      </c>
      <c r="BZ36" s="32">
        <f t="shared" si="45"/>
        <v>23922</v>
      </c>
      <c r="CA36" s="32">
        <f t="shared" si="15"/>
        <v>2658</v>
      </c>
      <c r="CB36" s="32">
        <f t="shared" si="16"/>
        <v>26580</v>
      </c>
      <c r="CC36" s="55">
        <f>CC35+(G36+J36)/(Salary_Schedule!E36*12/208)</f>
        <v>1739.98542</v>
      </c>
      <c r="CD36" s="55">
        <f>CD35+(O36+R36)/(Salary_Schedule!G36*12/208)</f>
        <v>63.21430071</v>
      </c>
      <c r="CE36" s="32">
        <f t="shared" si="17"/>
        <v>149909.0662</v>
      </c>
      <c r="CF36" s="32">
        <f>Assumptions!$B$55*(1+Assumptions!$B$56)^((B36-2025)+(A36-1)/12)</f>
        <v>550541.2175</v>
      </c>
      <c r="CG36" s="32">
        <f t="shared" si="18"/>
        <v>-315730.3809</v>
      </c>
      <c r="CH36" s="32">
        <f t="shared" si="19"/>
        <v>-42583.1</v>
      </c>
      <c r="CI36" s="32">
        <f>CC36*(Salary_Schedule!E36/173.33)*(1-Assumptions!$B$28)+CD36*(Salary_Schedule!G36/173.33)*(1-Assumptions!$B$28)</f>
        <v>54566.51014</v>
      </c>
      <c r="CJ36" s="32">
        <f t="shared" si="20"/>
        <v>396703.3128</v>
      </c>
    </row>
    <row r="37" ht="15.0" customHeight="1">
      <c r="A37" s="1">
        <v>12.0</v>
      </c>
      <c r="B37" s="1">
        <v>2028.0</v>
      </c>
      <c r="C37" s="1" t="s">
        <v>706</v>
      </c>
      <c r="D37" s="1" t="str">
        <f t="shared" si="21"/>
        <v>11/2028</v>
      </c>
      <c r="E37" s="1" t="str">
        <f t="shared" si="2"/>
        <v>LEAN</v>
      </c>
      <c r="F37" s="32">
        <f>Salary_Schedule!E37</f>
        <v>8121.47</v>
      </c>
      <c r="G37" s="32">
        <f>Assumptions!$B$8</f>
        <v>200</v>
      </c>
      <c r="H37" s="32">
        <f>F37*Assumptions!$B$58</f>
        <v>812.147</v>
      </c>
      <c r="I37" s="32">
        <f>Salary_Schedule!F37</f>
        <v>0</v>
      </c>
      <c r="J37" s="32">
        <f>I37*Assumptions!$B$9</f>
        <v>0</v>
      </c>
      <c r="K37" s="54">
        <f t="shared" si="3"/>
        <v>7109.323</v>
      </c>
      <c r="L37" s="32">
        <f>IF(COUNTIFS(SL_Income_Log!$B:$B,TEXT(B37,"0000")&amp;"-"&amp;TEXT(A37,"00"),SL_Income_Log!$C:$C,"salary",SL_Income_Log!$E:$E,"H")&gt;0,SUMIFS(SL_Income_Log!$D:$D,SL_Income_Log!$B:$B,TEXT(B37,"0000")&amp;"-"&amp;TEXT(A37,"00"),SL_Income_Log!$C:$C,"salary",SL_Income_Log!$E:$E,"H"),K37*(1-Assumptions!$B$102)-Z37-Y37)</f>
        <v>3925.8038</v>
      </c>
      <c r="M37" s="32">
        <f>RSU_Schedule!H36</f>
        <v>0</v>
      </c>
      <c r="N37" s="32">
        <f>Salary_Schedule!G37</f>
        <v>6636.95</v>
      </c>
      <c r="O37" s="32">
        <f>Assumptions!$B$19</f>
        <v>200</v>
      </c>
      <c r="P37" s="32">
        <f>N37*Assumptions!$B$59</f>
        <v>663.695</v>
      </c>
      <c r="Q37" s="32">
        <f>Salary_Schedule!H37</f>
        <v>0</v>
      </c>
      <c r="R37" s="32">
        <f>Q37*Assumptions!$B$20</f>
        <v>0</v>
      </c>
      <c r="S37" s="54">
        <f t="shared" si="4"/>
        <v>5773.255</v>
      </c>
      <c r="T37" s="32">
        <f>IF(COUNTIFS(SL_Income_Log!$B:$B,TEXT(B37,"0000")&amp;"-"&amp;TEXT(A37,"00"),SL_Income_Log!$C:$C,"salary",SL_Income_Log!$E:$E,"W")&gt;0,SUMIFS(SL_Income_Log!$D:$D,SL_Income_Log!$B:$B,TEXT(B37,"0000")&amp;"-"&amp;TEXT(A37,"00"),SL_Income_Log!$C:$C,"salary",SL_Income_Log!$E:$E,"W"),S37*(1-Assumptions!$B$102)-AC37-AB37)
</f>
        <v>3124.163</v>
      </c>
      <c r="U37" s="32">
        <f>RSU_Schedule!M36</f>
        <v>0</v>
      </c>
      <c r="V37" s="32">
        <f>H37*(1+Assumptions!$B$60)+Assumptions!$B$61</f>
        <v>1157.0058</v>
      </c>
      <c r="W37" s="32">
        <f>P37*(1+Assumptions!$B$60)+Assumptions!$B$61</f>
        <v>949.173</v>
      </c>
      <c r="X37" s="32">
        <f t="shared" si="5"/>
        <v>2106.1788</v>
      </c>
      <c r="Y37" s="32">
        <f t="shared" si="22"/>
        <v>48.12</v>
      </c>
      <c r="Z37" s="32">
        <v>291.67</v>
      </c>
      <c r="AA37" s="32">
        <f t="shared" si="23"/>
        <v>15749.88</v>
      </c>
      <c r="AB37" s="32">
        <f t="shared" si="24"/>
        <v>48.12</v>
      </c>
      <c r="AC37" s="32">
        <v>291.67</v>
      </c>
      <c r="AD37" s="32">
        <f t="shared" si="25"/>
        <v>15749.88</v>
      </c>
      <c r="AE37" s="32">
        <f t="shared" ref="AE37:AF37" si="78">Z37+AC37</f>
        <v>583.34</v>
      </c>
      <c r="AF37" s="32">
        <f t="shared" si="78"/>
        <v>31499.76</v>
      </c>
      <c r="AG37" s="32">
        <f>IF(COUNTIFS(SL_Income_Log!$B:$B,TEXT(B37,"0000")&amp;"-"&amp;TEXT(A37,"00"),SL_Income_Log!$C:$C,"youtube")&gt;0,SUMIFS(SL_Income_Log!$D:$D,SL_Income_Log!$B:$B,TEXT(B37,"0000")&amp;"-"&amp;TEXT(A37,"00"),SL_Income_Log!$C:$C,"youtube"),MIN(Assumptions!$B$49+FLOOR((ROW()-2)/6,1)*Assumptions!$B$50,Assumptions!$B$51))
</f>
        <v>6000</v>
      </c>
      <c r="AH37" s="32">
        <f>AG37*Assumptions!$B$104</f>
        <v>2658</v>
      </c>
      <c r="AI37" s="32">
        <f t="shared" si="7"/>
        <v>3342</v>
      </c>
      <c r="AJ37" s="32">
        <f>SUMIFS(SL_Income_Log!$D:$D,SL_Income_Log!$B:$B,TEXT(B37,"0000")&amp;"-"&amp;TEXT(A37,"00"),SL_Income_Log!$C:$C,"other")</f>
        <v>0</v>
      </c>
      <c r="AK37" s="32">
        <f t="shared" si="27"/>
        <v>10000</v>
      </c>
      <c r="AL37" s="32">
        <f>L37+M37+T37+U37+AI37+AJ37-Y37-Z37-AB37-AC37+IF((Debt_Register!$C$2+Debt_Register!$C$6+Debt_Register!$C$7+Debt_Register!$C$8+Debt_Register!$C$9)&gt;5,X37,0)</f>
        <v>11818.5656</v>
      </c>
      <c r="AM37" s="32">
        <f t="shared" si="8"/>
        <v>21818.5656</v>
      </c>
      <c r="AN37" s="32">
        <f>MAX(Assumptions!$B$94,MIN(Assumptions!$B$93,AM37-AP37-BE37-BO37-BQ37))</f>
        <v>10000</v>
      </c>
      <c r="AO37" s="32">
        <f t="shared" si="28"/>
        <v>315730.3809</v>
      </c>
      <c r="AP37" s="32">
        <f>IF(AO37&gt;0,Assumptions!$B$33,0)</f>
        <v>2281</v>
      </c>
      <c r="AQ37" s="32">
        <f>AO37*Assumptions!$B$32/12</f>
        <v>1023.492652</v>
      </c>
      <c r="AR37" s="32">
        <f t="shared" si="9"/>
        <v>1257.507348</v>
      </c>
      <c r="AS37" s="32">
        <f t="shared" si="29"/>
        <v>0</v>
      </c>
      <c r="AT37" s="32">
        <f t="shared" si="10"/>
        <v>314472.8736</v>
      </c>
      <c r="AU37" s="32">
        <f t="shared" si="30"/>
        <v>0</v>
      </c>
      <c r="AV37" s="32">
        <f t="shared" si="31"/>
        <v>0</v>
      </c>
      <c r="AW37" s="32">
        <f t="shared" si="32"/>
        <v>0</v>
      </c>
      <c r="AX37" s="32">
        <f t="shared" si="33"/>
        <v>0</v>
      </c>
      <c r="AY37" s="32">
        <f t="shared" si="34"/>
        <v>0</v>
      </c>
      <c r="AZ37" s="32">
        <f t="shared" si="35"/>
        <v>0</v>
      </c>
      <c r="BA37" s="32">
        <f t="shared" si="36"/>
        <v>0</v>
      </c>
      <c r="BB37" s="32">
        <f t="shared" si="37"/>
        <v>0</v>
      </c>
      <c r="BC37" s="32">
        <f t="shared" si="38"/>
        <v>0</v>
      </c>
      <c r="BD37" s="32">
        <f t="shared" si="39"/>
        <v>0</v>
      </c>
      <c r="BE37" s="32">
        <f t="shared" si="11"/>
        <v>0</v>
      </c>
      <c r="BF37" s="32">
        <v>0.0</v>
      </c>
      <c r="BG37" s="32">
        <f t="shared" si="40"/>
        <v>5500</v>
      </c>
      <c r="BH37" s="32">
        <v>0.0</v>
      </c>
      <c r="BI37" s="32">
        <f t="shared" si="41"/>
        <v>5000</v>
      </c>
      <c r="BJ37" s="32">
        <f>IF(OR(B37&lt;Assumptions!$B$111,AND(B37=Assumptions!$B$111,A37&lt;=Assumptions!$B$112)),Assumptions!$B$110,0)</f>
        <v>0</v>
      </c>
      <c r="BK37" s="32">
        <f>IF(B37&lt;2027,Assumptions!$B$116+IF(OR(A37=4,A37=10),Assumptions!$B$117,0),IF(AND(B37=2027,A37&lt;=4),IF(A37=4,MIN(950,Assumptions!$B$116+Assumptions!$B$117),Assumptions!$B$116),0))</f>
        <v>0</v>
      </c>
      <c r="BL37" s="32">
        <f>IF(OR(B37&lt;2030,AND(B37=2030,A37&lt;8)),Assumptions!$B$118,IF(AND(B37=2030,A37=8),MOD(11000,200),0))</f>
        <v>200</v>
      </c>
      <c r="BM37" s="32">
        <f>IF(OR(B37&lt;Assumptions!$B$120,AND(B37=Assumptions!$B$120,A37&lt;=Assumptions!$B$121)),Assumptions!$B$119,0)</f>
        <v>0</v>
      </c>
      <c r="BN37" s="32">
        <f>IF(AND(B37&lt;=Assumptions!$B$123,A37&lt;=Assumptions!$B$124),Assumptions!$B$122,0)</f>
        <v>0</v>
      </c>
      <c r="BO37" s="32">
        <f t="shared" si="12"/>
        <v>200</v>
      </c>
      <c r="BP37" s="32">
        <f>SUMIFS(SL_Budget!$B:$B,SL_Budget!$C:$C,"'"&amp;TEXT(DATE(B37,A37,1),"YYYY-MM"))</f>
        <v>4358</v>
      </c>
      <c r="BQ37" s="32">
        <f>MAX(BP37, IFERROR(SUMIFS(ShadowLedger!D:D, 
  ShadowLedger!C:C, "&gt;="&amp;DATE(B37,A37,1), 
  ShadowLedger!C:C, "&lt;"&amp;EOMONTH(DATE(B37,A37,1),0)+1), 0))
</f>
        <v>4358</v>
      </c>
      <c r="BR37" s="32">
        <f t="shared" si="42"/>
        <v>149909.0662</v>
      </c>
      <c r="BS37" s="32">
        <f t="shared" si="43"/>
        <v>2106.1788</v>
      </c>
      <c r="BT37" s="32">
        <f>IF(AS37&gt;0,-MAX(0,21550-MAX(0,MAX(0,(AM37-AP37-BE37-BO37-BQ37)-Assumptions!$B$93))-MIN(MAX(0,21550-MAX(0,MAX(0,(AM37-AP37-BE37-BO37-BQ37)-Assumptions!$B$93))),MAX(0,BY36-Assumptions!$B$91))),IF(BY36&gt;=Assumptions!$B$92,MAX(0,(AM37-AP37-BE37-BO37-BQ37)-Assumptions!$B$93),MAX(0,(AM37-AP37-BE37-BO37-BQ37)-Assumptions!$B$93)*Assumptions!$B$99))</f>
        <v>4979.5656</v>
      </c>
      <c r="BU37" s="32">
        <f>(BR37+BS37+MAX(0,BT37))*(Assumptions!$B$43-1)</f>
        <v>1070.390619</v>
      </c>
      <c r="BV37" s="32">
        <f t="shared" si="13"/>
        <v>158065.2012</v>
      </c>
      <c r="BW37" s="32">
        <f t="shared" si="44"/>
        <v>15357.46408</v>
      </c>
      <c r="BX37" s="32">
        <f>IF(AS37&gt;0,-MIN(MAX(0,21550-MAX(0,MAX(0,(AM37-AP37-BE37-BO37-BQ37)-Assumptions!$B$93))),MAX(0,BY36-Assumptions!$B$91)),IF(BY36&lt;Assumptions!$B$92,MAX(0,(AM37-AP37-BE37-BO37-BQ37)-Assumptions!$B$93)*Assumptions!$B$98,0))</f>
        <v>0</v>
      </c>
      <c r="BY37" s="32">
        <f t="shared" si="14"/>
        <v>15357.46408</v>
      </c>
      <c r="BZ37" s="32">
        <f t="shared" si="45"/>
        <v>26580</v>
      </c>
      <c r="CA37" s="32">
        <f t="shared" si="15"/>
        <v>2658</v>
      </c>
      <c r="CB37" s="32">
        <f t="shared" si="16"/>
        <v>29238</v>
      </c>
      <c r="CC37" s="55">
        <f>CC36+(G37+J37)/(Salary_Schedule!E37*12/208)</f>
        <v>1740.412272</v>
      </c>
      <c r="CD37" s="55">
        <f>CD36+(O37+R37)/(Salary_Schedule!G37*12/208)</f>
        <v>63.73662899</v>
      </c>
      <c r="CE37" s="32">
        <f t="shared" si="17"/>
        <v>158065.2012</v>
      </c>
      <c r="CF37" s="32">
        <f>Assumptions!$B$55*(1+Assumptions!$B$56)^((B37-2025)+(A37-1)/12)</f>
        <v>551224.7076</v>
      </c>
      <c r="CG37" s="32">
        <f t="shared" si="18"/>
        <v>-314472.8736</v>
      </c>
      <c r="CH37" s="32">
        <f t="shared" si="19"/>
        <v>-41999.76</v>
      </c>
      <c r="CI37" s="32">
        <f>CC37*(Salary_Schedule!E37/173.33)*(1-Assumptions!$B$28)+CD37*(Salary_Schedule!G37/173.33)*(1-Assumptions!$B$28)</f>
        <v>54592.51064</v>
      </c>
      <c r="CJ37" s="32">
        <f t="shared" si="20"/>
        <v>407409.7859</v>
      </c>
    </row>
    <row r="38" ht="15.0" customHeight="1">
      <c r="A38" s="1">
        <v>1.0</v>
      </c>
      <c r="B38" s="1">
        <v>2029.0</v>
      </c>
      <c r="C38" s="1" t="s">
        <v>707</v>
      </c>
      <c r="D38" s="1" t="str">
        <f t="shared" si="21"/>
        <v>12/2028</v>
      </c>
      <c r="E38" s="1" t="str">
        <f t="shared" si="2"/>
        <v>FAT_RSU</v>
      </c>
      <c r="F38" s="32">
        <f>Salary_Schedule!E38</f>
        <v>8527.55</v>
      </c>
      <c r="G38" s="32">
        <f>Assumptions!$B$8</f>
        <v>200</v>
      </c>
      <c r="H38" s="32">
        <f>F38*Assumptions!$B$58</f>
        <v>852.755</v>
      </c>
      <c r="I38" s="32">
        <f>Salary_Schedule!F38</f>
        <v>0</v>
      </c>
      <c r="J38" s="32">
        <f>I38*Assumptions!$B$9</f>
        <v>0</v>
      </c>
      <c r="K38" s="54">
        <f t="shared" si="3"/>
        <v>7474.795</v>
      </c>
      <c r="L38" s="32">
        <f>IF(COUNTIFS(SL_Income_Log!$B:$B,TEXT(B38,"0000")&amp;"-"&amp;TEXT(A38,"00"),SL_Income_Log!$C:$C,"salary",SL_Income_Log!$E:$E,"H")&gt;0,SUMIFS(SL_Income_Log!$D:$D,SL_Income_Log!$B:$B,TEXT(B38,"0000")&amp;"-"&amp;TEXT(A38,"00"),SL_Income_Log!$C:$C,"salary",SL_Income_Log!$E:$E,"H"),K38*(1-Assumptions!$B$102)-Z38-Y38)</f>
        <v>4145.957</v>
      </c>
      <c r="M38" s="32">
        <f>RSU_Schedule!H37</f>
        <v>2784.99</v>
      </c>
      <c r="N38" s="32">
        <f>Salary_Schedule!G38</f>
        <v>6869.25</v>
      </c>
      <c r="O38" s="32">
        <f>Assumptions!$B$19</f>
        <v>200</v>
      </c>
      <c r="P38" s="32">
        <f>N38*Assumptions!$B$59</f>
        <v>686.925</v>
      </c>
      <c r="Q38" s="32">
        <f>Salary_Schedule!H38</f>
        <v>0</v>
      </c>
      <c r="R38" s="32">
        <f>Q38*Assumptions!$B$20</f>
        <v>0</v>
      </c>
      <c r="S38" s="54">
        <f t="shared" si="4"/>
        <v>5982.325</v>
      </c>
      <c r="T38" s="32">
        <f>IF(COUNTIFS(SL_Income_Log!$B:$B,TEXT(B38,"0000")&amp;"-"&amp;TEXT(A38,"00"),SL_Income_Log!$C:$C,"salary",SL_Income_Log!$E:$E,"W")&gt;0,SUMIFS(SL_Income_Log!$D:$D,SL_Income_Log!$B:$B,TEXT(B38,"0000")&amp;"-"&amp;TEXT(A38,"00"),SL_Income_Log!$C:$C,"salary",SL_Income_Log!$E:$E,"W"),S38*(1-Assumptions!$B$102)-AC38-AB38)
</f>
        <v>3250.475</v>
      </c>
      <c r="U38" s="32">
        <f>RSU_Schedule!M37</f>
        <v>1392.51</v>
      </c>
      <c r="V38" s="32">
        <f>H38*(1+Assumptions!$B$60)+Assumptions!$B$61</f>
        <v>1213.857</v>
      </c>
      <c r="W38" s="32">
        <f>P38*(1+Assumptions!$B$60)+Assumptions!$B$61</f>
        <v>981.695</v>
      </c>
      <c r="X38" s="32">
        <f t="shared" si="5"/>
        <v>2195.552</v>
      </c>
      <c r="Y38" s="32">
        <f t="shared" si="22"/>
        <v>47.25</v>
      </c>
      <c r="Z38" s="32">
        <v>291.67</v>
      </c>
      <c r="AA38" s="32">
        <f t="shared" si="23"/>
        <v>15458.21</v>
      </c>
      <c r="AB38" s="32">
        <f t="shared" si="24"/>
        <v>47.25</v>
      </c>
      <c r="AC38" s="32">
        <v>291.67</v>
      </c>
      <c r="AD38" s="32">
        <f t="shared" si="25"/>
        <v>15458.21</v>
      </c>
      <c r="AE38" s="32">
        <f t="shared" ref="AE38:AF38" si="79">Z38+AC38</f>
        <v>583.34</v>
      </c>
      <c r="AF38" s="32">
        <f t="shared" si="79"/>
        <v>30916.42</v>
      </c>
      <c r="AG38" s="32">
        <f>IF(COUNTIFS(SL_Income_Log!$B:$B,TEXT(B38,"0000")&amp;"-"&amp;TEXT(A38,"00"),SL_Income_Log!$C:$C,"youtube")&gt;0,SUMIFS(SL_Income_Log!$D:$D,SL_Income_Log!$B:$B,TEXT(B38,"0000")&amp;"-"&amp;TEXT(A38,"00"),SL_Income_Log!$C:$C,"youtube"),MIN(Assumptions!$B$49+FLOOR((ROW()-2)/6,1)*Assumptions!$B$50,Assumptions!$B$51))
</f>
        <v>7000</v>
      </c>
      <c r="AH38" s="32">
        <f>AG38*Assumptions!$B$104</f>
        <v>3101</v>
      </c>
      <c r="AI38" s="32">
        <f t="shared" si="7"/>
        <v>3899</v>
      </c>
      <c r="AJ38" s="32">
        <f>SUMIFS(SL_Income_Log!$D:$D,SL_Income_Log!$B:$B,TEXT(B38,"0000")&amp;"-"&amp;TEXT(A38,"00"),SL_Income_Log!$C:$C,"other")</f>
        <v>0</v>
      </c>
      <c r="AK38" s="32">
        <f t="shared" si="27"/>
        <v>10000</v>
      </c>
      <c r="AL38" s="32">
        <f>L38+M38+T38+U38+AI38+AJ38-Y38-Z38-AB38-AC38+IF((Debt_Register!$C$2+Debt_Register!$C$6+Debt_Register!$C$7+Debt_Register!$C$8+Debt_Register!$C$9)&gt;5,X38,0)</f>
        <v>16990.644</v>
      </c>
      <c r="AM38" s="32">
        <f t="shared" si="8"/>
        <v>26990.644</v>
      </c>
      <c r="AN38" s="32">
        <f>MAX(Assumptions!$B$94,MIN(Assumptions!$B$93,AM38-AP38-BE38-BO38-BQ38))</f>
        <v>10000</v>
      </c>
      <c r="AO38" s="32">
        <f t="shared" si="28"/>
        <v>314472.8736</v>
      </c>
      <c r="AP38" s="32">
        <f>IF(AO38&gt;0,Assumptions!$B$33,0)</f>
        <v>2281</v>
      </c>
      <c r="AQ38" s="32">
        <f>AO38*Assumptions!$B$32/12</f>
        <v>1019.416232</v>
      </c>
      <c r="AR38" s="32">
        <f t="shared" si="9"/>
        <v>1261.583768</v>
      </c>
      <c r="AS38" s="32">
        <f t="shared" si="29"/>
        <v>21550</v>
      </c>
      <c r="AT38" s="32">
        <f t="shared" si="10"/>
        <v>291661.2898</v>
      </c>
      <c r="AU38" s="32">
        <f t="shared" si="30"/>
        <v>0</v>
      </c>
      <c r="AV38" s="32">
        <f t="shared" si="31"/>
        <v>0</v>
      </c>
      <c r="AW38" s="32">
        <f t="shared" si="32"/>
        <v>0</v>
      </c>
      <c r="AX38" s="32">
        <f t="shared" si="33"/>
        <v>0</v>
      </c>
      <c r="AY38" s="32">
        <f t="shared" si="34"/>
        <v>0</v>
      </c>
      <c r="AZ38" s="32">
        <f t="shared" si="35"/>
        <v>0</v>
      </c>
      <c r="BA38" s="32">
        <f t="shared" si="36"/>
        <v>0</v>
      </c>
      <c r="BB38" s="32">
        <f t="shared" si="37"/>
        <v>0</v>
      </c>
      <c r="BC38" s="32">
        <f t="shared" si="38"/>
        <v>0</v>
      </c>
      <c r="BD38" s="32">
        <f t="shared" si="39"/>
        <v>0</v>
      </c>
      <c r="BE38" s="32">
        <f t="shared" si="11"/>
        <v>0</v>
      </c>
      <c r="BF38" s="32">
        <v>0.0</v>
      </c>
      <c r="BG38" s="32">
        <f t="shared" si="40"/>
        <v>5500</v>
      </c>
      <c r="BH38" s="32">
        <v>0.0</v>
      </c>
      <c r="BI38" s="32">
        <f t="shared" si="41"/>
        <v>5000</v>
      </c>
      <c r="BJ38" s="32">
        <f>IF(OR(B38&lt;Assumptions!$B$111,AND(B38=Assumptions!$B$111,A38&lt;=Assumptions!$B$112)),Assumptions!$B$110,0)</f>
        <v>0</v>
      </c>
      <c r="BK38" s="32">
        <f>IF(B38&lt;2027,Assumptions!$B$116+IF(OR(A38=4,A38=10),Assumptions!$B$117,0),IF(AND(B38=2027,A38&lt;=4),IF(A38=4,MIN(950,Assumptions!$B$116+Assumptions!$B$117),Assumptions!$B$116),0))</f>
        <v>0</v>
      </c>
      <c r="BL38" s="32">
        <f>IF(OR(B38&lt;2030,AND(B38=2030,A38&lt;8)),Assumptions!$B$118,IF(AND(B38=2030,A38=8),MOD(11000,200),0))</f>
        <v>200</v>
      </c>
      <c r="BM38" s="32">
        <f>IF(OR(B38&lt;Assumptions!$B$120,AND(B38=Assumptions!$B$120,A38&lt;=Assumptions!$B$121)),Assumptions!$B$119,0)</f>
        <v>0</v>
      </c>
      <c r="BN38" s="32">
        <f>IF(AND(B38&lt;=Assumptions!$B$123,A38&lt;=Assumptions!$B$124),Assumptions!$B$122,0)</f>
        <v>0</v>
      </c>
      <c r="BO38" s="32">
        <f t="shared" si="12"/>
        <v>200</v>
      </c>
      <c r="BP38" s="32">
        <f>SUMIFS(SL_Budget!$B:$B,SL_Budget!$C:$C,"'"&amp;TEXT(DATE(B38,A38,1),"YYYY-MM"))</f>
        <v>4491</v>
      </c>
      <c r="BQ38" s="32">
        <f>MAX(BP38, IFERROR(SUMIFS(ShadowLedger!D:D, 
  ShadowLedger!C:C, "&gt;="&amp;DATE(B38,A38,1), 
  ShadowLedger!C:C, "&lt;"&amp;EOMONTH(DATE(B38,A38,1),0)+1), 0))
</f>
        <v>4491</v>
      </c>
      <c r="BR38" s="32">
        <f t="shared" si="42"/>
        <v>158065.2012</v>
      </c>
      <c r="BS38" s="32">
        <f t="shared" si="43"/>
        <v>2195.552</v>
      </c>
      <c r="BT38" s="32">
        <f>IF(AS38&gt;0,-MAX(0,21550-MAX(0,MAX(0,(AM38-AP38-BE38-BO38-BQ38)-Assumptions!$B$93))-MIN(MAX(0,21550-MAX(0,MAX(0,(AM38-AP38-BE38-BO38-BQ38)-Assumptions!$B$93))),MAX(0,BY37-Assumptions!$B$91))),IF(BY37&gt;=Assumptions!$B$92,MAX(0,(AM38-AP38-BE38-BO38-BQ38)-Assumptions!$B$93),MAX(0,(AM38-AP38-BE38-BO38-BQ38)-Assumptions!$B$93)*Assumptions!$B$99))</f>
        <v>-1173.89192</v>
      </c>
      <c r="BU38" s="32">
        <f>(BR38+BS38+MAX(0,BT38))*(Assumptions!$B$43-1)</f>
        <v>1092.657815</v>
      </c>
      <c r="BV38" s="32">
        <f t="shared" si="13"/>
        <v>160179.5191</v>
      </c>
      <c r="BW38" s="32">
        <f t="shared" si="44"/>
        <v>15357.46408</v>
      </c>
      <c r="BX38" s="32">
        <f>IF(AS38&gt;0,-MIN(MAX(0,21550-MAX(0,MAX(0,(AM38-AP38-BE38-BO38-BQ38)-Assumptions!$B$93))),MAX(0,BY37-Assumptions!$B$91)),IF(BY37&lt;Assumptions!$B$92,MAX(0,(AM38-AP38-BE38-BO38-BQ38)-Assumptions!$B$93)*Assumptions!$B$98,0))</f>
        <v>-10357.46408</v>
      </c>
      <c r="BY38" s="32">
        <f t="shared" si="14"/>
        <v>5000</v>
      </c>
      <c r="BZ38" s="32">
        <f t="shared" si="45"/>
        <v>0</v>
      </c>
      <c r="CA38" s="32">
        <f t="shared" si="15"/>
        <v>3101</v>
      </c>
      <c r="CB38" s="32">
        <f t="shared" si="16"/>
        <v>3101</v>
      </c>
      <c r="CC38" s="55">
        <f>CC37+(G38+J38)/(Salary_Schedule!E38*12/208)</f>
        <v>1740.818798</v>
      </c>
      <c r="CD38" s="55">
        <f>CD37+(O38+R38)/(Salary_Schedule!G38*12/208)</f>
        <v>64.24129349</v>
      </c>
      <c r="CE38" s="32">
        <f t="shared" si="17"/>
        <v>160179.5191</v>
      </c>
      <c r="CF38" s="32">
        <f>Assumptions!$B$55*(1+Assumptions!$B$56)^((B38-2025)+(A38-1)/12)</f>
        <v>551909.0463</v>
      </c>
      <c r="CG38" s="32">
        <f t="shared" si="18"/>
        <v>-291661.2898</v>
      </c>
      <c r="CH38" s="32">
        <f t="shared" si="19"/>
        <v>-41416.42</v>
      </c>
      <c r="CI38" s="32">
        <f>CC38*(Salary_Schedule!E38/173.33)*(1-Assumptions!$B$28)+CD38*(Salary_Schedule!G38/173.33)*(1-Assumptions!$B$28)</f>
        <v>57324.38555</v>
      </c>
      <c r="CJ38" s="32">
        <f t="shared" si="20"/>
        <v>436335.2411</v>
      </c>
    </row>
    <row r="39" ht="15.0" customHeight="1">
      <c r="A39" s="1">
        <v>2.0</v>
      </c>
      <c r="B39" s="1">
        <v>2029.0</v>
      </c>
      <c r="C39" s="1" t="s">
        <v>708</v>
      </c>
      <c r="D39" s="1" t="str">
        <f t="shared" si="21"/>
        <v>01/2029</v>
      </c>
      <c r="E39" s="1" t="str">
        <f t="shared" si="2"/>
        <v>LEAN</v>
      </c>
      <c r="F39" s="32">
        <f>Salary_Schedule!E39</f>
        <v>8527.55</v>
      </c>
      <c r="G39" s="32">
        <f>Assumptions!$B$8</f>
        <v>200</v>
      </c>
      <c r="H39" s="32">
        <f>F39*Assumptions!$B$58</f>
        <v>852.755</v>
      </c>
      <c r="I39" s="32">
        <f>Salary_Schedule!F39</f>
        <v>0</v>
      </c>
      <c r="J39" s="32">
        <f>I39*Assumptions!$B$9</f>
        <v>0</v>
      </c>
      <c r="K39" s="54">
        <f t="shared" si="3"/>
        <v>7474.795</v>
      </c>
      <c r="L39" s="32">
        <f>IF(COUNTIFS(SL_Income_Log!$B:$B,TEXT(B39,"0000")&amp;"-"&amp;TEXT(A39,"00"),SL_Income_Log!$C:$C,"salary",SL_Income_Log!$E:$E,"H")&gt;0,SUMIFS(SL_Income_Log!$D:$D,SL_Income_Log!$B:$B,TEXT(B39,"0000")&amp;"-"&amp;TEXT(A39,"00"),SL_Income_Log!$C:$C,"salary",SL_Income_Log!$E:$E,"H"),K39*(1-Assumptions!$B$102)-Z39-Y39)</f>
        <v>4146.837</v>
      </c>
      <c r="M39" s="32">
        <f>RSU_Schedule!H38</f>
        <v>0</v>
      </c>
      <c r="N39" s="32">
        <f>Salary_Schedule!G39</f>
        <v>6869.25</v>
      </c>
      <c r="O39" s="32">
        <f>Assumptions!$B$19</f>
        <v>200</v>
      </c>
      <c r="P39" s="32">
        <f>N39*Assumptions!$B$59</f>
        <v>686.925</v>
      </c>
      <c r="Q39" s="32">
        <f>Salary_Schedule!H39</f>
        <v>0</v>
      </c>
      <c r="R39" s="32">
        <f>Q39*Assumptions!$B$20</f>
        <v>0</v>
      </c>
      <c r="S39" s="54">
        <f t="shared" si="4"/>
        <v>5982.325</v>
      </c>
      <c r="T39" s="32">
        <f>IF(COUNTIFS(SL_Income_Log!$B:$B,TEXT(B39,"0000")&amp;"-"&amp;TEXT(A39,"00"),SL_Income_Log!$C:$C,"salary",SL_Income_Log!$E:$E,"W")&gt;0,SUMIFS(SL_Income_Log!$D:$D,SL_Income_Log!$B:$B,TEXT(B39,"0000")&amp;"-"&amp;TEXT(A39,"00"),SL_Income_Log!$C:$C,"salary",SL_Income_Log!$E:$E,"W"),S39*(1-Assumptions!$B$102)-AC39-AB39)
</f>
        <v>3251.355</v>
      </c>
      <c r="U39" s="32">
        <f>RSU_Schedule!M38</f>
        <v>0</v>
      </c>
      <c r="V39" s="32">
        <f>H39*(1+Assumptions!$B$60)+Assumptions!$B$61</f>
        <v>1213.857</v>
      </c>
      <c r="W39" s="32">
        <f>P39*(1+Assumptions!$B$60)+Assumptions!$B$61</f>
        <v>981.695</v>
      </c>
      <c r="X39" s="32">
        <f t="shared" si="5"/>
        <v>2195.552</v>
      </c>
      <c r="Y39" s="32">
        <f t="shared" si="22"/>
        <v>46.37</v>
      </c>
      <c r="Z39" s="32">
        <v>291.67</v>
      </c>
      <c r="AA39" s="32">
        <f t="shared" si="23"/>
        <v>15166.54</v>
      </c>
      <c r="AB39" s="32">
        <f t="shared" si="24"/>
        <v>46.37</v>
      </c>
      <c r="AC39" s="32">
        <v>291.67</v>
      </c>
      <c r="AD39" s="32">
        <f t="shared" si="25"/>
        <v>15166.54</v>
      </c>
      <c r="AE39" s="32">
        <f t="shared" ref="AE39:AF39" si="80">Z39+AC39</f>
        <v>583.34</v>
      </c>
      <c r="AF39" s="32">
        <f t="shared" si="80"/>
        <v>30333.08</v>
      </c>
      <c r="AG39" s="32">
        <f>IF(COUNTIFS(SL_Income_Log!$B:$B,TEXT(B39,"0000")&amp;"-"&amp;TEXT(A39,"00"),SL_Income_Log!$C:$C,"youtube")&gt;0,SUMIFS(SL_Income_Log!$D:$D,SL_Income_Log!$B:$B,TEXT(B39,"0000")&amp;"-"&amp;TEXT(A39,"00"),SL_Income_Log!$C:$C,"youtube"),MIN(Assumptions!$B$49+FLOOR((ROW()-2)/6,1)*Assumptions!$B$50,Assumptions!$B$51))
</f>
        <v>7000</v>
      </c>
      <c r="AH39" s="32">
        <f>AG39*Assumptions!$B$104</f>
        <v>3101</v>
      </c>
      <c r="AI39" s="32">
        <f t="shared" si="7"/>
        <v>3899</v>
      </c>
      <c r="AJ39" s="32">
        <f>SUMIFS(SL_Income_Log!$D:$D,SL_Income_Log!$B:$B,TEXT(B39,"0000")&amp;"-"&amp;TEXT(A39,"00"),SL_Income_Log!$C:$C,"other")</f>
        <v>0</v>
      </c>
      <c r="AK39" s="32">
        <f t="shared" si="27"/>
        <v>10000</v>
      </c>
      <c r="AL39" s="32">
        <f>L39+M39+T39+U39+AI39+AJ39-Y39-Z39-AB39-AC39+IF((Debt_Register!$C$2+Debt_Register!$C$6+Debt_Register!$C$7+Debt_Register!$C$8+Debt_Register!$C$9)&gt;5,X39,0)</f>
        <v>12816.664</v>
      </c>
      <c r="AM39" s="32">
        <f t="shared" si="8"/>
        <v>22816.664</v>
      </c>
      <c r="AN39" s="32">
        <f>MAX(Assumptions!$B$94,MIN(Assumptions!$B$93,AM39-AP39-BE39-BO39-BQ39))</f>
        <v>10000</v>
      </c>
      <c r="AO39" s="32">
        <f t="shared" si="28"/>
        <v>291661.2898</v>
      </c>
      <c r="AP39" s="32">
        <f>IF(AO39&gt;0,Assumptions!$B$33,0)</f>
        <v>2281</v>
      </c>
      <c r="AQ39" s="32">
        <f>AO39*Assumptions!$B$32/12</f>
        <v>945.4686812</v>
      </c>
      <c r="AR39" s="32">
        <f t="shared" si="9"/>
        <v>1335.531319</v>
      </c>
      <c r="AS39" s="32">
        <f t="shared" si="29"/>
        <v>0</v>
      </c>
      <c r="AT39" s="32">
        <f t="shared" si="10"/>
        <v>290325.7585</v>
      </c>
      <c r="AU39" s="32">
        <f t="shared" si="30"/>
        <v>0</v>
      </c>
      <c r="AV39" s="32">
        <f t="shared" si="31"/>
        <v>0</v>
      </c>
      <c r="AW39" s="32">
        <f t="shared" si="32"/>
        <v>0</v>
      </c>
      <c r="AX39" s="32">
        <f t="shared" si="33"/>
        <v>0</v>
      </c>
      <c r="AY39" s="32">
        <f t="shared" si="34"/>
        <v>0</v>
      </c>
      <c r="AZ39" s="32">
        <f t="shared" si="35"/>
        <v>0</v>
      </c>
      <c r="BA39" s="32">
        <f t="shared" si="36"/>
        <v>0</v>
      </c>
      <c r="BB39" s="32">
        <f t="shared" si="37"/>
        <v>0</v>
      </c>
      <c r="BC39" s="32">
        <f t="shared" si="38"/>
        <v>0</v>
      </c>
      <c r="BD39" s="32">
        <f t="shared" si="39"/>
        <v>0</v>
      </c>
      <c r="BE39" s="32">
        <f t="shared" si="11"/>
        <v>0</v>
      </c>
      <c r="BF39" s="32">
        <v>0.0</v>
      </c>
      <c r="BG39" s="32">
        <f t="shared" si="40"/>
        <v>5500</v>
      </c>
      <c r="BH39" s="32">
        <v>0.0</v>
      </c>
      <c r="BI39" s="32">
        <f t="shared" si="41"/>
        <v>5000</v>
      </c>
      <c r="BJ39" s="32">
        <f>IF(OR(B39&lt;Assumptions!$B$111,AND(B39=Assumptions!$B$111,A39&lt;=Assumptions!$B$112)),Assumptions!$B$110,0)</f>
        <v>0</v>
      </c>
      <c r="BK39" s="32">
        <f>IF(B39&lt;2027,Assumptions!$B$116+IF(OR(A39=4,A39=10),Assumptions!$B$117,0),IF(AND(B39=2027,A39&lt;=4),IF(A39=4,MIN(950,Assumptions!$B$116+Assumptions!$B$117),Assumptions!$B$116),0))</f>
        <v>0</v>
      </c>
      <c r="BL39" s="32">
        <f>IF(OR(B39&lt;2030,AND(B39=2030,A39&lt;8)),Assumptions!$B$118,IF(AND(B39=2030,A39=8),MOD(11000,200),0))</f>
        <v>200</v>
      </c>
      <c r="BM39" s="32">
        <f>IF(OR(B39&lt;Assumptions!$B$120,AND(B39=Assumptions!$B$120,A39&lt;=Assumptions!$B$121)),Assumptions!$B$119,0)</f>
        <v>0</v>
      </c>
      <c r="BN39" s="32">
        <f>IF(AND(B39&lt;=Assumptions!$B$123,A39&lt;=Assumptions!$B$124),Assumptions!$B$122,0)</f>
        <v>0</v>
      </c>
      <c r="BO39" s="32">
        <f t="shared" si="12"/>
        <v>200</v>
      </c>
      <c r="BP39" s="32">
        <f>SUMIFS(SL_Budget!$B:$B,SL_Budget!$C:$C,"'"&amp;TEXT(DATE(B39,A39,1),"YYYY-MM"))</f>
        <v>4491</v>
      </c>
      <c r="BQ39" s="32">
        <f>MAX(BP39, IFERROR(SUMIFS(ShadowLedger!D:D, 
  ShadowLedger!C:C, "&gt;="&amp;DATE(B39,A39,1), 
  ShadowLedger!C:C, "&lt;"&amp;EOMONTH(DATE(B39,A39,1),0)+1), 0))
</f>
        <v>4491</v>
      </c>
      <c r="BR39" s="32">
        <f t="shared" si="42"/>
        <v>160179.5191</v>
      </c>
      <c r="BS39" s="32">
        <f t="shared" si="43"/>
        <v>2195.552</v>
      </c>
      <c r="BT39" s="32">
        <f>IF(AS39&gt;0,-MAX(0,21550-MAX(0,MAX(0,(AM39-AP39-BE39-BO39-BQ39)-Assumptions!$B$93))-MIN(MAX(0,21550-MAX(0,MAX(0,(AM39-AP39-BE39-BO39-BQ39)-Assumptions!$B$93))),MAX(0,BY38-Assumptions!$B$91))),IF(BY38&gt;=Assumptions!$B$92,MAX(0,(AM39-AP39-BE39-BO39-BQ39)-Assumptions!$B$93),MAX(0,(AM39-AP39-BE39-BO39-BQ39)-Assumptions!$B$93)*Assumptions!$B$99))</f>
        <v>4675.7312</v>
      </c>
      <c r="BU39" s="32">
        <f>(BR39+BS39+MAX(0,BT39))*(Assumptions!$B$43-1)</f>
        <v>1138.95237</v>
      </c>
      <c r="BV39" s="32">
        <f t="shared" si="13"/>
        <v>168189.7547</v>
      </c>
      <c r="BW39" s="32">
        <f t="shared" si="44"/>
        <v>5000</v>
      </c>
      <c r="BX39" s="32">
        <f>IF(AS39&gt;0,-MIN(MAX(0,21550-MAX(0,MAX(0,(AM39-AP39-BE39-BO39-BQ39)-Assumptions!$B$93))),MAX(0,BY38-Assumptions!$B$91)),IF(BY38&lt;Assumptions!$B$92,MAX(0,(AM39-AP39-BE39-BO39-BQ39)-Assumptions!$B$93)*Assumptions!$B$98,0))</f>
        <v>1168.9328</v>
      </c>
      <c r="BY39" s="32">
        <f t="shared" si="14"/>
        <v>6168.9328</v>
      </c>
      <c r="BZ39" s="32">
        <f t="shared" si="45"/>
        <v>3101</v>
      </c>
      <c r="CA39" s="32">
        <f t="shared" si="15"/>
        <v>3101</v>
      </c>
      <c r="CB39" s="32">
        <f t="shared" si="16"/>
        <v>6202</v>
      </c>
      <c r="CC39" s="55">
        <f>CC38+(G39+J39)/(Salary_Schedule!E39*12/208)</f>
        <v>1741.225323</v>
      </c>
      <c r="CD39" s="55">
        <f>CD38+(O39+R39)/(Salary_Schedule!G39*12/208)</f>
        <v>64.745958</v>
      </c>
      <c r="CE39" s="32">
        <f t="shared" si="17"/>
        <v>168189.7547</v>
      </c>
      <c r="CF39" s="32">
        <f>Assumptions!$B$55*(1+Assumptions!$B$56)^((B39-2025)+(A39-1)/12)</f>
        <v>552594.2346</v>
      </c>
      <c r="CG39" s="32">
        <f t="shared" si="18"/>
        <v>-290325.7585</v>
      </c>
      <c r="CH39" s="32">
        <f t="shared" si="19"/>
        <v>-40833.08</v>
      </c>
      <c r="CI39" s="32">
        <f>CC39*(Salary_Schedule!E39/173.33)*(1-Assumptions!$B$28)+CD39*(Salary_Schedule!G39/173.33)*(1-Assumptions!$B$28)</f>
        <v>57350.38605</v>
      </c>
      <c r="CJ39" s="32">
        <f t="shared" si="20"/>
        <v>446975.5368</v>
      </c>
    </row>
    <row r="40" ht="15.0" customHeight="1">
      <c r="A40" s="1">
        <v>3.0</v>
      </c>
      <c r="B40" s="1">
        <v>2029.0</v>
      </c>
      <c r="C40" s="1" t="s">
        <v>709</v>
      </c>
      <c r="D40" s="1" t="str">
        <f t="shared" si="21"/>
        <v>02/2029</v>
      </c>
      <c r="E40" s="1" t="str">
        <f t="shared" si="2"/>
        <v>LEAN</v>
      </c>
      <c r="F40" s="32">
        <f>Salary_Schedule!E40</f>
        <v>8527.55</v>
      </c>
      <c r="G40" s="32">
        <f>Assumptions!$B$8</f>
        <v>200</v>
      </c>
      <c r="H40" s="32">
        <f>F40*Assumptions!$B$58</f>
        <v>852.755</v>
      </c>
      <c r="I40" s="32">
        <f>Salary_Schedule!F40</f>
        <v>0</v>
      </c>
      <c r="J40" s="32">
        <f>I40*Assumptions!$B$9</f>
        <v>0</v>
      </c>
      <c r="K40" s="54">
        <f t="shared" si="3"/>
        <v>7474.795</v>
      </c>
      <c r="L40" s="32">
        <f>IF(COUNTIFS(SL_Income_Log!$B:$B,TEXT(B40,"0000")&amp;"-"&amp;TEXT(A40,"00"),SL_Income_Log!$C:$C,"salary",SL_Income_Log!$E:$E,"H")&gt;0,SUMIFS(SL_Income_Log!$D:$D,SL_Income_Log!$B:$B,TEXT(B40,"0000")&amp;"-"&amp;TEXT(A40,"00"),SL_Income_Log!$C:$C,"salary",SL_Income_Log!$E:$E,"H"),K40*(1-Assumptions!$B$102)-Z40-Y40)</f>
        <v>4147.707</v>
      </c>
      <c r="M40" s="32">
        <f>RSU_Schedule!H39</f>
        <v>0</v>
      </c>
      <c r="N40" s="32">
        <f>Salary_Schedule!G40</f>
        <v>6869.25</v>
      </c>
      <c r="O40" s="32">
        <f>Assumptions!$B$19</f>
        <v>200</v>
      </c>
      <c r="P40" s="32">
        <f>N40*Assumptions!$B$59</f>
        <v>686.925</v>
      </c>
      <c r="Q40" s="32">
        <f>Salary_Schedule!H40</f>
        <v>0</v>
      </c>
      <c r="R40" s="32">
        <f>Q40*Assumptions!$B$20</f>
        <v>0</v>
      </c>
      <c r="S40" s="54">
        <f t="shared" si="4"/>
        <v>5982.325</v>
      </c>
      <c r="T40" s="32">
        <f>IF(COUNTIFS(SL_Income_Log!$B:$B,TEXT(B40,"0000")&amp;"-"&amp;TEXT(A40,"00"),SL_Income_Log!$C:$C,"salary",SL_Income_Log!$E:$E,"W")&gt;0,SUMIFS(SL_Income_Log!$D:$D,SL_Income_Log!$B:$B,TEXT(B40,"0000")&amp;"-"&amp;TEXT(A40,"00"),SL_Income_Log!$C:$C,"salary",SL_Income_Log!$E:$E,"W"),S40*(1-Assumptions!$B$102)-AC40-AB40)
</f>
        <v>3252.225</v>
      </c>
      <c r="U40" s="32">
        <f>RSU_Schedule!M39</f>
        <v>0</v>
      </c>
      <c r="V40" s="32">
        <f>H40*(1+Assumptions!$B$60)+Assumptions!$B$61</f>
        <v>1213.857</v>
      </c>
      <c r="W40" s="32">
        <f>P40*(1+Assumptions!$B$60)+Assumptions!$B$61</f>
        <v>981.695</v>
      </c>
      <c r="X40" s="32">
        <f t="shared" si="5"/>
        <v>2195.552</v>
      </c>
      <c r="Y40" s="32">
        <f t="shared" si="22"/>
        <v>45.5</v>
      </c>
      <c r="Z40" s="32">
        <v>291.67</v>
      </c>
      <c r="AA40" s="32">
        <f t="shared" si="23"/>
        <v>14874.87</v>
      </c>
      <c r="AB40" s="32">
        <f t="shared" si="24"/>
        <v>45.5</v>
      </c>
      <c r="AC40" s="32">
        <v>291.67</v>
      </c>
      <c r="AD40" s="32">
        <f t="shared" si="25"/>
        <v>14874.87</v>
      </c>
      <c r="AE40" s="32">
        <f t="shared" ref="AE40:AF40" si="81">Z40+AC40</f>
        <v>583.34</v>
      </c>
      <c r="AF40" s="32">
        <f t="shared" si="81"/>
        <v>29749.74</v>
      </c>
      <c r="AG40" s="32">
        <f>IF(COUNTIFS(SL_Income_Log!$B:$B,TEXT(B40,"0000")&amp;"-"&amp;TEXT(A40,"00"),SL_Income_Log!$C:$C,"youtube")&gt;0,SUMIFS(SL_Income_Log!$D:$D,SL_Income_Log!$B:$B,TEXT(B40,"0000")&amp;"-"&amp;TEXT(A40,"00"),SL_Income_Log!$C:$C,"youtube"),MIN(Assumptions!$B$49+FLOOR((ROW()-2)/6,1)*Assumptions!$B$50,Assumptions!$B$51))
</f>
        <v>7000</v>
      </c>
      <c r="AH40" s="32">
        <f>AG40*Assumptions!$B$104</f>
        <v>3101</v>
      </c>
      <c r="AI40" s="32">
        <f t="shared" si="7"/>
        <v>3899</v>
      </c>
      <c r="AJ40" s="32">
        <f>SUMIFS(SL_Income_Log!$D:$D,SL_Income_Log!$B:$B,TEXT(B40,"0000")&amp;"-"&amp;TEXT(A40,"00"),SL_Income_Log!$C:$C,"other")</f>
        <v>0</v>
      </c>
      <c r="AK40" s="32">
        <f t="shared" si="27"/>
        <v>10000</v>
      </c>
      <c r="AL40" s="32">
        <f>L40+M40+T40+U40+AI40+AJ40-Y40-Z40-AB40-AC40+IF((Debt_Register!$C$2+Debt_Register!$C$6+Debt_Register!$C$7+Debt_Register!$C$8+Debt_Register!$C$9)&gt;5,X40,0)</f>
        <v>12820.144</v>
      </c>
      <c r="AM40" s="32">
        <f t="shared" si="8"/>
        <v>22820.144</v>
      </c>
      <c r="AN40" s="32">
        <f>MAX(Assumptions!$B$94,MIN(Assumptions!$B$93,AM40-AP40-BE40-BO40-BQ40))</f>
        <v>10000</v>
      </c>
      <c r="AO40" s="32">
        <f t="shared" si="28"/>
        <v>290325.7585</v>
      </c>
      <c r="AP40" s="32">
        <f>IF(AO40&gt;0,Assumptions!$B$33,0)</f>
        <v>2281</v>
      </c>
      <c r="AQ40" s="32">
        <f>AO40*Assumptions!$B$32/12</f>
        <v>941.1393338</v>
      </c>
      <c r="AR40" s="32">
        <f t="shared" si="9"/>
        <v>1339.860666</v>
      </c>
      <c r="AS40" s="32">
        <f t="shared" si="29"/>
        <v>0</v>
      </c>
      <c r="AT40" s="32">
        <f t="shared" si="10"/>
        <v>288985.8978</v>
      </c>
      <c r="AU40" s="32">
        <f t="shared" si="30"/>
        <v>0</v>
      </c>
      <c r="AV40" s="32">
        <f t="shared" si="31"/>
        <v>0</v>
      </c>
      <c r="AW40" s="32">
        <f t="shared" si="32"/>
        <v>0</v>
      </c>
      <c r="AX40" s="32">
        <f t="shared" si="33"/>
        <v>0</v>
      </c>
      <c r="AY40" s="32">
        <f t="shared" si="34"/>
        <v>0</v>
      </c>
      <c r="AZ40" s="32">
        <f t="shared" si="35"/>
        <v>0</v>
      </c>
      <c r="BA40" s="32">
        <f t="shared" si="36"/>
        <v>0</v>
      </c>
      <c r="BB40" s="32">
        <f t="shared" si="37"/>
        <v>0</v>
      </c>
      <c r="BC40" s="32">
        <f t="shared" si="38"/>
        <v>0</v>
      </c>
      <c r="BD40" s="32">
        <f t="shared" si="39"/>
        <v>0</v>
      </c>
      <c r="BE40" s="32">
        <f t="shared" si="11"/>
        <v>0</v>
      </c>
      <c r="BF40" s="32">
        <v>0.0</v>
      </c>
      <c r="BG40" s="32">
        <f t="shared" si="40"/>
        <v>5500</v>
      </c>
      <c r="BH40" s="32">
        <v>0.0</v>
      </c>
      <c r="BI40" s="32">
        <f t="shared" si="41"/>
        <v>5000</v>
      </c>
      <c r="BJ40" s="32">
        <f>IF(OR(B40&lt;Assumptions!$B$111,AND(B40=Assumptions!$B$111,A40&lt;=Assumptions!$B$112)),Assumptions!$B$110,0)</f>
        <v>0</v>
      </c>
      <c r="BK40" s="32">
        <f>IF(B40&lt;2027,Assumptions!$B$116+IF(OR(A40=4,A40=10),Assumptions!$B$117,0),IF(AND(B40=2027,A40&lt;=4),IF(A40=4,MIN(950,Assumptions!$B$116+Assumptions!$B$117),Assumptions!$B$116),0))</f>
        <v>0</v>
      </c>
      <c r="BL40" s="32">
        <f>IF(OR(B40&lt;2030,AND(B40=2030,A40&lt;8)),Assumptions!$B$118,IF(AND(B40=2030,A40=8),MOD(11000,200),0))</f>
        <v>200</v>
      </c>
      <c r="BM40" s="32">
        <f>IF(OR(B40&lt;Assumptions!$B$120,AND(B40=Assumptions!$B$120,A40&lt;=Assumptions!$B$121)),Assumptions!$B$119,0)</f>
        <v>0</v>
      </c>
      <c r="BN40" s="32">
        <f>IF(AND(B40&lt;=Assumptions!$B$123,A40&lt;=Assumptions!$B$124),Assumptions!$B$122,0)</f>
        <v>0</v>
      </c>
      <c r="BO40" s="32">
        <f t="shared" si="12"/>
        <v>200</v>
      </c>
      <c r="BP40" s="32">
        <f>SUMIFS(SL_Budget!$B:$B,SL_Budget!$C:$C,"'"&amp;TEXT(DATE(B40,A40,1),"YYYY-MM"))</f>
        <v>4491</v>
      </c>
      <c r="BQ40" s="32">
        <f>MAX(BP40, IFERROR(SUMIFS(ShadowLedger!D:D, 
  ShadowLedger!C:C, "&gt;="&amp;DATE(B40,A40,1), 
  ShadowLedger!C:C, "&lt;"&amp;EOMONTH(DATE(B40,A40,1),0)+1), 0))
</f>
        <v>4491</v>
      </c>
      <c r="BR40" s="32">
        <f t="shared" si="42"/>
        <v>168189.7547</v>
      </c>
      <c r="BS40" s="32">
        <f t="shared" si="43"/>
        <v>2195.552</v>
      </c>
      <c r="BT40" s="32">
        <f>IF(AS40&gt;0,-MAX(0,21550-MAX(0,MAX(0,(AM40-AP40-BE40-BO40-BQ40)-Assumptions!$B$93))-MIN(MAX(0,21550-MAX(0,MAX(0,(AM40-AP40-BE40-BO40-BQ40)-Assumptions!$B$93))),MAX(0,BY39-Assumptions!$B$91))),IF(BY39&gt;=Assumptions!$B$92,MAX(0,(AM40-AP40-BE40-BO40-BQ40)-Assumptions!$B$93),MAX(0,(AM40-AP40-BE40-BO40-BQ40)-Assumptions!$B$93)*Assumptions!$B$99))</f>
        <v>4678.5152</v>
      </c>
      <c r="BU40" s="32">
        <f>(BR40+BS40+MAX(0,BT40))*(Assumptions!$B$43-1)</f>
        <v>1193.585137</v>
      </c>
      <c r="BV40" s="32">
        <f t="shared" si="13"/>
        <v>176257.407</v>
      </c>
      <c r="BW40" s="32">
        <f t="shared" si="44"/>
        <v>6168.9328</v>
      </c>
      <c r="BX40" s="32">
        <f>IF(AS40&gt;0,-MIN(MAX(0,21550-MAX(0,MAX(0,(AM40-AP40-BE40-BO40-BQ40)-Assumptions!$B$93))),MAX(0,BY39-Assumptions!$B$91)),IF(BY39&lt;Assumptions!$B$92,MAX(0,(AM40-AP40-BE40-BO40-BQ40)-Assumptions!$B$93)*Assumptions!$B$98,0))</f>
        <v>1169.6288</v>
      </c>
      <c r="BY40" s="32">
        <f t="shared" si="14"/>
        <v>7338.5616</v>
      </c>
      <c r="BZ40" s="32">
        <f t="shared" si="45"/>
        <v>6202</v>
      </c>
      <c r="CA40" s="32">
        <f t="shared" si="15"/>
        <v>3101</v>
      </c>
      <c r="CB40" s="32">
        <f t="shared" si="16"/>
        <v>9303</v>
      </c>
      <c r="CC40" s="55">
        <f>CC39+(G40+J40)/(Salary_Schedule!E40*12/208)</f>
        <v>1741.631849</v>
      </c>
      <c r="CD40" s="55">
        <f>CD39+(O40+R40)/(Salary_Schedule!G40*12/208)</f>
        <v>65.25062251</v>
      </c>
      <c r="CE40" s="32">
        <f t="shared" si="17"/>
        <v>176257.407</v>
      </c>
      <c r="CF40" s="32">
        <f>Assumptions!$B$55*(1+Assumptions!$B$56)^((B40-2025)+(A40-1)/12)</f>
        <v>553280.2736</v>
      </c>
      <c r="CG40" s="32">
        <f t="shared" si="18"/>
        <v>-288985.8978</v>
      </c>
      <c r="CH40" s="32">
        <f t="shared" si="19"/>
        <v>-40249.74</v>
      </c>
      <c r="CI40" s="32">
        <f>CC40*(Salary_Schedule!E40/173.33)*(1-Assumptions!$B$28)+CD40*(Salary_Schedule!G40/173.33)*(1-Assumptions!$B$28)</f>
        <v>57376.38655</v>
      </c>
      <c r="CJ40" s="32">
        <f t="shared" si="20"/>
        <v>457678.4293</v>
      </c>
    </row>
    <row r="41" ht="15.0" customHeight="1">
      <c r="A41" s="1">
        <v>4.0</v>
      </c>
      <c r="B41" s="1">
        <v>2029.0</v>
      </c>
      <c r="C41" s="1" t="s">
        <v>710</v>
      </c>
      <c r="D41" s="1" t="str">
        <f t="shared" si="21"/>
        <v>03/2029</v>
      </c>
      <c r="E41" s="1" t="str">
        <f t="shared" si="2"/>
        <v>FAT_BONUS</v>
      </c>
      <c r="F41" s="32">
        <f>Salary_Schedule!E41</f>
        <v>8527.55</v>
      </c>
      <c r="G41" s="32">
        <f>Assumptions!$B$8</f>
        <v>200</v>
      </c>
      <c r="H41" s="32">
        <f>F41*Assumptions!$B$58</f>
        <v>852.755</v>
      </c>
      <c r="I41" s="32">
        <f>Salary_Schedule!F41</f>
        <v>11369.04</v>
      </c>
      <c r="J41" s="32">
        <f>I41*Assumptions!$B$9</f>
        <v>3979.164</v>
      </c>
      <c r="K41" s="54">
        <f t="shared" si="3"/>
        <v>14864.671</v>
      </c>
      <c r="L41" s="32">
        <f>IF(COUNTIFS(SL_Income_Log!$B:$B,TEXT(B41,"0000")&amp;"-"&amp;TEXT(A41,"00"),SL_Income_Log!$C:$C,"salary",SL_Income_Log!$E:$E,"H")&gt;0,SUMIFS(SL_Income_Log!$D:$D,SL_Income_Log!$B:$B,TEXT(B41,"0000")&amp;"-"&amp;TEXT(A41,"00"),SL_Income_Log!$C:$C,"salary",SL_Income_Log!$E:$E,"H"),K41*(1-Assumptions!$B$102)-Z41-Y41)</f>
        <v>8582.5126</v>
      </c>
      <c r="M41" s="32">
        <f>RSU_Schedule!H40</f>
        <v>2784.99</v>
      </c>
      <c r="N41" s="32">
        <f>Salary_Schedule!G41</f>
        <v>6869.25</v>
      </c>
      <c r="O41" s="32">
        <f>Assumptions!$B$19</f>
        <v>200</v>
      </c>
      <c r="P41" s="32">
        <f>N41*Assumptions!$B$59</f>
        <v>686.925</v>
      </c>
      <c r="Q41" s="32">
        <f>Salary_Schedule!H41</f>
        <v>9159.12</v>
      </c>
      <c r="R41" s="32">
        <f>Q41*Assumptions!$B$20</f>
        <v>3205.692</v>
      </c>
      <c r="S41" s="54">
        <f t="shared" si="4"/>
        <v>11935.753</v>
      </c>
      <c r="T41" s="32">
        <f>IF(COUNTIFS(SL_Income_Log!$B:$B,TEXT(B41,"0000")&amp;"-"&amp;TEXT(A41,"00"),SL_Income_Log!$C:$C,"salary",SL_Income_Log!$E:$E,"W")&gt;0,SUMIFS(SL_Income_Log!$D:$D,SL_Income_Log!$B:$B,TEXT(B41,"0000")&amp;"-"&amp;TEXT(A41,"00"),SL_Income_Log!$C:$C,"salary",SL_Income_Log!$E:$E,"W"),S41*(1-Assumptions!$B$102)-AC41-AB41)
</f>
        <v>6825.1618</v>
      </c>
      <c r="U41" s="32">
        <f>RSU_Schedule!M40</f>
        <v>1392.51</v>
      </c>
      <c r="V41" s="32">
        <f>H41*(1+Assumptions!$B$60)+Assumptions!$B$61</f>
        <v>1213.857</v>
      </c>
      <c r="W41" s="32">
        <f>P41*(1+Assumptions!$B$60)+Assumptions!$B$61</f>
        <v>981.695</v>
      </c>
      <c r="X41" s="32">
        <f t="shared" si="5"/>
        <v>2195.552</v>
      </c>
      <c r="Y41" s="32">
        <f t="shared" si="22"/>
        <v>44.62</v>
      </c>
      <c r="Z41" s="32">
        <v>291.67</v>
      </c>
      <c r="AA41" s="32">
        <f t="shared" si="23"/>
        <v>14583.2</v>
      </c>
      <c r="AB41" s="32">
        <f t="shared" si="24"/>
        <v>44.62</v>
      </c>
      <c r="AC41" s="32">
        <v>291.67</v>
      </c>
      <c r="AD41" s="32">
        <f t="shared" si="25"/>
        <v>14583.2</v>
      </c>
      <c r="AE41" s="32">
        <f t="shared" ref="AE41:AF41" si="82">Z41+AC41</f>
        <v>583.34</v>
      </c>
      <c r="AF41" s="32">
        <f t="shared" si="82"/>
        <v>29166.4</v>
      </c>
      <c r="AG41" s="32">
        <f>IF(COUNTIFS(SL_Income_Log!$B:$B,TEXT(B41,"0000")&amp;"-"&amp;TEXT(A41,"00"),SL_Income_Log!$C:$C,"youtube")&gt;0,SUMIFS(SL_Income_Log!$D:$D,SL_Income_Log!$B:$B,TEXT(B41,"0000")&amp;"-"&amp;TEXT(A41,"00"),SL_Income_Log!$C:$C,"youtube"),MIN(Assumptions!$B$49+FLOOR((ROW()-2)/6,1)*Assumptions!$B$50,Assumptions!$B$51))
</f>
        <v>7000</v>
      </c>
      <c r="AH41" s="32">
        <f>AG41*Assumptions!$B$104</f>
        <v>3101</v>
      </c>
      <c r="AI41" s="32">
        <f t="shared" si="7"/>
        <v>3899</v>
      </c>
      <c r="AJ41" s="32">
        <f>SUMIFS(SL_Income_Log!$D:$D,SL_Income_Log!$B:$B,TEXT(B41,"0000")&amp;"-"&amp;TEXT(A41,"00"),SL_Income_Log!$C:$C,"other")</f>
        <v>0</v>
      </c>
      <c r="AK41" s="32">
        <f t="shared" si="27"/>
        <v>10000</v>
      </c>
      <c r="AL41" s="32">
        <f>L41+M41+T41+U41+AI41+AJ41-Y41-Z41-AB41-AC41+IF((Debt_Register!$C$2+Debt_Register!$C$6+Debt_Register!$C$7+Debt_Register!$C$8+Debt_Register!$C$9)&gt;5,X41,0)</f>
        <v>25007.1464</v>
      </c>
      <c r="AM41" s="32">
        <f t="shared" si="8"/>
        <v>35007.1464</v>
      </c>
      <c r="AN41" s="32">
        <f>MAX(Assumptions!$B$94,MIN(Assumptions!$B$93,AM41-AP41-BE41-BO41-BQ41))</f>
        <v>10000</v>
      </c>
      <c r="AO41" s="32">
        <f t="shared" si="28"/>
        <v>288985.8978</v>
      </c>
      <c r="AP41" s="32">
        <f>IF(AO41&gt;0,Assumptions!$B$33,0)</f>
        <v>2281</v>
      </c>
      <c r="AQ41" s="32">
        <f>AO41*Assumptions!$B$32/12</f>
        <v>936.7959522</v>
      </c>
      <c r="AR41" s="32">
        <f t="shared" si="9"/>
        <v>1344.204048</v>
      </c>
      <c r="AS41" s="32">
        <f t="shared" si="29"/>
        <v>0</v>
      </c>
      <c r="AT41" s="32">
        <f t="shared" si="10"/>
        <v>287641.6938</v>
      </c>
      <c r="AU41" s="32">
        <f t="shared" si="30"/>
        <v>0</v>
      </c>
      <c r="AV41" s="32">
        <f t="shared" si="31"/>
        <v>0</v>
      </c>
      <c r="AW41" s="32">
        <f t="shared" si="32"/>
        <v>0</v>
      </c>
      <c r="AX41" s="32">
        <f t="shared" si="33"/>
        <v>0</v>
      </c>
      <c r="AY41" s="32">
        <f t="shared" si="34"/>
        <v>0</v>
      </c>
      <c r="AZ41" s="32">
        <f t="shared" si="35"/>
        <v>0</v>
      </c>
      <c r="BA41" s="32">
        <f t="shared" si="36"/>
        <v>0</v>
      </c>
      <c r="BB41" s="32">
        <f t="shared" si="37"/>
        <v>0</v>
      </c>
      <c r="BC41" s="32">
        <f t="shared" si="38"/>
        <v>0</v>
      </c>
      <c r="BD41" s="32">
        <f t="shared" si="39"/>
        <v>0</v>
      </c>
      <c r="BE41" s="32">
        <f t="shared" si="11"/>
        <v>0</v>
      </c>
      <c r="BF41" s="32">
        <v>0.0</v>
      </c>
      <c r="BG41" s="32">
        <f t="shared" si="40"/>
        <v>5500</v>
      </c>
      <c r="BH41" s="32">
        <v>0.0</v>
      </c>
      <c r="BI41" s="32">
        <f t="shared" si="41"/>
        <v>5000</v>
      </c>
      <c r="BJ41" s="32">
        <f>IF(OR(B41&lt;Assumptions!$B$111,AND(B41=Assumptions!$B$111,A41&lt;=Assumptions!$B$112)),Assumptions!$B$110,0)</f>
        <v>0</v>
      </c>
      <c r="BK41" s="32">
        <f>IF(B41&lt;2027,Assumptions!$B$116+IF(OR(A41=4,A41=10),Assumptions!$B$117,0),IF(AND(B41=2027,A41&lt;=4),IF(A41=4,MIN(950,Assumptions!$B$116+Assumptions!$B$117),Assumptions!$B$116),0))</f>
        <v>0</v>
      </c>
      <c r="BL41" s="32">
        <f>IF(OR(B41&lt;2030,AND(B41=2030,A41&lt;8)),Assumptions!$B$118,IF(AND(B41=2030,A41=8),MOD(11000,200),0))</f>
        <v>200</v>
      </c>
      <c r="BM41" s="32">
        <f>IF(OR(B41&lt;Assumptions!$B$120,AND(B41=Assumptions!$B$120,A41&lt;=Assumptions!$B$121)),Assumptions!$B$119,0)</f>
        <v>0</v>
      </c>
      <c r="BN41" s="32">
        <f>IF(AND(B41&lt;=Assumptions!$B$123,A41&lt;=Assumptions!$B$124),Assumptions!$B$122,0)</f>
        <v>0</v>
      </c>
      <c r="BO41" s="32">
        <f t="shared" si="12"/>
        <v>200</v>
      </c>
      <c r="BP41" s="32">
        <f>SUMIFS(SL_Budget!$B:$B,SL_Budget!$C:$C,"'"&amp;TEXT(DATE(B41,A41,1),"YYYY-MM"))</f>
        <v>4491</v>
      </c>
      <c r="BQ41" s="32">
        <f>MAX(BP41, IFERROR(SUMIFS(ShadowLedger!D:D, 
  ShadowLedger!C:C, "&gt;="&amp;DATE(B41,A41,1), 
  ShadowLedger!C:C, "&lt;"&amp;EOMONTH(DATE(B41,A41,1),0)+1), 0))
</f>
        <v>4491</v>
      </c>
      <c r="BR41" s="32">
        <f t="shared" si="42"/>
        <v>176257.407</v>
      </c>
      <c r="BS41" s="32">
        <f t="shared" si="43"/>
        <v>2195.552</v>
      </c>
      <c r="BT41" s="32">
        <f>IF(AS41&gt;0,-MAX(0,21550-MAX(0,MAX(0,(AM41-AP41-BE41-BO41-BQ41)-Assumptions!$B$93))-MIN(MAX(0,21550-MAX(0,MAX(0,(AM41-AP41-BE41-BO41-BQ41)-Assumptions!$B$93))),MAX(0,BY40-Assumptions!$B$91))),IF(BY40&gt;=Assumptions!$B$92,MAX(0,(AM41-AP41-BE41-BO41-BQ41)-Assumptions!$B$93),MAX(0,(AM41-AP41-BE41-BO41-BQ41)-Assumptions!$B$93)*Assumptions!$B$99))</f>
        <v>14428.11712</v>
      </c>
      <c r="BU41" s="32">
        <f>(BR41+BS41+MAX(0,BT41))*(Assumptions!$B$43-1)</f>
        <v>1315.063177</v>
      </c>
      <c r="BV41" s="32">
        <f t="shared" si="13"/>
        <v>194196.1393</v>
      </c>
      <c r="BW41" s="32">
        <f t="shared" si="44"/>
        <v>7338.5616</v>
      </c>
      <c r="BX41" s="32">
        <f>IF(AS41&gt;0,-MIN(MAX(0,21550-MAX(0,MAX(0,(AM41-AP41-BE41-BO41-BQ41)-Assumptions!$B$93))),MAX(0,BY40-Assumptions!$B$91)),IF(BY40&lt;Assumptions!$B$92,MAX(0,(AM41-AP41-BE41-BO41-BQ41)-Assumptions!$B$93)*Assumptions!$B$98,0))</f>
        <v>3607.02928</v>
      </c>
      <c r="BY41" s="32">
        <f t="shared" si="14"/>
        <v>10945.59088</v>
      </c>
      <c r="BZ41" s="32">
        <f t="shared" si="45"/>
        <v>9303</v>
      </c>
      <c r="CA41" s="32">
        <f t="shared" si="15"/>
        <v>3101</v>
      </c>
      <c r="CB41" s="32">
        <f t="shared" si="16"/>
        <v>12404</v>
      </c>
      <c r="CC41" s="55">
        <f>CC40+(G41+J41)/(Salary_Schedule!E41*12/208)</f>
        <v>1750.126533</v>
      </c>
      <c r="CD41" s="55">
        <f>CD40+(O41+R41)/(Salary_Schedule!G41*12/208)</f>
        <v>73.84428189</v>
      </c>
      <c r="CE41" s="32">
        <f t="shared" si="17"/>
        <v>194196.1393</v>
      </c>
      <c r="CF41" s="32">
        <f>Assumptions!$B$55*(1+Assumptions!$B$56)^((B41-2025)+(A41-1)/12)</f>
        <v>553967.1642</v>
      </c>
      <c r="CG41" s="32">
        <f t="shared" si="18"/>
        <v>-287641.6938</v>
      </c>
      <c r="CH41" s="32">
        <f t="shared" si="19"/>
        <v>-39666.4</v>
      </c>
      <c r="CI41" s="32">
        <f>CC41*(Salary_Schedule!E41/173.33)*(1-Assumptions!$B$28)+CD41*(Salary_Schedule!G41/173.33)*(1-Assumptions!$B$28)</f>
        <v>57869.41167</v>
      </c>
      <c r="CJ41" s="32">
        <f t="shared" si="20"/>
        <v>478724.6214</v>
      </c>
    </row>
    <row r="42" ht="15.0" customHeight="1">
      <c r="A42" s="1">
        <v>5.0</v>
      </c>
      <c r="B42" s="1">
        <v>2029.0</v>
      </c>
      <c r="C42" s="1" t="s">
        <v>711</v>
      </c>
      <c r="D42" s="1" t="str">
        <f t="shared" si="21"/>
        <v>04/2029</v>
      </c>
      <c r="E42" s="1" t="str">
        <f t="shared" si="2"/>
        <v>LEAN</v>
      </c>
      <c r="F42" s="32">
        <f>Salary_Schedule!E42</f>
        <v>8527.55</v>
      </c>
      <c r="G42" s="32">
        <f>Assumptions!$B$8</f>
        <v>200</v>
      </c>
      <c r="H42" s="32">
        <f>F42*Assumptions!$B$58</f>
        <v>852.755</v>
      </c>
      <c r="I42" s="32">
        <f>Salary_Schedule!F42</f>
        <v>0</v>
      </c>
      <c r="J42" s="32">
        <f>I42*Assumptions!$B$9</f>
        <v>0</v>
      </c>
      <c r="K42" s="54">
        <f t="shared" si="3"/>
        <v>7474.795</v>
      </c>
      <c r="L42" s="32">
        <f>IF(COUNTIFS(SL_Income_Log!$B:$B,TEXT(B42,"0000")&amp;"-"&amp;TEXT(A42,"00"),SL_Income_Log!$C:$C,"salary",SL_Income_Log!$E:$E,"H")&gt;0,SUMIFS(SL_Income_Log!$D:$D,SL_Income_Log!$B:$B,TEXT(B42,"0000")&amp;"-"&amp;TEXT(A42,"00"),SL_Income_Log!$C:$C,"salary",SL_Income_Log!$E:$E,"H"),K42*(1-Assumptions!$B$102)-Z42-Y42)</f>
        <v>4149.457</v>
      </c>
      <c r="M42" s="32">
        <f>RSU_Schedule!H41</f>
        <v>0</v>
      </c>
      <c r="N42" s="32">
        <f>Salary_Schedule!G42</f>
        <v>6869.25</v>
      </c>
      <c r="O42" s="32">
        <f>Assumptions!$B$19</f>
        <v>200</v>
      </c>
      <c r="P42" s="32">
        <f>N42*Assumptions!$B$59</f>
        <v>686.925</v>
      </c>
      <c r="Q42" s="32">
        <f>Salary_Schedule!H42</f>
        <v>0</v>
      </c>
      <c r="R42" s="32">
        <f>Q42*Assumptions!$B$20</f>
        <v>0</v>
      </c>
      <c r="S42" s="54">
        <f t="shared" si="4"/>
        <v>5982.325</v>
      </c>
      <c r="T42" s="32">
        <f>IF(COUNTIFS(SL_Income_Log!$B:$B,TEXT(B42,"0000")&amp;"-"&amp;TEXT(A42,"00"),SL_Income_Log!$C:$C,"salary",SL_Income_Log!$E:$E,"W")&gt;0,SUMIFS(SL_Income_Log!$D:$D,SL_Income_Log!$B:$B,TEXT(B42,"0000")&amp;"-"&amp;TEXT(A42,"00"),SL_Income_Log!$C:$C,"salary",SL_Income_Log!$E:$E,"W"),S42*(1-Assumptions!$B$102)-AC42-AB42)
</f>
        <v>3253.975</v>
      </c>
      <c r="U42" s="32">
        <f>RSU_Schedule!M41</f>
        <v>0</v>
      </c>
      <c r="V42" s="32">
        <f>H42*(1+Assumptions!$B$60)+Assumptions!$B$61</f>
        <v>1213.857</v>
      </c>
      <c r="W42" s="32">
        <f>P42*(1+Assumptions!$B$60)+Assumptions!$B$61</f>
        <v>981.695</v>
      </c>
      <c r="X42" s="32">
        <f t="shared" si="5"/>
        <v>2195.552</v>
      </c>
      <c r="Y42" s="32">
        <f t="shared" si="22"/>
        <v>43.75</v>
      </c>
      <c r="Z42" s="32">
        <v>291.67</v>
      </c>
      <c r="AA42" s="32">
        <f t="shared" si="23"/>
        <v>14291.53</v>
      </c>
      <c r="AB42" s="32">
        <f t="shared" si="24"/>
        <v>43.75</v>
      </c>
      <c r="AC42" s="32">
        <v>291.67</v>
      </c>
      <c r="AD42" s="32">
        <f t="shared" si="25"/>
        <v>14291.53</v>
      </c>
      <c r="AE42" s="32">
        <f t="shared" ref="AE42:AF42" si="83">Z42+AC42</f>
        <v>583.34</v>
      </c>
      <c r="AF42" s="32">
        <f t="shared" si="83"/>
        <v>28583.06</v>
      </c>
      <c r="AG42" s="32">
        <f>IF(COUNTIFS(SL_Income_Log!$B:$B,TEXT(B42,"0000")&amp;"-"&amp;TEXT(A42,"00"),SL_Income_Log!$C:$C,"youtube")&gt;0,SUMIFS(SL_Income_Log!$D:$D,SL_Income_Log!$B:$B,TEXT(B42,"0000")&amp;"-"&amp;TEXT(A42,"00"),SL_Income_Log!$C:$C,"youtube"),MIN(Assumptions!$B$49+FLOOR((ROW()-2)/6,1)*Assumptions!$B$50,Assumptions!$B$51))
</f>
        <v>7000</v>
      </c>
      <c r="AH42" s="32">
        <f>AG42*Assumptions!$B$104</f>
        <v>3101</v>
      </c>
      <c r="AI42" s="32">
        <f t="shared" si="7"/>
        <v>3899</v>
      </c>
      <c r="AJ42" s="32">
        <f>SUMIFS(SL_Income_Log!$D:$D,SL_Income_Log!$B:$B,TEXT(B42,"0000")&amp;"-"&amp;TEXT(A42,"00"),SL_Income_Log!$C:$C,"other")</f>
        <v>0</v>
      </c>
      <c r="AK42" s="32">
        <f t="shared" si="27"/>
        <v>10000</v>
      </c>
      <c r="AL42" s="32">
        <f>L42+M42+T42+U42+AI42+AJ42-Y42-Z42-AB42-AC42+IF((Debt_Register!$C$2+Debt_Register!$C$6+Debt_Register!$C$7+Debt_Register!$C$8+Debt_Register!$C$9)&gt;5,X42,0)</f>
        <v>12827.144</v>
      </c>
      <c r="AM42" s="32">
        <f t="shared" si="8"/>
        <v>22827.144</v>
      </c>
      <c r="AN42" s="32">
        <f>MAX(Assumptions!$B$94,MIN(Assumptions!$B$93,AM42-AP42-BE42-BO42-BQ42))</f>
        <v>10000</v>
      </c>
      <c r="AO42" s="32">
        <f t="shared" si="28"/>
        <v>287641.6938</v>
      </c>
      <c r="AP42" s="32">
        <f>IF(AO42&gt;0,Assumptions!$B$33,0)</f>
        <v>2281</v>
      </c>
      <c r="AQ42" s="32">
        <f>AO42*Assumptions!$B$32/12</f>
        <v>932.4384907</v>
      </c>
      <c r="AR42" s="32">
        <f t="shared" si="9"/>
        <v>1348.561509</v>
      </c>
      <c r="AS42" s="32">
        <f t="shared" si="29"/>
        <v>0</v>
      </c>
      <c r="AT42" s="32">
        <f t="shared" si="10"/>
        <v>286293.1323</v>
      </c>
      <c r="AU42" s="32">
        <f t="shared" si="30"/>
        <v>0</v>
      </c>
      <c r="AV42" s="32">
        <f t="shared" si="31"/>
        <v>0</v>
      </c>
      <c r="AW42" s="32">
        <f t="shared" si="32"/>
        <v>0</v>
      </c>
      <c r="AX42" s="32">
        <f t="shared" si="33"/>
        <v>0</v>
      </c>
      <c r="AY42" s="32">
        <f t="shared" si="34"/>
        <v>0</v>
      </c>
      <c r="AZ42" s="32">
        <f t="shared" si="35"/>
        <v>0</v>
      </c>
      <c r="BA42" s="32">
        <f t="shared" si="36"/>
        <v>0</v>
      </c>
      <c r="BB42" s="32">
        <f t="shared" si="37"/>
        <v>0</v>
      </c>
      <c r="BC42" s="32">
        <f t="shared" si="38"/>
        <v>0</v>
      </c>
      <c r="BD42" s="32">
        <f t="shared" si="39"/>
        <v>0</v>
      </c>
      <c r="BE42" s="32">
        <f t="shared" si="11"/>
        <v>0</v>
      </c>
      <c r="BF42" s="32">
        <v>0.0</v>
      </c>
      <c r="BG42" s="32">
        <f t="shared" si="40"/>
        <v>5500</v>
      </c>
      <c r="BH42" s="32">
        <v>0.0</v>
      </c>
      <c r="BI42" s="32">
        <f t="shared" si="41"/>
        <v>5000</v>
      </c>
      <c r="BJ42" s="32">
        <f>IF(OR(B42&lt;Assumptions!$B$111,AND(B42=Assumptions!$B$111,A42&lt;=Assumptions!$B$112)),Assumptions!$B$110,0)</f>
        <v>0</v>
      </c>
      <c r="BK42" s="32">
        <f>IF(B42&lt;2027,Assumptions!$B$116+IF(OR(A42=4,A42=10),Assumptions!$B$117,0),IF(AND(B42=2027,A42&lt;=4),IF(A42=4,MIN(950,Assumptions!$B$116+Assumptions!$B$117),Assumptions!$B$116),0))</f>
        <v>0</v>
      </c>
      <c r="BL42" s="32">
        <f>IF(OR(B42&lt;2030,AND(B42=2030,A42&lt;8)),Assumptions!$B$118,IF(AND(B42=2030,A42=8),MOD(11000,200),0))</f>
        <v>200</v>
      </c>
      <c r="BM42" s="32">
        <f>IF(OR(B42&lt;Assumptions!$B$120,AND(B42=Assumptions!$B$120,A42&lt;=Assumptions!$B$121)),Assumptions!$B$119,0)</f>
        <v>0</v>
      </c>
      <c r="BN42" s="32">
        <f>IF(AND(B42&lt;=Assumptions!$B$123,A42&lt;=Assumptions!$B$124),Assumptions!$B$122,0)</f>
        <v>0</v>
      </c>
      <c r="BO42" s="32">
        <f t="shared" si="12"/>
        <v>200</v>
      </c>
      <c r="BP42" s="32">
        <f>SUMIFS(SL_Budget!$B:$B,SL_Budget!$C:$C,"'"&amp;TEXT(DATE(B42,A42,1),"YYYY-MM"))</f>
        <v>4491</v>
      </c>
      <c r="BQ42" s="32">
        <f>MAX(BP42, IFERROR(SUMIFS(ShadowLedger!D:D, 
  ShadowLedger!C:C, "&gt;="&amp;DATE(B42,A42,1), 
  ShadowLedger!C:C, "&lt;"&amp;EOMONTH(DATE(B42,A42,1),0)+1), 0))
</f>
        <v>4491</v>
      </c>
      <c r="BR42" s="32">
        <f t="shared" si="42"/>
        <v>194196.1393</v>
      </c>
      <c r="BS42" s="32">
        <f t="shared" si="43"/>
        <v>2195.552</v>
      </c>
      <c r="BT42" s="32">
        <f>IF(AS42&gt;0,-MAX(0,21550-MAX(0,MAX(0,(AM42-AP42-BE42-BO42-BQ42)-Assumptions!$B$93))-MIN(MAX(0,21550-MAX(0,MAX(0,(AM42-AP42-BE42-BO42-BQ42)-Assumptions!$B$93))),MAX(0,BY41-Assumptions!$B$91))),IF(BY41&gt;=Assumptions!$B$92,MAX(0,(AM42-AP42-BE42-BO42-BQ42)-Assumptions!$B$93),MAX(0,(AM42-AP42-BE42-BO42-BQ42)-Assumptions!$B$93)*Assumptions!$B$99))</f>
        <v>4684.1152</v>
      </c>
      <c r="BU42" s="32">
        <f>(BR42+BS42+MAX(0,BT42))*(Assumptions!$B$43-1)</f>
        <v>1370.934849</v>
      </c>
      <c r="BV42" s="32">
        <f t="shared" si="13"/>
        <v>202446.7413</v>
      </c>
      <c r="BW42" s="32">
        <f t="shared" si="44"/>
        <v>10945.59088</v>
      </c>
      <c r="BX42" s="32">
        <f>IF(AS42&gt;0,-MIN(MAX(0,21550-MAX(0,MAX(0,(AM42-AP42-BE42-BO42-BQ42)-Assumptions!$B$93))),MAX(0,BY41-Assumptions!$B$91)),IF(BY41&lt;Assumptions!$B$92,MAX(0,(AM42-AP42-BE42-BO42-BQ42)-Assumptions!$B$93)*Assumptions!$B$98,0))</f>
        <v>1171.0288</v>
      </c>
      <c r="BY42" s="32">
        <f t="shared" si="14"/>
        <v>12116.61968</v>
      </c>
      <c r="BZ42" s="32">
        <f t="shared" si="45"/>
        <v>12404</v>
      </c>
      <c r="CA42" s="32">
        <f t="shared" si="15"/>
        <v>3101</v>
      </c>
      <c r="CB42" s="32">
        <f t="shared" si="16"/>
        <v>15505</v>
      </c>
      <c r="CC42" s="55">
        <f>CC41+(G42+J42)/(Salary_Schedule!E42*12/208)</f>
        <v>1750.533058</v>
      </c>
      <c r="CD42" s="55">
        <f>CD41+(O42+R42)/(Salary_Schedule!G42*12/208)</f>
        <v>74.34894639</v>
      </c>
      <c r="CE42" s="32">
        <f t="shared" si="17"/>
        <v>202446.7413</v>
      </c>
      <c r="CF42" s="32">
        <f>Assumptions!$B$55*(1+Assumptions!$B$56)^((B42-2025)+(A42-1)/12)</f>
        <v>554654.9077</v>
      </c>
      <c r="CG42" s="32">
        <f t="shared" si="18"/>
        <v>-286293.1323</v>
      </c>
      <c r="CH42" s="32">
        <f t="shared" si="19"/>
        <v>-39083.06</v>
      </c>
      <c r="CI42" s="32">
        <f>CC42*(Salary_Schedule!E42/173.33)*(1-Assumptions!$B$28)+CD42*(Salary_Schedule!G42/173.33)*(1-Assumptions!$B$28)</f>
        <v>57895.41217</v>
      </c>
      <c r="CJ42" s="32">
        <f t="shared" si="20"/>
        <v>489620.8689</v>
      </c>
    </row>
    <row r="43" ht="15.0" customHeight="1">
      <c r="A43" s="1">
        <v>6.0</v>
      </c>
      <c r="B43" s="1">
        <v>2029.0</v>
      </c>
      <c r="C43" s="1" t="s">
        <v>712</v>
      </c>
      <c r="D43" s="1" t="str">
        <f t="shared" si="21"/>
        <v>05/2029</v>
      </c>
      <c r="E43" s="1" t="str">
        <f t="shared" si="2"/>
        <v>LEAN</v>
      </c>
      <c r="F43" s="32">
        <f>Salary_Schedule!E43</f>
        <v>8527.55</v>
      </c>
      <c r="G43" s="32">
        <f>Assumptions!$B$8</f>
        <v>200</v>
      </c>
      <c r="H43" s="32">
        <f>F43*Assumptions!$B$58</f>
        <v>852.755</v>
      </c>
      <c r="I43" s="32">
        <f>Salary_Schedule!F43</f>
        <v>0</v>
      </c>
      <c r="J43" s="32">
        <f>I43*Assumptions!$B$9</f>
        <v>0</v>
      </c>
      <c r="K43" s="54">
        <f t="shared" si="3"/>
        <v>7474.795</v>
      </c>
      <c r="L43" s="32">
        <f>IF(COUNTIFS(SL_Income_Log!$B:$B,TEXT(B43,"0000")&amp;"-"&amp;TEXT(A43,"00"),SL_Income_Log!$C:$C,"salary",SL_Income_Log!$E:$E,"H")&gt;0,SUMIFS(SL_Income_Log!$D:$D,SL_Income_Log!$B:$B,TEXT(B43,"0000")&amp;"-"&amp;TEXT(A43,"00"),SL_Income_Log!$C:$C,"salary",SL_Income_Log!$E:$E,"H"),K43*(1-Assumptions!$B$102)-Z43-Y43)</f>
        <v>4150.337</v>
      </c>
      <c r="M43" s="32">
        <f>RSU_Schedule!H42</f>
        <v>0</v>
      </c>
      <c r="N43" s="32">
        <f>Salary_Schedule!G43</f>
        <v>6869.25</v>
      </c>
      <c r="O43" s="32">
        <f>Assumptions!$B$19</f>
        <v>200</v>
      </c>
      <c r="P43" s="32">
        <f>N43*Assumptions!$B$59</f>
        <v>686.925</v>
      </c>
      <c r="Q43" s="32">
        <f>Salary_Schedule!H43</f>
        <v>0</v>
      </c>
      <c r="R43" s="32">
        <f>Q43*Assumptions!$B$20</f>
        <v>0</v>
      </c>
      <c r="S43" s="54">
        <f t="shared" si="4"/>
        <v>5982.325</v>
      </c>
      <c r="T43" s="32">
        <f>IF(COUNTIFS(SL_Income_Log!$B:$B,TEXT(B43,"0000")&amp;"-"&amp;TEXT(A43,"00"),SL_Income_Log!$C:$C,"salary",SL_Income_Log!$E:$E,"W")&gt;0,SUMIFS(SL_Income_Log!$D:$D,SL_Income_Log!$B:$B,TEXT(B43,"0000")&amp;"-"&amp;TEXT(A43,"00"),SL_Income_Log!$C:$C,"salary",SL_Income_Log!$E:$E,"W"),S43*(1-Assumptions!$B$102)-AC43-AB43)
</f>
        <v>3254.855</v>
      </c>
      <c r="U43" s="32">
        <f>RSU_Schedule!M42</f>
        <v>0</v>
      </c>
      <c r="V43" s="32">
        <f>H43*(1+Assumptions!$B$60)+Assumptions!$B$61</f>
        <v>1213.857</v>
      </c>
      <c r="W43" s="32">
        <f>P43*(1+Assumptions!$B$60)+Assumptions!$B$61</f>
        <v>981.695</v>
      </c>
      <c r="X43" s="32">
        <f t="shared" si="5"/>
        <v>2195.552</v>
      </c>
      <c r="Y43" s="32">
        <f t="shared" si="22"/>
        <v>42.87</v>
      </c>
      <c r="Z43" s="32">
        <v>291.67</v>
      </c>
      <c r="AA43" s="32">
        <f t="shared" si="23"/>
        <v>13999.86</v>
      </c>
      <c r="AB43" s="32">
        <f t="shared" si="24"/>
        <v>42.87</v>
      </c>
      <c r="AC43" s="32">
        <v>291.67</v>
      </c>
      <c r="AD43" s="32">
        <f t="shared" si="25"/>
        <v>13999.86</v>
      </c>
      <c r="AE43" s="32">
        <f t="shared" ref="AE43:AF43" si="84">Z43+AC43</f>
        <v>583.34</v>
      </c>
      <c r="AF43" s="32">
        <f t="shared" si="84"/>
        <v>27999.72</v>
      </c>
      <c r="AG43" s="32">
        <f>IF(COUNTIFS(SL_Income_Log!$B:$B,TEXT(B43,"0000")&amp;"-"&amp;TEXT(A43,"00"),SL_Income_Log!$C:$C,"youtube")&gt;0,SUMIFS(SL_Income_Log!$D:$D,SL_Income_Log!$B:$B,TEXT(B43,"0000")&amp;"-"&amp;TEXT(A43,"00"),SL_Income_Log!$C:$C,"youtube"),MIN(Assumptions!$B$49+FLOOR((ROW()-2)/6,1)*Assumptions!$B$50,Assumptions!$B$51))
</f>
        <v>7000</v>
      </c>
      <c r="AH43" s="32">
        <f>AG43*Assumptions!$B$104</f>
        <v>3101</v>
      </c>
      <c r="AI43" s="32">
        <f t="shared" si="7"/>
        <v>3899</v>
      </c>
      <c r="AJ43" s="32">
        <f>SUMIFS(SL_Income_Log!$D:$D,SL_Income_Log!$B:$B,TEXT(B43,"0000")&amp;"-"&amp;TEXT(A43,"00"),SL_Income_Log!$C:$C,"other")</f>
        <v>0</v>
      </c>
      <c r="AK43" s="32">
        <f t="shared" si="27"/>
        <v>10000</v>
      </c>
      <c r="AL43" s="32">
        <f>L43+M43+T43+U43+AI43+AJ43-Y43-Z43-AB43-AC43+IF((Debt_Register!$C$2+Debt_Register!$C$6+Debt_Register!$C$7+Debt_Register!$C$8+Debt_Register!$C$9)&gt;5,X43,0)</f>
        <v>12830.664</v>
      </c>
      <c r="AM43" s="32">
        <f t="shared" si="8"/>
        <v>22830.664</v>
      </c>
      <c r="AN43" s="32">
        <f>MAX(Assumptions!$B$94,MIN(Assumptions!$B$93,AM43-AP43-BE43-BO43-BQ43))</f>
        <v>10000</v>
      </c>
      <c r="AO43" s="32">
        <f t="shared" si="28"/>
        <v>286293.1323</v>
      </c>
      <c r="AP43" s="32">
        <f>IF(AO43&gt;0,Assumptions!$B$33,0)</f>
        <v>2281</v>
      </c>
      <c r="AQ43" s="32">
        <f>AO43*Assumptions!$B$32/12</f>
        <v>928.0669038</v>
      </c>
      <c r="AR43" s="32">
        <f t="shared" si="9"/>
        <v>1352.933096</v>
      </c>
      <c r="AS43" s="32">
        <f t="shared" si="29"/>
        <v>0</v>
      </c>
      <c r="AT43" s="32">
        <f t="shared" si="10"/>
        <v>284940.1992</v>
      </c>
      <c r="AU43" s="32">
        <f t="shared" si="30"/>
        <v>0</v>
      </c>
      <c r="AV43" s="32">
        <f t="shared" si="31"/>
        <v>0</v>
      </c>
      <c r="AW43" s="32">
        <f t="shared" si="32"/>
        <v>0</v>
      </c>
      <c r="AX43" s="32">
        <f t="shared" si="33"/>
        <v>0</v>
      </c>
      <c r="AY43" s="32">
        <f t="shared" si="34"/>
        <v>0</v>
      </c>
      <c r="AZ43" s="32">
        <f t="shared" si="35"/>
        <v>0</v>
      </c>
      <c r="BA43" s="32">
        <f t="shared" si="36"/>
        <v>0</v>
      </c>
      <c r="BB43" s="32">
        <f t="shared" si="37"/>
        <v>0</v>
      </c>
      <c r="BC43" s="32">
        <f t="shared" si="38"/>
        <v>0</v>
      </c>
      <c r="BD43" s="32">
        <f t="shared" si="39"/>
        <v>0</v>
      </c>
      <c r="BE43" s="32">
        <f t="shared" si="11"/>
        <v>0</v>
      </c>
      <c r="BF43" s="32">
        <v>0.0</v>
      </c>
      <c r="BG43" s="32">
        <f t="shared" si="40"/>
        <v>5500</v>
      </c>
      <c r="BH43" s="32">
        <v>0.0</v>
      </c>
      <c r="BI43" s="32">
        <f t="shared" si="41"/>
        <v>5000</v>
      </c>
      <c r="BJ43" s="32">
        <f>IF(OR(B43&lt;Assumptions!$B$111,AND(B43=Assumptions!$B$111,A43&lt;=Assumptions!$B$112)),Assumptions!$B$110,0)</f>
        <v>0</v>
      </c>
      <c r="BK43" s="32">
        <f>IF(B43&lt;2027,Assumptions!$B$116+IF(OR(A43=4,A43=10),Assumptions!$B$117,0),IF(AND(B43=2027,A43&lt;=4),IF(A43=4,MIN(950,Assumptions!$B$116+Assumptions!$B$117),Assumptions!$B$116),0))</f>
        <v>0</v>
      </c>
      <c r="BL43" s="32">
        <f>IF(OR(B43&lt;2030,AND(B43=2030,A43&lt;8)),Assumptions!$B$118,IF(AND(B43=2030,A43=8),MOD(11000,200),0))</f>
        <v>200</v>
      </c>
      <c r="BM43" s="32">
        <f>IF(OR(B43&lt;Assumptions!$B$120,AND(B43=Assumptions!$B$120,A43&lt;=Assumptions!$B$121)),Assumptions!$B$119,0)</f>
        <v>0</v>
      </c>
      <c r="BN43" s="32">
        <f>IF(AND(B43&lt;=Assumptions!$B$123,A43&lt;=Assumptions!$B$124),Assumptions!$B$122,0)</f>
        <v>0</v>
      </c>
      <c r="BO43" s="32">
        <f t="shared" si="12"/>
        <v>200</v>
      </c>
      <c r="BP43" s="32">
        <f>SUMIFS(SL_Budget!$B:$B,SL_Budget!$C:$C,"'"&amp;TEXT(DATE(B43,A43,1),"YYYY-MM"))</f>
        <v>4491</v>
      </c>
      <c r="BQ43" s="32">
        <f>MAX(BP43, IFERROR(SUMIFS(ShadowLedger!D:D, 
  ShadowLedger!C:C, "&gt;="&amp;DATE(B43,A43,1), 
  ShadowLedger!C:C, "&lt;"&amp;EOMONTH(DATE(B43,A43,1),0)+1), 0))
</f>
        <v>4491</v>
      </c>
      <c r="BR43" s="32">
        <f t="shared" si="42"/>
        <v>202446.7413</v>
      </c>
      <c r="BS43" s="32">
        <f t="shared" si="43"/>
        <v>2195.552</v>
      </c>
      <c r="BT43" s="32">
        <f>IF(AS43&gt;0,-MAX(0,21550-MAX(0,MAX(0,(AM43-AP43-BE43-BO43-BQ43)-Assumptions!$B$93))-MIN(MAX(0,21550-MAX(0,MAX(0,(AM43-AP43-BE43-BO43-BQ43)-Assumptions!$B$93))),MAX(0,BY42-Assumptions!$B$91))),IF(BY42&gt;=Assumptions!$B$92,MAX(0,(AM43-AP43-BE43-BO43-BQ43)-Assumptions!$B$93),MAX(0,(AM43-AP43-BE43-BO43-BQ43)-Assumptions!$B$93)*Assumptions!$B$99))</f>
        <v>4686.9312</v>
      </c>
      <c r="BU43" s="32">
        <f>(BR43+BS43+MAX(0,BT43))*(Assumptions!$B$43-1)</f>
        <v>1427.206653</v>
      </c>
      <c r="BV43" s="32">
        <f t="shared" si="13"/>
        <v>210756.4312</v>
      </c>
      <c r="BW43" s="32">
        <f t="shared" si="44"/>
        <v>12116.61968</v>
      </c>
      <c r="BX43" s="32">
        <f>IF(AS43&gt;0,-MIN(MAX(0,21550-MAX(0,MAX(0,(AM43-AP43-BE43-BO43-BQ43)-Assumptions!$B$93))),MAX(0,BY42-Assumptions!$B$91)),IF(BY42&lt;Assumptions!$B$92,MAX(0,(AM43-AP43-BE43-BO43-BQ43)-Assumptions!$B$93)*Assumptions!$B$98,0))</f>
        <v>1171.7328</v>
      </c>
      <c r="BY43" s="32">
        <f t="shared" si="14"/>
        <v>13288.35248</v>
      </c>
      <c r="BZ43" s="32">
        <f t="shared" si="45"/>
        <v>15505</v>
      </c>
      <c r="CA43" s="32">
        <f t="shared" si="15"/>
        <v>3101</v>
      </c>
      <c r="CB43" s="32">
        <f t="shared" si="16"/>
        <v>18606</v>
      </c>
      <c r="CC43" s="55">
        <f>CC42+(G43+J43)/(Salary_Schedule!E43*12/208)</f>
        <v>1750.939584</v>
      </c>
      <c r="CD43" s="55">
        <f>CD42+(O43+R43)/(Salary_Schedule!G43*12/208)</f>
        <v>74.8536109</v>
      </c>
      <c r="CE43" s="32">
        <f t="shared" si="17"/>
        <v>210756.4312</v>
      </c>
      <c r="CF43" s="32">
        <f>Assumptions!$B$55*(1+Assumptions!$B$56)^((B43-2025)+(A43-1)/12)</f>
        <v>555343.5049</v>
      </c>
      <c r="CG43" s="32">
        <f t="shared" si="18"/>
        <v>-284940.1992</v>
      </c>
      <c r="CH43" s="32">
        <f t="shared" si="19"/>
        <v>-38499.72</v>
      </c>
      <c r="CI43" s="32">
        <f>CC43*(Salary_Schedule!E43/173.33)*(1-Assumptions!$B$28)+CD43*(Salary_Schedule!G43/173.33)*(1-Assumptions!$B$28)</f>
        <v>57921.41267</v>
      </c>
      <c r="CJ43" s="32">
        <f t="shared" si="20"/>
        <v>500581.4296</v>
      </c>
    </row>
    <row r="44" ht="15.0" customHeight="1">
      <c r="A44" s="1">
        <v>7.0</v>
      </c>
      <c r="B44" s="1">
        <v>2029.0</v>
      </c>
      <c r="C44" s="1" t="s">
        <v>713</v>
      </c>
      <c r="D44" s="1" t="str">
        <f t="shared" si="21"/>
        <v>06/2029</v>
      </c>
      <c r="E44" s="1" t="str">
        <f t="shared" si="2"/>
        <v>FAT_RSU</v>
      </c>
      <c r="F44" s="32">
        <f>Salary_Schedule!E44</f>
        <v>8527.55</v>
      </c>
      <c r="G44" s="32">
        <f>Assumptions!$B$8</f>
        <v>200</v>
      </c>
      <c r="H44" s="32">
        <f>F44*Assumptions!$B$58</f>
        <v>852.755</v>
      </c>
      <c r="I44" s="32">
        <f>Salary_Schedule!F44</f>
        <v>0</v>
      </c>
      <c r="J44" s="32">
        <f>I44*Assumptions!$B$9</f>
        <v>0</v>
      </c>
      <c r="K44" s="54">
        <f t="shared" si="3"/>
        <v>7474.795</v>
      </c>
      <c r="L44" s="32">
        <f>IF(COUNTIFS(SL_Income_Log!$B:$B,TEXT(B44,"0000")&amp;"-"&amp;TEXT(A44,"00"),SL_Income_Log!$C:$C,"salary",SL_Income_Log!$E:$E,"H")&gt;0,SUMIFS(SL_Income_Log!$D:$D,SL_Income_Log!$B:$B,TEXT(B44,"0000")&amp;"-"&amp;TEXT(A44,"00"),SL_Income_Log!$C:$C,"salary",SL_Income_Log!$E:$E,"H"),K44*(1-Assumptions!$B$102)-Z44-Y44)</f>
        <v>4151.207</v>
      </c>
      <c r="M44" s="32">
        <f>RSU_Schedule!H43</f>
        <v>2784.99</v>
      </c>
      <c r="N44" s="32">
        <f>Salary_Schedule!G44</f>
        <v>6869.25</v>
      </c>
      <c r="O44" s="32">
        <f>Assumptions!$B$19</f>
        <v>200</v>
      </c>
      <c r="P44" s="32">
        <f>N44*Assumptions!$B$59</f>
        <v>686.925</v>
      </c>
      <c r="Q44" s="32">
        <f>Salary_Schedule!H44</f>
        <v>0</v>
      </c>
      <c r="R44" s="32">
        <f>Q44*Assumptions!$B$20</f>
        <v>0</v>
      </c>
      <c r="S44" s="54">
        <f t="shared" si="4"/>
        <v>5982.325</v>
      </c>
      <c r="T44" s="32">
        <f>IF(COUNTIFS(SL_Income_Log!$B:$B,TEXT(B44,"0000")&amp;"-"&amp;TEXT(A44,"00"),SL_Income_Log!$C:$C,"salary",SL_Income_Log!$E:$E,"W")&gt;0,SUMIFS(SL_Income_Log!$D:$D,SL_Income_Log!$B:$B,TEXT(B44,"0000")&amp;"-"&amp;TEXT(A44,"00"),SL_Income_Log!$C:$C,"salary",SL_Income_Log!$E:$E,"W"),S44*(1-Assumptions!$B$102)-AC44-AB44)
</f>
        <v>3255.725</v>
      </c>
      <c r="U44" s="32">
        <f>RSU_Schedule!M43</f>
        <v>1392.51</v>
      </c>
      <c r="V44" s="32">
        <f>H44*(1+Assumptions!$B$60)+Assumptions!$B$61</f>
        <v>1213.857</v>
      </c>
      <c r="W44" s="32">
        <f>P44*(1+Assumptions!$B$60)+Assumptions!$B$61</f>
        <v>981.695</v>
      </c>
      <c r="X44" s="32">
        <f t="shared" si="5"/>
        <v>2195.552</v>
      </c>
      <c r="Y44" s="32">
        <f t="shared" si="22"/>
        <v>42</v>
      </c>
      <c r="Z44" s="32">
        <v>291.67</v>
      </c>
      <c r="AA44" s="32">
        <f t="shared" si="23"/>
        <v>13708.19</v>
      </c>
      <c r="AB44" s="32">
        <f t="shared" si="24"/>
        <v>42</v>
      </c>
      <c r="AC44" s="32">
        <v>291.67</v>
      </c>
      <c r="AD44" s="32">
        <f t="shared" si="25"/>
        <v>13708.19</v>
      </c>
      <c r="AE44" s="32">
        <f t="shared" ref="AE44:AF44" si="85">Z44+AC44</f>
        <v>583.34</v>
      </c>
      <c r="AF44" s="32">
        <f t="shared" si="85"/>
        <v>27416.38</v>
      </c>
      <c r="AG44" s="32">
        <f>IF(COUNTIFS(SL_Income_Log!$B:$B,TEXT(B44,"0000")&amp;"-"&amp;TEXT(A44,"00"),SL_Income_Log!$C:$C,"youtube")&gt;0,SUMIFS(SL_Income_Log!$D:$D,SL_Income_Log!$B:$B,TEXT(B44,"0000")&amp;"-"&amp;TEXT(A44,"00"),SL_Income_Log!$C:$C,"youtube"),MIN(Assumptions!$B$49+FLOOR((ROW()-2)/6,1)*Assumptions!$B$50,Assumptions!$B$51))
</f>
        <v>8000</v>
      </c>
      <c r="AH44" s="32">
        <f>AG44*Assumptions!$B$104</f>
        <v>3544</v>
      </c>
      <c r="AI44" s="32">
        <f t="shared" si="7"/>
        <v>4456</v>
      </c>
      <c r="AJ44" s="32">
        <f>SUMIFS(SL_Income_Log!$D:$D,SL_Income_Log!$B:$B,TEXT(B44,"0000")&amp;"-"&amp;TEXT(A44,"00"),SL_Income_Log!$C:$C,"other")</f>
        <v>0</v>
      </c>
      <c r="AK44" s="32">
        <f t="shared" si="27"/>
        <v>10000</v>
      </c>
      <c r="AL44" s="32">
        <f>L44+M44+T44+U44+AI44+AJ44-Y44-Z44-AB44-AC44+IF((Debt_Register!$C$2+Debt_Register!$C$6+Debt_Register!$C$7+Debt_Register!$C$8+Debt_Register!$C$9)&gt;5,X44,0)</f>
        <v>17568.644</v>
      </c>
      <c r="AM44" s="32">
        <f t="shared" si="8"/>
        <v>27568.644</v>
      </c>
      <c r="AN44" s="32">
        <f>MAX(Assumptions!$B$94,MIN(Assumptions!$B$93,AM44-AP44-BE44-BO44-BQ44))</f>
        <v>10000</v>
      </c>
      <c r="AO44" s="32">
        <f t="shared" si="28"/>
        <v>284940.1992</v>
      </c>
      <c r="AP44" s="32">
        <f>IF(AO44&gt;0,Assumptions!$B$33,0)</f>
        <v>2281</v>
      </c>
      <c r="AQ44" s="32">
        <f>AO44*Assumptions!$B$32/12</f>
        <v>923.6811457</v>
      </c>
      <c r="AR44" s="32">
        <f t="shared" si="9"/>
        <v>1357.318854</v>
      </c>
      <c r="AS44" s="32">
        <f t="shared" si="29"/>
        <v>0</v>
      </c>
      <c r="AT44" s="32">
        <f t="shared" si="10"/>
        <v>283582.8803</v>
      </c>
      <c r="AU44" s="32">
        <f t="shared" si="30"/>
        <v>0</v>
      </c>
      <c r="AV44" s="32">
        <f t="shared" si="31"/>
        <v>0</v>
      </c>
      <c r="AW44" s="32">
        <f t="shared" si="32"/>
        <v>0</v>
      </c>
      <c r="AX44" s="32">
        <f t="shared" si="33"/>
        <v>0</v>
      </c>
      <c r="AY44" s="32">
        <f t="shared" si="34"/>
        <v>0</v>
      </c>
      <c r="AZ44" s="32">
        <f t="shared" si="35"/>
        <v>0</v>
      </c>
      <c r="BA44" s="32">
        <f t="shared" si="36"/>
        <v>0</v>
      </c>
      <c r="BB44" s="32">
        <f t="shared" si="37"/>
        <v>0</v>
      </c>
      <c r="BC44" s="32">
        <f t="shared" si="38"/>
        <v>0</v>
      </c>
      <c r="BD44" s="32">
        <f t="shared" si="39"/>
        <v>0</v>
      </c>
      <c r="BE44" s="32">
        <f t="shared" si="11"/>
        <v>0</v>
      </c>
      <c r="BF44" s="32">
        <v>0.0</v>
      </c>
      <c r="BG44" s="32">
        <f t="shared" si="40"/>
        <v>5500</v>
      </c>
      <c r="BH44" s="32">
        <v>0.0</v>
      </c>
      <c r="BI44" s="32">
        <f t="shared" si="41"/>
        <v>5000</v>
      </c>
      <c r="BJ44" s="32">
        <f>IF(OR(B44&lt;Assumptions!$B$111,AND(B44=Assumptions!$B$111,A44&lt;=Assumptions!$B$112)),Assumptions!$B$110,0)</f>
        <v>0</v>
      </c>
      <c r="BK44" s="32">
        <f>IF(B44&lt;2027,Assumptions!$B$116+IF(OR(A44=4,A44=10),Assumptions!$B$117,0),IF(AND(B44=2027,A44&lt;=4),IF(A44=4,MIN(950,Assumptions!$B$116+Assumptions!$B$117),Assumptions!$B$116),0))</f>
        <v>0</v>
      </c>
      <c r="BL44" s="32">
        <f>IF(OR(B44&lt;2030,AND(B44=2030,A44&lt;8)),Assumptions!$B$118,IF(AND(B44=2030,A44=8),MOD(11000,200),0))</f>
        <v>200</v>
      </c>
      <c r="BM44" s="32">
        <f>IF(OR(B44&lt;Assumptions!$B$120,AND(B44=Assumptions!$B$120,A44&lt;=Assumptions!$B$121)),Assumptions!$B$119,0)</f>
        <v>0</v>
      </c>
      <c r="BN44" s="32">
        <f>IF(AND(B44&lt;=Assumptions!$B$123,A44&lt;=Assumptions!$B$124),Assumptions!$B$122,0)</f>
        <v>0</v>
      </c>
      <c r="BO44" s="32">
        <f t="shared" si="12"/>
        <v>200</v>
      </c>
      <c r="BP44" s="32">
        <f>SUMIFS(SL_Budget!$B:$B,SL_Budget!$C:$C,"'"&amp;TEXT(DATE(B44,A44,1),"YYYY-MM"))</f>
        <v>4491</v>
      </c>
      <c r="BQ44" s="32">
        <f>MAX(BP44, IFERROR(SUMIFS(ShadowLedger!D:D, 
  ShadowLedger!C:C, "&gt;="&amp;DATE(B44,A44,1), 
  ShadowLedger!C:C, "&lt;"&amp;EOMONTH(DATE(B44,A44,1),0)+1), 0))
</f>
        <v>4491</v>
      </c>
      <c r="BR44" s="32">
        <f t="shared" si="42"/>
        <v>210756.4312</v>
      </c>
      <c r="BS44" s="32">
        <f t="shared" si="43"/>
        <v>2195.552</v>
      </c>
      <c r="BT44" s="32">
        <f>IF(AS44&gt;0,-MAX(0,21550-MAX(0,MAX(0,(AM44-AP44-BE44-BO44-BQ44)-Assumptions!$B$93))-MIN(MAX(0,21550-MAX(0,MAX(0,(AM44-AP44-BE44-BO44-BQ44)-Assumptions!$B$93))),MAX(0,BY43-Assumptions!$B$91))),IF(BY43&gt;=Assumptions!$B$92,MAX(0,(AM44-AP44-BE44-BO44-BQ44)-Assumptions!$B$93),MAX(0,(AM44-AP44-BE44-BO44-BQ44)-Assumptions!$B$93)*Assumptions!$B$99))</f>
        <v>8477.3152</v>
      </c>
      <c r="BU44" s="32">
        <f>(BR44+BS44+MAX(0,BT44))*(Assumptions!$B$43-1)</f>
        <v>1509.704957</v>
      </c>
      <c r="BV44" s="32">
        <f t="shared" si="13"/>
        <v>222939.0034</v>
      </c>
      <c r="BW44" s="32">
        <f t="shared" si="44"/>
        <v>13288.35248</v>
      </c>
      <c r="BX44" s="32">
        <f>IF(AS44&gt;0,-MIN(MAX(0,21550-MAX(0,MAX(0,(AM44-AP44-BE44-BO44-BQ44)-Assumptions!$B$93))),MAX(0,BY43-Assumptions!$B$91)),IF(BY43&lt;Assumptions!$B$92,MAX(0,(AM44-AP44-BE44-BO44-BQ44)-Assumptions!$B$93)*Assumptions!$B$98,0))</f>
        <v>2119.3288</v>
      </c>
      <c r="BY44" s="32">
        <f t="shared" si="14"/>
        <v>15407.68128</v>
      </c>
      <c r="BZ44" s="32">
        <f t="shared" si="45"/>
        <v>18606</v>
      </c>
      <c r="CA44" s="32">
        <f t="shared" si="15"/>
        <v>3544</v>
      </c>
      <c r="CB44" s="32">
        <f t="shared" si="16"/>
        <v>22150</v>
      </c>
      <c r="CC44" s="55">
        <f>CC43+(G44+J44)/(Salary_Schedule!E44*12/208)</f>
        <v>1751.346109</v>
      </c>
      <c r="CD44" s="55">
        <f>CD43+(O44+R44)/(Salary_Schedule!G44*12/208)</f>
        <v>75.35827541</v>
      </c>
      <c r="CE44" s="32">
        <f t="shared" si="17"/>
        <v>222939.0034</v>
      </c>
      <c r="CF44" s="32">
        <f>Assumptions!$B$55*(1+Assumptions!$B$56)^((B44-2025)+(A44-1)/12)</f>
        <v>556032.9571</v>
      </c>
      <c r="CG44" s="32">
        <f t="shared" si="18"/>
        <v>-283582.8803</v>
      </c>
      <c r="CH44" s="32">
        <f t="shared" si="19"/>
        <v>-37916.38</v>
      </c>
      <c r="CI44" s="32">
        <f>CC44*(Salary_Schedule!E44/173.33)*(1-Assumptions!$B$28)+CD44*(Salary_Schedule!G44/173.33)*(1-Assumptions!$B$28)</f>
        <v>57947.41317</v>
      </c>
      <c r="CJ44" s="32">
        <f t="shared" si="20"/>
        <v>515420.1133</v>
      </c>
    </row>
    <row r="45" ht="15.0" customHeight="1">
      <c r="A45" s="1">
        <v>8.0</v>
      </c>
      <c r="B45" s="1">
        <v>2029.0</v>
      </c>
      <c r="C45" s="1" t="s">
        <v>714</v>
      </c>
      <c r="D45" s="1" t="str">
        <f t="shared" si="21"/>
        <v>07/2029</v>
      </c>
      <c r="E45" s="1" t="str">
        <f t="shared" si="2"/>
        <v>LEAN</v>
      </c>
      <c r="F45" s="32">
        <f>Salary_Schedule!E45</f>
        <v>8527.55</v>
      </c>
      <c r="G45" s="32">
        <f>Assumptions!$B$8</f>
        <v>200</v>
      </c>
      <c r="H45" s="32">
        <f>F45*Assumptions!$B$58</f>
        <v>852.755</v>
      </c>
      <c r="I45" s="32">
        <f>Salary_Schedule!F45</f>
        <v>0</v>
      </c>
      <c r="J45" s="32">
        <f>I45*Assumptions!$B$9</f>
        <v>0</v>
      </c>
      <c r="K45" s="54">
        <f t="shared" si="3"/>
        <v>7474.795</v>
      </c>
      <c r="L45" s="32">
        <f>IF(COUNTIFS(SL_Income_Log!$B:$B,TEXT(B45,"0000")&amp;"-"&amp;TEXT(A45,"00"),SL_Income_Log!$C:$C,"salary",SL_Income_Log!$E:$E,"H")&gt;0,SUMIFS(SL_Income_Log!$D:$D,SL_Income_Log!$B:$B,TEXT(B45,"0000")&amp;"-"&amp;TEXT(A45,"00"),SL_Income_Log!$C:$C,"salary",SL_Income_Log!$E:$E,"H"),K45*(1-Assumptions!$B$102)-Z45-Y45)</f>
        <v>4152.087</v>
      </c>
      <c r="M45" s="32">
        <f>RSU_Schedule!H44</f>
        <v>0</v>
      </c>
      <c r="N45" s="32">
        <f>Salary_Schedule!G45</f>
        <v>6869.25</v>
      </c>
      <c r="O45" s="32">
        <f>Assumptions!$B$19</f>
        <v>200</v>
      </c>
      <c r="P45" s="32">
        <f>N45*Assumptions!$B$59</f>
        <v>686.925</v>
      </c>
      <c r="Q45" s="32">
        <f>Salary_Schedule!H45</f>
        <v>0</v>
      </c>
      <c r="R45" s="32">
        <f>Q45*Assumptions!$B$20</f>
        <v>0</v>
      </c>
      <c r="S45" s="54">
        <f t="shared" si="4"/>
        <v>5982.325</v>
      </c>
      <c r="T45" s="32">
        <f>IF(COUNTIFS(SL_Income_Log!$B:$B,TEXT(B45,"0000")&amp;"-"&amp;TEXT(A45,"00"),SL_Income_Log!$C:$C,"salary",SL_Income_Log!$E:$E,"W")&gt;0,SUMIFS(SL_Income_Log!$D:$D,SL_Income_Log!$B:$B,TEXT(B45,"0000")&amp;"-"&amp;TEXT(A45,"00"),SL_Income_Log!$C:$C,"salary",SL_Income_Log!$E:$E,"W"),S45*(1-Assumptions!$B$102)-AC45-AB45)
</f>
        <v>3256.605</v>
      </c>
      <c r="U45" s="32">
        <f>RSU_Schedule!M44</f>
        <v>0</v>
      </c>
      <c r="V45" s="32">
        <f>H45*(1+Assumptions!$B$60)+Assumptions!$B$61</f>
        <v>1213.857</v>
      </c>
      <c r="W45" s="32">
        <f>P45*(1+Assumptions!$B$60)+Assumptions!$B$61</f>
        <v>981.695</v>
      </c>
      <c r="X45" s="32">
        <f t="shared" si="5"/>
        <v>2195.552</v>
      </c>
      <c r="Y45" s="32">
        <f t="shared" si="22"/>
        <v>41.12</v>
      </c>
      <c r="Z45" s="32">
        <v>291.67</v>
      </c>
      <c r="AA45" s="32">
        <f t="shared" si="23"/>
        <v>13416.52</v>
      </c>
      <c r="AB45" s="32">
        <f t="shared" si="24"/>
        <v>41.12</v>
      </c>
      <c r="AC45" s="32">
        <v>291.67</v>
      </c>
      <c r="AD45" s="32">
        <f t="shared" si="25"/>
        <v>13416.52</v>
      </c>
      <c r="AE45" s="32">
        <f t="shared" ref="AE45:AF45" si="86">Z45+AC45</f>
        <v>583.34</v>
      </c>
      <c r="AF45" s="32">
        <f t="shared" si="86"/>
        <v>26833.04</v>
      </c>
      <c r="AG45" s="32">
        <f>IF(COUNTIFS(SL_Income_Log!$B:$B,TEXT(B45,"0000")&amp;"-"&amp;TEXT(A45,"00"),SL_Income_Log!$C:$C,"youtube")&gt;0,SUMIFS(SL_Income_Log!$D:$D,SL_Income_Log!$B:$B,TEXT(B45,"0000")&amp;"-"&amp;TEXT(A45,"00"),SL_Income_Log!$C:$C,"youtube"),MIN(Assumptions!$B$49+FLOOR((ROW()-2)/6,1)*Assumptions!$B$50,Assumptions!$B$51))
</f>
        <v>8000</v>
      </c>
      <c r="AH45" s="32">
        <f>AG45*Assumptions!$B$104</f>
        <v>3544</v>
      </c>
      <c r="AI45" s="32">
        <f t="shared" si="7"/>
        <v>4456</v>
      </c>
      <c r="AJ45" s="32">
        <f>SUMIFS(SL_Income_Log!$D:$D,SL_Income_Log!$B:$B,TEXT(B45,"0000")&amp;"-"&amp;TEXT(A45,"00"),SL_Income_Log!$C:$C,"other")</f>
        <v>0</v>
      </c>
      <c r="AK45" s="32">
        <f t="shared" si="27"/>
        <v>10000</v>
      </c>
      <c r="AL45" s="32">
        <f>L45+M45+T45+U45+AI45+AJ45-Y45-Z45-AB45-AC45+IF((Debt_Register!$C$2+Debt_Register!$C$6+Debt_Register!$C$7+Debt_Register!$C$8+Debt_Register!$C$9)&gt;5,X45,0)</f>
        <v>13394.664</v>
      </c>
      <c r="AM45" s="32">
        <f t="shared" si="8"/>
        <v>23394.664</v>
      </c>
      <c r="AN45" s="32">
        <f>MAX(Assumptions!$B$94,MIN(Assumptions!$B$93,AM45-AP45-BE45-BO45-BQ45))</f>
        <v>10000</v>
      </c>
      <c r="AO45" s="32">
        <f t="shared" si="28"/>
        <v>283582.8803</v>
      </c>
      <c r="AP45" s="32">
        <f>IF(AO45&gt;0,Assumptions!$B$33,0)</f>
        <v>2281</v>
      </c>
      <c r="AQ45" s="32">
        <f>AO45*Assumptions!$B$32/12</f>
        <v>919.2811704</v>
      </c>
      <c r="AR45" s="32">
        <f t="shared" si="9"/>
        <v>1361.71883</v>
      </c>
      <c r="AS45" s="32">
        <f t="shared" si="29"/>
        <v>0</v>
      </c>
      <c r="AT45" s="32">
        <f t="shared" si="10"/>
        <v>282221.1615</v>
      </c>
      <c r="AU45" s="32">
        <f t="shared" si="30"/>
        <v>0</v>
      </c>
      <c r="AV45" s="32">
        <f t="shared" si="31"/>
        <v>0</v>
      </c>
      <c r="AW45" s="32">
        <f t="shared" si="32"/>
        <v>0</v>
      </c>
      <c r="AX45" s="32">
        <f t="shared" si="33"/>
        <v>0</v>
      </c>
      <c r="AY45" s="32">
        <f t="shared" si="34"/>
        <v>0</v>
      </c>
      <c r="AZ45" s="32">
        <f t="shared" si="35"/>
        <v>0</v>
      </c>
      <c r="BA45" s="32">
        <f t="shared" si="36"/>
        <v>0</v>
      </c>
      <c r="BB45" s="32">
        <f t="shared" si="37"/>
        <v>0</v>
      </c>
      <c r="BC45" s="32">
        <f t="shared" si="38"/>
        <v>0</v>
      </c>
      <c r="BD45" s="32">
        <f t="shared" si="39"/>
        <v>0</v>
      </c>
      <c r="BE45" s="32">
        <f t="shared" si="11"/>
        <v>0</v>
      </c>
      <c r="BF45" s="32">
        <v>0.0</v>
      </c>
      <c r="BG45" s="32">
        <f t="shared" si="40"/>
        <v>5500</v>
      </c>
      <c r="BH45" s="32">
        <v>0.0</v>
      </c>
      <c r="BI45" s="32">
        <f t="shared" si="41"/>
        <v>5000</v>
      </c>
      <c r="BJ45" s="32">
        <f>IF(OR(B45&lt;Assumptions!$B$111,AND(B45=Assumptions!$B$111,A45&lt;=Assumptions!$B$112)),Assumptions!$B$110,0)</f>
        <v>0</v>
      </c>
      <c r="BK45" s="32">
        <f>IF(B45&lt;2027,Assumptions!$B$116+IF(OR(A45=4,A45=10),Assumptions!$B$117,0),IF(AND(B45=2027,A45&lt;=4),IF(A45=4,MIN(950,Assumptions!$B$116+Assumptions!$B$117),Assumptions!$B$116),0))</f>
        <v>0</v>
      </c>
      <c r="BL45" s="32">
        <f>IF(OR(B45&lt;2030,AND(B45=2030,A45&lt;8)),Assumptions!$B$118,IF(AND(B45=2030,A45=8),MOD(11000,200),0))</f>
        <v>200</v>
      </c>
      <c r="BM45" s="32">
        <f>IF(OR(B45&lt;Assumptions!$B$120,AND(B45=Assumptions!$B$120,A45&lt;=Assumptions!$B$121)),Assumptions!$B$119,0)</f>
        <v>0</v>
      </c>
      <c r="BN45" s="32">
        <f>IF(AND(B45&lt;=Assumptions!$B$123,A45&lt;=Assumptions!$B$124),Assumptions!$B$122,0)</f>
        <v>0</v>
      </c>
      <c r="BO45" s="32">
        <f t="shared" si="12"/>
        <v>200</v>
      </c>
      <c r="BP45" s="32">
        <f>SUMIFS(SL_Budget!$B:$B,SL_Budget!$C:$C,"'"&amp;TEXT(DATE(B45,A45,1),"YYYY-MM"))</f>
        <v>4491</v>
      </c>
      <c r="BQ45" s="32">
        <f>MAX(BP45, IFERROR(SUMIFS(ShadowLedger!D:D, 
  ShadowLedger!C:C, "&gt;="&amp;DATE(B45,A45,1), 
  ShadowLedger!C:C, "&lt;"&amp;EOMONTH(DATE(B45,A45,1),0)+1), 0))
</f>
        <v>4491</v>
      </c>
      <c r="BR45" s="32">
        <f t="shared" si="42"/>
        <v>222939.0034</v>
      </c>
      <c r="BS45" s="32">
        <f t="shared" si="43"/>
        <v>2195.552</v>
      </c>
      <c r="BT45" s="32">
        <f>IF(AS45&gt;0,-MAX(0,21550-MAX(0,MAX(0,(AM45-AP45-BE45-BO45-BQ45)-Assumptions!$B$93))-MIN(MAX(0,21550-MAX(0,MAX(0,(AM45-AP45-BE45-BO45-BQ45)-Assumptions!$B$93))),MAX(0,BY44-Assumptions!$B$91))),IF(BY44&gt;=Assumptions!$B$92,MAX(0,(AM45-AP45-BE45-BO45-BQ45)-Assumptions!$B$93),MAX(0,(AM45-AP45-BE45-BO45-BQ45)-Assumptions!$B$93)*Assumptions!$B$99))</f>
        <v>6422.664</v>
      </c>
      <c r="BU45" s="32">
        <f>(BR45+BS45+MAX(0,BT45))*(Assumptions!$B$43-1)</f>
        <v>1578.757122</v>
      </c>
      <c r="BV45" s="32">
        <f t="shared" si="13"/>
        <v>233135.9765</v>
      </c>
      <c r="BW45" s="32">
        <f t="shared" si="44"/>
        <v>15407.68128</v>
      </c>
      <c r="BX45" s="32">
        <f>IF(AS45&gt;0,-MIN(MAX(0,21550-MAX(0,MAX(0,(AM45-AP45-BE45-BO45-BQ45)-Assumptions!$B$93))),MAX(0,BY44-Assumptions!$B$91)),IF(BY44&lt;Assumptions!$B$92,MAX(0,(AM45-AP45-BE45-BO45-BQ45)-Assumptions!$B$93)*Assumptions!$B$98,0))</f>
        <v>0</v>
      </c>
      <c r="BY45" s="32">
        <f t="shared" si="14"/>
        <v>15407.68128</v>
      </c>
      <c r="BZ45" s="32">
        <f t="shared" si="45"/>
        <v>22150</v>
      </c>
      <c r="CA45" s="32">
        <f t="shared" si="15"/>
        <v>3544</v>
      </c>
      <c r="CB45" s="32">
        <f t="shared" si="16"/>
        <v>25694</v>
      </c>
      <c r="CC45" s="55">
        <f>CC44+(G45+J45)/(Salary_Schedule!E45*12/208)</f>
        <v>1751.752635</v>
      </c>
      <c r="CD45" s="55">
        <f>CD44+(O45+R45)/(Salary_Schedule!G45*12/208)</f>
        <v>75.86293991</v>
      </c>
      <c r="CE45" s="32">
        <f t="shared" si="17"/>
        <v>233135.9765</v>
      </c>
      <c r="CF45" s="32">
        <f>Assumptions!$B$55*(1+Assumptions!$B$56)^((B45-2025)+(A45-1)/12)</f>
        <v>556723.2652</v>
      </c>
      <c r="CG45" s="32">
        <f t="shared" si="18"/>
        <v>-282221.1615</v>
      </c>
      <c r="CH45" s="32">
        <f t="shared" si="19"/>
        <v>-37333.04</v>
      </c>
      <c r="CI45" s="32">
        <f>CC45*(Salary_Schedule!E45/173.33)*(1-Assumptions!$B$28)+CD45*(Salary_Schedule!G45/173.33)*(1-Assumptions!$B$28)</f>
        <v>57973.41367</v>
      </c>
      <c r="CJ45" s="32">
        <f t="shared" si="20"/>
        <v>528278.4538</v>
      </c>
    </row>
    <row r="46" ht="15.0" customHeight="1">
      <c r="A46" s="1">
        <v>9.0</v>
      </c>
      <c r="B46" s="1">
        <v>2029.0</v>
      </c>
      <c r="C46" s="1" t="s">
        <v>715</v>
      </c>
      <c r="D46" s="1" t="str">
        <f t="shared" si="21"/>
        <v>08/2029</v>
      </c>
      <c r="E46" s="1" t="str">
        <f t="shared" si="2"/>
        <v>LEAN</v>
      </c>
      <c r="F46" s="32">
        <f>Salary_Schedule!E46</f>
        <v>8527.55</v>
      </c>
      <c r="G46" s="32">
        <f>Assumptions!$B$8</f>
        <v>200</v>
      </c>
      <c r="H46" s="32">
        <f>F46*Assumptions!$B$58</f>
        <v>852.755</v>
      </c>
      <c r="I46" s="32">
        <f>Salary_Schedule!F46</f>
        <v>0</v>
      </c>
      <c r="J46" s="32">
        <f>I46*Assumptions!$B$9</f>
        <v>0</v>
      </c>
      <c r="K46" s="54">
        <f t="shared" si="3"/>
        <v>7474.795</v>
      </c>
      <c r="L46" s="32">
        <f>IF(COUNTIFS(SL_Income_Log!$B:$B,TEXT(B46,"0000")&amp;"-"&amp;TEXT(A46,"00"),SL_Income_Log!$C:$C,"salary",SL_Income_Log!$E:$E,"H")&gt;0,SUMIFS(SL_Income_Log!$D:$D,SL_Income_Log!$B:$B,TEXT(B46,"0000")&amp;"-"&amp;TEXT(A46,"00"),SL_Income_Log!$C:$C,"salary",SL_Income_Log!$E:$E,"H"),K46*(1-Assumptions!$B$102)-Z46-Y46)</f>
        <v>4152.957</v>
      </c>
      <c r="M46" s="32">
        <f>RSU_Schedule!H45</f>
        <v>0</v>
      </c>
      <c r="N46" s="32">
        <f>Salary_Schedule!G46</f>
        <v>6869.25</v>
      </c>
      <c r="O46" s="32">
        <f>Assumptions!$B$19</f>
        <v>200</v>
      </c>
      <c r="P46" s="32">
        <f>N46*Assumptions!$B$59</f>
        <v>686.925</v>
      </c>
      <c r="Q46" s="32">
        <f>Salary_Schedule!H46</f>
        <v>0</v>
      </c>
      <c r="R46" s="32">
        <f>Q46*Assumptions!$B$20</f>
        <v>0</v>
      </c>
      <c r="S46" s="54">
        <f t="shared" si="4"/>
        <v>5982.325</v>
      </c>
      <c r="T46" s="32">
        <f>IF(COUNTIFS(SL_Income_Log!$B:$B,TEXT(B46,"0000")&amp;"-"&amp;TEXT(A46,"00"),SL_Income_Log!$C:$C,"salary",SL_Income_Log!$E:$E,"W")&gt;0,SUMIFS(SL_Income_Log!$D:$D,SL_Income_Log!$B:$B,TEXT(B46,"0000")&amp;"-"&amp;TEXT(A46,"00"),SL_Income_Log!$C:$C,"salary",SL_Income_Log!$E:$E,"W"),S46*(1-Assumptions!$B$102)-AC46-AB46)
</f>
        <v>3257.475</v>
      </c>
      <c r="U46" s="32">
        <f>RSU_Schedule!M45</f>
        <v>0</v>
      </c>
      <c r="V46" s="32">
        <f>H46*(1+Assumptions!$B$60)+Assumptions!$B$61</f>
        <v>1213.857</v>
      </c>
      <c r="W46" s="32">
        <f>P46*(1+Assumptions!$B$60)+Assumptions!$B$61</f>
        <v>981.695</v>
      </c>
      <c r="X46" s="32">
        <f t="shared" si="5"/>
        <v>2195.552</v>
      </c>
      <c r="Y46" s="32">
        <f t="shared" si="22"/>
        <v>40.25</v>
      </c>
      <c r="Z46" s="32">
        <v>291.67</v>
      </c>
      <c r="AA46" s="32">
        <f t="shared" si="23"/>
        <v>13124.85</v>
      </c>
      <c r="AB46" s="32">
        <f t="shared" si="24"/>
        <v>40.25</v>
      </c>
      <c r="AC46" s="32">
        <v>291.67</v>
      </c>
      <c r="AD46" s="32">
        <f t="shared" si="25"/>
        <v>13124.85</v>
      </c>
      <c r="AE46" s="32">
        <f t="shared" ref="AE46:AF46" si="87">Z46+AC46</f>
        <v>583.34</v>
      </c>
      <c r="AF46" s="32">
        <f t="shared" si="87"/>
        <v>26249.7</v>
      </c>
      <c r="AG46" s="32">
        <f>IF(COUNTIFS(SL_Income_Log!$B:$B,TEXT(B46,"0000")&amp;"-"&amp;TEXT(A46,"00"),SL_Income_Log!$C:$C,"youtube")&gt;0,SUMIFS(SL_Income_Log!$D:$D,SL_Income_Log!$B:$B,TEXT(B46,"0000")&amp;"-"&amp;TEXT(A46,"00"),SL_Income_Log!$C:$C,"youtube"),MIN(Assumptions!$B$49+FLOOR((ROW()-2)/6,1)*Assumptions!$B$50,Assumptions!$B$51))
</f>
        <v>8000</v>
      </c>
      <c r="AH46" s="32">
        <f>AG46*Assumptions!$B$104</f>
        <v>3544</v>
      </c>
      <c r="AI46" s="32">
        <f t="shared" si="7"/>
        <v>4456</v>
      </c>
      <c r="AJ46" s="32">
        <f>SUMIFS(SL_Income_Log!$D:$D,SL_Income_Log!$B:$B,TEXT(B46,"0000")&amp;"-"&amp;TEXT(A46,"00"),SL_Income_Log!$C:$C,"other")</f>
        <v>0</v>
      </c>
      <c r="AK46" s="32">
        <f t="shared" si="27"/>
        <v>10000</v>
      </c>
      <c r="AL46" s="32">
        <f>L46+M46+T46+U46+AI46+AJ46-Y46-Z46-AB46-AC46+IF((Debt_Register!$C$2+Debt_Register!$C$6+Debt_Register!$C$7+Debt_Register!$C$8+Debt_Register!$C$9)&gt;5,X46,0)</f>
        <v>13398.144</v>
      </c>
      <c r="AM46" s="32">
        <f t="shared" si="8"/>
        <v>23398.144</v>
      </c>
      <c r="AN46" s="32">
        <f>MAX(Assumptions!$B$94,MIN(Assumptions!$B$93,AM46-AP46-BE46-BO46-BQ46))</f>
        <v>10000</v>
      </c>
      <c r="AO46" s="32">
        <f t="shared" si="28"/>
        <v>282221.1615</v>
      </c>
      <c r="AP46" s="32">
        <f>IF(AO46&gt;0,Assumptions!$B$33,0)</f>
        <v>2281</v>
      </c>
      <c r="AQ46" s="32">
        <f>AO46*Assumptions!$B$32/12</f>
        <v>914.8669319</v>
      </c>
      <c r="AR46" s="32">
        <f t="shared" si="9"/>
        <v>1366.133068</v>
      </c>
      <c r="AS46" s="32">
        <f t="shared" si="29"/>
        <v>0</v>
      </c>
      <c r="AT46" s="32">
        <f t="shared" si="10"/>
        <v>280855.0284</v>
      </c>
      <c r="AU46" s="32">
        <f t="shared" si="30"/>
        <v>0</v>
      </c>
      <c r="AV46" s="32">
        <f t="shared" si="31"/>
        <v>0</v>
      </c>
      <c r="AW46" s="32">
        <f t="shared" si="32"/>
        <v>0</v>
      </c>
      <c r="AX46" s="32">
        <f t="shared" si="33"/>
        <v>0</v>
      </c>
      <c r="AY46" s="32">
        <f t="shared" si="34"/>
        <v>0</v>
      </c>
      <c r="AZ46" s="32">
        <f t="shared" si="35"/>
        <v>0</v>
      </c>
      <c r="BA46" s="32">
        <f t="shared" si="36"/>
        <v>0</v>
      </c>
      <c r="BB46" s="32">
        <f t="shared" si="37"/>
        <v>0</v>
      </c>
      <c r="BC46" s="32">
        <f t="shared" si="38"/>
        <v>0</v>
      </c>
      <c r="BD46" s="32">
        <f t="shared" si="39"/>
        <v>0</v>
      </c>
      <c r="BE46" s="32">
        <f t="shared" si="11"/>
        <v>0</v>
      </c>
      <c r="BF46" s="32">
        <v>0.0</v>
      </c>
      <c r="BG46" s="32">
        <f t="shared" si="40"/>
        <v>5500</v>
      </c>
      <c r="BH46" s="32">
        <v>0.0</v>
      </c>
      <c r="BI46" s="32">
        <f t="shared" si="41"/>
        <v>5000</v>
      </c>
      <c r="BJ46" s="32">
        <f>IF(OR(B46&lt;Assumptions!$B$111,AND(B46=Assumptions!$B$111,A46&lt;=Assumptions!$B$112)),Assumptions!$B$110,0)</f>
        <v>0</v>
      </c>
      <c r="BK46" s="32">
        <f>IF(B46&lt;2027,Assumptions!$B$116+IF(OR(A46=4,A46=10),Assumptions!$B$117,0),IF(AND(B46=2027,A46&lt;=4),IF(A46=4,MIN(950,Assumptions!$B$116+Assumptions!$B$117),Assumptions!$B$116),0))</f>
        <v>0</v>
      </c>
      <c r="BL46" s="32">
        <f>IF(OR(B46&lt;2030,AND(B46=2030,A46&lt;8)),Assumptions!$B$118,IF(AND(B46=2030,A46=8),MOD(11000,200),0))</f>
        <v>200</v>
      </c>
      <c r="BM46" s="32">
        <f>IF(OR(B46&lt;Assumptions!$B$120,AND(B46=Assumptions!$B$120,A46&lt;=Assumptions!$B$121)),Assumptions!$B$119,0)</f>
        <v>0</v>
      </c>
      <c r="BN46" s="32">
        <f>IF(AND(B46&lt;=Assumptions!$B$123,A46&lt;=Assumptions!$B$124),Assumptions!$B$122,0)</f>
        <v>0</v>
      </c>
      <c r="BO46" s="32">
        <f t="shared" si="12"/>
        <v>200</v>
      </c>
      <c r="BP46" s="32">
        <f>SUMIFS(SL_Budget!$B:$B,SL_Budget!$C:$C,"'"&amp;TEXT(DATE(B46,A46,1),"YYYY-MM"))</f>
        <v>4491</v>
      </c>
      <c r="BQ46" s="32">
        <f>MAX(BP46, IFERROR(SUMIFS(ShadowLedger!D:D, 
  ShadowLedger!C:C, "&gt;="&amp;DATE(B46,A46,1), 
  ShadowLedger!C:C, "&lt;"&amp;EOMONTH(DATE(B46,A46,1),0)+1), 0))
</f>
        <v>4491</v>
      </c>
      <c r="BR46" s="32">
        <f t="shared" si="42"/>
        <v>233135.9765</v>
      </c>
      <c r="BS46" s="32">
        <f t="shared" si="43"/>
        <v>2195.552</v>
      </c>
      <c r="BT46" s="32">
        <f>IF(AS46&gt;0,-MAX(0,21550-MAX(0,MAX(0,(AM46-AP46-BE46-BO46-BQ46)-Assumptions!$B$93))-MIN(MAX(0,21550-MAX(0,MAX(0,(AM46-AP46-BE46-BO46-BQ46)-Assumptions!$B$93))),MAX(0,BY45-Assumptions!$B$91))),IF(BY45&gt;=Assumptions!$B$92,MAX(0,(AM46-AP46-BE46-BO46-BQ46)-Assumptions!$B$93),MAX(0,(AM46-AP46-BE46-BO46-BQ46)-Assumptions!$B$93)*Assumptions!$B$99))</f>
        <v>6426.144</v>
      </c>
      <c r="BU46" s="32">
        <f>(BR46+BS46+MAX(0,BT46))*(Assumptions!$B$43-1)</f>
        <v>1648.303811</v>
      </c>
      <c r="BV46" s="32">
        <f t="shared" si="13"/>
        <v>243405.9763</v>
      </c>
      <c r="BW46" s="32">
        <f t="shared" si="44"/>
        <v>15407.68128</v>
      </c>
      <c r="BX46" s="32">
        <f>IF(AS46&gt;0,-MIN(MAX(0,21550-MAX(0,MAX(0,(AM46-AP46-BE46-BO46-BQ46)-Assumptions!$B$93))),MAX(0,BY45-Assumptions!$B$91)),IF(BY45&lt;Assumptions!$B$92,MAX(0,(AM46-AP46-BE46-BO46-BQ46)-Assumptions!$B$93)*Assumptions!$B$98,0))</f>
        <v>0</v>
      </c>
      <c r="BY46" s="32">
        <f t="shared" si="14"/>
        <v>15407.68128</v>
      </c>
      <c r="BZ46" s="32">
        <f t="shared" si="45"/>
        <v>25694</v>
      </c>
      <c r="CA46" s="32">
        <f t="shared" si="15"/>
        <v>3544</v>
      </c>
      <c r="CB46" s="32">
        <f t="shared" si="16"/>
        <v>29238</v>
      </c>
      <c r="CC46" s="55">
        <f>CC45+(G46+J46)/(Salary_Schedule!E46*12/208)</f>
        <v>1752.15916</v>
      </c>
      <c r="CD46" s="55">
        <f>CD45+(O46+R46)/(Salary_Schedule!G46*12/208)</f>
        <v>76.36760442</v>
      </c>
      <c r="CE46" s="32">
        <f t="shared" si="17"/>
        <v>243405.9763</v>
      </c>
      <c r="CF46" s="32">
        <f>Assumptions!$B$55*(1+Assumptions!$B$56)^((B46-2025)+(A46-1)/12)</f>
        <v>557414.4303</v>
      </c>
      <c r="CG46" s="32">
        <f t="shared" si="18"/>
        <v>-280855.0284</v>
      </c>
      <c r="CH46" s="32">
        <f t="shared" si="19"/>
        <v>-36749.7</v>
      </c>
      <c r="CI46" s="32">
        <f>CC46*(Salary_Schedule!E46/173.33)*(1-Assumptions!$B$28)+CD46*(Salary_Schedule!G46/173.33)*(1-Assumptions!$B$28)</f>
        <v>57999.41417</v>
      </c>
      <c r="CJ46" s="32">
        <f t="shared" si="20"/>
        <v>541215.0923</v>
      </c>
    </row>
    <row r="47" ht="15.0" customHeight="1">
      <c r="A47" s="1">
        <v>10.0</v>
      </c>
      <c r="B47" s="1">
        <v>2029.0</v>
      </c>
      <c r="C47" s="1" t="s">
        <v>716</v>
      </c>
      <c r="D47" s="1" t="str">
        <f t="shared" si="21"/>
        <v>09/2029</v>
      </c>
      <c r="E47" s="1" t="str">
        <f t="shared" si="2"/>
        <v>FAT_RSU</v>
      </c>
      <c r="F47" s="32">
        <f>Salary_Schedule!E47</f>
        <v>8527.55</v>
      </c>
      <c r="G47" s="32">
        <f>Assumptions!$B$8</f>
        <v>200</v>
      </c>
      <c r="H47" s="32">
        <f>F47*Assumptions!$B$58</f>
        <v>852.755</v>
      </c>
      <c r="I47" s="32">
        <f>Salary_Schedule!F47</f>
        <v>0</v>
      </c>
      <c r="J47" s="32">
        <f>I47*Assumptions!$B$9</f>
        <v>0</v>
      </c>
      <c r="K47" s="54">
        <f t="shared" si="3"/>
        <v>7474.795</v>
      </c>
      <c r="L47" s="32">
        <f>IF(COUNTIFS(SL_Income_Log!$B:$B,TEXT(B47,"0000")&amp;"-"&amp;TEXT(A47,"00"),SL_Income_Log!$C:$C,"salary",SL_Income_Log!$E:$E,"H")&gt;0,SUMIFS(SL_Income_Log!$D:$D,SL_Income_Log!$B:$B,TEXT(B47,"0000")&amp;"-"&amp;TEXT(A47,"00"),SL_Income_Log!$C:$C,"salary",SL_Income_Log!$E:$E,"H"),K47*(1-Assumptions!$B$102)-Z47-Y47)</f>
        <v>4153.837</v>
      </c>
      <c r="M47" s="32">
        <f>RSU_Schedule!H46</f>
        <v>2784.99</v>
      </c>
      <c r="N47" s="32">
        <f>Salary_Schedule!G47</f>
        <v>6869.25</v>
      </c>
      <c r="O47" s="32">
        <f>Assumptions!$B$19</f>
        <v>200</v>
      </c>
      <c r="P47" s="32">
        <f>N47*Assumptions!$B$59</f>
        <v>686.925</v>
      </c>
      <c r="Q47" s="32">
        <f>Salary_Schedule!H47</f>
        <v>0</v>
      </c>
      <c r="R47" s="32">
        <f>Q47*Assumptions!$B$20</f>
        <v>0</v>
      </c>
      <c r="S47" s="54">
        <f t="shared" si="4"/>
        <v>5982.325</v>
      </c>
      <c r="T47" s="32">
        <f>IF(COUNTIFS(SL_Income_Log!$B:$B,TEXT(B47,"0000")&amp;"-"&amp;TEXT(A47,"00"),SL_Income_Log!$C:$C,"salary",SL_Income_Log!$E:$E,"W")&gt;0,SUMIFS(SL_Income_Log!$D:$D,SL_Income_Log!$B:$B,TEXT(B47,"0000")&amp;"-"&amp;TEXT(A47,"00"),SL_Income_Log!$C:$C,"salary",SL_Income_Log!$E:$E,"W"),S47*(1-Assumptions!$B$102)-AC47-AB47)
</f>
        <v>3258.355</v>
      </c>
      <c r="U47" s="32">
        <f>RSU_Schedule!M46</f>
        <v>1392.51</v>
      </c>
      <c r="V47" s="32">
        <f>H47*(1+Assumptions!$B$60)+Assumptions!$B$61</f>
        <v>1213.857</v>
      </c>
      <c r="W47" s="32">
        <f>P47*(1+Assumptions!$B$60)+Assumptions!$B$61</f>
        <v>981.695</v>
      </c>
      <c r="X47" s="32">
        <f t="shared" si="5"/>
        <v>2195.552</v>
      </c>
      <c r="Y47" s="32">
        <f t="shared" si="22"/>
        <v>39.37</v>
      </c>
      <c r="Z47" s="32">
        <v>291.67</v>
      </c>
      <c r="AA47" s="32">
        <f t="shared" si="23"/>
        <v>12833.18</v>
      </c>
      <c r="AB47" s="32">
        <f t="shared" si="24"/>
        <v>39.37</v>
      </c>
      <c r="AC47" s="32">
        <v>291.67</v>
      </c>
      <c r="AD47" s="32">
        <f t="shared" si="25"/>
        <v>12833.18</v>
      </c>
      <c r="AE47" s="32">
        <f t="shared" ref="AE47:AF47" si="88">Z47+AC47</f>
        <v>583.34</v>
      </c>
      <c r="AF47" s="32">
        <f t="shared" si="88"/>
        <v>25666.36</v>
      </c>
      <c r="AG47" s="32">
        <f>IF(COUNTIFS(SL_Income_Log!$B:$B,TEXT(B47,"0000")&amp;"-"&amp;TEXT(A47,"00"),SL_Income_Log!$C:$C,"youtube")&gt;0,SUMIFS(SL_Income_Log!$D:$D,SL_Income_Log!$B:$B,TEXT(B47,"0000")&amp;"-"&amp;TEXT(A47,"00"),SL_Income_Log!$C:$C,"youtube"),MIN(Assumptions!$B$49+FLOOR((ROW()-2)/6,1)*Assumptions!$B$50,Assumptions!$B$51))
</f>
        <v>8000</v>
      </c>
      <c r="AH47" s="32">
        <f>AG47*Assumptions!$B$104</f>
        <v>3544</v>
      </c>
      <c r="AI47" s="32">
        <f t="shared" si="7"/>
        <v>4456</v>
      </c>
      <c r="AJ47" s="32">
        <f>SUMIFS(SL_Income_Log!$D:$D,SL_Income_Log!$B:$B,TEXT(B47,"0000")&amp;"-"&amp;TEXT(A47,"00"),SL_Income_Log!$C:$C,"other")</f>
        <v>0</v>
      </c>
      <c r="AK47" s="32">
        <f t="shared" si="27"/>
        <v>10000</v>
      </c>
      <c r="AL47" s="32">
        <f>L47+M47+T47+U47+AI47+AJ47-Y47-Z47-AB47-AC47+IF((Debt_Register!$C$2+Debt_Register!$C$6+Debt_Register!$C$7+Debt_Register!$C$8+Debt_Register!$C$9)&gt;5,X47,0)</f>
        <v>17579.164</v>
      </c>
      <c r="AM47" s="32">
        <f t="shared" si="8"/>
        <v>27579.164</v>
      </c>
      <c r="AN47" s="32">
        <f>MAX(Assumptions!$B$94,MIN(Assumptions!$B$93,AM47-AP47-BE47-BO47-BQ47))</f>
        <v>10000</v>
      </c>
      <c r="AO47" s="32">
        <f t="shared" si="28"/>
        <v>280855.0284</v>
      </c>
      <c r="AP47" s="32">
        <f>IF(AO47&gt;0,Assumptions!$B$33,0)</f>
        <v>2281</v>
      </c>
      <c r="AQ47" s="32">
        <f>AO47*Assumptions!$B$32/12</f>
        <v>910.4383838</v>
      </c>
      <c r="AR47" s="32">
        <f t="shared" si="9"/>
        <v>1370.561616</v>
      </c>
      <c r="AS47" s="32">
        <f t="shared" si="29"/>
        <v>0</v>
      </c>
      <c r="AT47" s="32">
        <f t="shared" si="10"/>
        <v>279484.4668</v>
      </c>
      <c r="AU47" s="32">
        <f t="shared" si="30"/>
        <v>0</v>
      </c>
      <c r="AV47" s="32">
        <f t="shared" si="31"/>
        <v>0</v>
      </c>
      <c r="AW47" s="32">
        <f t="shared" si="32"/>
        <v>0</v>
      </c>
      <c r="AX47" s="32">
        <f t="shared" si="33"/>
        <v>0</v>
      </c>
      <c r="AY47" s="32">
        <f t="shared" si="34"/>
        <v>0</v>
      </c>
      <c r="AZ47" s="32">
        <f t="shared" si="35"/>
        <v>0</v>
      </c>
      <c r="BA47" s="32">
        <f t="shared" si="36"/>
        <v>0</v>
      </c>
      <c r="BB47" s="32">
        <f t="shared" si="37"/>
        <v>0</v>
      </c>
      <c r="BC47" s="32">
        <f t="shared" si="38"/>
        <v>0</v>
      </c>
      <c r="BD47" s="32">
        <f t="shared" si="39"/>
        <v>0</v>
      </c>
      <c r="BE47" s="32">
        <f t="shared" si="11"/>
        <v>0</v>
      </c>
      <c r="BF47" s="32">
        <v>0.0</v>
      </c>
      <c r="BG47" s="32">
        <f t="shared" si="40"/>
        <v>5500</v>
      </c>
      <c r="BH47" s="32">
        <v>0.0</v>
      </c>
      <c r="BI47" s="32">
        <f t="shared" si="41"/>
        <v>5000</v>
      </c>
      <c r="BJ47" s="32">
        <f>IF(OR(B47&lt;Assumptions!$B$111,AND(B47=Assumptions!$B$111,A47&lt;=Assumptions!$B$112)),Assumptions!$B$110,0)</f>
        <v>0</v>
      </c>
      <c r="BK47" s="32">
        <f>IF(B47&lt;2027,Assumptions!$B$116+IF(OR(A47=4,A47=10),Assumptions!$B$117,0),IF(AND(B47=2027,A47&lt;=4),IF(A47=4,MIN(950,Assumptions!$B$116+Assumptions!$B$117),Assumptions!$B$116),0))</f>
        <v>0</v>
      </c>
      <c r="BL47" s="32">
        <f>IF(OR(B47&lt;2030,AND(B47=2030,A47&lt;8)),Assumptions!$B$118,IF(AND(B47=2030,A47=8),MOD(11000,200),0))</f>
        <v>200</v>
      </c>
      <c r="BM47" s="32">
        <f>IF(OR(B47&lt;Assumptions!$B$120,AND(B47=Assumptions!$B$120,A47&lt;=Assumptions!$B$121)),Assumptions!$B$119,0)</f>
        <v>0</v>
      </c>
      <c r="BN47" s="32">
        <f>IF(AND(B47&lt;=Assumptions!$B$123,A47&lt;=Assumptions!$B$124),Assumptions!$B$122,0)</f>
        <v>0</v>
      </c>
      <c r="BO47" s="32">
        <f t="shared" si="12"/>
        <v>200</v>
      </c>
      <c r="BP47" s="32">
        <f>SUMIFS(SL_Budget!$B:$B,SL_Budget!$C:$C,"'"&amp;TEXT(DATE(B47,A47,1),"YYYY-MM"))</f>
        <v>4491</v>
      </c>
      <c r="BQ47" s="32">
        <f>MAX(BP47, IFERROR(SUMIFS(ShadowLedger!D:D, 
  ShadowLedger!C:C, "&gt;="&amp;DATE(B47,A47,1), 
  ShadowLedger!C:C, "&lt;"&amp;EOMONTH(DATE(B47,A47,1),0)+1), 0))
</f>
        <v>4491</v>
      </c>
      <c r="BR47" s="32">
        <f t="shared" si="42"/>
        <v>243405.9763</v>
      </c>
      <c r="BS47" s="32">
        <f t="shared" si="43"/>
        <v>2195.552</v>
      </c>
      <c r="BT47" s="32">
        <f>IF(AS47&gt;0,-MAX(0,21550-MAX(0,MAX(0,(AM47-AP47-BE47-BO47-BQ47)-Assumptions!$B$93))-MIN(MAX(0,21550-MAX(0,MAX(0,(AM47-AP47-BE47-BO47-BQ47)-Assumptions!$B$93))),MAX(0,BY46-Assumptions!$B$91))),IF(BY46&gt;=Assumptions!$B$92,MAX(0,(AM47-AP47-BE47-BO47-BQ47)-Assumptions!$B$93),MAX(0,(AM47-AP47-BE47-BO47-BQ47)-Assumptions!$B$93)*Assumptions!$B$99))</f>
        <v>10607.164</v>
      </c>
      <c r="BU47" s="32">
        <f>(BR47+BS47+MAX(0,BT47))*(Assumptions!$B$43-1)</f>
        <v>1746.830864</v>
      </c>
      <c r="BV47" s="32">
        <f t="shared" si="13"/>
        <v>257955.5232</v>
      </c>
      <c r="BW47" s="32">
        <f t="shared" si="44"/>
        <v>15407.68128</v>
      </c>
      <c r="BX47" s="32">
        <f>IF(AS47&gt;0,-MIN(MAX(0,21550-MAX(0,MAX(0,(AM47-AP47-BE47-BO47-BQ47)-Assumptions!$B$93))),MAX(0,BY46-Assumptions!$B$91)),IF(BY46&lt;Assumptions!$B$92,MAX(0,(AM47-AP47-BE47-BO47-BQ47)-Assumptions!$B$93)*Assumptions!$B$98,0))</f>
        <v>0</v>
      </c>
      <c r="BY47" s="32">
        <f t="shared" si="14"/>
        <v>15407.68128</v>
      </c>
      <c r="BZ47" s="32">
        <f t="shared" si="45"/>
        <v>29238</v>
      </c>
      <c r="CA47" s="32">
        <f t="shared" si="15"/>
        <v>3544</v>
      </c>
      <c r="CB47" s="32">
        <f t="shared" si="16"/>
        <v>32782</v>
      </c>
      <c r="CC47" s="55">
        <f>CC46+(G47+J47)/(Salary_Schedule!E47*12/208)</f>
        <v>1752.565686</v>
      </c>
      <c r="CD47" s="55">
        <f>CD46+(O47+R47)/(Salary_Schedule!G47*12/208)</f>
        <v>76.87226893</v>
      </c>
      <c r="CE47" s="32">
        <f t="shared" si="17"/>
        <v>257955.5232</v>
      </c>
      <c r="CF47" s="32">
        <f>Assumptions!$B$55*(1+Assumptions!$B$56)^((B47-2025)+(A47-1)/12)</f>
        <v>558106.4534</v>
      </c>
      <c r="CG47" s="32">
        <f t="shared" si="18"/>
        <v>-279484.4668</v>
      </c>
      <c r="CH47" s="32">
        <f t="shared" si="19"/>
        <v>-36166.36</v>
      </c>
      <c r="CI47" s="32">
        <f>CC47*(Salary_Schedule!E47/173.33)*(1-Assumptions!$B$28)+CD47*(Salary_Schedule!G47/173.33)*(1-Assumptions!$B$28)</f>
        <v>58025.41467</v>
      </c>
      <c r="CJ47" s="32">
        <f t="shared" si="20"/>
        <v>558436.5644</v>
      </c>
    </row>
    <row r="48" ht="15.0" customHeight="1">
      <c r="A48" s="1">
        <v>11.0</v>
      </c>
      <c r="B48" s="1">
        <v>2029.0</v>
      </c>
      <c r="C48" s="1" t="s">
        <v>717</v>
      </c>
      <c r="D48" s="1" t="str">
        <f t="shared" si="21"/>
        <v>10/2029</v>
      </c>
      <c r="E48" s="1" t="str">
        <f t="shared" si="2"/>
        <v>LEAN</v>
      </c>
      <c r="F48" s="32">
        <f>Salary_Schedule!E48</f>
        <v>8527.55</v>
      </c>
      <c r="G48" s="32">
        <f>Assumptions!$B$8</f>
        <v>200</v>
      </c>
      <c r="H48" s="32">
        <f>F48*Assumptions!$B$58</f>
        <v>852.755</v>
      </c>
      <c r="I48" s="32">
        <f>Salary_Schedule!F48</f>
        <v>0</v>
      </c>
      <c r="J48" s="32">
        <f>I48*Assumptions!$B$9</f>
        <v>0</v>
      </c>
      <c r="K48" s="54">
        <f t="shared" si="3"/>
        <v>7474.795</v>
      </c>
      <c r="L48" s="32">
        <f>IF(COUNTIFS(SL_Income_Log!$B:$B,TEXT(B48,"0000")&amp;"-"&amp;TEXT(A48,"00"),SL_Income_Log!$C:$C,"salary",SL_Income_Log!$E:$E,"H")&gt;0,SUMIFS(SL_Income_Log!$D:$D,SL_Income_Log!$B:$B,TEXT(B48,"0000")&amp;"-"&amp;TEXT(A48,"00"),SL_Income_Log!$C:$C,"salary",SL_Income_Log!$E:$E,"H"),K48*(1-Assumptions!$B$102)-Z48-Y48)</f>
        <v>4154.707</v>
      </c>
      <c r="M48" s="32">
        <f>RSU_Schedule!H47</f>
        <v>0</v>
      </c>
      <c r="N48" s="32">
        <f>Salary_Schedule!G48</f>
        <v>6869.25</v>
      </c>
      <c r="O48" s="32">
        <f>Assumptions!$B$19</f>
        <v>200</v>
      </c>
      <c r="P48" s="32">
        <f>N48*Assumptions!$B$59</f>
        <v>686.925</v>
      </c>
      <c r="Q48" s="32">
        <f>Salary_Schedule!H48</f>
        <v>0</v>
      </c>
      <c r="R48" s="32">
        <f>Q48*Assumptions!$B$20</f>
        <v>0</v>
      </c>
      <c r="S48" s="54">
        <f t="shared" si="4"/>
        <v>5982.325</v>
      </c>
      <c r="T48" s="32">
        <f>IF(COUNTIFS(SL_Income_Log!$B:$B,TEXT(B48,"0000")&amp;"-"&amp;TEXT(A48,"00"),SL_Income_Log!$C:$C,"salary",SL_Income_Log!$E:$E,"W")&gt;0,SUMIFS(SL_Income_Log!$D:$D,SL_Income_Log!$B:$B,TEXT(B48,"0000")&amp;"-"&amp;TEXT(A48,"00"),SL_Income_Log!$C:$C,"salary",SL_Income_Log!$E:$E,"W"),S48*(1-Assumptions!$B$102)-AC48-AB48)
</f>
        <v>3259.225</v>
      </c>
      <c r="U48" s="32">
        <f>RSU_Schedule!M47</f>
        <v>0</v>
      </c>
      <c r="V48" s="32">
        <f>H48*(1+Assumptions!$B$60)+Assumptions!$B$61</f>
        <v>1213.857</v>
      </c>
      <c r="W48" s="32">
        <f>P48*(1+Assumptions!$B$60)+Assumptions!$B$61</f>
        <v>981.695</v>
      </c>
      <c r="X48" s="32">
        <f t="shared" si="5"/>
        <v>2195.552</v>
      </c>
      <c r="Y48" s="32">
        <f t="shared" si="22"/>
        <v>38.5</v>
      </c>
      <c r="Z48" s="32">
        <v>291.67</v>
      </c>
      <c r="AA48" s="32">
        <f t="shared" si="23"/>
        <v>12541.51</v>
      </c>
      <c r="AB48" s="32">
        <f t="shared" si="24"/>
        <v>38.5</v>
      </c>
      <c r="AC48" s="32">
        <v>291.67</v>
      </c>
      <c r="AD48" s="32">
        <f t="shared" si="25"/>
        <v>12541.51</v>
      </c>
      <c r="AE48" s="32">
        <f t="shared" ref="AE48:AF48" si="89">Z48+AC48</f>
        <v>583.34</v>
      </c>
      <c r="AF48" s="32">
        <f t="shared" si="89"/>
        <v>25083.02</v>
      </c>
      <c r="AG48" s="32">
        <f>IF(COUNTIFS(SL_Income_Log!$B:$B,TEXT(B48,"0000")&amp;"-"&amp;TEXT(A48,"00"),SL_Income_Log!$C:$C,"youtube")&gt;0,SUMIFS(SL_Income_Log!$D:$D,SL_Income_Log!$B:$B,TEXT(B48,"0000")&amp;"-"&amp;TEXT(A48,"00"),SL_Income_Log!$C:$C,"youtube"),MIN(Assumptions!$B$49+FLOOR((ROW()-2)/6,1)*Assumptions!$B$50,Assumptions!$B$51))
</f>
        <v>8000</v>
      </c>
      <c r="AH48" s="32">
        <f>AG48*Assumptions!$B$104</f>
        <v>3544</v>
      </c>
      <c r="AI48" s="32">
        <f t="shared" si="7"/>
        <v>4456</v>
      </c>
      <c r="AJ48" s="32">
        <f>SUMIFS(SL_Income_Log!$D:$D,SL_Income_Log!$B:$B,TEXT(B48,"0000")&amp;"-"&amp;TEXT(A48,"00"),SL_Income_Log!$C:$C,"other")</f>
        <v>0</v>
      </c>
      <c r="AK48" s="32">
        <f t="shared" si="27"/>
        <v>10000</v>
      </c>
      <c r="AL48" s="32">
        <f>L48+M48+T48+U48+AI48+AJ48-Y48-Z48-AB48-AC48+IF((Debt_Register!$C$2+Debt_Register!$C$6+Debt_Register!$C$7+Debt_Register!$C$8+Debt_Register!$C$9)&gt;5,X48,0)</f>
        <v>13405.144</v>
      </c>
      <c r="AM48" s="32">
        <f t="shared" si="8"/>
        <v>23405.144</v>
      </c>
      <c r="AN48" s="32">
        <f>MAX(Assumptions!$B$94,MIN(Assumptions!$B$93,AM48-AP48-BE48-BO48-BQ48))</f>
        <v>10000</v>
      </c>
      <c r="AO48" s="32">
        <f t="shared" si="28"/>
        <v>279484.4668</v>
      </c>
      <c r="AP48" s="32">
        <f>IF(AO48&gt;0,Assumptions!$B$33,0)</f>
        <v>2281</v>
      </c>
      <c r="AQ48" s="32">
        <f>AO48*Assumptions!$B$32/12</f>
        <v>905.9954799</v>
      </c>
      <c r="AR48" s="32">
        <f t="shared" si="9"/>
        <v>1375.00452</v>
      </c>
      <c r="AS48" s="32">
        <f t="shared" si="29"/>
        <v>0</v>
      </c>
      <c r="AT48" s="32">
        <f t="shared" si="10"/>
        <v>278109.4623</v>
      </c>
      <c r="AU48" s="32">
        <f t="shared" si="30"/>
        <v>0</v>
      </c>
      <c r="AV48" s="32">
        <f t="shared" si="31"/>
        <v>0</v>
      </c>
      <c r="AW48" s="32">
        <f t="shared" si="32"/>
        <v>0</v>
      </c>
      <c r="AX48" s="32">
        <f t="shared" si="33"/>
        <v>0</v>
      </c>
      <c r="AY48" s="32">
        <f t="shared" si="34"/>
        <v>0</v>
      </c>
      <c r="AZ48" s="32">
        <f t="shared" si="35"/>
        <v>0</v>
      </c>
      <c r="BA48" s="32">
        <f t="shared" si="36"/>
        <v>0</v>
      </c>
      <c r="BB48" s="32">
        <f t="shared" si="37"/>
        <v>0</v>
      </c>
      <c r="BC48" s="32">
        <f t="shared" si="38"/>
        <v>0</v>
      </c>
      <c r="BD48" s="32">
        <f t="shared" si="39"/>
        <v>0</v>
      </c>
      <c r="BE48" s="32">
        <f t="shared" si="11"/>
        <v>0</v>
      </c>
      <c r="BF48" s="32">
        <v>0.0</v>
      </c>
      <c r="BG48" s="32">
        <f t="shared" si="40"/>
        <v>5500</v>
      </c>
      <c r="BH48" s="32">
        <v>0.0</v>
      </c>
      <c r="BI48" s="32">
        <f t="shared" si="41"/>
        <v>5000</v>
      </c>
      <c r="BJ48" s="32">
        <f>IF(OR(B48&lt;Assumptions!$B$111,AND(B48=Assumptions!$B$111,A48&lt;=Assumptions!$B$112)),Assumptions!$B$110,0)</f>
        <v>0</v>
      </c>
      <c r="BK48" s="32">
        <f>IF(B48&lt;2027,Assumptions!$B$116+IF(OR(A48=4,A48=10),Assumptions!$B$117,0),IF(AND(B48=2027,A48&lt;=4),IF(A48=4,MIN(950,Assumptions!$B$116+Assumptions!$B$117),Assumptions!$B$116),0))</f>
        <v>0</v>
      </c>
      <c r="BL48" s="32">
        <f>IF(OR(B48&lt;2030,AND(B48=2030,A48&lt;8)),Assumptions!$B$118,IF(AND(B48=2030,A48=8),MOD(11000,200),0))</f>
        <v>200</v>
      </c>
      <c r="BM48" s="32">
        <f>IF(OR(B48&lt;Assumptions!$B$120,AND(B48=Assumptions!$B$120,A48&lt;=Assumptions!$B$121)),Assumptions!$B$119,0)</f>
        <v>0</v>
      </c>
      <c r="BN48" s="32">
        <f>IF(AND(B48&lt;=Assumptions!$B$123,A48&lt;=Assumptions!$B$124),Assumptions!$B$122,0)</f>
        <v>0</v>
      </c>
      <c r="BO48" s="32">
        <f t="shared" si="12"/>
        <v>200</v>
      </c>
      <c r="BP48" s="32">
        <f>SUMIFS(SL_Budget!$B:$B,SL_Budget!$C:$C,"'"&amp;TEXT(DATE(B48,A48,1),"YYYY-MM"))</f>
        <v>4491</v>
      </c>
      <c r="BQ48" s="32">
        <f>MAX(BP48, IFERROR(SUMIFS(ShadowLedger!D:D, 
  ShadowLedger!C:C, "&gt;="&amp;DATE(B48,A48,1), 
  ShadowLedger!C:C, "&lt;"&amp;EOMONTH(DATE(B48,A48,1),0)+1), 0))
</f>
        <v>4491</v>
      </c>
      <c r="BR48" s="32">
        <f t="shared" si="42"/>
        <v>257955.5232</v>
      </c>
      <c r="BS48" s="32">
        <f t="shared" si="43"/>
        <v>2195.552</v>
      </c>
      <c r="BT48" s="32">
        <f>IF(AS48&gt;0,-MAX(0,21550-MAX(0,MAX(0,(AM48-AP48-BE48-BO48-BQ48)-Assumptions!$B$93))-MIN(MAX(0,21550-MAX(0,MAX(0,(AM48-AP48-BE48-BO48-BQ48)-Assumptions!$B$93))),MAX(0,BY47-Assumptions!$B$91))),IF(BY47&gt;=Assumptions!$B$92,MAX(0,(AM48-AP48-BE48-BO48-BQ48)-Assumptions!$B$93),MAX(0,(AM48-AP48-BE48-BO48-BQ48)-Assumptions!$B$93)*Assumptions!$B$99))</f>
        <v>6433.144</v>
      </c>
      <c r="BU48" s="32">
        <f>(BR48+BS48+MAX(0,BT48))*(Assumptions!$B$43-1)</f>
        <v>1817.571206</v>
      </c>
      <c r="BV48" s="32">
        <f t="shared" si="13"/>
        <v>268401.7904</v>
      </c>
      <c r="BW48" s="32">
        <f t="shared" si="44"/>
        <v>15407.68128</v>
      </c>
      <c r="BX48" s="32">
        <f>IF(AS48&gt;0,-MIN(MAX(0,21550-MAX(0,MAX(0,(AM48-AP48-BE48-BO48-BQ48)-Assumptions!$B$93))),MAX(0,BY47-Assumptions!$B$91)),IF(BY47&lt;Assumptions!$B$92,MAX(0,(AM48-AP48-BE48-BO48-BQ48)-Assumptions!$B$93)*Assumptions!$B$98,0))</f>
        <v>0</v>
      </c>
      <c r="BY48" s="32">
        <f t="shared" si="14"/>
        <v>15407.68128</v>
      </c>
      <c r="BZ48" s="32">
        <f t="shared" si="45"/>
        <v>32782</v>
      </c>
      <c r="CA48" s="32">
        <f t="shared" si="15"/>
        <v>3544</v>
      </c>
      <c r="CB48" s="32">
        <f t="shared" si="16"/>
        <v>36326</v>
      </c>
      <c r="CC48" s="55">
        <f>CC47+(G48+J48)/(Salary_Schedule!E48*12/208)</f>
        <v>1752.972211</v>
      </c>
      <c r="CD48" s="55">
        <f>CD47+(O48+R48)/(Salary_Schedule!G48*12/208)</f>
        <v>77.37693344</v>
      </c>
      <c r="CE48" s="32">
        <f t="shared" si="17"/>
        <v>268401.7904</v>
      </c>
      <c r="CF48" s="32">
        <f>Assumptions!$B$55*(1+Assumptions!$B$56)^((B48-2025)+(A48-1)/12)</f>
        <v>558799.3357</v>
      </c>
      <c r="CG48" s="32">
        <f t="shared" si="18"/>
        <v>-278109.4623</v>
      </c>
      <c r="CH48" s="32">
        <f t="shared" si="19"/>
        <v>-35583.02</v>
      </c>
      <c r="CI48" s="32">
        <f>CC48*(Salary_Schedule!E48/173.33)*(1-Assumptions!$B$28)+CD48*(Salary_Schedule!G48/173.33)*(1-Assumptions!$B$28)</f>
        <v>58051.41517</v>
      </c>
      <c r="CJ48" s="32">
        <f t="shared" si="20"/>
        <v>571560.059</v>
      </c>
    </row>
    <row r="49" ht="15.0" customHeight="1">
      <c r="A49" s="1">
        <v>12.0</v>
      </c>
      <c r="B49" s="1">
        <v>2029.0</v>
      </c>
      <c r="C49" s="1" t="s">
        <v>718</v>
      </c>
      <c r="D49" s="1" t="str">
        <f t="shared" si="21"/>
        <v>11/2029</v>
      </c>
      <c r="E49" s="1" t="str">
        <f t="shared" si="2"/>
        <v>LEAN</v>
      </c>
      <c r="F49" s="32">
        <f>Salary_Schedule!E49</f>
        <v>8527.55</v>
      </c>
      <c r="G49" s="32">
        <f>Assumptions!$B$8</f>
        <v>200</v>
      </c>
      <c r="H49" s="32">
        <f>F49*Assumptions!$B$58</f>
        <v>852.755</v>
      </c>
      <c r="I49" s="32">
        <f>Salary_Schedule!F49</f>
        <v>0</v>
      </c>
      <c r="J49" s="32">
        <f>I49*Assumptions!$B$9</f>
        <v>0</v>
      </c>
      <c r="K49" s="54">
        <f t="shared" si="3"/>
        <v>7474.795</v>
      </c>
      <c r="L49" s="32">
        <f>IF(COUNTIFS(SL_Income_Log!$B:$B,TEXT(B49,"0000")&amp;"-"&amp;TEXT(A49,"00"),SL_Income_Log!$C:$C,"salary",SL_Income_Log!$E:$E,"H")&gt;0,SUMIFS(SL_Income_Log!$D:$D,SL_Income_Log!$B:$B,TEXT(B49,"0000")&amp;"-"&amp;TEXT(A49,"00"),SL_Income_Log!$C:$C,"salary",SL_Income_Log!$E:$E,"H"),K49*(1-Assumptions!$B$102)-Z49-Y49)</f>
        <v>4155.587</v>
      </c>
      <c r="M49" s="32">
        <f>RSU_Schedule!H48</f>
        <v>0</v>
      </c>
      <c r="N49" s="32">
        <f>Salary_Schedule!G49</f>
        <v>6869.25</v>
      </c>
      <c r="O49" s="32">
        <f>Assumptions!$B$19</f>
        <v>200</v>
      </c>
      <c r="P49" s="32">
        <f>N49*Assumptions!$B$59</f>
        <v>686.925</v>
      </c>
      <c r="Q49" s="32">
        <f>Salary_Schedule!H49</f>
        <v>0</v>
      </c>
      <c r="R49" s="32">
        <f>Q49*Assumptions!$B$20</f>
        <v>0</v>
      </c>
      <c r="S49" s="54">
        <f t="shared" si="4"/>
        <v>5982.325</v>
      </c>
      <c r="T49" s="32">
        <f>IF(COUNTIFS(SL_Income_Log!$B:$B,TEXT(B49,"0000")&amp;"-"&amp;TEXT(A49,"00"),SL_Income_Log!$C:$C,"salary",SL_Income_Log!$E:$E,"W")&gt;0,SUMIFS(SL_Income_Log!$D:$D,SL_Income_Log!$B:$B,TEXT(B49,"0000")&amp;"-"&amp;TEXT(A49,"00"),SL_Income_Log!$C:$C,"salary",SL_Income_Log!$E:$E,"W"),S49*(1-Assumptions!$B$102)-AC49-AB49)
</f>
        <v>3260.105</v>
      </c>
      <c r="U49" s="32">
        <f>RSU_Schedule!M48</f>
        <v>0</v>
      </c>
      <c r="V49" s="32">
        <f>H49*(1+Assumptions!$B$60)+Assumptions!$B$61</f>
        <v>1213.857</v>
      </c>
      <c r="W49" s="32">
        <f>P49*(1+Assumptions!$B$60)+Assumptions!$B$61</f>
        <v>981.695</v>
      </c>
      <c r="X49" s="32">
        <f t="shared" si="5"/>
        <v>2195.552</v>
      </c>
      <c r="Y49" s="32">
        <f t="shared" si="22"/>
        <v>37.62</v>
      </c>
      <c r="Z49" s="32">
        <v>291.67</v>
      </c>
      <c r="AA49" s="32">
        <f t="shared" si="23"/>
        <v>12249.84</v>
      </c>
      <c r="AB49" s="32">
        <f t="shared" si="24"/>
        <v>37.62</v>
      </c>
      <c r="AC49" s="32">
        <v>291.67</v>
      </c>
      <c r="AD49" s="32">
        <f t="shared" si="25"/>
        <v>12249.84</v>
      </c>
      <c r="AE49" s="32">
        <f t="shared" ref="AE49:AF49" si="90">Z49+AC49</f>
        <v>583.34</v>
      </c>
      <c r="AF49" s="32">
        <f t="shared" si="90"/>
        <v>24499.68</v>
      </c>
      <c r="AG49" s="32">
        <f>IF(COUNTIFS(SL_Income_Log!$B:$B,TEXT(B49,"0000")&amp;"-"&amp;TEXT(A49,"00"),SL_Income_Log!$C:$C,"youtube")&gt;0,SUMIFS(SL_Income_Log!$D:$D,SL_Income_Log!$B:$B,TEXT(B49,"0000")&amp;"-"&amp;TEXT(A49,"00"),SL_Income_Log!$C:$C,"youtube"),MIN(Assumptions!$B$49+FLOOR((ROW()-2)/6,1)*Assumptions!$B$50,Assumptions!$B$51))
</f>
        <v>8000</v>
      </c>
      <c r="AH49" s="32">
        <f>AG49*Assumptions!$B$104</f>
        <v>3544</v>
      </c>
      <c r="AI49" s="32">
        <f t="shared" si="7"/>
        <v>4456</v>
      </c>
      <c r="AJ49" s="32">
        <f>SUMIFS(SL_Income_Log!$D:$D,SL_Income_Log!$B:$B,TEXT(B49,"0000")&amp;"-"&amp;TEXT(A49,"00"),SL_Income_Log!$C:$C,"other")</f>
        <v>0</v>
      </c>
      <c r="AK49" s="32">
        <f t="shared" si="27"/>
        <v>10000</v>
      </c>
      <c r="AL49" s="32">
        <f>L49+M49+T49+U49+AI49+AJ49-Y49-Z49-AB49-AC49+IF((Debt_Register!$C$2+Debt_Register!$C$6+Debt_Register!$C$7+Debt_Register!$C$8+Debt_Register!$C$9)&gt;5,X49,0)</f>
        <v>13408.664</v>
      </c>
      <c r="AM49" s="32">
        <f t="shared" si="8"/>
        <v>23408.664</v>
      </c>
      <c r="AN49" s="32">
        <f>MAX(Assumptions!$B$94,MIN(Assumptions!$B$93,AM49-AP49-BE49-BO49-BQ49))</f>
        <v>10000</v>
      </c>
      <c r="AO49" s="32">
        <f t="shared" si="28"/>
        <v>278109.4623</v>
      </c>
      <c r="AP49" s="32">
        <f>IF(AO49&gt;0,Assumptions!$B$33,0)</f>
        <v>2281</v>
      </c>
      <c r="AQ49" s="32">
        <f>AO49*Assumptions!$B$32/12</f>
        <v>901.5381736</v>
      </c>
      <c r="AR49" s="32">
        <f t="shared" si="9"/>
        <v>1379.461826</v>
      </c>
      <c r="AS49" s="32">
        <f t="shared" si="29"/>
        <v>0</v>
      </c>
      <c r="AT49" s="32">
        <f t="shared" si="10"/>
        <v>276730.0005</v>
      </c>
      <c r="AU49" s="32">
        <f t="shared" si="30"/>
        <v>0</v>
      </c>
      <c r="AV49" s="32">
        <f t="shared" si="31"/>
        <v>0</v>
      </c>
      <c r="AW49" s="32">
        <f t="shared" si="32"/>
        <v>0</v>
      </c>
      <c r="AX49" s="32">
        <f t="shared" si="33"/>
        <v>0</v>
      </c>
      <c r="AY49" s="32">
        <f t="shared" si="34"/>
        <v>0</v>
      </c>
      <c r="AZ49" s="32">
        <f t="shared" si="35"/>
        <v>0</v>
      </c>
      <c r="BA49" s="32">
        <f t="shared" si="36"/>
        <v>0</v>
      </c>
      <c r="BB49" s="32">
        <f t="shared" si="37"/>
        <v>0</v>
      </c>
      <c r="BC49" s="32">
        <f t="shared" si="38"/>
        <v>0</v>
      </c>
      <c r="BD49" s="32">
        <f t="shared" si="39"/>
        <v>0</v>
      </c>
      <c r="BE49" s="32">
        <f t="shared" si="11"/>
        <v>0</v>
      </c>
      <c r="BF49" s="32">
        <v>0.0</v>
      </c>
      <c r="BG49" s="32">
        <f t="shared" si="40"/>
        <v>5500</v>
      </c>
      <c r="BH49" s="32">
        <v>0.0</v>
      </c>
      <c r="BI49" s="32">
        <f t="shared" si="41"/>
        <v>5000</v>
      </c>
      <c r="BJ49" s="32">
        <f>IF(OR(B49&lt;Assumptions!$B$111,AND(B49=Assumptions!$B$111,A49&lt;=Assumptions!$B$112)),Assumptions!$B$110,0)</f>
        <v>0</v>
      </c>
      <c r="BK49" s="32">
        <f>IF(B49&lt;2027,Assumptions!$B$116+IF(OR(A49=4,A49=10),Assumptions!$B$117,0),IF(AND(B49=2027,A49&lt;=4),IF(A49=4,MIN(950,Assumptions!$B$116+Assumptions!$B$117),Assumptions!$B$116),0))</f>
        <v>0</v>
      </c>
      <c r="BL49" s="32">
        <f>IF(OR(B49&lt;2030,AND(B49=2030,A49&lt;8)),Assumptions!$B$118,IF(AND(B49=2030,A49=8),MOD(11000,200),0))</f>
        <v>200</v>
      </c>
      <c r="BM49" s="32">
        <f>IF(OR(B49&lt;Assumptions!$B$120,AND(B49=Assumptions!$B$120,A49&lt;=Assumptions!$B$121)),Assumptions!$B$119,0)</f>
        <v>0</v>
      </c>
      <c r="BN49" s="32">
        <f>IF(AND(B49&lt;=Assumptions!$B$123,A49&lt;=Assumptions!$B$124),Assumptions!$B$122,0)</f>
        <v>0</v>
      </c>
      <c r="BO49" s="32">
        <f t="shared" si="12"/>
        <v>200</v>
      </c>
      <c r="BP49" s="32">
        <f>SUMIFS(SL_Budget!$B:$B,SL_Budget!$C:$C,"'"&amp;TEXT(DATE(B49,A49,1),"YYYY-MM"))</f>
        <v>4491</v>
      </c>
      <c r="BQ49" s="32">
        <f>MAX(BP49, IFERROR(SUMIFS(ShadowLedger!D:D, 
  ShadowLedger!C:C, "&gt;="&amp;DATE(B49,A49,1), 
  ShadowLedger!C:C, "&lt;"&amp;EOMONTH(DATE(B49,A49,1),0)+1), 0))
</f>
        <v>4491</v>
      </c>
      <c r="BR49" s="32">
        <f t="shared" si="42"/>
        <v>268401.7904</v>
      </c>
      <c r="BS49" s="32">
        <f t="shared" si="43"/>
        <v>2195.552</v>
      </c>
      <c r="BT49" s="32">
        <f>IF(AS49&gt;0,-MAX(0,21550-MAX(0,MAX(0,(AM49-AP49-BE49-BO49-BQ49)-Assumptions!$B$93))-MIN(MAX(0,21550-MAX(0,MAX(0,(AM49-AP49-BE49-BO49-BQ49)-Assumptions!$B$93))),MAX(0,BY48-Assumptions!$B$91))),IF(BY48&gt;=Assumptions!$B$92,MAX(0,(AM49-AP49-BE49-BO49-BQ49)-Assumptions!$B$93),MAX(0,(AM49-AP49-BE49-BO49-BQ49)-Assumptions!$B$93)*Assumptions!$B$99))</f>
        <v>6436.664</v>
      </c>
      <c r="BU49" s="32">
        <f>(BR49+BS49+MAX(0,BT49))*(Assumptions!$B$43-1)</f>
        <v>1888.817855</v>
      </c>
      <c r="BV49" s="32">
        <f t="shared" si="13"/>
        <v>278922.8242</v>
      </c>
      <c r="BW49" s="32">
        <f t="shared" si="44"/>
        <v>15407.68128</v>
      </c>
      <c r="BX49" s="32">
        <f>IF(AS49&gt;0,-MIN(MAX(0,21550-MAX(0,MAX(0,(AM49-AP49-BE49-BO49-BQ49)-Assumptions!$B$93))),MAX(0,BY48-Assumptions!$B$91)),IF(BY48&lt;Assumptions!$B$92,MAX(0,(AM49-AP49-BE49-BO49-BQ49)-Assumptions!$B$93)*Assumptions!$B$98,0))</f>
        <v>0</v>
      </c>
      <c r="BY49" s="32">
        <f t="shared" si="14"/>
        <v>15407.68128</v>
      </c>
      <c r="BZ49" s="32">
        <f t="shared" si="45"/>
        <v>36326</v>
      </c>
      <c r="CA49" s="32">
        <f t="shared" si="15"/>
        <v>3544</v>
      </c>
      <c r="CB49" s="32">
        <f t="shared" si="16"/>
        <v>39870</v>
      </c>
      <c r="CC49" s="55">
        <f>CC48+(G49+J49)/(Salary_Schedule!E49*12/208)</f>
        <v>1753.378737</v>
      </c>
      <c r="CD49" s="55">
        <f>CD48+(O49+R49)/(Salary_Schedule!G49*12/208)</f>
        <v>77.88159794</v>
      </c>
      <c r="CE49" s="32">
        <f t="shared" si="17"/>
        <v>278922.8242</v>
      </c>
      <c r="CF49" s="32">
        <f>Assumptions!$B$55*(1+Assumptions!$B$56)^((B49-2025)+(A49-1)/12)</f>
        <v>559493.0782</v>
      </c>
      <c r="CG49" s="32">
        <f t="shared" si="18"/>
        <v>-276730.0005</v>
      </c>
      <c r="CH49" s="32">
        <f t="shared" si="19"/>
        <v>-34999.68</v>
      </c>
      <c r="CI49" s="32">
        <f>CC49*(Salary_Schedule!E49/173.33)*(1-Assumptions!$B$28)+CD49*(Salary_Schedule!G49/173.33)*(1-Assumptions!$B$28)</f>
        <v>58077.41567</v>
      </c>
      <c r="CJ49" s="32">
        <f t="shared" si="20"/>
        <v>584763.6377</v>
      </c>
    </row>
    <row r="50" ht="15.0" customHeight="1">
      <c r="A50" s="1">
        <v>1.0</v>
      </c>
      <c r="B50" s="1">
        <v>2030.0</v>
      </c>
      <c r="C50" s="1" t="s">
        <v>719</v>
      </c>
      <c r="D50" s="1" t="str">
        <f t="shared" si="21"/>
        <v>12/2029</v>
      </c>
      <c r="E50" s="1" t="str">
        <f t="shared" si="2"/>
        <v>FAT_RSU</v>
      </c>
      <c r="F50" s="32">
        <f>Salary_Schedule!E50</f>
        <v>8953.93</v>
      </c>
      <c r="G50" s="32">
        <f>Assumptions!$B$8</f>
        <v>200</v>
      </c>
      <c r="H50" s="32">
        <f>F50*Assumptions!$B$58</f>
        <v>895.393</v>
      </c>
      <c r="I50" s="32">
        <f>Salary_Schedule!F50</f>
        <v>0</v>
      </c>
      <c r="J50" s="32">
        <f>I50*Assumptions!$B$9</f>
        <v>0</v>
      </c>
      <c r="K50" s="54">
        <f t="shared" si="3"/>
        <v>7858.537</v>
      </c>
      <c r="L50" s="32">
        <f>IF(COUNTIFS(SL_Income_Log!$B:$B,TEXT(B50,"0000")&amp;"-"&amp;TEXT(A50,"00"),SL_Income_Log!$C:$C,"salary",SL_Income_Log!$E:$E,"H")&gt;0,SUMIFS(SL_Income_Log!$D:$D,SL_Income_Log!$B:$B,TEXT(B50,"0000")&amp;"-"&amp;TEXT(A50,"00"),SL_Income_Log!$C:$C,"salary",SL_Income_Log!$E:$E,"H"),K50*(1-Assumptions!$B$102)-Z50-Y50)</f>
        <v>4386.7022</v>
      </c>
      <c r="M50" s="32">
        <f>RSU_Schedule!H49</f>
        <v>2784.99</v>
      </c>
      <c r="N50" s="32">
        <f>Salary_Schedule!G50</f>
        <v>7109.67</v>
      </c>
      <c r="O50" s="32">
        <f>Assumptions!$B$19</f>
        <v>200</v>
      </c>
      <c r="P50" s="32">
        <f>N50*Assumptions!$B$59</f>
        <v>710.967</v>
      </c>
      <c r="Q50" s="32">
        <f>Salary_Schedule!H50</f>
        <v>0</v>
      </c>
      <c r="R50" s="32">
        <f>Q50*Assumptions!$B$20</f>
        <v>0</v>
      </c>
      <c r="S50" s="54">
        <f t="shared" si="4"/>
        <v>6198.703</v>
      </c>
      <c r="T50" s="32">
        <f>IF(COUNTIFS(SL_Income_Log!$B:$B,TEXT(B50,"0000")&amp;"-"&amp;TEXT(A50,"00"),SL_Income_Log!$C:$C,"salary",SL_Income_Log!$E:$E,"W")&gt;0,SUMIFS(SL_Income_Log!$D:$D,SL_Income_Log!$B:$B,TEXT(B50,"0000")&amp;"-"&amp;TEXT(A50,"00"),SL_Income_Log!$C:$C,"salary",SL_Income_Log!$E:$E,"W"),S50*(1-Assumptions!$B$102)-AC50-AB50)
</f>
        <v>3390.8018</v>
      </c>
      <c r="U50" s="32">
        <f>RSU_Schedule!M49</f>
        <v>1392.51</v>
      </c>
      <c r="V50" s="32">
        <f>H50*(1+Assumptions!$B$60)+Assumptions!$B$61</f>
        <v>1273.5502</v>
      </c>
      <c r="W50" s="32">
        <f>P50*(1+Assumptions!$B$60)+Assumptions!$B$61</f>
        <v>1015.3538</v>
      </c>
      <c r="X50" s="32">
        <f t="shared" si="5"/>
        <v>2288.904</v>
      </c>
      <c r="Y50" s="32">
        <f t="shared" si="22"/>
        <v>36.75</v>
      </c>
      <c r="Z50" s="32">
        <v>291.67</v>
      </c>
      <c r="AA50" s="32">
        <f t="shared" si="23"/>
        <v>11958.17</v>
      </c>
      <c r="AB50" s="32">
        <f t="shared" si="24"/>
        <v>36.75</v>
      </c>
      <c r="AC50" s="32">
        <v>291.67</v>
      </c>
      <c r="AD50" s="32">
        <f t="shared" si="25"/>
        <v>11958.17</v>
      </c>
      <c r="AE50" s="32">
        <f t="shared" ref="AE50:AF50" si="91">Z50+AC50</f>
        <v>583.34</v>
      </c>
      <c r="AF50" s="32">
        <f t="shared" si="91"/>
        <v>23916.34</v>
      </c>
      <c r="AG50" s="32">
        <f>IF(COUNTIFS(SL_Income_Log!$B:$B,TEXT(B50,"0000")&amp;"-"&amp;TEXT(A50,"00"),SL_Income_Log!$C:$C,"youtube")&gt;0,SUMIFS(SL_Income_Log!$D:$D,SL_Income_Log!$B:$B,TEXT(B50,"0000")&amp;"-"&amp;TEXT(A50,"00"),SL_Income_Log!$C:$C,"youtube"),MIN(Assumptions!$B$49+FLOOR((ROW()-2)/6,1)*Assumptions!$B$50,Assumptions!$B$51))
</f>
        <v>9000</v>
      </c>
      <c r="AH50" s="32">
        <f>AG50*Assumptions!$B$104</f>
        <v>3987</v>
      </c>
      <c r="AI50" s="32">
        <f t="shared" si="7"/>
        <v>5013</v>
      </c>
      <c r="AJ50" s="32">
        <f>SUMIFS(SL_Income_Log!$D:$D,SL_Income_Log!$B:$B,TEXT(B50,"0000")&amp;"-"&amp;TEXT(A50,"00"),SL_Income_Log!$C:$C,"other")</f>
        <v>0</v>
      </c>
      <c r="AK50" s="32">
        <f t="shared" si="27"/>
        <v>10000</v>
      </c>
      <c r="AL50" s="32">
        <f>L50+M50+T50+U50+AI50+AJ50-Y50-Z50-AB50-AC50+IF((Debt_Register!$C$2+Debt_Register!$C$6+Debt_Register!$C$7+Debt_Register!$C$8+Debt_Register!$C$9)&gt;5,X50,0)</f>
        <v>18600.068</v>
      </c>
      <c r="AM50" s="32">
        <f t="shared" si="8"/>
        <v>28600.068</v>
      </c>
      <c r="AN50" s="32">
        <f>MAX(Assumptions!$B$94,MIN(Assumptions!$B$93,AM50-AP50-BE50-BO50-BQ50))</f>
        <v>10000</v>
      </c>
      <c r="AO50" s="32">
        <f t="shared" si="28"/>
        <v>276730.0005</v>
      </c>
      <c r="AP50" s="32">
        <f>IF(AO50&gt;0,Assumptions!$B$33,0)</f>
        <v>2281</v>
      </c>
      <c r="AQ50" s="32">
        <f>AO50*Assumptions!$B$32/12</f>
        <v>897.0664182</v>
      </c>
      <c r="AR50" s="32">
        <f t="shared" si="9"/>
        <v>1383.933582</v>
      </c>
      <c r="AS50" s="32">
        <f t="shared" si="29"/>
        <v>21550</v>
      </c>
      <c r="AT50" s="32">
        <f t="shared" si="10"/>
        <v>253796.0669</v>
      </c>
      <c r="AU50" s="32">
        <f t="shared" si="30"/>
        <v>0</v>
      </c>
      <c r="AV50" s="32">
        <f t="shared" si="31"/>
        <v>0</v>
      </c>
      <c r="AW50" s="32">
        <f t="shared" si="32"/>
        <v>0</v>
      </c>
      <c r="AX50" s="32">
        <f t="shared" si="33"/>
        <v>0</v>
      </c>
      <c r="AY50" s="32">
        <f t="shared" si="34"/>
        <v>0</v>
      </c>
      <c r="AZ50" s="32">
        <f t="shared" si="35"/>
        <v>0</v>
      </c>
      <c r="BA50" s="32">
        <f t="shared" si="36"/>
        <v>0</v>
      </c>
      <c r="BB50" s="32">
        <f t="shared" si="37"/>
        <v>0</v>
      </c>
      <c r="BC50" s="32">
        <f t="shared" si="38"/>
        <v>0</v>
      </c>
      <c r="BD50" s="32">
        <f t="shared" si="39"/>
        <v>0</v>
      </c>
      <c r="BE50" s="32">
        <f t="shared" si="11"/>
        <v>0</v>
      </c>
      <c r="BF50" s="32">
        <v>0.0</v>
      </c>
      <c r="BG50" s="32">
        <f t="shared" si="40"/>
        <v>5500</v>
      </c>
      <c r="BH50" s="32">
        <v>0.0</v>
      </c>
      <c r="BI50" s="32">
        <f t="shared" si="41"/>
        <v>5000</v>
      </c>
      <c r="BJ50" s="32">
        <f>IF(OR(B50&lt;Assumptions!$B$111,AND(B50=Assumptions!$B$111,A50&lt;=Assumptions!$B$112)),Assumptions!$B$110,0)</f>
        <v>0</v>
      </c>
      <c r="BK50" s="32">
        <f>IF(B50&lt;2027,Assumptions!$B$116+IF(OR(A50=4,A50=10),Assumptions!$B$117,0),IF(AND(B50=2027,A50&lt;=4),IF(A50=4,MIN(950,Assumptions!$B$116+Assumptions!$B$117),Assumptions!$B$116),0))</f>
        <v>0</v>
      </c>
      <c r="BL50" s="32">
        <f>IF(OR(B50&lt;2030,AND(B50=2030,A50&lt;8)),Assumptions!$B$118,IF(AND(B50=2030,A50=8),MOD(11000,200),0))</f>
        <v>200</v>
      </c>
      <c r="BM50" s="32">
        <f>IF(OR(B50&lt;Assumptions!$B$120,AND(B50=Assumptions!$B$120,A50&lt;=Assumptions!$B$121)),Assumptions!$B$119,0)</f>
        <v>0</v>
      </c>
      <c r="BN50" s="32">
        <f>IF(AND(B50&lt;=Assumptions!$B$123,A50&lt;=Assumptions!$B$124),Assumptions!$B$122,0)</f>
        <v>0</v>
      </c>
      <c r="BO50" s="32">
        <f t="shared" si="12"/>
        <v>200</v>
      </c>
      <c r="BP50" s="32">
        <f>SUMIFS(SL_Budget!$B:$B,SL_Budget!$C:$C,"'"&amp;TEXT(DATE(B50,A50,1),"YYYY-MM"))</f>
        <v>4626</v>
      </c>
      <c r="BQ50" s="32">
        <f>MAX(BP50, IFERROR(SUMIFS(ShadowLedger!D:D, 
  ShadowLedger!C:C, "&gt;="&amp;DATE(B50,A50,1), 
  ShadowLedger!C:C, "&lt;"&amp;EOMONTH(DATE(B50,A50,1),0)+1), 0))
</f>
        <v>4626</v>
      </c>
      <c r="BR50" s="32">
        <f t="shared" si="42"/>
        <v>278922.8242</v>
      </c>
      <c r="BS50" s="32">
        <f t="shared" si="43"/>
        <v>2288.904</v>
      </c>
      <c r="BT50" s="32">
        <f>IF(AS50&gt;0,-MAX(0,21550-MAX(0,MAX(0,(AM50-AP50-BE50-BO50-BQ50)-Assumptions!$B$93))-MIN(MAX(0,21550-MAX(0,MAX(0,(AM50-AP50-BE50-BO50-BQ50)-Assumptions!$B$93))),MAX(0,BY49-Assumptions!$B$91))),IF(BY49&gt;=Assumptions!$B$92,MAX(0,(AM50-AP50-BE50-BO50-BQ50)-Assumptions!$B$93),MAX(0,(AM50-AP50-BE50-BO50-BQ50)-Assumptions!$B$93)*Assumptions!$B$99))</f>
        <v>0</v>
      </c>
      <c r="BU50" s="32">
        <f>(BR50+BS50+MAX(0,BT50))*(Assumptions!$B$43-1)</f>
        <v>1917.301563</v>
      </c>
      <c r="BV50" s="32">
        <f t="shared" si="13"/>
        <v>283129.0298</v>
      </c>
      <c r="BW50" s="32">
        <f t="shared" si="44"/>
        <v>15407.68128</v>
      </c>
      <c r="BX50" s="32">
        <f>IF(AS50&gt;0,-MIN(MAX(0,21550-MAX(0,MAX(0,(AM50-AP50-BE50-BO50-BQ50)-Assumptions!$B$93))),MAX(0,BY49-Assumptions!$B$91)),IF(BY49&lt;Assumptions!$B$92,MAX(0,(AM50-AP50-BE50-BO50-BQ50)-Assumptions!$B$93)*Assumptions!$B$98,0))</f>
        <v>-10056.932</v>
      </c>
      <c r="BY50" s="32">
        <f t="shared" si="14"/>
        <v>5350.74928</v>
      </c>
      <c r="BZ50" s="32">
        <f t="shared" si="45"/>
        <v>0</v>
      </c>
      <c r="CA50" s="32">
        <f t="shared" si="15"/>
        <v>3987</v>
      </c>
      <c r="CB50" s="32">
        <f t="shared" si="16"/>
        <v>3987</v>
      </c>
      <c r="CC50" s="55">
        <f>CC49+(G50+J50)/(Salary_Schedule!E50*12/208)</f>
        <v>1753.765904</v>
      </c>
      <c r="CD50" s="55">
        <f>CD49+(O50+R50)/(Salary_Schedule!G50*12/208)</f>
        <v>78.36919676</v>
      </c>
      <c r="CE50" s="32">
        <f t="shared" si="17"/>
        <v>283129.0298</v>
      </c>
      <c r="CF50" s="32">
        <f>Assumptions!$B$55*(1+Assumptions!$B$56)^((B50-2025)+(A50-1)/12)</f>
        <v>560187.682</v>
      </c>
      <c r="CG50" s="32">
        <f t="shared" si="18"/>
        <v>-253796.0669</v>
      </c>
      <c r="CH50" s="32">
        <f t="shared" si="19"/>
        <v>-34416.34</v>
      </c>
      <c r="CI50" s="32">
        <f>CC50*(Salary_Schedule!E50/173.33)*(1-Assumptions!$B$28)+CD50*(Salary_Schedule!G50/173.33)*(1-Assumptions!$B$28)</f>
        <v>60977.20864</v>
      </c>
      <c r="CJ50" s="32">
        <f t="shared" si="20"/>
        <v>616081.5135</v>
      </c>
    </row>
    <row r="51" ht="15.0" customHeight="1">
      <c r="A51" s="1">
        <v>2.0</v>
      </c>
      <c r="B51" s="1">
        <v>2030.0</v>
      </c>
      <c r="C51" s="1" t="s">
        <v>720</v>
      </c>
      <c r="D51" s="1" t="str">
        <f t="shared" si="21"/>
        <v>01/2030</v>
      </c>
      <c r="E51" s="1" t="str">
        <f t="shared" si="2"/>
        <v>LEAN</v>
      </c>
      <c r="F51" s="32">
        <f>Salary_Schedule!E51</f>
        <v>8953.93</v>
      </c>
      <c r="G51" s="32">
        <f>Assumptions!$B$8</f>
        <v>200</v>
      </c>
      <c r="H51" s="32">
        <f>F51*Assumptions!$B$58</f>
        <v>895.393</v>
      </c>
      <c r="I51" s="32">
        <f>Salary_Schedule!F51</f>
        <v>0</v>
      </c>
      <c r="J51" s="32">
        <f>I51*Assumptions!$B$9</f>
        <v>0</v>
      </c>
      <c r="K51" s="54">
        <f t="shared" si="3"/>
        <v>7858.537</v>
      </c>
      <c r="L51" s="32">
        <f>IF(COUNTIFS(SL_Income_Log!$B:$B,TEXT(B51,"0000")&amp;"-"&amp;TEXT(A51,"00"),SL_Income_Log!$C:$C,"salary",SL_Income_Log!$E:$E,"H")&gt;0,SUMIFS(SL_Income_Log!$D:$D,SL_Income_Log!$B:$B,TEXT(B51,"0000")&amp;"-"&amp;TEXT(A51,"00"),SL_Income_Log!$C:$C,"salary",SL_Income_Log!$E:$E,"H"),K51*(1-Assumptions!$B$102)-Z51-Y51)</f>
        <v>4387.5822</v>
      </c>
      <c r="M51" s="32">
        <f>RSU_Schedule!H50</f>
        <v>0</v>
      </c>
      <c r="N51" s="32">
        <f>Salary_Schedule!G51</f>
        <v>7109.67</v>
      </c>
      <c r="O51" s="32">
        <f>Assumptions!$B$19</f>
        <v>200</v>
      </c>
      <c r="P51" s="32">
        <f>N51*Assumptions!$B$59</f>
        <v>710.967</v>
      </c>
      <c r="Q51" s="32">
        <f>Salary_Schedule!H51</f>
        <v>0</v>
      </c>
      <c r="R51" s="32">
        <f>Q51*Assumptions!$B$20</f>
        <v>0</v>
      </c>
      <c r="S51" s="54">
        <f t="shared" si="4"/>
        <v>6198.703</v>
      </c>
      <c r="T51" s="32">
        <f>IF(COUNTIFS(SL_Income_Log!$B:$B,TEXT(B51,"0000")&amp;"-"&amp;TEXT(A51,"00"),SL_Income_Log!$C:$C,"salary",SL_Income_Log!$E:$E,"W")&gt;0,SUMIFS(SL_Income_Log!$D:$D,SL_Income_Log!$B:$B,TEXT(B51,"0000")&amp;"-"&amp;TEXT(A51,"00"),SL_Income_Log!$C:$C,"salary",SL_Income_Log!$E:$E,"W"),S51*(1-Assumptions!$B$102)-AC51-AB51)
</f>
        <v>3391.6818</v>
      </c>
      <c r="U51" s="32">
        <f>RSU_Schedule!M50</f>
        <v>0</v>
      </c>
      <c r="V51" s="32">
        <f>H51*(1+Assumptions!$B$60)+Assumptions!$B$61</f>
        <v>1273.5502</v>
      </c>
      <c r="W51" s="32">
        <f>P51*(1+Assumptions!$B$60)+Assumptions!$B$61</f>
        <v>1015.3538</v>
      </c>
      <c r="X51" s="32">
        <f t="shared" si="5"/>
        <v>2288.904</v>
      </c>
      <c r="Y51" s="32">
        <f t="shared" si="22"/>
        <v>35.87</v>
      </c>
      <c r="Z51" s="32">
        <v>291.67</v>
      </c>
      <c r="AA51" s="32">
        <f t="shared" si="23"/>
        <v>11666.5</v>
      </c>
      <c r="AB51" s="32">
        <f t="shared" si="24"/>
        <v>35.87</v>
      </c>
      <c r="AC51" s="32">
        <v>291.67</v>
      </c>
      <c r="AD51" s="32">
        <f t="shared" si="25"/>
        <v>11666.5</v>
      </c>
      <c r="AE51" s="32">
        <f t="shared" ref="AE51:AF51" si="92">Z51+AC51</f>
        <v>583.34</v>
      </c>
      <c r="AF51" s="32">
        <f t="shared" si="92"/>
        <v>23333</v>
      </c>
      <c r="AG51" s="32">
        <f>IF(COUNTIFS(SL_Income_Log!$B:$B,TEXT(B51,"0000")&amp;"-"&amp;TEXT(A51,"00"),SL_Income_Log!$C:$C,"youtube")&gt;0,SUMIFS(SL_Income_Log!$D:$D,SL_Income_Log!$B:$B,TEXT(B51,"0000")&amp;"-"&amp;TEXT(A51,"00"),SL_Income_Log!$C:$C,"youtube"),MIN(Assumptions!$B$49+FLOOR((ROW()-2)/6,1)*Assumptions!$B$50,Assumptions!$B$51))
</f>
        <v>9000</v>
      </c>
      <c r="AH51" s="32">
        <f>AG51*Assumptions!$B$104</f>
        <v>3987</v>
      </c>
      <c r="AI51" s="32">
        <f t="shared" si="7"/>
        <v>5013</v>
      </c>
      <c r="AJ51" s="32">
        <f>SUMIFS(SL_Income_Log!$D:$D,SL_Income_Log!$B:$B,TEXT(B51,"0000")&amp;"-"&amp;TEXT(A51,"00"),SL_Income_Log!$C:$C,"other")</f>
        <v>0</v>
      </c>
      <c r="AK51" s="32">
        <f t="shared" si="27"/>
        <v>10000</v>
      </c>
      <c r="AL51" s="32">
        <f>L51+M51+T51+U51+AI51+AJ51-Y51-Z51-AB51-AC51+IF((Debt_Register!$C$2+Debt_Register!$C$6+Debt_Register!$C$7+Debt_Register!$C$8+Debt_Register!$C$9)&gt;5,X51,0)</f>
        <v>14426.088</v>
      </c>
      <c r="AM51" s="32">
        <f t="shared" si="8"/>
        <v>24426.088</v>
      </c>
      <c r="AN51" s="32">
        <f>MAX(Assumptions!$B$94,MIN(Assumptions!$B$93,AM51-AP51-BE51-BO51-BQ51))</f>
        <v>10000</v>
      </c>
      <c r="AO51" s="32">
        <f t="shared" si="28"/>
        <v>253796.0669</v>
      </c>
      <c r="AP51" s="32">
        <f>IF(AO51&gt;0,Assumptions!$B$33,0)</f>
        <v>2281</v>
      </c>
      <c r="AQ51" s="32">
        <f>AO51*Assumptions!$B$32/12</f>
        <v>822.7222502</v>
      </c>
      <c r="AR51" s="32">
        <f t="shared" si="9"/>
        <v>1458.27775</v>
      </c>
      <c r="AS51" s="32">
        <f t="shared" si="29"/>
        <v>0</v>
      </c>
      <c r="AT51" s="32">
        <f t="shared" si="10"/>
        <v>252337.7891</v>
      </c>
      <c r="AU51" s="32">
        <f t="shared" si="30"/>
        <v>0</v>
      </c>
      <c r="AV51" s="32">
        <f t="shared" si="31"/>
        <v>0</v>
      </c>
      <c r="AW51" s="32">
        <f t="shared" si="32"/>
        <v>0</v>
      </c>
      <c r="AX51" s="32">
        <f t="shared" si="33"/>
        <v>0</v>
      </c>
      <c r="AY51" s="32">
        <f t="shared" si="34"/>
        <v>0</v>
      </c>
      <c r="AZ51" s="32">
        <f t="shared" si="35"/>
        <v>0</v>
      </c>
      <c r="BA51" s="32">
        <f t="shared" si="36"/>
        <v>0</v>
      </c>
      <c r="BB51" s="32">
        <f t="shared" si="37"/>
        <v>0</v>
      </c>
      <c r="BC51" s="32">
        <f t="shared" si="38"/>
        <v>0</v>
      </c>
      <c r="BD51" s="32">
        <f t="shared" si="39"/>
        <v>0</v>
      </c>
      <c r="BE51" s="32">
        <f t="shared" si="11"/>
        <v>0</v>
      </c>
      <c r="BF51" s="32">
        <v>0.0</v>
      </c>
      <c r="BG51" s="32">
        <f t="shared" si="40"/>
        <v>5500</v>
      </c>
      <c r="BH51" s="32">
        <v>0.0</v>
      </c>
      <c r="BI51" s="32">
        <f t="shared" si="41"/>
        <v>5000</v>
      </c>
      <c r="BJ51" s="32">
        <f>IF(OR(B51&lt;Assumptions!$B$111,AND(B51=Assumptions!$B$111,A51&lt;=Assumptions!$B$112)),Assumptions!$B$110,0)</f>
        <v>0</v>
      </c>
      <c r="BK51" s="32">
        <f>IF(B51&lt;2027,Assumptions!$B$116+IF(OR(A51=4,A51=10),Assumptions!$B$117,0),IF(AND(B51=2027,A51&lt;=4),IF(A51=4,MIN(950,Assumptions!$B$116+Assumptions!$B$117),Assumptions!$B$116),0))</f>
        <v>0</v>
      </c>
      <c r="BL51" s="32">
        <f>IF(OR(B51&lt;2030,AND(B51=2030,A51&lt;8)),Assumptions!$B$118,IF(AND(B51=2030,A51=8),MOD(11000,200),0))</f>
        <v>200</v>
      </c>
      <c r="BM51" s="32">
        <f>IF(OR(B51&lt;Assumptions!$B$120,AND(B51=Assumptions!$B$120,A51&lt;=Assumptions!$B$121)),Assumptions!$B$119,0)</f>
        <v>0</v>
      </c>
      <c r="BN51" s="32">
        <f>IF(AND(B51&lt;=Assumptions!$B$123,A51&lt;=Assumptions!$B$124),Assumptions!$B$122,0)</f>
        <v>0</v>
      </c>
      <c r="BO51" s="32">
        <f t="shared" si="12"/>
        <v>200</v>
      </c>
      <c r="BP51" s="32">
        <f>SUMIFS(SL_Budget!$B:$B,SL_Budget!$C:$C,"'"&amp;TEXT(DATE(B51,A51,1),"YYYY-MM"))</f>
        <v>4626</v>
      </c>
      <c r="BQ51" s="32">
        <f>MAX(BP51, IFERROR(SUMIFS(ShadowLedger!D:D, 
  ShadowLedger!C:C, "&gt;="&amp;DATE(B51,A51,1), 
  ShadowLedger!C:C, "&lt;"&amp;EOMONTH(DATE(B51,A51,1),0)+1), 0))
</f>
        <v>4626</v>
      </c>
      <c r="BR51" s="32">
        <f t="shared" si="42"/>
        <v>283129.0298</v>
      </c>
      <c r="BS51" s="32">
        <f t="shared" si="43"/>
        <v>2288.904</v>
      </c>
      <c r="BT51" s="32">
        <f>IF(AS51&gt;0,-MAX(0,21550-MAX(0,MAX(0,(AM51-AP51-BE51-BO51-BQ51)-Assumptions!$B$93))-MIN(MAX(0,21550-MAX(0,MAX(0,(AM51-AP51-BE51-BO51-BQ51)-Assumptions!$B$93))),MAX(0,BY50-Assumptions!$B$91))),IF(BY50&gt;=Assumptions!$B$92,MAX(0,(AM51-AP51-BE51-BO51-BQ51)-Assumptions!$B$93),MAX(0,(AM51-AP51-BE51-BO51-BQ51)-Assumptions!$B$93)*Assumptions!$B$99))</f>
        <v>5855.2704</v>
      </c>
      <c r="BU51" s="32">
        <f>(BR51+BS51+MAX(0,BT51))*(Assumptions!$B$43-1)</f>
        <v>1985.900706</v>
      </c>
      <c r="BV51" s="32">
        <f t="shared" si="13"/>
        <v>293259.1049</v>
      </c>
      <c r="BW51" s="32">
        <f t="shared" si="44"/>
        <v>5350.74928</v>
      </c>
      <c r="BX51" s="32">
        <f>IF(AS51&gt;0,-MIN(MAX(0,21550-MAX(0,MAX(0,(AM51-AP51-BE51-BO51-BQ51)-Assumptions!$B$93))),MAX(0,BY50-Assumptions!$B$91)),IF(BY50&lt;Assumptions!$B$92,MAX(0,(AM51-AP51-BE51-BO51-BQ51)-Assumptions!$B$93)*Assumptions!$B$98,0))</f>
        <v>1463.8176</v>
      </c>
      <c r="BY51" s="32">
        <f t="shared" si="14"/>
        <v>6814.56688</v>
      </c>
      <c r="BZ51" s="32">
        <f t="shared" si="45"/>
        <v>3987</v>
      </c>
      <c r="CA51" s="32">
        <f t="shared" si="15"/>
        <v>3987</v>
      </c>
      <c r="CB51" s="32">
        <f t="shared" si="16"/>
        <v>7974</v>
      </c>
      <c r="CC51" s="55">
        <f>CC50+(G51+J51)/(Salary_Schedule!E51*12/208)</f>
        <v>1754.153071</v>
      </c>
      <c r="CD51" s="55">
        <f>CD50+(O51+R51)/(Salary_Schedule!G51*12/208)</f>
        <v>78.85679557</v>
      </c>
      <c r="CE51" s="32">
        <f t="shared" si="17"/>
        <v>293259.1049</v>
      </c>
      <c r="CF51" s="32">
        <f>Assumptions!$B$55*(1+Assumptions!$B$56)^((B51-2025)+(A51-1)/12)</f>
        <v>560883.1481</v>
      </c>
      <c r="CG51" s="32">
        <f t="shared" si="18"/>
        <v>-252337.7891</v>
      </c>
      <c r="CH51" s="32">
        <f t="shared" si="19"/>
        <v>-33833</v>
      </c>
      <c r="CI51" s="32">
        <f>CC51*(Salary_Schedule!E51/173.33)*(1-Assumptions!$B$28)+CD51*(Salary_Schedule!G51/173.33)*(1-Assumptions!$B$28)</f>
        <v>61003.20914</v>
      </c>
      <c r="CJ51" s="32">
        <f t="shared" si="20"/>
        <v>628974.673</v>
      </c>
    </row>
    <row r="52" ht="15.0" customHeight="1">
      <c r="A52" s="1">
        <v>3.0</v>
      </c>
      <c r="B52" s="1">
        <v>2030.0</v>
      </c>
      <c r="C52" s="1" t="s">
        <v>721</v>
      </c>
      <c r="D52" s="1" t="str">
        <f t="shared" si="21"/>
        <v>02/2030</v>
      </c>
      <c r="E52" s="1" t="str">
        <f t="shared" si="2"/>
        <v>LEAN</v>
      </c>
      <c r="F52" s="32">
        <f>Salary_Schedule!E52</f>
        <v>8953.93</v>
      </c>
      <c r="G52" s="32">
        <f>Assumptions!$B$8</f>
        <v>200</v>
      </c>
      <c r="H52" s="32">
        <f>F52*Assumptions!$B$58</f>
        <v>895.393</v>
      </c>
      <c r="I52" s="32">
        <f>Salary_Schedule!F52</f>
        <v>0</v>
      </c>
      <c r="J52" s="32">
        <f>I52*Assumptions!$B$9</f>
        <v>0</v>
      </c>
      <c r="K52" s="54">
        <f t="shared" si="3"/>
        <v>7858.537</v>
      </c>
      <c r="L52" s="32">
        <f>IF(COUNTIFS(SL_Income_Log!$B:$B,TEXT(B52,"0000")&amp;"-"&amp;TEXT(A52,"00"),SL_Income_Log!$C:$C,"salary",SL_Income_Log!$E:$E,"H")&gt;0,SUMIFS(SL_Income_Log!$D:$D,SL_Income_Log!$B:$B,TEXT(B52,"0000")&amp;"-"&amp;TEXT(A52,"00"),SL_Income_Log!$C:$C,"salary",SL_Income_Log!$E:$E,"H"),K52*(1-Assumptions!$B$102)-Z52-Y52)</f>
        <v>4388.4522</v>
      </c>
      <c r="M52" s="32">
        <f>RSU_Schedule!H51</f>
        <v>0</v>
      </c>
      <c r="N52" s="32">
        <f>Salary_Schedule!G52</f>
        <v>7109.67</v>
      </c>
      <c r="O52" s="32">
        <f>Assumptions!$B$19</f>
        <v>200</v>
      </c>
      <c r="P52" s="32">
        <f>N52*Assumptions!$B$59</f>
        <v>710.967</v>
      </c>
      <c r="Q52" s="32">
        <f>Salary_Schedule!H52</f>
        <v>0</v>
      </c>
      <c r="R52" s="32">
        <f>Q52*Assumptions!$B$20</f>
        <v>0</v>
      </c>
      <c r="S52" s="54">
        <f t="shared" si="4"/>
        <v>6198.703</v>
      </c>
      <c r="T52" s="32">
        <f>IF(COUNTIFS(SL_Income_Log!$B:$B,TEXT(B52,"0000")&amp;"-"&amp;TEXT(A52,"00"),SL_Income_Log!$C:$C,"salary",SL_Income_Log!$E:$E,"W")&gt;0,SUMIFS(SL_Income_Log!$D:$D,SL_Income_Log!$B:$B,TEXT(B52,"0000")&amp;"-"&amp;TEXT(A52,"00"),SL_Income_Log!$C:$C,"salary",SL_Income_Log!$E:$E,"W"),S52*(1-Assumptions!$B$102)-AC52-AB52)
</f>
        <v>3392.5518</v>
      </c>
      <c r="U52" s="32">
        <f>RSU_Schedule!M51</f>
        <v>0</v>
      </c>
      <c r="V52" s="32">
        <f>H52*(1+Assumptions!$B$60)+Assumptions!$B$61</f>
        <v>1273.5502</v>
      </c>
      <c r="W52" s="32">
        <f>P52*(1+Assumptions!$B$60)+Assumptions!$B$61</f>
        <v>1015.3538</v>
      </c>
      <c r="X52" s="32">
        <f t="shared" si="5"/>
        <v>2288.904</v>
      </c>
      <c r="Y52" s="32">
        <f t="shared" si="22"/>
        <v>35</v>
      </c>
      <c r="Z52" s="32">
        <v>291.67</v>
      </c>
      <c r="AA52" s="32">
        <f t="shared" si="23"/>
        <v>11374.83</v>
      </c>
      <c r="AB52" s="32">
        <f t="shared" si="24"/>
        <v>35</v>
      </c>
      <c r="AC52" s="32">
        <v>291.67</v>
      </c>
      <c r="AD52" s="32">
        <f t="shared" si="25"/>
        <v>11374.83</v>
      </c>
      <c r="AE52" s="32">
        <f t="shared" ref="AE52:AF52" si="93">Z52+AC52</f>
        <v>583.34</v>
      </c>
      <c r="AF52" s="32">
        <f t="shared" si="93"/>
        <v>22749.66</v>
      </c>
      <c r="AG52" s="32">
        <f>IF(COUNTIFS(SL_Income_Log!$B:$B,TEXT(B52,"0000")&amp;"-"&amp;TEXT(A52,"00"),SL_Income_Log!$C:$C,"youtube")&gt;0,SUMIFS(SL_Income_Log!$D:$D,SL_Income_Log!$B:$B,TEXT(B52,"0000")&amp;"-"&amp;TEXT(A52,"00"),SL_Income_Log!$C:$C,"youtube"),MIN(Assumptions!$B$49+FLOOR((ROW()-2)/6,1)*Assumptions!$B$50,Assumptions!$B$51))
</f>
        <v>9000</v>
      </c>
      <c r="AH52" s="32">
        <f>AG52*Assumptions!$B$104</f>
        <v>3987</v>
      </c>
      <c r="AI52" s="32">
        <f t="shared" si="7"/>
        <v>5013</v>
      </c>
      <c r="AJ52" s="32">
        <f>SUMIFS(SL_Income_Log!$D:$D,SL_Income_Log!$B:$B,TEXT(B52,"0000")&amp;"-"&amp;TEXT(A52,"00"),SL_Income_Log!$C:$C,"other")</f>
        <v>0</v>
      </c>
      <c r="AK52" s="32">
        <f t="shared" si="27"/>
        <v>10000</v>
      </c>
      <c r="AL52" s="32">
        <f>L52+M52+T52+U52+AI52+AJ52-Y52-Z52-AB52-AC52+IF((Debt_Register!$C$2+Debt_Register!$C$6+Debt_Register!$C$7+Debt_Register!$C$8+Debt_Register!$C$9)&gt;5,X52,0)</f>
        <v>14429.568</v>
      </c>
      <c r="AM52" s="32">
        <f t="shared" si="8"/>
        <v>24429.568</v>
      </c>
      <c r="AN52" s="32">
        <f>MAX(Assumptions!$B$94,MIN(Assumptions!$B$93,AM52-AP52-BE52-BO52-BQ52))</f>
        <v>10000</v>
      </c>
      <c r="AO52" s="32">
        <f t="shared" si="28"/>
        <v>252337.7891</v>
      </c>
      <c r="AP52" s="32">
        <f>IF(AO52&gt;0,Assumptions!$B$33,0)</f>
        <v>2281</v>
      </c>
      <c r="AQ52" s="32">
        <f>AO52*Assumptions!$B$32/12</f>
        <v>817.9949998</v>
      </c>
      <c r="AR52" s="32">
        <f t="shared" si="9"/>
        <v>1463.005</v>
      </c>
      <c r="AS52" s="32">
        <f t="shared" si="29"/>
        <v>0</v>
      </c>
      <c r="AT52" s="32">
        <f t="shared" si="10"/>
        <v>250874.7841</v>
      </c>
      <c r="AU52" s="32">
        <f t="shared" si="30"/>
        <v>0</v>
      </c>
      <c r="AV52" s="32">
        <f t="shared" si="31"/>
        <v>0</v>
      </c>
      <c r="AW52" s="32">
        <f t="shared" si="32"/>
        <v>0</v>
      </c>
      <c r="AX52" s="32">
        <f t="shared" si="33"/>
        <v>0</v>
      </c>
      <c r="AY52" s="32">
        <f t="shared" si="34"/>
        <v>0</v>
      </c>
      <c r="AZ52" s="32">
        <f t="shared" si="35"/>
        <v>0</v>
      </c>
      <c r="BA52" s="32">
        <f t="shared" si="36"/>
        <v>0</v>
      </c>
      <c r="BB52" s="32">
        <f t="shared" si="37"/>
        <v>0</v>
      </c>
      <c r="BC52" s="32">
        <f t="shared" si="38"/>
        <v>0</v>
      </c>
      <c r="BD52" s="32">
        <f t="shared" si="39"/>
        <v>0</v>
      </c>
      <c r="BE52" s="32">
        <f t="shared" si="11"/>
        <v>0</v>
      </c>
      <c r="BF52" s="32">
        <v>0.0</v>
      </c>
      <c r="BG52" s="32">
        <f t="shared" si="40"/>
        <v>5500</v>
      </c>
      <c r="BH52" s="32">
        <v>0.0</v>
      </c>
      <c r="BI52" s="32">
        <f t="shared" si="41"/>
        <v>5000</v>
      </c>
      <c r="BJ52" s="32">
        <f>IF(OR(B52&lt;Assumptions!$B$111,AND(B52=Assumptions!$B$111,A52&lt;=Assumptions!$B$112)),Assumptions!$B$110,0)</f>
        <v>0</v>
      </c>
      <c r="BK52" s="32">
        <f>IF(B52&lt;2027,Assumptions!$B$116+IF(OR(A52=4,A52=10),Assumptions!$B$117,0),IF(AND(B52=2027,A52&lt;=4),IF(A52=4,MIN(950,Assumptions!$B$116+Assumptions!$B$117),Assumptions!$B$116),0))</f>
        <v>0</v>
      </c>
      <c r="BL52" s="32">
        <f>IF(OR(B52&lt;2030,AND(B52=2030,A52&lt;8)),Assumptions!$B$118,IF(AND(B52=2030,A52=8),MOD(11000,200),0))</f>
        <v>200</v>
      </c>
      <c r="BM52" s="32">
        <f>IF(OR(B52&lt;Assumptions!$B$120,AND(B52=Assumptions!$B$120,A52&lt;=Assumptions!$B$121)),Assumptions!$B$119,0)</f>
        <v>0</v>
      </c>
      <c r="BN52" s="32">
        <f>IF(AND(B52&lt;=Assumptions!$B$123,A52&lt;=Assumptions!$B$124),Assumptions!$B$122,0)</f>
        <v>0</v>
      </c>
      <c r="BO52" s="32">
        <f t="shared" si="12"/>
        <v>200</v>
      </c>
      <c r="BP52" s="32">
        <f>SUMIFS(SL_Budget!$B:$B,SL_Budget!$C:$C,"'"&amp;TEXT(DATE(B52,A52,1),"YYYY-MM"))</f>
        <v>4626</v>
      </c>
      <c r="BQ52" s="32">
        <f>MAX(BP52, IFERROR(SUMIFS(ShadowLedger!D:D, 
  ShadowLedger!C:C, "&gt;="&amp;DATE(B52,A52,1), 
  ShadowLedger!C:C, "&lt;"&amp;EOMONTH(DATE(B52,A52,1),0)+1), 0))
</f>
        <v>4626</v>
      </c>
      <c r="BR52" s="32">
        <f t="shared" si="42"/>
        <v>293259.1049</v>
      </c>
      <c r="BS52" s="32">
        <f t="shared" si="43"/>
        <v>2288.904</v>
      </c>
      <c r="BT52" s="32">
        <f>IF(AS52&gt;0,-MAX(0,21550-MAX(0,MAX(0,(AM52-AP52-BE52-BO52-BQ52)-Assumptions!$B$93))-MIN(MAX(0,21550-MAX(0,MAX(0,(AM52-AP52-BE52-BO52-BQ52)-Assumptions!$B$93))),MAX(0,BY51-Assumptions!$B$91))),IF(BY51&gt;=Assumptions!$B$92,MAX(0,(AM52-AP52-BE52-BO52-BQ52)-Assumptions!$B$93),MAX(0,(AM52-AP52-BE52-BO52-BQ52)-Assumptions!$B$93)*Assumptions!$B$99))</f>
        <v>5858.0544</v>
      </c>
      <c r="BU52" s="32">
        <f>(BR52+BS52+MAX(0,BT52))*(Assumptions!$B$43-1)</f>
        <v>2054.986539</v>
      </c>
      <c r="BV52" s="32">
        <f t="shared" si="13"/>
        <v>303461.0498</v>
      </c>
      <c r="BW52" s="32">
        <f t="shared" si="44"/>
        <v>6814.56688</v>
      </c>
      <c r="BX52" s="32">
        <f>IF(AS52&gt;0,-MIN(MAX(0,21550-MAX(0,MAX(0,(AM52-AP52-BE52-BO52-BQ52)-Assumptions!$B$93))),MAX(0,BY51-Assumptions!$B$91)),IF(BY51&lt;Assumptions!$B$92,MAX(0,(AM52-AP52-BE52-BO52-BQ52)-Assumptions!$B$93)*Assumptions!$B$98,0))</f>
        <v>1464.5136</v>
      </c>
      <c r="BY52" s="32">
        <f t="shared" si="14"/>
        <v>8279.08048</v>
      </c>
      <c r="BZ52" s="32">
        <f t="shared" si="45"/>
        <v>7974</v>
      </c>
      <c r="CA52" s="32">
        <f t="shared" si="15"/>
        <v>3987</v>
      </c>
      <c r="CB52" s="32">
        <f t="shared" si="16"/>
        <v>11961</v>
      </c>
      <c r="CC52" s="55">
        <f>CC51+(G52+J52)/(Salary_Schedule!E52*12/208)</f>
        <v>1754.540238</v>
      </c>
      <c r="CD52" s="55">
        <f>CD51+(O52+R52)/(Salary_Schedule!G52*12/208)</f>
        <v>79.34439439</v>
      </c>
      <c r="CE52" s="32">
        <f t="shared" si="17"/>
        <v>303461.0498</v>
      </c>
      <c r="CF52" s="32">
        <f>Assumptions!$B$55*(1+Assumptions!$B$56)^((B52-2025)+(A52-1)/12)</f>
        <v>561579.4777</v>
      </c>
      <c r="CG52" s="32">
        <f t="shared" si="18"/>
        <v>-250874.7841</v>
      </c>
      <c r="CH52" s="32">
        <f t="shared" si="19"/>
        <v>-33249.66</v>
      </c>
      <c r="CI52" s="32">
        <f>CC52*(Salary_Schedule!E52/173.33)*(1-Assumptions!$B$28)+CD52*(Salary_Schedule!G52/173.33)*(1-Assumptions!$B$28)</f>
        <v>61029.20964</v>
      </c>
      <c r="CJ52" s="32">
        <f t="shared" si="20"/>
        <v>641945.293</v>
      </c>
    </row>
    <row r="53" ht="15.0" customHeight="1">
      <c r="A53" s="1">
        <v>4.0</v>
      </c>
      <c r="B53" s="1">
        <v>2030.0</v>
      </c>
      <c r="C53" s="1" t="s">
        <v>722</v>
      </c>
      <c r="D53" s="1" t="str">
        <f t="shared" si="21"/>
        <v>03/2030</v>
      </c>
      <c r="E53" s="1" t="str">
        <f t="shared" si="2"/>
        <v>FAT_BONUS</v>
      </c>
      <c r="F53" s="32">
        <f>Salary_Schedule!E53</f>
        <v>8953.93</v>
      </c>
      <c r="G53" s="32">
        <f>Assumptions!$B$8</f>
        <v>200</v>
      </c>
      <c r="H53" s="32">
        <f>F53*Assumptions!$B$58</f>
        <v>895.393</v>
      </c>
      <c r="I53" s="32">
        <f>Salary_Schedule!F53</f>
        <v>11937.49</v>
      </c>
      <c r="J53" s="32">
        <f>I53*Assumptions!$B$9</f>
        <v>4178.1215</v>
      </c>
      <c r="K53" s="54">
        <f t="shared" si="3"/>
        <v>15617.9055</v>
      </c>
      <c r="L53" s="32">
        <f>IF(COUNTIFS(SL_Income_Log!$B:$B,TEXT(B53,"0000")&amp;"-"&amp;TEXT(A53,"00"),SL_Income_Log!$C:$C,"salary",SL_Income_Log!$E:$E,"H")&gt;0,SUMIFS(SL_Income_Log!$D:$D,SL_Income_Log!$B:$B,TEXT(B53,"0000")&amp;"-"&amp;TEXT(A53,"00"),SL_Income_Log!$C:$C,"salary",SL_Income_Log!$E:$E,"H"),K53*(1-Assumptions!$B$102)-Z53-Y53)</f>
        <v>9044.9533</v>
      </c>
      <c r="M53" s="32">
        <f>RSU_Schedule!H52</f>
        <v>2784.99</v>
      </c>
      <c r="N53" s="32">
        <f>Salary_Schedule!G53</f>
        <v>7109.67</v>
      </c>
      <c r="O53" s="32">
        <f>Assumptions!$B$19</f>
        <v>200</v>
      </c>
      <c r="P53" s="32">
        <f>N53*Assumptions!$B$59</f>
        <v>710.967</v>
      </c>
      <c r="Q53" s="32">
        <f>Salary_Schedule!H53</f>
        <v>9479.69</v>
      </c>
      <c r="R53" s="32">
        <f>Q53*Assumptions!$B$20</f>
        <v>3317.8915</v>
      </c>
      <c r="S53" s="54">
        <f t="shared" si="4"/>
        <v>12360.5015</v>
      </c>
      <c r="T53" s="32">
        <f>IF(COUNTIFS(SL_Income_Log!$B:$B,TEXT(B53,"0000")&amp;"-"&amp;TEXT(A53,"00"),SL_Income_Log!$C:$C,"salary",SL_Income_Log!$E:$E,"W")&gt;0,SUMIFS(SL_Income_Log!$D:$D,SL_Income_Log!$B:$B,TEXT(B53,"0000")&amp;"-"&amp;TEXT(A53,"00"),SL_Income_Log!$C:$C,"salary",SL_Income_Log!$E:$E,"W"),S53*(1-Assumptions!$B$102)-AC53-AB53)
</f>
        <v>7090.5109</v>
      </c>
      <c r="U53" s="32">
        <f>RSU_Schedule!M52</f>
        <v>1392.51</v>
      </c>
      <c r="V53" s="32">
        <f>H53*(1+Assumptions!$B$60)+Assumptions!$B$61</f>
        <v>1273.5502</v>
      </c>
      <c r="W53" s="32">
        <f>P53*(1+Assumptions!$B$60)+Assumptions!$B$61</f>
        <v>1015.3538</v>
      </c>
      <c r="X53" s="32">
        <f t="shared" si="5"/>
        <v>2288.904</v>
      </c>
      <c r="Y53" s="32">
        <f t="shared" si="22"/>
        <v>34.12</v>
      </c>
      <c r="Z53" s="32">
        <v>291.67</v>
      </c>
      <c r="AA53" s="32">
        <f t="shared" si="23"/>
        <v>11083.16</v>
      </c>
      <c r="AB53" s="32">
        <f t="shared" si="24"/>
        <v>34.12</v>
      </c>
      <c r="AC53" s="32">
        <v>291.67</v>
      </c>
      <c r="AD53" s="32">
        <f t="shared" si="25"/>
        <v>11083.16</v>
      </c>
      <c r="AE53" s="32">
        <f t="shared" ref="AE53:AF53" si="94">Z53+AC53</f>
        <v>583.34</v>
      </c>
      <c r="AF53" s="32">
        <f t="shared" si="94"/>
        <v>22166.32</v>
      </c>
      <c r="AG53" s="32">
        <f>IF(COUNTIFS(SL_Income_Log!$B:$B,TEXT(B53,"0000")&amp;"-"&amp;TEXT(A53,"00"),SL_Income_Log!$C:$C,"youtube")&gt;0,SUMIFS(SL_Income_Log!$D:$D,SL_Income_Log!$B:$B,TEXT(B53,"0000")&amp;"-"&amp;TEXT(A53,"00"),SL_Income_Log!$C:$C,"youtube"),MIN(Assumptions!$B$49+FLOOR((ROW()-2)/6,1)*Assumptions!$B$50,Assumptions!$B$51))
</f>
        <v>9000</v>
      </c>
      <c r="AH53" s="32">
        <f>AG53*Assumptions!$B$104</f>
        <v>3987</v>
      </c>
      <c r="AI53" s="32">
        <f t="shared" si="7"/>
        <v>5013</v>
      </c>
      <c r="AJ53" s="32">
        <f>SUMIFS(SL_Income_Log!$D:$D,SL_Income_Log!$B:$B,TEXT(B53,"0000")&amp;"-"&amp;TEXT(A53,"00"),SL_Income_Log!$C:$C,"other")</f>
        <v>0</v>
      </c>
      <c r="AK53" s="32">
        <f t="shared" si="27"/>
        <v>10000</v>
      </c>
      <c r="AL53" s="32">
        <f>L53+M53+T53+U53+AI53+AJ53-Y53-Z53-AB53-AC53+IF((Debt_Register!$C$2+Debt_Register!$C$6+Debt_Register!$C$7+Debt_Register!$C$8+Debt_Register!$C$9)&gt;5,X53,0)</f>
        <v>26963.2882</v>
      </c>
      <c r="AM53" s="32">
        <f t="shared" si="8"/>
        <v>36963.2882</v>
      </c>
      <c r="AN53" s="32">
        <f>MAX(Assumptions!$B$94,MIN(Assumptions!$B$93,AM53-AP53-BE53-BO53-BQ53))</f>
        <v>10000</v>
      </c>
      <c r="AO53" s="32">
        <f t="shared" si="28"/>
        <v>250874.7841</v>
      </c>
      <c r="AP53" s="32">
        <f>IF(AO53&gt;0,Assumptions!$B$33,0)</f>
        <v>2281</v>
      </c>
      <c r="AQ53" s="32">
        <f>AO53*Assumptions!$B$32/12</f>
        <v>813.2524253</v>
      </c>
      <c r="AR53" s="32">
        <f t="shared" si="9"/>
        <v>1467.747575</v>
      </c>
      <c r="AS53" s="32">
        <f t="shared" si="29"/>
        <v>0</v>
      </c>
      <c r="AT53" s="32">
        <f t="shared" si="10"/>
        <v>249407.0366</v>
      </c>
      <c r="AU53" s="32">
        <f t="shared" si="30"/>
        <v>0</v>
      </c>
      <c r="AV53" s="32">
        <f t="shared" si="31"/>
        <v>0</v>
      </c>
      <c r="AW53" s="32">
        <f t="shared" si="32"/>
        <v>0</v>
      </c>
      <c r="AX53" s="32">
        <f t="shared" si="33"/>
        <v>0</v>
      </c>
      <c r="AY53" s="32">
        <f t="shared" si="34"/>
        <v>0</v>
      </c>
      <c r="AZ53" s="32">
        <f t="shared" si="35"/>
        <v>0</v>
      </c>
      <c r="BA53" s="32">
        <f t="shared" si="36"/>
        <v>0</v>
      </c>
      <c r="BB53" s="32">
        <f t="shared" si="37"/>
        <v>0</v>
      </c>
      <c r="BC53" s="32">
        <f t="shared" si="38"/>
        <v>0</v>
      </c>
      <c r="BD53" s="32">
        <f t="shared" si="39"/>
        <v>0</v>
      </c>
      <c r="BE53" s="32">
        <f t="shared" si="11"/>
        <v>0</v>
      </c>
      <c r="BF53" s="32">
        <v>0.0</v>
      </c>
      <c r="BG53" s="32">
        <f t="shared" si="40"/>
        <v>5500</v>
      </c>
      <c r="BH53" s="32">
        <v>0.0</v>
      </c>
      <c r="BI53" s="32">
        <f t="shared" si="41"/>
        <v>5000</v>
      </c>
      <c r="BJ53" s="32">
        <f>IF(OR(B53&lt;Assumptions!$B$111,AND(B53=Assumptions!$B$111,A53&lt;=Assumptions!$B$112)),Assumptions!$B$110,0)</f>
        <v>0</v>
      </c>
      <c r="BK53" s="32">
        <f>IF(B53&lt;2027,Assumptions!$B$116+IF(OR(A53=4,A53=10),Assumptions!$B$117,0),IF(AND(B53=2027,A53&lt;=4),IF(A53=4,MIN(950,Assumptions!$B$116+Assumptions!$B$117),Assumptions!$B$116),0))</f>
        <v>0</v>
      </c>
      <c r="BL53" s="32">
        <f>IF(OR(B53&lt;2030,AND(B53=2030,A53&lt;8)),Assumptions!$B$118,IF(AND(B53=2030,A53=8),MOD(11000,200),0))</f>
        <v>200</v>
      </c>
      <c r="BM53" s="32">
        <f>IF(OR(B53&lt;Assumptions!$B$120,AND(B53=Assumptions!$B$120,A53&lt;=Assumptions!$B$121)),Assumptions!$B$119,0)</f>
        <v>0</v>
      </c>
      <c r="BN53" s="32">
        <f>IF(AND(B53&lt;=Assumptions!$B$123,A53&lt;=Assumptions!$B$124),Assumptions!$B$122,0)</f>
        <v>0</v>
      </c>
      <c r="BO53" s="32">
        <f t="shared" si="12"/>
        <v>200</v>
      </c>
      <c r="BP53" s="32">
        <f>SUMIFS(SL_Budget!$B:$B,SL_Budget!$C:$C,"'"&amp;TEXT(DATE(B53,A53,1),"YYYY-MM"))</f>
        <v>4626</v>
      </c>
      <c r="BQ53" s="32">
        <f>MAX(BP53, IFERROR(SUMIFS(ShadowLedger!D:D, 
  ShadowLedger!C:C, "&gt;="&amp;DATE(B53,A53,1), 
  ShadowLedger!C:C, "&lt;"&amp;EOMONTH(DATE(B53,A53,1),0)+1), 0))
</f>
        <v>4626</v>
      </c>
      <c r="BR53" s="32">
        <f t="shared" si="42"/>
        <v>303461.0498</v>
      </c>
      <c r="BS53" s="32">
        <f t="shared" si="43"/>
        <v>2288.904</v>
      </c>
      <c r="BT53" s="32">
        <f>IF(AS53&gt;0,-MAX(0,21550-MAX(0,MAX(0,(AM53-AP53-BE53-BO53-BQ53)-Assumptions!$B$93))-MIN(MAX(0,21550-MAX(0,MAX(0,(AM53-AP53-BE53-BO53-BQ53)-Assumptions!$B$93))),MAX(0,BY52-Assumptions!$B$91))),IF(BY52&gt;=Assumptions!$B$92,MAX(0,(AM53-AP53-BE53-BO53-BQ53)-Assumptions!$B$93),MAX(0,(AM53-AP53-BE53-BO53-BQ53)-Assumptions!$B$93)*Assumptions!$B$99))</f>
        <v>15885.03056</v>
      </c>
      <c r="BU53" s="32">
        <f>(BR53+BS53+MAX(0,BT53))*(Assumptions!$B$43-1)</f>
        <v>2192.907324</v>
      </c>
      <c r="BV53" s="32">
        <f t="shared" si="13"/>
        <v>323827.8917</v>
      </c>
      <c r="BW53" s="32">
        <f t="shared" si="44"/>
        <v>8279.08048</v>
      </c>
      <c r="BX53" s="32">
        <f>IF(AS53&gt;0,-MIN(MAX(0,21550-MAX(0,MAX(0,(AM53-AP53-BE53-BO53-BQ53)-Assumptions!$B$93))),MAX(0,BY52-Assumptions!$B$91)),IF(BY52&lt;Assumptions!$B$92,MAX(0,(AM53-AP53-BE53-BO53-BQ53)-Assumptions!$B$93)*Assumptions!$B$98,0))</f>
        <v>3971.25764</v>
      </c>
      <c r="BY53" s="32">
        <f t="shared" si="14"/>
        <v>12250.33812</v>
      </c>
      <c r="BZ53" s="32">
        <f t="shared" si="45"/>
        <v>11961</v>
      </c>
      <c r="CA53" s="32">
        <f t="shared" si="15"/>
        <v>3987</v>
      </c>
      <c r="CB53" s="32">
        <f t="shared" si="16"/>
        <v>15948</v>
      </c>
      <c r="CC53" s="55">
        <f>CC52+(G53+J53)/(Salary_Schedule!E53*12/208)</f>
        <v>1763.01556</v>
      </c>
      <c r="CD53" s="55">
        <f>CD52+(O53+R53)/(Salary_Schedule!G53*12/208)</f>
        <v>87.92099302</v>
      </c>
      <c r="CE53" s="32">
        <f t="shared" si="17"/>
        <v>323827.8917</v>
      </c>
      <c r="CF53" s="32">
        <f>Assumptions!$B$55*(1+Assumptions!$B$56)^((B53-2025)+(A53-1)/12)</f>
        <v>562276.6717</v>
      </c>
      <c r="CG53" s="32">
        <f t="shared" si="18"/>
        <v>-249407.0366</v>
      </c>
      <c r="CH53" s="32">
        <f t="shared" si="19"/>
        <v>-32666.32</v>
      </c>
      <c r="CI53" s="32">
        <f>CC53*(Salary_Schedule!E53/173.33)*(1-Assumptions!$B$28)+CD53*(Salary_Schedule!G53/173.33)*(1-Assumptions!$B$28)</f>
        <v>61542.46035</v>
      </c>
      <c r="CJ53" s="32">
        <f t="shared" si="20"/>
        <v>665573.6672</v>
      </c>
    </row>
    <row r="54" ht="15.0" customHeight="1">
      <c r="A54" s="1">
        <v>5.0</v>
      </c>
      <c r="B54" s="1">
        <v>2030.0</v>
      </c>
      <c r="C54" s="1" t="s">
        <v>723</v>
      </c>
      <c r="D54" s="1" t="str">
        <f t="shared" si="21"/>
        <v>04/2030</v>
      </c>
      <c r="E54" s="1" t="str">
        <f t="shared" si="2"/>
        <v>LEAN</v>
      </c>
      <c r="F54" s="32">
        <f>Salary_Schedule!E54</f>
        <v>8953.93</v>
      </c>
      <c r="G54" s="32">
        <f>Assumptions!$B$8</f>
        <v>200</v>
      </c>
      <c r="H54" s="32">
        <f>F54*Assumptions!$B$58</f>
        <v>895.393</v>
      </c>
      <c r="I54" s="32">
        <f>Salary_Schedule!F54</f>
        <v>0</v>
      </c>
      <c r="J54" s="32">
        <f>I54*Assumptions!$B$9</f>
        <v>0</v>
      </c>
      <c r="K54" s="54">
        <f t="shared" si="3"/>
        <v>7858.537</v>
      </c>
      <c r="L54" s="32">
        <f>IF(COUNTIFS(SL_Income_Log!$B:$B,TEXT(B54,"0000")&amp;"-"&amp;TEXT(A54,"00"),SL_Income_Log!$C:$C,"salary",SL_Income_Log!$E:$E,"H")&gt;0,SUMIFS(SL_Income_Log!$D:$D,SL_Income_Log!$B:$B,TEXT(B54,"0000")&amp;"-"&amp;TEXT(A54,"00"),SL_Income_Log!$C:$C,"salary",SL_Income_Log!$E:$E,"H"),K54*(1-Assumptions!$B$102)-Z54-Y54)</f>
        <v>4390.2022</v>
      </c>
      <c r="M54" s="32">
        <f>RSU_Schedule!H53</f>
        <v>0</v>
      </c>
      <c r="N54" s="32">
        <f>Salary_Schedule!G54</f>
        <v>7109.67</v>
      </c>
      <c r="O54" s="32">
        <f>Assumptions!$B$19</f>
        <v>200</v>
      </c>
      <c r="P54" s="32">
        <f>N54*Assumptions!$B$59</f>
        <v>710.967</v>
      </c>
      <c r="Q54" s="32">
        <f>Salary_Schedule!H54</f>
        <v>0</v>
      </c>
      <c r="R54" s="32">
        <f>Q54*Assumptions!$B$20</f>
        <v>0</v>
      </c>
      <c r="S54" s="54">
        <f t="shared" si="4"/>
        <v>6198.703</v>
      </c>
      <c r="T54" s="32">
        <f>IF(COUNTIFS(SL_Income_Log!$B:$B,TEXT(B54,"0000")&amp;"-"&amp;TEXT(A54,"00"),SL_Income_Log!$C:$C,"salary",SL_Income_Log!$E:$E,"W")&gt;0,SUMIFS(SL_Income_Log!$D:$D,SL_Income_Log!$B:$B,TEXT(B54,"0000")&amp;"-"&amp;TEXT(A54,"00"),SL_Income_Log!$C:$C,"salary",SL_Income_Log!$E:$E,"W"),S54*(1-Assumptions!$B$102)-AC54-AB54)
</f>
        <v>3394.3018</v>
      </c>
      <c r="U54" s="32">
        <f>RSU_Schedule!M53</f>
        <v>0</v>
      </c>
      <c r="V54" s="32">
        <f>H54*(1+Assumptions!$B$60)+Assumptions!$B$61</f>
        <v>1273.5502</v>
      </c>
      <c r="W54" s="32">
        <f>P54*(1+Assumptions!$B$60)+Assumptions!$B$61</f>
        <v>1015.3538</v>
      </c>
      <c r="X54" s="32">
        <f t="shared" si="5"/>
        <v>2288.904</v>
      </c>
      <c r="Y54" s="32">
        <f t="shared" si="22"/>
        <v>33.25</v>
      </c>
      <c r="Z54" s="32">
        <v>291.67</v>
      </c>
      <c r="AA54" s="32">
        <f t="shared" si="23"/>
        <v>10791.49</v>
      </c>
      <c r="AB54" s="32">
        <f t="shared" si="24"/>
        <v>33.25</v>
      </c>
      <c r="AC54" s="32">
        <v>291.67</v>
      </c>
      <c r="AD54" s="32">
        <f t="shared" si="25"/>
        <v>10791.49</v>
      </c>
      <c r="AE54" s="32">
        <f t="shared" ref="AE54:AF54" si="95">Z54+AC54</f>
        <v>583.34</v>
      </c>
      <c r="AF54" s="32">
        <f t="shared" si="95"/>
        <v>21582.98</v>
      </c>
      <c r="AG54" s="32">
        <f>IF(COUNTIFS(SL_Income_Log!$B:$B,TEXT(B54,"0000")&amp;"-"&amp;TEXT(A54,"00"),SL_Income_Log!$C:$C,"youtube")&gt;0,SUMIFS(SL_Income_Log!$D:$D,SL_Income_Log!$B:$B,TEXT(B54,"0000")&amp;"-"&amp;TEXT(A54,"00"),SL_Income_Log!$C:$C,"youtube"),MIN(Assumptions!$B$49+FLOOR((ROW()-2)/6,1)*Assumptions!$B$50,Assumptions!$B$51))
</f>
        <v>9000</v>
      </c>
      <c r="AH54" s="32">
        <f>AG54*Assumptions!$B$104</f>
        <v>3987</v>
      </c>
      <c r="AI54" s="32">
        <f t="shared" si="7"/>
        <v>5013</v>
      </c>
      <c r="AJ54" s="32">
        <f>SUMIFS(SL_Income_Log!$D:$D,SL_Income_Log!$B:$B,TEXT(B54,"0000")&amp;"-"&amp;TEXT(A54,"00"),SL_Income_Log!$C:$C,"other")</f>
        <v>0</v>
      </c>
      <c r="AK54" s="32">
        <f t="shared" si="27"/>
        <v>10000</v>
      </c>
      <c r="AL54" s="32">
        <f>L54+M54+T54+U54+AI54+AJ54-Y54-Z54-AB54-AC54+IF((Debt_Register!$C$2+Debt_Register!$C$6+Debt_Register!$C$7+Debt_Register!$C$8+Debt_Register!$C$9)&gt;5,X54,0)</f>
        <v>14436.568</v>
      </c>
      <c r="AM54" s="32">
        <f t="shared" si="8"/>
        <v>24436.568</v>
      </c>
      <c r="AN54" s="32">
        <f>MAX(Assumptions!$B$94,MIN(Assumptions!$B$93,AM54-AP54-BE54-BO54-BQ54))</f>
        <v>10000</v>
      </c>
      <c r="AO54" s="32">
        <f t="shared" si="28"/>
        <v>249407.0366</v>
      </c>
      <c r="AP54" s="32">
        <f>IF(AO54&gt;0,Assumptions!$B$33,0)</f>
        <v>2281</v>
      </c>
      <c r="AQ54" s="32">
        <f>AO54*Assumptions!$B$32/12</f>
        <v>808.4944769</v>
      </c>
      <c r="AR54" s="32">
        <f t="shared" si="9"/>
        <v>1472.505523</v>
      </c>
      <c r="AS54" s="32">
        <f t="shared" si="29"/>
        <v>0</v>
      </c>
      <c r="AT54" s="32">
        <f t="shared" si="10"/>
        <v>247934.531</v>
      </c>
      <c r="AU54" s="32">
        <f t="shared" si="30"/>
        <v>0</v>
      </c>
      <c r="AV54" s="32">
        <f t="shared" si="31"/>
        <v>0</v>
      </c>
      <c r="AW54" s="32">
        <f t="shared" si="32"/>
        <v>0</v>
      </c>
      <c r="AX54" s="32">
        <f t="shared" si="33"/>
        <v>0</v>
      </c>
      <c r="AY54" s="32">
        <f t="shared" si="34"/>
        <v>0</v>
      </c>
      <c r="AZ54" s="32">
        <f t="shared" si="35"/>
        <v>0</v>
      </c>
      <c r="BA54" s="32">
        <f t="shared" si="36"/>
        <v>0</v>
      </c>
      <c r="BB54" s="32">
        <f t="shared" si="37"/>
        <v>0</v>
      </c>
      <c r="BC54" s="32">
        <f t="shared" si="38"/>
        <v>0</v>
      </c>
      <c r="BD54" s="32">
        <f t="shared" si="39"/>
        <v>0</v>
      </c>
      <c r="BE54" s="32">
        <f t="shared" si="11"/>
        <v>0</v>
      </c>
      <c r="BF54" s="32">
        <v>0.0</v>
      </c>
      <c r="BG54" s="32">
        <f t="shared" si="40"/>
        <v>5500</v>
      </c>
      <c r="BH54" s="32">
        <v>0.0</v>
      </c>
      <c r="BI54" s="32">
        <f t="shared" si="41"/>
        <v>5000</v>
      </c>
      <c r="BJ54" s="32">
        <f>IF(OR(B54&lt;Assumptions!$B$111,AND(B54=Assumptions!$B$111,A54&lt;=Assumptions!$B$112)),Assumptions!$B$110,0)</f>
        <v>0</v>
      </c>
      <c r="BK54" s="32">
        <f>IF(B54&lt;2027,Assumptions!$B$116+IF(OR(A54=4,A54=10),Assumptions!$B$117,0),IF(AND(B54=2027,A54&lt;=4),IF(A54=4,MIN(950,Assumptions!$B$116+Assumptions!$B$117),Assumptions!$B$116),0))</f>
        <v>0</v>
      </c>
      <c r="BL54" s="32">
        <f>IF(OR(B54&lt;2030,AND(B54=2030,A54&lt;8)),Assumptions!$B$118,IF(AND(B54=2030,A54=8),MOD(11000,200),0))</f>
        <v>200</v>
      </c>
      <c r="BM54" s="32">
        <f>IF(OR(B54&lt;Assumptions!$B$120,AND(B54=Assumptions!$B$120,A54&lt;=Assumptions!$B$121)),Assumptions!$B$119,0)</f>
        <v>0</v>
      </c>
      <c r="BN54" s="32">
        <f>IF(AND(B54&lt;=Assumptions!$B$123,A54&lt;=Assumptions!$B$124),Assumptions!$B$122,0)</f>
        <v>0</v>
      </c>
      <c r="BO54" s="32">
        <f t="shared" si="12"/>
        <v>200</v>
      </c>
      <c r="BP54" s="32">
        <f>SUMIFS(SL_Budget!$B:$B,SL_Budget!$C:$C,"'"&amp;TEXT(DATE(B54,A54,1),"YYYY-MM"))</f>
        <v>4626</v>
      </c>
      <c r="BQ54" s="32">
        <f>MAX(BP54, IFERROR(SUMIFS(ShadowLedger!D:D, 
  ShadowLedger!C:C, "&gt;="&amp;DATE(B54,A54,1), 
  ShadowLedger!C:C, "&lt;"&amp;EOMONTH(DATE(B54,A54,1),0)+1), 0))
</f>
        <v>4626</v>
      </c>
      <c r="BR54" s="32">
        <f t="shared" si="42"/>
        <v>323827.8917</v>
      </c>
      <c r="BS54" s="32">
        <f t="shared" si="43"/>
        <v>2288.904</v>
      </c>
      <c r="BT54" s="32">
        <f>IF(AS54&gt;0,-MAX(0,21550-MAX(0,MAX(0,(AM54-AP54-BE54-BO54-BQ54)-Assumptions!$B$93))-MIN(MAX(0,21550-MAX(0,MAX(0,(AM54-AP54-BE54-BO54-BQ54)-Assumptions!$B$93))),MAX(0,BY53-Assumptions!$B$91))),IF(BY53&gt;=Assumptions!$B$92,MAX(0,(AM54-AP54-BE54-BO54-BQ54)-Assumptions!$B$93),MAX(0,(AM54-AP54-BE54-BO54-BQ54)-Assumptions!$B$93)*Assumptions!$B$99))</f>
        <v>5863.6544</v>
      </c>
      <c r="BU54" s="32">
        <f>(BR54+BS54+MAX(0,BT54))*(Assumptions!$B$43-1)</f>
        <v>2263.442709</v>
      </c>
      <c r="BV54" s="32">
        <f t="shared" si="13"/>
        <v>334243.8928</v>
      </c>
      <c r="BW54" s="32">
        <f t="shared" si="44"/>
        <v>12250.33812</v>
      </c>
      <c r="BX54" s="32">
        <f>IF(AS54&gt;0,-MIN(MAX(0,21550-MAX(0,MAX(0,(AM54-AP54-BE54-BO54-BQ54)-Assumptions!$B$93))),MAX(0,BY53-Assumptions!$B$91)),IF(BY53&lt;Assumptions!$B$92,MAX(0,(AM54-AP54-BE54-BO54-BQ54)-Assumptions!$B$93)*Assumptions!$B$98,0))</f>
        <v>1465.9136</v>
      </c>
      <c r="BY54" s="32">
        <f t="shared" si="14"/>
        <v>13716.25172</v>
      </c>
      <c r="BZ54" s="32">
        <f t="shared" si="45"/>
        <v>15948</v>
      </c>
      <c r="CA54" s="32">
        <f t="shared" si="15"/>
        <v>3987</v>
      </c>
      <c r="CB54" s="32">
        <f t="shared" si="16"/>
        <v>19935</v>
      </c>
      <c r="CC54" s="55">
        <f>CC53+(G54+J54)/(Salary_Schedule!E54*12/208)</f>
        <v>1763.402727</v>
      </c>
      <c r="CD54" s="55">
        <f>CD53+(O54+R54)/(Salary_Schedule!G54*12/208)</f>
        <v>88.40859184</v>
      </c>
      <c r="CE54" s="32">
        <f t="shared" si="17"/>
        <v>334243.8928</v>
      </c>
      <c r="CF54" s="32">
        <f>Assumptions!$B$55*(1+Assumptions!$B$56)^((B54-2025)+(A54-1)/12)</f>
        <v>562974.7313</v>
      </c>
      <c r="CG54" s="32">
        <f t="shared" si="18"/>
        <v>-247934.531</v>
      </c>
      <c r="CH54" s="32">
        <f t="shared" si="19"/>
        <v>-32082.98</v>
      </c>
      <c r="CI54" s="32">
        <f>CC54*(Salary_Schedule!E54/173.33)*(1-Assumptions!$B$28)+CD54*(Salary_Schedule!G54/173.33)*(1-Assumptions!$B$28)</f>
        <v>61568.46085</v>
      </c>
      <c r="CJ54" s="32">
        <f t="shared" si="20"/>
        <v>678769.5739</v>
      </c>
    </row>
    <row r="55" ht="15.0" customHeight="1">
      <c r="A55" s="1">
        <v>6.0</v>
      </c>
      <c r="B55" s="1">
        <v>2030.0</v>
      </c>
      <c r="C55" s="1" t="s">
        <v>724</v>
      </c>
      <c r="D55" s="1" t="str">
        <f t="shared" si="21"/>
        <v>05/2030</v>
      </c>
      <c r="E55" s="1" t="str">
        <f t="shared" si="2"/>
        <v>LEAN</v>
      </c>
      <c r="F55" s="32">
        <f>Salary_Schedule!E55</f>
        <v>8953.93</v>
      </c>
      <c r="G55" s="32">
        <f>Assumptions!$B$8</f>
        <v>200</v>
      </c>
      <c r="H55" s="32">
        <f>F55*Assumptions!$B$58</f>
        <v>895.393</v>
      </c>
      <c r="I55" s="32">
        <f>Salary_Schedule!F55</f>
        <v>0</v>
      </c>
      <c r="J55" s="32">
        <f>I55*Assumptions!$B$9</f>
        <v>0</v>
      </c>
      <c r="K55" s="54">
        <f t="shared" si="3"/>
        <v>7858.537</v>
      </c>
      <c r="L55" s="32">
        <f>IF(COUNTIFS(SL_Income_Log!$B:$B,TEXT(B55,"0000")&amp;"-"&amp;TEXT(A55,"00"),SL_Income_Log!$C:$C,"salary",SL_Income_Log!$E:$E,"H")&gt;0,SUMIFS(SL_Income_Log!$D:$D,SL_Income_Log!$B:$B,TEXT(B55,"0000")&amp;"-"&amp;TEXT(A55,"00"),SL_Income_Log!$C:$C,"salary",SL_Income_Log!$E:$E,"H"),K55*(1-Assumptions!$B$102)-Z55-Y55)</f>
        <v>4391.0822</v>
      </c>
      <c r="M55" s="32">
        <f>RSU_Schedule!H54</f>
        <v>0</v>
      </c>
      <c r="N55" s="32">
        <f>Salary_Schedule!G55</f>
        <v>7109.67</v>
      </c>
      <c r="O55" s="32">
        <f>Assumptions!$B$19</f>
        <v>200</v>
      </c>
      <c r="P55" s="32">
        <f>N55*Assumptions!$B$59</f>
        <v>710.967</v>
      </c>
      <c r="Q55" s="32">
        <f>Salary_Schedule!H55</f>
        <v>0</v>
      </c>
      <c r="R55" s="32">
        <f>Q55*Assumptions!$B$20</f>
        <v>0</v>
      </c>
      <c r="S55" s="54">
        <f t="shared" si="4"/>
        <v>6198.703</v>
      </c>
      <c r="T55" s="32">
        <f>IF(COUNTIFS(SL_Income_Log!$B:$B,TEXT(B55,"0000")&amp;"-"&amp;TEXT(A55,"00"),SL_Income_Log!$C:$C,"salary",SL_Income_Log!$E:$E,"W")&gt;0,SUMIFS(SL_Income_Log!$D:$D,SL_Income_Log!$B:$B,TEXT(B55,"0000")&amp;"-"&amp;TEXT(A55,"00"),SL_Income_Log!$C:$C,"salary",SL_Income_Log!$E:$E,"W"),S55*(1-Assumptions!$B$102)-AC55-AB55)
</f>
        <v>3395.1818</v>
      </c>
      <c r="U55" s="32">
        <f>RSU_Schedule!M54</f>
        <v>0</v>
      </c>
      <c r="V55" s="32">
        <f>H55*(1+Assumptions!$B$60)+Assumptions!$B$61</f>
        <v>1273.5502</v>
      </c>
      <c r="W55" s="32">
        <f>P55*(1+Assumptions!$B$60)+Assumptions!$B$61</f>
        <v>1015.3538</v>
      </c>
      <c r="X55" s="32">
        <f t="shared" si="5"/>
        <v>2288.904</v>
      </c>
      <c r="Y55" s="32">
        <f t="shared" si="22"/>
        <v>32.37</v>
      </c>
      <c r="Z55" s="32">
        <v>291.67</v>
      </c>
      <c r="AA55" s="32">
        <f t="shared" si="23"/>
        <v>10499.82</v>
      </c>
      <c r="AB55" s="32">
        <f t="shared" si="24"/>
        <v>32.37</v>
      </c>
      <c r="AC55" s="32">
        <v>291.67</v>
      </c>
      <c r="AD55" s="32">
        <f t="shared" si="25"/>
        <v>10499.82</v>
      </c>
      <c r="AE55" s="32">
        <f t="shared" ref="AE55:AF55" si="96">Z55+AC55</f>
        <v>583.34</v>
      </c>
      <c r="AF55" s="32">
        <f t="shared" si="96"/>
        <v>20999.64</v>
      </c>
      <c r="AG55" s="32">
        <f>IF(COUNTIFS(SL_Income_Log!$B:$B,TEXT(B55,"0000")&amp;"-"&amp;TEXT(A55,"00"),SL_Income_Log!$C:$C,"youtube")&gt;0,SUMIFS(SL_Income_Log!$D:$D,SL_Income_Log!$B:$B,TEXT(B55,"0000")&amp;"-"&amp;TEXT(A55,"00"),SL_Income_Log!$C:$C,"youtube"),MIN(Assumptions!$B$49+FLOOR((ROW()-2)/6,1)*Assumptions!$B$50,Assumptions!$B$51))
</f>
        <v>9000</v>
      </c>
      <c r="AH55" s="32">
        <f>AG55*Assumptions!$B$104</f>
        <v>3987</v>
      </c>
      <c r="AI55" s="32">
        <f t="shared" si="7"/>
        <v>5013</v>
      </c>
      <c r="AJ55" s="32">
        <f>SUMIFS(SL_Income_Log!$D:$D,SL_Income_Log!$B:$B,TEXT(B55,"0000")&amp;"-"&amp;TEXT(A55,"00"),SL_Income_Log!$C:$C,"other")</f>
        <v>0</v>
      </c>
      <c r="AK55" s="32">
        <f t="shared" si="27"/>
        <v>10000</v>
      </c>
      <c r="AL55" s="32">
        <f>L55+M55+T55+U55+AI55+AJ55-Y55-Z55-AB55-AC55+IF((Debt_Register!$C$2+Debt_Register!$C$6+Debt_Register!$C$7+Debt_Register!$C$8+Debt_Register!$C$9)&gt;5,X55,0)</f>
        <v>14440.088</v>
      </c>
      <c r="AM55" s="32">
        <f t="shared" si="8"/>
        <v>24440.088</v>
      </c>
      <c r="AN55" s="32">
        <f>MAX(Assumptions!$B$94,MIN(Assumptions!$B$93,AM55-AP55-BE55-BO55-BQ55))</f>
        <v>10000</v>
      </c>
      <c r="AO55" s="32">
        <f t="shared" si="28"/>
        <v>247934.531</v>
      </c>
      <c r="AP55" s="32">
        <f>IF(AO55&gt;0,Assumptions!$B$33,0)</f>
        <v>2281</v>
      </c>
      <c r="AQ55" s="32">
        <f>AO55*Assumptions!$B$32/12</f>
        <v>803.7211048</v>
      </c>
      <c r="AR55" s="32">
        <f t="shared" si="9"/>
        <v>1477.278895</v>
      </c>
      <c r="AS55" s="32">
        <f t="shared" si="29"/>
        <v>0</v>
      </c>
      <c r="AT55" s="32">
        <f t="shared" si="10"/>
        <v>246457.2521</v>
      </c>
      <c r="AU55" s="32">
        <f t="shared" si="30"/>
        <v>0</v>
      </c>
      <c r="AV55" s="32">
        <f t="shared" si="31"/>
        <v>0</v>
      </c>
      <c r="AW55" s="32">
        <f t="shared" si="32"/>
        <v>0</v>
      </c>
      <c r="AX55" s="32">
        <f t="shared" si="33"/>
        <v>0</v>
      </c>
      <c r="AY55" s="32">
        <f t="shared" si="34"/>
        <v>0</v>
      </c>
      <c r="AZ55" s="32">
        <f t="shared" si="35"/>
        <v>0</v>
      </c>
      <c r="BA55" s="32">
        <f t="shared" si="36"/>
        <v>0</v>
      </c>
      <c r="BB55" s="32">
        <f t="shared" si="37"/>
        <v>0</v>
      </c>
      <c r="BC55" s="32">
        <f t="shared" si="38"/>
        <v>0</v>
      </c>
      <c r="BD55" s="32">
        <f t="shared" si="39"/>
        <v>0</v>
      </c>
      <c r="BE55" s="32">
        <f t="shared" si="11"/>
        <v>0</v>
      </c>
      <c r="BF55" s="32">
        <v>0.0</v>
      </c>
      <c r="BG55" s="32">
        <f t="shared" si="40"/>
        <v>5500</v>
      </c>
      <c r="BH55" s="32">
        <v>0.0</v>
      </c>
      <c r="BI55" s="32">
        <f t="shared" si="41"/>
        <v>5000</v>
      </c>
      <c r="BJ55" s="32">
        <f>IF(OR(B55&lt;Assumptions!$B$111,AND(B55=Assumptions!$B$111,A55&lt;=Assumptions!$B$112)),Assumptions!$B$110,0)</f>
        <v>0</v>
      </c>
      <c r="BK55" s="32">
        <f>IF(B55&lt;2027,Assumptions!$B$116+IF(OR(A55=4,A55=10),Assumptions!$B$117,0),IF(AND(B55=2027,A55&lt;=4),IF(A55=4,MIN(950,Assumptions!$B$116+Assumptions!$B$117),Assumptions!$B$116),0))</f>
        <v>0</v>
      </c>
      <c r="BL55" s="32">
        <f>IF(OR(B55&lt;2030,AND(B55=2030,A55&lt;8)),Assumptions!$B$118,IF(AND(B55=2030,A55=8),MOD(11000,200),0))</f>
        <v>200</v>
      </c>
      <c r="BM55" s="32">
        <f>IF(OR(B55&lt;Assumptions!$B$120,AND(B55=Assumptions!$B$120,A55&lt;=Assumptions!$B$121)),Assumptions!$B$119,0)</f>
        <v>0</v>
      </c>
      <c r="BN55" s="32">
        <f>IF(AND(B55&lt;=Assumptions!$B$123,A55&lt;=Assumptions!$B$124),Assumptions!$B$122,0)</f>
        <v>0</v>
      </c>
      <c r="BO55" s="32">
        <f t="shared" si="12"/>
        <v>200</v>
      </c>
      <c r="BP55" s="32">
        <f>SUMIFS(SL_Budget!$B:$B,SL_Budget!$C:$C,"'"&amp;TEXT(DATE(B55,A55,1),"YYYY-MM"))</f>
        <v>4626</v>
      </c>
      <c r="BQ55" s="32">
        <f>MAX(BP55, IFERROR(SUMIFS(ShadowLedger!D:D, 
  ShadowLedger!C:C, "&gt;="&amp;DATE(B55,A55,1), 
  ShadowLedger!C:C, "&lt;"&amp;EOMONTH(DATE(B55,A55,1),0)+1), 0))
</f>
        <v>4626</v>
      </c>
      <c r="BR55" s="32">
        <f t="shared" si="42"/>
        <v>334243.8928</v>
      </c>
      <c r="BS55" s="32">
        <f t="shared" si="43"/>
        <v>2288.904</v>
      </c>
      <c r="BT55" s="32">
        <f>IF(AS55&gt;0,-MAX(0,21550-MAX(0,MAX(0,(AM55-AP55-BE55-BO55-BQ55)-Assumptions!$B$93))-MIN(MAX(0,21550-MAX(0,MAX(0,(AM55-AP55-BE55-BO55-BQ55)-Assumptions!$B$93))),MAX(0,BY54-Assumptions!$B$91))),IF(BY54&gt;=Assumptions!$B$92,MAX(0,(AM55-AP55-BE55-BO55-BQ55)-Assumptions!$B$93),MAX(0,(AM55-AP55-BE55-BO55-BQ55)-Assumptions!$B$93)*Assumptions!$B$99))</f>
        <v>5866.4704</v>
      </c>
      <c r="BU55" s="32">
        <f>(BR55+BS55+MAX(0,BT55))*(Assumptions!$B$43-1)</f>
        <v>2334.478204</v>
      </c>
      <c r="BV55" s="32">
        <f t="shared" si="13"/>
        <v>344733.7454</v>
      </c>
      <c r="BW55" s="32">
        <f t="shared" si="44"/>
        <v>13716.25172</v>
      </c>
      <c r="BX55" s="32">
        <f>IF(AS55&gt;0,-MIN(MAX(0,21550-MAX(0,MAX(0,(AM55-AP55-BE55-BO55-BQ55)-Assumptions!$B$93))),MAX(0,BY54-Assumptions!$B$91)),IF(BY54&lt;Assumptions!$B$92,MAX(0,(AM55-AP55-BE55-BO55-BQ55)-Assumptions!$B$93)*Assumptions!$B$98,0))</f>
        <v>1466.6176</v>
      </c>
      <c r="BY55" s="32">
        <f t="shared" si="14"/>
        <v>15182.86932</v>
      </c>
      <c r="BZ55" s="32">
        <f t="shared" si="45"/>
        <v>19935</v>
      </c>
      <c r="CA55" s="32">
        <f t="shared" si="15"/>
        <v>3987</v>
      </c>
      <c r="CB55" s="32">
        <f t="shared" si="16"/>
        <v>23922</v>
      </c>
      <c r="CC55" s="55">
        <f>CC54+(G55+J55)/(Salary_Schedule!E55*12/208)</f>
        <v>1763.789894</v>
      </c>
      <c r="CD55" s="55">
        <f>CD54+(O55+R55)/(Salary_Schedule!G55*12/208)</f>
        <v>88.89619065</v>
      </c>
      <c r="CE55" s="32">
        <f t="shared" si="17"/>
        <v>344733.7454</v>
      </c>
      <c r="CF55" s="32">
        <f>Assumptions!$B$55*(1+Assumptions!$B$56)^((B55-2025)+(A55-1)/12)</f>
        <v>563673.6575</v>
      </c>
      <c r="CG55" s="32">
        <f t="shared" si="18"/>
        <v>-246457.2521</v>
      </c>
      <c r="CH55" s="32">
        <f t="shared" si="19"/>
        <v>-31499.64</v>
      </c>
      <c r="CI55" s="32">
        <f>CC55*(Salary_Schedule!E55/173.33)*(1-Assumptions!$B$28)+CD55*(Salary_Schedule!G55/173.33)*(1-Assumptions!$B$28)</f>
        <v>61594.46135</v>
      </c>
      <c r="CJ55" s="32">
        <f t="shared" si="20"/>
        <v>692044.9721</v>
      </c>
    </row>
    <row r="56" ht="15.0" customHeight="1">
      <c r="A56" s="1">
        <v>7.0</v>
      </c>
      <c r="B56" s="1">
        <v>2030.0</v>
      </c>
      <c r="C56" s="1" t="s">
        <v>725</v>
      </c>
      <c r="D56" s="1" t="str">
        <f t="shared" si="21"/>
        <v>06/2030</v>
      </c>
      <c r="E56" s="1" t="str">
        <f t="shared" si="2"/>
        <v>FAT_RSU</v>
      </c>
      <c r="F56" s="32">
        <f>Salary_Schedule!E56</f>
        <v>8953.93</v>
      </c>
      <c r="G56" s="32">
        <f>Assumptions!$B$8</f>
        <v>200</v>
      </c>
      <c r="H56" s="32">
        <f>F56*Assumptions!$B$58</f>
        <v>895.393</v>
      </c>
      <c r="I56" s="32">
        <f>Salary_Schedule!F56</f>
        <v>0</v>
      </c>
      <c r="J56" s="32">
        <f>I56*Assumptions!$B$9</f>
        <v>0</v>
      </c>
      <c r="K56" s="54">
        <f t="shared" si="3"/>
        <v>7858.537</v>
      </c>
      <c r="L56" s="32">
        <f>IF(COUNTIFS(SL_Income_Log!$B:$B,TEXT(B56,"0000")&amp;"-"&amp;TEXT(A56,"00"),SL_Income_Log!$C:$C,"salary",SL_Income_Log!$E:$E,"H")&gt;0,SUMIFS(SL_Income_Log!$D:$D,SL_Income_Log!$B:$B,TEXT(B56,"0000")&amp;"-"&amp;TEXT(A56,"00"),SL_Income_Log!$C:$C,"salary",SL_Income_Log!$E:$E,"H"),K56*(1-Assumptions!$B$102)-Z56-Y56)</f>
        <v>4391.9522</v>
      </c>
      <c r="M56" s="32">
        <f>RSU_Schedule!H55</f>
        <v>2784.99</v>
      </c>
      <c r="N56" s="32">
        <f>Salary_Schedule!G56</f>
        <v>7109.67</v>
      </c>
      <c r="O56" s="32">
        <f>Assumptions!$B$19</f>
        <v>200</v>
      </c>
      <c r="P56" s="32">
        <f>N56*Assumptions!$B$59</f>
        <v>710.967</v>
      </c>
      <c r="Q56" s="32">
        <f>Salary_Schedule!H56</f>
        <v>0</v>
      </c>
      <c r="R56" s="32">
        <f>Q56*Assumptions!$B$20</f>
        <v>0</v>
      </c>
      <c r="S56" s="54">
        <f t="shared" si="4"/>
        <v>6198.703</v>
      </c>
      <c r="T56" s="32">
        <f>IF(COUNTIFS(SL_Income_Log!$B:$B,TEXT(B56,"0000")&amp;"-"&amp;TEXT(A56,"00"),SL_Income_Log!$C:$C,"salary",SL_Income_Log!$E:$E,"W")&gt;0,SUMIFS(SL_Income_Log!$D:$D,SL_Income_Log!$B:$B,TEXT(B56,"0000")&amp;"-"&amp;TEXT(A56,"00"),SL_Income_Log!$C:$C,"salary",SL_Income_Log!$E:$E,"W"),S56*(1-Assumptions!$B$102)-AC56-AB56)
</f>
        <v>3396.0518</v>
      </c>
      <c r="U56" s="32">
        <f>RSU_Schedule!M55</f>
        <v>1392.51</v>
      </c>
      <c r="V56" s="32">
        <f>H56*(1+Assumptions!$B$60)+Assumptions!$B$61</f>
        <v>1273.5502</v>
      </c>
      <c r="W56" s="32">
        <f>P56*(1+Assumptions!$B$60)+Assumptions!$B$61</f>
        <v>1015.3538</v>
      </c>
      <c r="X56" s="32">
        <f t="shared" si="5"/>
        <v>2288.904</v>
      </c>
      <c r="Y56" s="32">
        <f t="shared" si="22"/>
        <v>31.5</v>
      </c>
      <c r="Z56" s="32">
        <v>291.67</v>
      </c>
      <c r="AA56" s="32">
        <f t="shared" si="23"/>
        <v>10208.15</v>
      </c>
      <c r="AB56" s="32">
        <f t="shared" si="24"/>
        <v>31.5</v>
      </c>
      <c r="AC56" s="32">
        <v>291.67</v>
      </c>
      <c r="AD56" s="32">
        <f t="shared" si="25"/>
        <v>10208.15</v>
      </c>
      <c r="AE56" s="32">
        <f t="shared" ref="AE56:AF56" si="97">Z56+AC56</f>
        <v>583.34</v>
      </c>
      <c r="AF56" s="32">
        <f t="shared" si="97"/>
        <v>20416.3</v>
      </c>
      <c r="AG56" s="32">
        <f>IF(COUNTIFS(SL_Income_Log!$B:$B,TEXT(B56,"0000")&amp;"-"&amp;TEXT(A56,"00"),SL_Income_Log!$C:$C,"youtube")&gt;0,SUMIFS(SL_Income_Log!$D:$D,SL_Income_Log!$B:$B,TEXT(B56,"0000")&amp;"-"&amp;TEXT(A56,"00"),SL_Income_Log!$C:$C,"youtube"),MIN(Assumptions!$B$49+FLOOR((ROW()-2)/6,1)*Assumptions!$B$50,Assumptions!$B$51))
</f>
        <v>10000</v>
      </c>
      <c r="AH56" s="32">
        <f>AG56*Assumptions!$B$104</f>
        <v>4430</v>
      </c>
      <c r="AI56" s="32">
        <f t="shared" si="7"/>
        <v>5570</v>
      </c>
      <c r="AJ56" s="32">
        <f>SUMIFS(SL_Income_Log!$D:$D,SL_Income_Log!$B:$B,TEXT(B56,"0000")&amp;"-"&amp;TEXT(A56,"00"),SL_Income_Log!$C:$C,"other")</f>
        <v>0</v>
      </c>
      <c r="AK56" s="32">
        <f t="shared" si="27"/>
        <v>10000</v>
      </c>
      <c r="AL56" s="32">
        <f>L56+M56+T56+U56+AI56+AJ56-Y56-Z56-AB56-AC56+IF((Debt_Register!$C$2+Debt_Register!$C$6+Debt_Register!$C$7+Debt_Register!$C$8+Debt_Register!$C$9)&gt;5,X56,0)</f>
        <v>19178.068</v>
      </c>
      <c r="AM56" s="32">
        <f t="shared" si="8"/>
        <v>29178.068</v>
      </c>
      <c r="AN56" s="32">
        <f>MAX(Assumptions!$B$94,MIN(Assumptions!$B$93,AM56-AP56-BE56-BO56-BQ56))</f>
        <v>10000</v>
      </c>
      <c r="AO56" s="32">
        <f t="shared" si="28"/>
        <v>246457.2521</v>
      </c>
      <c r="AP56" s="32">
        <f>IF(AO56&gt;0,Assumptions!$B$33,0)</f>
        <v>2281</v>
      </c>
      <c r="AQ56" s="32">
        <f>AO56*Assumptions!$B$32/12</f>
        <v>798.9322591</v>
      </c>
      <c r="AR56" s="32">
        <f t="shared" si="9"/>
        <v>1482.067741</v>
      </c>
      <c r="AS56" s="32">
        <f t="shared" si="29"/>
        <v>0</v>
      </c>
      <c r="AT56" s="32">
        <f t="shared" si="10"/>
        <v>244975.1844</v>
      </c>
      <c r="AU56" s="32">
        <f t="shared" si="30"/>
        <v>0</v>
      </c>
      <c r="AV56" s="32">
        <f t="shared" si="31"/>
        <v>0</v>
      </c>
      <c r="AW56" s="32">
        <f t="shared" si="32"/>
        <v>0</v>
      </c>
      <c r="AX56" s="32">
        <f t="shared" si="33"/>
        <v>0</v>
      </c>
      <c r="AY56" s="32">
        <f t="shared" si="34"/>
        <v>0</v>
      </c>
      <c r="AZ56" s="32">
        <f t="shared" si="35"/>
        <v>0</v>
      </c>
      <c r="BA56" s="32">
        <f t="shared" si="36"/>
        <v>0</v>
      </c>
      <c r="BB56" s="32">
        <f t="shared" si="37"/>
        <v>0</v>
      </c>
      <c r="BC56" s="32">
        <f t="shared" si="38"/>
        <v>0</v>
      </c>
      <c r="BD56" s="32">
        <f t="shared" si="39"/>
        <v>0</v>
      </c>
      <c r="BE56" s="32">
        <f t="shared" si="11"/>
        <v>0</v>
      </c>
      <c r="BF56" s="32">
        <v>0.0</v>
      </c>
      <c r="BG56" s="32">
        <f t="shared" si="40"/>
        <v>5500</v>
      </c>
      <c r="BH56" s="32">
        <v>0.0</v>
      </c>
      <c r="BI56" s="32">
        <f t="shared" si="41"/>
        <v>5000</v>
      </c>
      <c r="BJ56" s="32">
        <f>IF(OR(B56&lt;Assumptions!$B$111,AND(B56=Assumptions!$B$111,A56&lt;=Assumptions!$B$112)),Assumptions!$B$110,0)</f>
        <v>0</v>
      </c>
      <c r="BK56" s="32">
        <f>IF(B56&lt;2027,Assumptions!$B$116+IF(OR(A56=4,A56=10),Assumptions!$B$117,0),IF(AND(B56=2027,A56&lt;=4),IF(A56=4,MIN(950,Assumptions!$B$116+Assumptions!$B$117),Assumptions!$B$116),0))</f>
        <v>0</v>
      </c>
      <c r="BL56" s="32">
        <f>IF(OR(B56&lt;2030,AND(B56=2030,A56&lt;8)),Assumptions!$B$118,IF(AND(B56=2030,A56=8),MOD(11000,200),0))</f>
        <v>200</v>
      </c>
      <c r="BM56" s="32">
        <f>IF(OR(B56&lt;Assumptions!$B$120,AND(B56=Assumptions!$B$120,A56&lt;=Assumptions!$B$121)),Assumptions!$B$119,0)</f>
        <v>0</v>
      </c>
      <c r="BN56" s="32">
        <f>IF(AND(B56&lt;=Assumptions!$B$123,A56&lt;=Assumptions!$B$124),Assumptions!$B$122,0)</f>
        <v>0</v>
      </c>
      <c r="BO56" s="32">
        <f t="shared" si="12"/>
        <v>200</v>
      </c>
      <c r="BP56" s="32">
        <f>SUMIFS(SL_Budget!$B:$B,SL_Budget!$C:$C,"'"&amp;TEXT(DATE(B56,A56,1),"YYYY-MM"))</f>
        <v>4626</v>
      </c>
      <c r="BQ56" s="32">
        <f>MAX(BP56, IFERROR(SUMIFS(ShadowLedger!D:D, 
  ShadowLedger!C:C, "&gt;="&amp;DATE(B56,A56,1), 
  ShadowLedger!C:C, "&lt;"&amp;EOMONTH(DATE(B56,A56,1),0)+1), 0))
</f>
        <v>4626</v>
      </c>
      <c r="BR56" s="32">
        <f t="shared" si="42"/>
        <v>344733.7454</v>
      </c>
      <c r="BS56" s="32">
        <f t="shared" si="43"/>
        <v>2288.904</v>
      </c>
      <c r="BT56" s="32">
        <f>IF(AS56&gt;0,-MAX(0,21550-MAX(0,MAX(0,(AM56-AP56-BE56-BO56-BQ56)-Assumptions!$B$93))-MIN(MAX(0,21550-MAX(0,MAX(0,(AM56-AP56-BE56-BO56-BQ56)-Assumptions!$B$93))),MAX(0,BY55-Assumptions!$B$91))),IF(BY55&gt;=Assumptions!$B$92,MAX(0,(AM56-AP56-BE56-BO56-BQ56)-Assumptions!$B$93),MAX(0,(AM56-AP56-BE56-BO56-BQ56)-Assumptions!$B$93)*Assumptions!$B$99))</f>
        <v>12071.068</v>
      </c>
      <c r="BU56" s="32">
        <f>(BR56+BS56+MAX(0,BT56))*(Assumptions!$B$43-1)</f>
        <v>2448.300965</v>
      </c>
      <c r="BV56" s="32">
        <f t="shared" si="13"/>
        <v>361542.0184</v>
      </c>
      <c r="BW56" s="32">
        <f t="shared" si="44"/>
        <v>15182.86932</v>
      </c>
      <c r="BX56" s="32">
        <f>IF(AS56&gt;0,-MIN(MAX(0,21550-MAX(0,MAX(0,(AM56-AP56-BE56-BO56-BQ56)-Assumptions!$B$93))),MAX(0,BY55-Assumptions!$B$91)),IF(BY55&lt;Assumptions!$B$92,MAX(0,(AM56-AP56-BE56-BO56-BQ56)-Assumptions!$B$93)*Assumptions!$B$98,0))</f>
        <v>0</v>
      </c>
      <c r="BY56" s="32">
        <f t="shared" si="14"/>
        <v>15182.86932</v>
      </c>
      <c r="BZ56" s="32">
        <f t="shared" si="45"/>
        <v>23922</v>
      </c>
      <c r="CA56" s="32">
        <f t="shared" si="15"/>
        <v>4430</v>
      </c>
      <c r="CB56" s="32">
        <f t="shared" si="16"/>
        <v>28352</v>
      </c>
      <c r="CC56" s="55">
        <f>CC55+(G56+J56)/(Salary_Schedule!E56*12/208)</f>
        <v>1764.177061</v>
      </c>
      <c r="CD56" s="55">
        <f>CD55+(O56+R56)/(Salary_Schedule!G56*12/208)</f>
        <v>89.38378947</v>
      </c>
      <c r="CE56" s="32">
        <f t="shared" si="17"/>
        <v>361542.0184</v>
      </c>
      <c r="CF56" s="32">
        <f>Assumptions!$B$55*(1+Assumptions!$B$56)^((B56-2025)+(A56-1)/12)</f>
        <v>564373.4514</v>
      </c>
      <c r="CG56" s="32">
        <f t="shared" si="18"/>
        <v>-244975.1844</v>
      </c>
      <c r="CH56" s="32">
        <f t="shared" si="19"/>
        <v>-30916.3</v>
      </c>
      <c r="CI56" s="32">
        <f>CC56*(Salary_Schedule!E56/173.33)*(1-Assumptions!$B$28)+CD56*(Salary_Schedule!G56/173.33)*(1-Assumptions!$B$28)</f>
        <v>61620.46185</v>
      </c>
      <c r="CJ56" s="32">
        <f t="shared" si="20"/>
        <v>711644.4473</v>
      </c>
    </row>
    <row r="57" ht="15.0" customHeight="1">
      <c r="A57" s="1">
        <v>8.0</v>
      </c>
      <c r="B57" s="1">
        <v>2030.0</v>
      </c>
      <c r="C57" s="1" t="s">
        <v>726</v>
      </c>
      <c r="D57" s="1" t="str">
        <f t="shared" si="21"/>
        <v>07/2030</v>
      </c>
      <c r="E57" s="1" t="str">
        <f t="shared" si="2"/>
        <v>LEAN</v>
      </c>
      <c r="F57" s="32">
        <f>Salary_Schedule!E57</f>
        <v>8953.93</v>
      </c>
      <c r="G57" s="32">
        <f>Assumptions!$B$8</f>
        <v>200</v>
      </c>
      <c r="H57" s="32">
        <f>F57*Assumptions!$B$58</f>
        <v>895.393</v>
      </c>
      <c r="I57" s="32">
        <f>Salary_Schedule!F57</f>
        <v>0</v>
      </c>
      <c r="J57" s="32">
        <f>I57*Assumptions!$B$9</f>
        <v>0</v>
      </c>
      <c r="K57" s="54">
        <f t="shared" si="3"/>
        <v>7858.537</v>
      </c>
      <c r="L57" s="32">
        <f>IF(COUNTIFS(SL_Income_Log!$B:$B,TEXT(B57,"0000")&amp;"-"&amp;TEXT(A57,"00"),SL_Income_Log!$C:$C,"salary",SL_Income_Log!$E:$E,"H")&gt;0,SUMIFS(SL_Income_Log!$D:$D,SL_Income_Log!$B:$B,TEXT(B57,"0000")&amp;"-"&amp;TEXT(A57,"00"),SL_Income_Log!$C:$C,"salary",SL_Income_Log!$E:$E,"H"),K57*(1-Assumptions!$B$102)-Z57-Y57)</f>
        <v>4392.8322</v>
      </c>
      <c r="M57" s="32">
        <f>RSU_Schedule!H56</f>
        <v>0</v>
      </c>
      <c r="N57" s="32">
        <f>Salary_Schedule!G57</f>
        <v>7109.67</v>
      </c>
      <c r="O57" s="32">
        <f>Assumptions!$B$19</f>
        <v>200</v>
      </c>
      <c r="P57" s="32">
        <f>N57*Assumptions!$B$59</f>
        <v>710.967</v>
      </c>
      <c r="Q57" s="32">
        <f>Salary_Schedule!H57</f>
        <v>0</v>
      </c>
      <c r="R57" s="32">
        <f>Q57*Assumptions!$B$20</f>
        <v>0</v>
      </c>
      <c r="S57" s="54">
        <f t="shared" si="4"/>
        <v>6198.703</v>
      </c>
      <c r="T57" s="32">
        <f>IF(COUNTIFS(SL_Income_Log!$B:$B,TEXT(B57,"0000")&amp;"-"&amp;TEXT(A57,"00"),SL_Income_Log!$C:$C,"salary",SL_Income_Log!$E:$E,"W")&gt;0,SUMIFS(SL_Income_Log!$D:$D,SL_Income_Log!$B:$B,TEXT(B57,"0000")&amp;"-"&amp;TEXT(A57,"00"),SL_Income_Log!$C:$C,"salary",SL_Income_Log!$E:$E,"W"),S57*(1-Assumptions!$B$102)-AC57-AB57)
</f>
        <v>3396.9318</v>
      </c>
      <c r="U57" s="32">
        <f>RSU_Schedule!M56</f>
        <v>0</v>
      </c>
      <c r="V57" s="32">
        <f>H57*(1+Assumptions!$B$60)+Assumptions!$B$61</f>
        <v>1273.5502</v>
      </c>
      <c r="W57" s="32">
        <f>P57*(1+Assumptions!$B$60)+Assumptions!$B$61</f>
        <v>1015.3538</v>
      </c>
      <c r="X57" s="32">
        <f t="shared" si="5"/>
        <v>2288.904</v>
      </c>
      <c r="Y57" s="32">
        <f t="shared" si="22"/>
        <v>30.62</v>
      </c>
      <c r="Z57" s="32">
        <v>291.67</v>
      </c>
      <c r="AA57" s="32">
        <f t="shared" si="23"/>
        <v>9916.48</v>
      </c>
      <c r="AB57" s="32">
        <f t="shared" si="24"/>
        <v>30.62</v>
      </c>
      <c r="AC57" s="32">
        <v>291.67</v>
      </c>
      <c r="AD57" s="32">
        <f t="shared" si="25"/>
        <v>9916.48</v>
      </c>
      <c r="AE57" s="32">
        <f t="shared" ref="AE57:AF57" si="98">Z57+AC57</f>
        <v>583.34</v>
      </c>
      <c r="AF57" s="32">
        <f t="shared" si="98"/>
        <v>19832.96</v>
      </c>
      <c r="AG57" s="32">
        <f>IF(COUNTIFS(SL_Income_Log!$B:$B,TEXT(B57,"0000")&amp;"-"&amp;TEXT(A57,"00"),SL_Income_Log!$C:$C,"youtube")&gt;0,SUMIFS(SL_Income_Log!$D:$D,SL_Income_Log!$B:$B,TEXT(B57,"0000")&amp;"-"&amp;TEXT(A57,"00"),SL_Income_Log!$C:$C,"youtube"),MIN(Assumptions!$B$49+FLOOR((ROW()-2)/6,1)*Assumptions!$B$50,Assumptions!$B$51))
</f>
        <v>10000</v>
      </c>
      <c r="AH57" s="32">
        <f>AG57*Assumptions!$B$104</f>
        <v>4430</v>
      </c>
      <c r="AI57" s="32">
        <f t="shared" si="7"/>
        <v>5570</v>
      </c>
      <c r="AJ57" s="32">
        <f>SUMIFS(SL_Income_Log!$D:$D,SL_Income_Log!$B:$B,TEXT(B57,"0000")&amp;"-"&amp;TEXT(A57,"00"),SL_Income_Log!$C:$C,"other")</f>
        <v>0</v>
      </c>
      <c r="AK57" s="32">
        <f t="shared" si="27"/>
        <v>10000</v>
      </c>
      <c r="AL57" s="32">
        <f>L57+M57+T57+U57+AI57+AJ57-Y57-Z57-AB57-AC57+IF((Debt_Register!$C$2+Debt_Register!$C$6+Debt_Register!$C$7+Debt_Register!$C$8+Debt_Register!$C$9)&gt;5,X57,0)</f>
        <v>15004.088</v>
      </c>
      <c r="AM57" s="32">
        <f t="shared" si="8"/>
        <v>25004.088</v>
      </c>
      <c r="AN57" s="32">
        <f>MAX(Assumptions!$B$94,MIN(Assumptions!$B$93,AM57-AP57-BE57-BO57-BQ57))</f>
        <v>10000</v>
      </c>
      <c r="AO57" s="32">
        <f t="shared" si="28"/>
        <v>244975.1844</v>
      </c>
      <c r="AP57" s="32">
        <f>IF(AO57&gt;0,Assumptions!$B$33,0)</f>
        <v>2281</v>
      </c>
      <c r="AQ57" s="32">
        <f>AO57*Assumptions!$B$32/12</f>
        <v>794.1278895</v>
      </c>
      <c r="AR57" s="32">
        <f t="shared" si="9"/>
        <v>1486.872111</v>
      </c>
      <c r="AS57" s="32">
        <f t="shared" si="29"/>
        <v>0</v>
      </c>
      <c r="AT57" s="32">
        <f t="shared" si="10"/>
        <v>243488.3123</v>
      </c>
      <c r="AU57" s="32">
        <f t="shared" si="30"/>
        <v>0</v>
      </c>
      <c r="AV57" s="32">
        <f t="shared" si="31"/>
        <v>0</v>
      </c>
      <c r="AW57" s="32">
        <f t="shared" si="32"/>
        <v>0</v>
      </c>
      <c r="AX57" s="32">
        <f t="shared" si="33"/>
        <v>0</v>
      </c>
      <c r="AY57" s="32">
        <f t="shared" si="34"/>
        <v>0</v>
      </c>
      <c r="AZ57" s="32">
        <f t="shared" si="35"/>
        <v>0</v>
      </c>
      <c r="BA57" s="32">
        <f t="shared" si="36"/>
        <v>0</v>
      </c>
      <c r="BB57" s="32">
        <f t="shared" si="37"/>
        <v>0</v>
      </c>
      <c r="BC57" s="32">
        <f t="shared" si="38"/>
        <v>0</v>
      </c>
      <c r="BD57" s="32">
        <f t="shared" si="39"/>
        <v>0</v>
      </c>
      <c r="BE57" s="32">
        <f t="shared" si="11"/>
        <v>0</v>
      </c>
      <c r="BF57" s="32">
        <v>0.0</v>
      </c>
      <c r="BG57" s="32">
        <f t="shared" si="40"/>
        <v>5500</v>
      </c>
      <c r="BH57" s="32">
        <v>0.0</v>
      </c>
      <c r="BI57" s="32">
        <f t="shared" si="41"/>
        <v>5000</v>
      </c>
      <c r="BJ57" s="32">
        <f>IF(OR(B57&lt;Assumptions!$B$111,AND(B57=Assumptions!$B$111,A57&lt;=Assumptions!$B$112)),Assumptions!$B$110,0)</f>
        <v>0</v>
      </c>
      <c r="BK57" s="32">
        <f>IF(B57&lt;2027,Assumptions!$B$116+IF(OR(A57=4,A57=10),Assumptions!$B$117,0),IF(AND(B57=2027,A57&lt;=4),IF(A57=4,MIN(950,Assumptions!$B$116+Assumptions!$B$117),Assumptions!$B$116),0))</f>
        <v>0</v>
      </c>
      <c r="BL57" s="32">
        <f>IF(OR(B57&lt;2030,AND(B57=2030,A57&lt;8)),Assumptions!$B$118,IF(AND(B57=2030,A57=8),MOD(11000,200),0))</f>
        <v>0</v>
      </c>
      <c r="BM57" s="32">
        <f>IF(OR(B57&lt;Assumptions!$B$120,AND(B57=Assumptions!$B$120,A57&lt;=Assumptions!$B$121)),Assumptions!$B$119,0)</f>
        <v>0</v>
      </c>
      <c r="BN57" s="32">
        <f>IF(AND(B57&lt;=Assumptions!$B$123,A57&lt;=Assumptions!$B$124),Assumptions!$B$122,0)</f>
        <v>0</v>
      </c>
      <c r="BO57" s="32">
        <f t="shared" si="12"/>
        <v>0</v>
      </c>
      <c r="BP57" s="32">
        <f>SUMIFS(SL_Budget!$B:$B,SL_Budget!$C:$C,"'"&amp;TEXT(DATE(B57,A57,1),"YYYY-MM"))</f>
        <v>4626</v>
      </c>
      <c r="BQ57" s="32">
        <f>MAX(BP57, IFERROR(SUMIFS(ShadowLedger!D:D, 
  ShadowLedger!C:C, "&gt;="&amp;DATE(B57,A57,1), 
  ShadowLedger!C:C, "&lt;"&amp;EOMONTH(DATE(B57,A57,1),0)+1), 0))
</f>
        <v>4626</v>
      </c>
      <c r="BR57" s="32">
        <f t="shared" si="42"/>
        <v>361542.0184</v>
      </c>
      <c r="BS57" s="32">
        <f t="shared" si="43"/>
        <v>2288.904</v>
      </c>
      <c r="BT57" s="32">
        <f>IF(AS57&gt;0,-MAX(0,21550-MAX(0,MAX(0,(AM57-AP57-BE57-BO57-BQ57)-Assumptions!$B$93))-MIN(MAX(0,21550-MAX(0,MAX(0,(AM57-AP57-BE57-BO57-BQ57)-Assumptions!$B$93))),MAX(0,BY56-Assumptions!$B$91))),IF(BY56&gt;=Assumptions!$B$92,MAX(0,(AM57-AP57-BE57-BO57-BQ57)-Assumptions!$B$93),MAX(0,(AM57-AP57-BE57-BO57-BQ57)-Assumptions!$B$93)*Assumptions!$B$99))</f>
        <v>8097.088</v>
      </c>
      <c r="BU57" s="32">
        <f>(BR57+BS57+MAX(0,BT57))*(Assumptions!$B$43-1)</f>
        <v>2535.805175</v>
      </c>
      <c r="BV57" s="32">
        <f t="shared" si="13"/>
        <v>374463.8156</v>
      </c>
      <c r="BW57" s="32">
        <f t="shared" si="44"/>
        <v>15182.86932</v>
      </c>
      <c r="BX57" s="32">
        <f>IF(AS57&gt;0,-MIN(MAX(0,21550-MAX(0,MAX(0,(AM57-AP57-BE57-BO57-BQ57)-Assumptions!$B$93))),MAX(0,BY56-Assumptions!$B$91)),IF(BY56&lt;Assumptions!$B$92,MAX(0,(AM57-AP57-BE57-BO57-BQ57)-Assumptions!$B$93)*Assumptions!$B$98,0))</f>
        <v>0</v>
      </c>
      <c r="BY57" s="32">
        <f t="shared" si="14"/>
        <v>15182.86932</v>
      </c>
      <c r="BZ57" s="32">
        <f t="shared" si="45"/>
        <v>28352</v>
      </c>
      <c r="CA57" s="32">
        <f t="shared" si="15"/>
        <v>4430</v>
      </c>
      <c r="CB57" s="32">
        <f t="shared" si="16"/>
        <v>32782</v>
      </c>
      <c r="CC57" s="55">
        <f>CC56+(G57+J57)/(Salary_Schedule!E57*12/208)</f>
        <v>1764.564228</v>
      </c>
      <c r="CD57" s="55">
        <f>CD56+(O57+R57)/(Salary_Schedule!G57*12/208)</f>
        <v>89.87138828</v>
      </c>
      <c r="CE57" s="32">
        <f t="shared" si="17"/>
        <v>374463.8156</v>
      </c>
      <c r="CF57" s="32">
        <f>Assumptions!$B$55*(1+Assumptions!$B$56)^((B57-2025)+(A57-1)/12)</f>
        <v>565074.1141</v>
      </c>
      <c r="CG57" s="32">
        <f t="shared" si="18"/>
        <v>-243488.3123</v>
      </c>
      <c r="CH57" s="32">
        <f t="shared" si="19"/>
        <v>-30332.96</v>
      </c>
      <c r="CI57" s="32">
        <f>CC57*(Salary_Schedule!E57/173.33)*(1-Assumptions!$B$28)+CD57*(Salary_Schedule!G57/173.33)*(1-Assumptions!$B$28)</f>
        <v>61646.46235</v>
      </c>
      <c r="CJ57" s="32">
        <f t="shared" si="20"/>
        <v>727363.1198</v>
      </c>
    </row>
    <row r="58" ht="15.0" customHeight="1">
      <c r="A58" s="1">
        <v>9.0</v>
      </c>
      <c r="B58" s="1">
        <v>2030.0</v>
      </c>
      <c r="C58" s="1" t="s">
        <v>727</v>
      </c>
      <c r="D58" s="1" t="str">
        <f t="shared" si="21"/>
        <v>08/2030</v>
      </c>
      <c r="E58" s="1" t="str">
        <f t="shared" si="2"/>
        <v>LEAN</v>
      </c>
      <c r="F58" s="32">
        <f>Salary_Schedule!E58</f>
        <v>8953.93</v>
      </c>
      <c r="G58" s="32">
        <f>Assumptions!$B$8</f>
        <v>200</v>
      </c>
      <c r="H58" s="32">
        <f>F58*Assumptions!$B$58</f>
        <v>895.393</v>
      </c>
      <c r="I58" s="32">
        <f>Salary_Schedule!F58</f>
        <v>0</v>
      </c>
      <c r="J58" s="32">
        <f>I58*Assumptions!$B$9</f>
        <v>0</v>
      </c>
      <c r="K58" s="54">
        <f t="shared" si="3"/>
        <v>7858.537</v>
      </c>
      <c r="L58" s="32">
        <f>IF(COUNTIFS(SL_Income_Log!$B:$B,TEXT(B58,"0000")&amp;"-"&amp;TEXT(A58,"00"),SL_Income_Log!$C:$C,"salary",SL_Income_Log!$E:$E,"H")&gt;0,SUMIFS(SL_Income_Log!$D:$D,SL_Income_Log!$B:$B,TEXT(B58,"0000")&amp;"-"&amp;TEXT(A58,"00"),SL_Income_Log!$C:$C,"salary",SL_Income_Log!$E:$E,"H"),K58*(1-Assumptions!$B$102)-Z58-Y58)</f>
        <v>4393.7022</v>
      </c>
      <c r="M58" s="32">
        <f>RSU_Schedule!H57</f>
        <v>0</v>
      </c>
      <c r="N58" s="32">
        <f>Salary_Schedule!G58</f>
        <v>7109.67</v>
      </c>
      <c r="O58" s="32">
        <f>Assumptions!$B$19</f>
        <v>200</v>
      </c>
      <c r="P58" s="32">
        <f>N58*Assumptions!$B$59</f>
        <v>710.967</v>
      </c>
      <c r="Q58" s="32">
        <f>Salary_Schedule!H58</f>
        <v>0</v>
      </c>
      <c r="R58" s="32">
        <f>Q58*Assumptions!$B$20</f>
        <v>0</v>
      </c>
      <c r="S58" s="54">
        <f t="shared" si="4"/>
        <v>6198.703</v>
      </c>
      <c r="T58" s="32">
        <f>IF(COUNTIFS(SL_Income_Log!$B:$B,TEXT(B58,"0000")&amp;"-"&amp;TEXT(A58,"00"),SL_Income_Log!$C:$C,"salary",SL_Income_Log!$E:$E,"W")&gt;0,SUMIFS(SL_Income_Log!$D:$D,SL_Income_Log!$B:$B,TEXT(B58,"0000")&amp;"-"&amp;TEXT(A58,"00"),SL_Income_Log!$C:$C,"salary",SL_Income_Log!$E:$E,"W"),S58*(1-Assumptions!$B$102)-AC58-AB58)
</f>
        <v>3397.8018</v>
      </c>
      <c r="U58" s="32">
        <f>RSU_Schedule!M57</f>
        <v>0</v>
      </c>
      <c r="V58" s="32">
        <f>H58*(1+Assumptions!$B$60)+Assumptions!$B$61</f>
        <v>1273.5502</v>
      </c>
      <c r="W58" s="32">
        <f>P58*(1+Assumptions!$B$60)+Assumptions!$B$61</f>
        <v>1015.3538</v>
      </c>
      <c r="X58" s="32">
        <f t="shared" si="5"/>
        <v>2288.904</v>
      </c>
      <c r="Y58" s="32">
        <f t="shared" si="22"/>
        <v>29.75</v>
      </c>
      <c r="Z58" s="32">
        <v>291.67</v>
      </c>
      <c r="AA58" s="32">
        <f t="shared" si="23"/>
        <v>9624.81</v>
      </c>
      <c r="AB58" s="32">
        <f t="shared" si="24"/>
        <v>29.75</v>
      </c>
      <c r="AC58" s="32">
        <v>291.67</v>
      </c>
      <c r="AD58" s="32">
        <f t="shared" si="25"/>
        <v>9624.81</v>
      </c>
      <c r="AE58" s="32">
        <f t="shared" ref="AE58:AF58" si="99">Z58+AC58</f>
        <v>583.34</v>
      </c>
      <c r="AF58" s="32">
        <f t="shared" si="99"/>
        <v>19249.62</v>
      </c>
      <c r="AG58" s="32">
        <f>IF(COUNTIFS(SL_Income_Log!$B:$B,TEXT(B58,"0000")&amp;"-"&amp;TEXT(A58,"00"),SL_Income_Log!$C:$C,"youtube")&gt;0,SUMIFS(SL_Income_Log!$D:$D,SL_Income_Log!$B:$B,TEXT(B58,"0000")&amp;"-"&amp;TEXT(A58,"00"),SL_Income_Log!$C:$C,"youtube"),MIN(Assumptions!$B$49+FLOOR((ROW()-2)/6,1)*Assumptions!$B$50,Assumptions!$B$51))
</f>
        <v>10000</v>
      </c>
      <c r="AH58" s="32">
        <f>AG58*Assumptions!$B$104</f>
        <v>4430</v>
      </c>
      <c r="AI58" s="32">
        <f t="shared" si="7"/>
        <v>5570</v>
      </c>
      <c r="AJ58" s="32">
        <f>SUMIFS(SL_Income_Log!$D:$D,SL_Income_Log!$B:$B,TEXT(B58,"0000")&amp;"-"&amp;TEXT(A58,"00"),SL_Income_Log!$C:$C,"other")</f>
        <v>0</v>
      </c>
      <c r="AK58" s="32">
        <f t="shared" si="27"/>
        <v>10000</v>
      </c>
      <c r="AL58" s="32">
        <f>L58+M58+T58+U58+AI58+AJ58-Y58-Z58-AB58-AC58+IF((Debt_Register!$C$2+Debt_Register!$C$6+Debt_Register!$C$7+Debt_Register!$C$8+Debt_Register!$C$9)&gt;5,X58,0)</f>
        <v>15007.568</v>
      </c>
      <c r="AM58" s="32">
        <f t="shared" si="8"/>
        <v>25007.568</v>
      </c>
      <c r="AN58" s="32">
        <f>MAX(Assumptions!$B$94,MIN(Assumptions!$B$93,AM58-AP58-BE58-BO58-BQ58))</f>
        <v>10000</v>
      </c>
      <c r="AO58" s="32">
        <f t="shared" si="28"/>
        <v>243488.3123</v>
      </c>
      <c r="AP58" s="32">
        <f>IF(AO58&gt;0,Assumptions!$B$33,0)</f>
        <v>2281</v>
      </c>
      <c r="AQ58" s="32">
        <f>AO58*Assumptions!$B$32/12</f>
        <v>789.3079457</v>
      </c>
      <c r="AR58" s="32">
        <f t="shared" si="9"/>
        <v>1491.692054</v>
      </c>
      <c r="AS58" s="32">
        <f t="shared" si="29"/>
        <v>0</v>
      </c>
      <c r="AT58" s="32">
        <f t="shared" si="10"/>
        <v>241996.6202</v>
      </c>
      <c r="AU58" s="32">
        <f t="shared" si="30"/>
        <v>0</v>
      </c>
      <c r="AV58" s="32">
        <f t="shared" si="31"/>
        <v>0</v>
      </c>
      <c r="AW58" s="32">
        <f t="shared" si="32"/>
        <v>0</v>
      </c>
      <c r="AX58" s="32">
        <f t="shared" si="33"/>
        <v>0</v>
      </c>
      <c r="AY58" s="32">
        <f t="shared" si="34"/>
        <v>0</v>
      </c>
      <c r="AZ58" s="32">
        <f t="shared" si="35"/>
        <v>0</v>
      </c>
      <c r="BA58" s="32">
        <f t="shared" si="36"/>
        <v>0</v>
      </c>
      <c r="BB58" s="32">
        <f t="shared" si="37"/>
        <v>0</v>
      </c>
      <c r="BC58" s="32">
        <f t="shared" si="38"/>
        <v>0</v>
      </c>
      <c r="BD58" s="32">
        <f t="shared" si="39"/>
        <v>0</v>
      </c>
      <c r="BE58" s="32">
        <f t="shared" si="11"/>
        <v>0</v>
      </c>
      <c r="BF58" s="32">
        <v>0.0</v>
      </c>
      <c r="BG58" s="32">
        <f t="shared" si="40"/>
        <v>5500</v>
      </c>
      <c r="BH58" s="32">
        <v>0.0</v>
      </c>
      <c r="BI58" s="32">
        <f t="shared" si="41"/>
        <v>5000</v>
      </c>
      <c r="BJ58" s="32">
        <f>IF(OR(B58&lt;Assumptions!$B$111,AND(B58=Assumptions!$B$111,A58&lt;=Assumptions!$B$112)),Assumptions!$B$110,0)</f>
        <v>0</v>
      </c>
      <c r="BK58" s="32">
        <f>IF(B58&lt;2027,Assumptions!$B$116+IF(OR(A58=4,A58=10),Assumptions!$B$117,0),IF(AND(B58=2027,A58&lt;=4),IF(A58=4,MIN(950,Assumptions!$B$116+Assumptions!$B$117),Assumptions!$B$116),0))</f>
        <v>0</v>
      </c>
      <c r="BL58" s="32">
        <f>IF(OR(B58&lt;2030,AND(B58=2030,A58&lt;8)),Assumptions!$B$118,IF(AND(B58=2030,A58=8),MOD(11000,200),0))</f>
        <v>0</v>
      </c>
      <c r="BM58" s="32">
        <f>IF(OR(B58&lt;Assumptions!$B$120,AND(B58=Assumptions!$B$120,A58&lt;=Assumptions!$B$121)),Assumptions!$B$119,0)</f>
        <v>0</v>
      </c>
      <c r="BN58" s="32">
        <f>IF(AND(B58&lt;=Assumptions!$B$123,A58&lt;=Assumptions!$B$124),Assumptions!$B$122,0)</f>
        <v>0</v>
      </c>
      <c r="BO58" s="32">
        <f t="shared" si="12"/>
        <v>0</v>
      </c>
      <c r="BP58" s="32">
        <f>SUMIFS(SL_Budget!$B:$B,SL_Budget!$C:$C,"'"&amp;TEXT(DATE(B58,A58,1),"YYYY-MM"))</f>
        <v>4626</v>
      </c>
      <c r="BQ58" s="32">
        <f>MAX(BP58, IFERROR(SUMIFS(ShadowLedger!D:D, 
  ShadowLedger!C:C, "&gt;="&amp;DATE(B58,A58,1), 
  ShadowLedger!C:C, "&lt;"&amp;EOMONTH(DATE(B58,A58,1),0)+1), 0))
</f>
        <v>4626</v>
      </c>
      <c r="BR58" s="32">
        <f t="shared" si="42"/>
        <v>374463.8156</v>
      </c>
      <c r="BS58" s="32">
        <f t="shared" si="43"/>
        <v>2288.904</v>
      </c>
      <c r="BT58" s="32">
        <f>IF(AS58&gt;0,-MAX(0,21550-MAX(0,MAX(0,(AM58-AP58-BE58-BO58-BQ58)-Assumptions!$B$93))-MIN(MAX(0,21550-MAX(0,MAX(0,(AM58-AP58-BE58-BO58-BQ58)-Assumptions!$B$93))),MAX(0,BY57-Assumptions!$B$91))),IF(BY57&gt;=Assumptions!$B$92,MAX(0,(AM58-AP58-BE58-BO58-BQ58)-Assumptions!$B$93),MAX(0,(AM58-AP58-BE58-BO58-BQ58)-Assumptions!$B$93)*Assumptions!$B$99))</f>
        <v>8100.568</v>
      </c>
      <c r="BU58" s="32">
        <f>(BR58+BS58+MAX(0,BT58))*(Assumptions!$B$43-1)</f>
        <v>2623.929715</v>
      </c>
      <c r="BV58" s="32">
        <f t="shared" si="13"/>
        <v>387477.2173</v>
      </c>
      <c r="BW58" s="32">
        <f t="shared" si="44"/>
        <v>15182.86932</v>
      </c>
      <c r="BX58" s="32">
        <f>IF(AS58&gt;0,-MIN(MAX(0,21550-MAX(0,MAX(0,(AM58-AP58-BE58-BO58-BQ58)-Assumptions!$B$93))),MAX(0,BY57-Assumptions!$B$91)),IF(BY57&lt;Assumptions!$B$92,MAX(0,(AM58-AP58-BE58-BO58-BQ58)-Assumptions!$B$93)*Assumptions!$B$98,0))</f>
        <v>0</v>
      </c>
      <c r="BY58" s="32">
        <f t="shared" si="14"/>
        <v>15182.86932</v>
      </c>
      <c r="BZ58" s="32">
        <f t="shared" si="45"/>
        <v>32782</v>
      </c>
      <c r="CA58" s="32">
        <f t="shared" si="15"/>
        <v>4430</v>
      </c>
      <c r="CB58" s="32">
        <f t="shared" si="16"/>
        <v>37212</v>
      </c>
      <c r="CC58" s="55">
        <f>CC57+(G58+J58)/(Salary_Schedule!E58*12/208)</f>
        <v>1764.951395</v>
      </c>
      <c r="CD58" s="55">
        <f>CD57+(O58+R58)/(Salary_Schedule!G58*12/208)</f>
        <v>90.3589871</v>
      </c>
      <c r="CE58" s="32">
        <f t="shared" si="17"/>
        <v>387477.2173</v>
      </c>
      <c r="CF58" s="32">
        <f>Assumptions!$B$55*(1+Assumptions!$B$56)^((B58-2025)+(A58-1)/12)</f>
        <v>565775.6467</v>
      </c>
      <c r="CG58" s="32">
        <f t="shared" si="18"/>
        <v>-241996.6202</v>
      </c>
      <c r="CH58" s="32">
        <f t="shared" si="19"/>
        <v>-29749.62</v>
      </c>
      <c r="CI58" s="32">
        <f>CC58*(Salary_Schedule!E58/173.33)*(1-Assumptions!$B$28)+CD58*(Salary_Schedule!G58/173.33)*(1-Assumptions!$B$28)</f>
        <v>61672.46285</v>
      </c>
      <c r="CJ58" s="32">
        <f t="shared" si="20"/>
        <v>743179.0866</v>
      </c>
    </row>
    <row r="59" ht="15.0" customHeight="1">
      <c r="A59" s="1">
        <v>10.0</v>
      </c>
      <c r="B59" s="1">
        <v>2030.0</v>
      </c>
      <c r="C59" s="1" t="s">
        <v>728</v>
      </c>
      <c r="D59" s="1" t="str">
        <f t="shared" si="21"/>
        <v>09/2030</v>
      </c>
      <c r="E59" s="1" t="str">
        <f t="shared" si="2"/>
        <v>FAT_RSU</v>
      </c>
      <c r="F59" s="32">
        <f>Salary_Schedule!E59</f>
        <v>8953.93</v>
      </c>
      <c r="G59" s="32">
        <f>Assumptions!$B$8</f>
        <v>200</v>
      </c>
      <c r="H59" s="32">
        <f>F59*Assumptions!$B$58</f>
        <v>895.393</v>
      </c>
      <c r="I59" s="32">
        <f>Salary_Schedule!F59</f>
        <v>0</v>
      </c>
      <c r="J59" s="32">
        <f>I59*Assumptions!$B$9</f>
        <v>0</v>
      </c>
      <c r="K59" s="54">
        <f t="shared" si="3"/>
        <v>7858.537</v>
      </c>
      <c r="L59" s="32">
        <f>IF(COUNTIFS(SL_Income_Log!$B:$B,TEXT(B59,"0000")&amp;"-"&amp;TEXT(A59,"00"),SL_Income_Log!$C:$C,"salary",SL_Income_Log!$E:$E,"H")&gt;0,SUMIFS(SL_Income_Log!$D:$D,SL_Income_Log!$B:$B,TEXT(B59,"0000")&amp;"-"&amp;TEXT(A59,"00"),SL_Income_Log!$C:$C,"salary",SL_Income_Log!$E:$E,"H"),K59*(1-Assumptions!$B$102)-Z59-Y59)</f>
        <v>4394.5822</v>
      </c>
      <c r="M59" s="32">
        <f>RSU_Schedule!H58</f>
        <v>2784.99</v>
      </c>
      <c r="N59" s="32">
        <f>Salary_Schedule!G59</f>
        <v>7109.67</v>
      </c>
      <c r="O59" s="32">
        <f>Assumptions!$B$19</f>
        <v>200</v>
      </c>
      <c r="P59" s="32">
        <f>N59*Assumptions!$B$59</f>
        <v>710.967</v>
      </c>
      <c r="Q59" s="32">
        <f>Salary_Schedule!H59</f>
        <v>0</v>
      </c>
      <c r="R59" s="32">
        <f>Q59*Assumptions!$B$20</f>
        <v>0</v>
      </c>
      <c r="S59" s="54">
        <f t="shared" si="4"/>
        <v>6198.703</v>
      </c>
      <c r="T59" s="32">
        <f>IF(COUNTIFS(SL_Income_Log!$B:$B,TEXT(B59,"0000")&amp;"-"&amp;TEXT(A59,"00"),SL_Income_Log!$C:$C,"salary",SL_Income_Log!$E:$E,"W")&gt;0,SUMIFS(SL_Income_Log!$D:$D,SL_Income_Log!$B:$B,TEXT(B59,"0000")&amp;"-"&amp;TEXT(A59,"00"),SL_Income_Log!$C:$C,"salary",SL_Income_Log!$E:$E,"W"),S59*(1-Assumptions!$B$102)-AC59-AB59)
</f>
        <v>3398.6818</v>
      </c>
      <c r="U59" s="32">
        <f>RSU_Schedule!M58</f>
        <v>1392.51</v>
      </c>
      <c r="V59" s="32">
        <f>H59*(1+Assumptions!$B$60)+Assumptions!$B$61</f>
        <v>1273.5502</v>
      </c>
      <c r="W59" s="32">
        <f>P59*(1+Assumptions!$B$60)+Assumptions!$B$61</f>
        <v>1015.3538</v>
      </c>
      <c r="X59" s="32">
        <f t="shared" si="5"/>
        <v>2288.904</v>
      </c>
      <c r="Y59" s="32">
        <f t="shared" si="22"/>
        <v>28.87</v>
      </c>
      <c r="Z59" s="32">
        <v>291.67</v>
      </c>
      <c r="AA59" s="32">
        <f t="shared" si="23"/>
        <v>9333.14</v>
      </c>
      <c r="AB59" s="32">
        <f t="shared" si="24"/>
        <v>28.87</v>
      </c>
      <c r="AC59" s="32">
        <v>291.67</v>
      </c>
      <c r="AD59" s="32">
        <f t="shared" si="25"/>
        <v>9333.14</v>
      </c>
      <c r="AE59" s="32">
        <f t="shared" ref="AE59:AF59" si="100">Z59+AC59</f>
        <v>583.34</v>
      </c>
      <c r="AF59" s="32">
        <f t="shared" si="100"/>
        <v>18666.28</v>
      </c>
      <c r="AG59" s="32">
        <f>IF(COUNTIFS(SL_Income_Log!$B:$B,TEXT(B59,"0000")&amp;"-"&amp;TEXT(A59,"00"),SL_Income_Log!$C:$C,"youtube")&gt;0,SUMIFS(SL_Income_Log!$D:$D,SL_Income_Log!$B:$B,TEXT(B59,"0000")&amp;"-"&amp;TEXT(A59,"00"),SL_Income_Log!$C:$C,"youtube"),MIN(Assumptions!$B$49+FLOOR((ROW()-2)/6,1)*Assumptions!$B$50,Assumptions!$B$51))
</f>
        <v>10000</v>
      </c>
      <c r="AH59" s="32">
        <f>AG59*Assumptions!$B$104</f>
        <v>4430</v>
      </c>
      <c r="AI59" s="32">
        <f t="shared" si="7"/>
        <v>5570</v>
      </c>
      <c r="AJ59" s="32">
        <f>SUMIFS(SL_Income_Log!$D:$D,SL_Income_Log!$B:$B,TEXT(B59,"0000")&amp;"-"&amp;TEXT(A59,"00"),SL_Income_Log!$C:$C,"other")</f>
        <v>0</v>
      </c>
      <c r="AK59" s="32">
        <f t="shared" si="27"/>
        <v>10000</v>
      </c>
      <c r="AL59" s="32">
        <f>L59+M59+T59+U59+AI59+AJ59-Y59-Z59-AB59-AC59+IF((Debt_Register!$C$2+Debt_Register!$C$6+Debt_Register!$C$7+Debt_Register!$C$8+Debt_Register!$C$9)&gt;5,X59,0)</f>
        <v>19188.588</v>
      </c>
      <c r="AM59" s="32">
        <f t="shared" si="8"/>
        <v>29188.588</v>
      </c>
      <c r="AN59" s="32">
        <f>MAX(Assumptions!$B$94,MIN(Assumptions!$B$93,AM59-AP59-BE59-BO59-BQ59))</f>
        <v>10000</v>
      </c>
      <c r="AO59" s="32">
        <f t="shared" si="28"/>
        <v>241996.6202</v>
      </c>
      <c r="AP59" s="32">
        <f>IF(AO59&gt;0,Assumptions!$B$33,0)</f>
        <v>2281</v>
      </c>
      <c r="AQ59" s="32">
        <f>AO59*Assumptions!$B$32/12</f>
        <v>784.4723773</v>
      </c>
      <c r="AR59" s="32">
        <f t="shared" si="9"/>
        <v>1496.527623</v>
      </c>
      <c r="AS59" s="32">
        <f t="shared" si="29"/>
        <v>0</v>
      </c>
      <c r="AT59" s="32">
        <f t="shared" si="10"/>
        <v>240500.0926</v>
      </c>
      <c r="AU59" s="32">
        <f t="shared" si="30"/>
        <v>0</v>
      </c>
      <c r="AV59" s="32">
        <f t="shared" si="31"/>
        <v>0</v>
      </c>
      <c r="AW59" s="32">
        <f t="shared" si="32"/>
        <v>0</v>
      </c>
      <c r="AX59" s="32">
        <f t="shared" si="33"/>
        <v>0</v>
      </c>
      <c r="AY59" s="32">
        <f t="shared" si="34"/>
        <v>0</v>
      </c>
      <c r="AZ59" s="32">
        <f t="shared" si="35"/>
        <v>0</v>
      </c>
      <c r="BA59" s="32">
        <f t="shared" si="36"/>
        <v>0</v>
      </c>
      <c r="BB59" s="32">
        <f t="shared" si="37"/>
        <v>0</v>
      </c>
      <c r="BC59" s="32">
        <f t="shared" si="38"/>
        <v>0</v>
      </c>
      <c r="BD59" s="32">
        <f t="shared" si="39"/>
        <v>0</v>
      </c>
      <c r="BE59" s="32">
        <f t="shared" si="11"/>
        <v>0</v>
      </c>
      <c r="BF59" s="32">
        <v>0.0</v>
      </c>
      <c r="BG59" s="32">
        <f t="shared" si="40"/>
        <v>5500</v>
      </c>
      <c r="BH59" s="32">
        <v>0.0</v>
      </c>
      <c r="BI59" s="32">
        <f t="shared" si="41"/>
        <v>5000</v>
      </c>
      <c r="BJ59" s="32">
        <f>IF(OR(B59&lt;Assumptions!$B$111,AND(B59=Assumptions!$B$111,A59&lt;=Assumptions!$B$112)),Assumptions!$B$110,0)</f>
        <v>0</v>
      </c>
      <c r="BK59" s="32">
        <f>IF(B59&lt;2027,Assumptions!$B$116+IF(OR(A59=4,A59=10),Assumptions!$B$117,0),IF(AND(B59=2027,A59&lt;=4),IF(A59=4,MIN(950,Assumptions!$B$116+Assumptions!$B$117),Assumptions!$B$116),0))</f>
        <v>0</v>
      </c>
      <c r="BL59" s="32">
        <f>IF(OR(B59&lt;2030,AND(B59=2030,A59&lt;8)),Assumptions!$B$118,IF(AND(B59=2030,A59=8),MOD(11000,200),0))</f>
        <v>0</v>
      </c>
      <c r="BM59" s="32">
        <f>IF(OR(B59&lt;Assumptions!$B$120,AND(B59=Assumptions!$B$120,A59&lt;=Assumptions!$B$121)),Assumptions!$B$119,0)</f>
        <v>0</v>
      </c>
      <c r="BN59" s="32">
        <f>IF(AND(B59&lt;=Assumptions!$B$123,A59&lt;=Assumptions!$B$124),Assumptions!$B$122,0)</f>
        <v>0</v>
      </c>
      <c r="BO59" s="32">
        <f t="shared" si="12"/>
        <v>0</v>
      </c>
      <c r="BP59" s="32">
        <f>SUMIFS(SL_Budget!$B:$B,SL_Budget!$C:$C,"'"&amp;TEXT(DATE(B59,A59,1),"YYYY-MM"))</f>
        <v>4626</v>
      </c>
      <c r="BQ59" s="32">
        <f>MAX(BP59, IFERROR(SUMIFS(ShadowLedger!D:D, 
  ShadowLedger!C:C, "&gt;="&amp;DATE(B59,A59,1), 
  ShadowLedger!C:C, "&lt;"&amp;EOMONTH(DATE(B59,A59,1),0)+1), 0))
</f>
        <v>4626</v>
      </c>
      <c r="BR59" s="32">
        <f t="shared" si="42"/>
        <v>387477.2173</v>
      </c>
      <c r="BS59" s="32">
        <f t="shared" si="43"/>
        <v>2288.904</v>
      </c>
      <c r="BT59" s="32">
        <f>IF(AS59&gt;0,-MAX(0,21550-MAX(0,MAX(0,(AM59-AP59-BE59-BO59-BQ59)-Assumptions!$B$93))-MIN(MAX(0,21550-MAX(0,MAX(0,(AM59-AP59-BE59-BO59-BQ59)-Assumptions!$B$93))),MAX(0,BY58-Assumptions!$B$91))),IF(BY58&gt;=Assumptions!$B$92,MAX(0,(AM59-AP59-BE59-BO59-BQ59)-Assumptions!$B$93),MAX(0,(AM59-AP59-BE59-BO59-BQ59)-Assumptions!$B$93)*Assumptions!$B$99))</f>
        <v>12281.588</v>
      </c>
      <c r="BU59" s="32">
        <f>(BR59+BS59+MAX(0,BT59))*(Assumptions!$B$43-1)</f>
        <v>2741.161282</v>
      </c>
      <c r="BV59" s="32">
        <f t="shared" si="13"/>
        <v>404788.8706</v>
      </c>
      <c r="BW59" s="32">
        <f t="shared" si="44"/>
        <v>15182.86932</v>
      </c>
      <c r="BX59" s="32">
        <f>IF(AS59&gt;0,-MIN(MAX(0,21550-MAX(0,MAX(0,(AM59-AP59-BE59-BO59-BQ59)-Assumptions!$B$93))),MAX(0,BY58-Assumptions!$B$91)),IF(BY58&lt;Assumptions!$B$92,MAX(0,(AM59-AP59-BE59-BO59-BQ59)-Assumptions!$B$93)*Assumptions!$B$98,0))</f>
        <v>0</v>
      </c>
      <c r="BY59" s="32">
        <f t="shared" si="14"/>
        <v>15182.86932</v>
      </c>
      <c r="BZ59" s="32">
        <f t="shared" si="45"/>
        <v>37212</v>
      </c>
      <c r="CA59" s="32">
        <f t="shared" si="15"/>
        <v>4430</v>
      </c>
      <c r="CB59" s="32">
        <f t="shared" si="16"/>
        <v>41642</v>
      </c>
      <c r="CC59" s="55">
        <f>CC58+(G59+J59)/(Salary_Schedule!E59*12/208)</f>
        <v>1765.338562</v>
      </c>
      <c r="CD59" s="55">
        <f>CD58+(O59+R59)/(Salary_Schedule!G59*12/208)</f>
        <v>90.84658591</v>
      </c>
      <c r="CE59" s="32">
        <f t="shared" si="17"/>
        <v>404788.8706</v>
      </c>
      <c r="CF59" s="32">
        <f>Assumptions!$B$55*(1+Assumptions!$B$56)^((B59-2025)+(A59-1)/12)</f>
        <v>566478.0502</v>
      </c>
      <c r="CG59" s="32">
        <f t="shared" si="18"/>
        <v>-240500.0926</v>
      </c>
      <c r="CH59" s="32">
        <f t="shared" si="19"/>
        <v>-29166.28</v>
      </c>
      <c r="CI59" s="32">
        <f>CC59*(Salary_Schedule!E59/173.33)*(1-Assumptions!$B$28)+CD59*(Salary_Schedule!G59/173.33)*(1-Assumptions!$B$28)</f>
        <v>61698.46335</v>
      </c>
      <c r="CJ59" s="32">
        <f t="shared" si="20"/>
        <v>763299.0115</v>
      </c>
    </row>
    <row r="60" ht="15.0" customHeight="1">
      <c r="A60" s="1">
        <v>11.0</v>
      </c>
      <c r="B60" s="1">
        <v>2030.0</v>
      </c>
      <c r="C60" s="1" t="s">
        <v>729</v>
      </c>
      <c r="D60" s="1" t="str">
        <f t="shared" si="21"/>
        <v>10/2030</v>
      </c>
      <c r="E60" s="1" t="str">
        <f t="shared" si="2"/>
        <v>LEAN</v>
      </c>
      <c r="F60" s="32">
        <f>Salary_Schedule!E60</f>
        <v>8953.93</v>
      </c>
      <c r="G60" s="32">
        <f>Assumptions!$B$8</f>
        <v>200</v>
      </c>
      <c r="H60" s="32">
        <f>F60*Assumptions!$B$58</f>
        <v>895.393</v>
      </c>
      <c r="I60" s="32">
        <f>Salary_Schedule!F60</f>
        <v>0</v>
      </c>
      <c r="J60" s="32">
        <f>I60*Assumptions!$B$9</f>
        <v>0</v>
      </c>
      <c r="K60" s="54">
        <f t="shared" si="3"/>
        <v>7858.537</v>
      </c>
      <c r="L60" s="32">
        <f>IF(COUNTIFS(SL_Income_Log!$B:$B,TEXT(B60,"0000")&amp;"-"&amp;TEXT(A60,"00"),SL_Income_Log!$C:$C,"salary",SL_Income_Log!$E:$E,"H")&gt;0,SUMIFS(SL_Income_Log!$D:$D,SL_Income_Log!$B:$B,TEXT(B60,"0000")&amp;"-"&amp;TEXT(A60,"00"),SL_Income_Log!$C:$C,"salary",SL_Income_Log!$E:$E,"H"),K60*(1-Assumptions!$B$102)-Z60-Y60)</f>
        <v>4395.4522</v>
      </c>
      <c r="M60" s="32">
        <f>RSU_Schedule!H59</f>
        <v>0</v>
      </c>
      <c r="N60" s="32">
        <f>Salary_Schedule!G60</f>
        <v>7109.67</v>
      </c>
      <c r="O60" s="32">
        <f>Assumptions!$B$19</f>
        <v>200</v>
      </c>
      <c r="P60" s="32">
        <f>N60*Assumptions!$B$59</f>
        <v>710.967</v>
      </c>
      <c r="Q60" s="32">
        <f>Salary_Schedule!H60</f>
        <v>0</v>
      </c>
      <c r="R60" s="32">
        <f>Q60*Assumptions!$B$20</f>
        <v>0</v>
      </c>
      <c r="S60" s="54">
        <f t="shared" si="4"/>
        <v>6198.703</v>
      </c>
      <c r="T60" s="32">
        <f>IF(COUNTIFS(SL_Income_Log!$B:$B,TEXT(B60,"0000")&amp;"-"&amp;TEXT(A60,"00"),SL_Income_Log!$C:$C,"salary",SL_Income_Log!$E:$E,"W")&gt;0,SUMIFS(SL_Income_Log!$D:$D,SL_Income_Log!$B:$B,TEXT(B60,"0000")&amp;"-"&amp;TEXT(A60,"00"),SL_Income_Log!$C:$C,"salary",SL_Income_Log!$E:$E,"W"),S60*(1-Assumptions!$B$102)-AC60-AB60)
</f>
        <v>3399.5518</v>
      </c>
      <c r="U60" s="32">
        <f>RSU_Schedule!M59</f>
        <v>0</v>
      </c>
      <c r="V60" s="32">
        <f>H60*(1+Assumptions!$B$60)+Assumptions!$B$61</f>
        <v>1273.5502</v>
      </c>
      <c r="W60" s="32">
        <f>P60*(1+Assumptions!$B$60)+Assumptions!$B$61</f>
        <v>1015.3538</v>
      </c>
      <c r="X60" s="32">
        <f t="shared" si="5"/>
        <v>2288.904</v>
      </c>
      <c r="Y60" s="32">
        <f t="shared" si="22"/>
        <v>28</v>
      </c>
      <c r="Z60" s="32">
        <v>291.67</v>
      </c>
      <c r="AA60" s="32">
        <f t="shared" si="23"/>
        <v>9041.47</v>
      </c>
      <c r="AB60" s="32">
        <f t="shared" si="24"/>
        <v>28</v>
      </c>
      <c r="AC60" s="32">
        <v>291.67</v>
      </c>
      <c r="AD60" s="32">
        <f t="shared" si="25"/>
        <v>9041.47</v>
      </c>
      <c r="AE60" s="32">
        <f t="shared" ref="AE60:AF60" si="101">Z60+AC60</f>
        <v>583.34</v>
      </c>
      <c r="AF60" s="32">
        <f t="shared" si="101"/>
        <v>18082.94</v>
      </c>
      <c r="AG60" s="32">
        <f>IF(COUNTIFS(SL_Income_Log!$B:$B,TEXT(B60,"0000")&amp;"-"&amp;TEXT(A60,"00"),SL_Income_Log!$C:$C,"youtube")&gt;0,SUMIFS(SL_Income_Log!$D:$D,SL_Income_Log!$B:$B,TEXT(B60,"0000")&amp;"-"&amp;TEXT(A60,"00"),SL_Income_Log!$C:$C,"youtube"),MIN(Assumptions!$B$49+FLOOR((ROW()-2)/6,1)*Assumptions!$B$50,Assumptions!$B$51))
</f>
        <v>10000</v>
      </c>
      <c r="AH60" s="32">
        <f>AG60*Assumptions!$B$104</f>
        <v>4430</v>
      </c>
      <c r="AI60" s="32">
        <f t="shared" si="7"/>
        <v>5570</v>
      </c>
      <c r="AJ60" s="32">
        <f>SUMIFS(SL_Income_Log!$D:$D,SL_Income_Log!$B:$B,TEXT(B60,"0000")&amp;"-"&amp;TEXT(A60,"00"),SL_Income_Log!$C:$C,"other")</f>
        <v>0</v>
      </c>
      <c r="AK60" s="32">
        <f t="shared" si="27"/>
        <v>10000</v>
      </c>
      <c r="AL60" s="32">
        <f>L60+M60+T60+U60+AI60+AJ60-Y60-Z60-AB60-AC60+IF((Debt_Register!$C$2+Debt_Register!$C$6+Debt_Register!$C$7+Debt_Register!$C$8+Debt_Register!$C$9)&gt;5,X60,0)</f>
        <v>15014.568</v>
      </c>
      <c r="AM60" s="32">
        <f t="shared" si="8"/>
        <v>25014.568</v>
      </c>
      <c r="AN60" s="32">
        <f>MAX(Assumptions!$B$94,MIN(Assumptions!$B$93,AM60-AP60-BE60-BO60-BQ60))</f>
        <v>10000</v>
      </c>
      <c r="AO60" s="32">
        <f t="shared" si="28"/>
        <v>240500.0926</v>
      </c>
      <c r="AP60" s="32">
        <f>IF(AO60&gt;0,Assumptions!$B$33,0)</f>
        <v>2281</v>
      </c>
      <c r="AQ60" s="32">
        <f>AO60*Assumptions!$B$32/12</f>
        <v>779.6211336</v>
      </c>
      <c r="AR60" s="32">
        <f t="shared" si="9"/>
        <v>1501.378866</v>
      </c>
      <c r="AS60" s="32">
        <f t="shared" si="29"/>
        <v>0</v>
      </c>
      <c r="AT60" s="32">
        <f t="shared" si="10"/>
        <v>238998.7138</v>
      </c>
      <c r="AU60" s="32">
        <f t="shared" si="30"/>
        <v>0</v>
      </c>
      <c r="AV60" s="32">
        <f t="shared" si="31"/>
        <v>0</v>
      </c>
      <c r="AW60" s="32">
        <f t="shared" si="32"/>
        <v>0</v>
      </c>
      <c r="AX60" s="32">
        <f t="shared" si="33"/>
        <v>0</v>
      </c>
      <c r="AY60" s="32">
        <f t="shared" si="34"/>
        <v>0</v>
      </c>
      <c r="AZ60" s="32">
        <f t="shared" si="35"/>
        <v>0</v>
      </c>
      <c r="BA60" s="32">
        <f t="shared" si="36"/>
        <v>0</v>
      </c>
      <c r="BB60" s="32">
        <f t="shared" si="37"/>
        <v>0</v>
      </c>
      <c r="BC60" s="32">
        <f t="shared" si="38"/>
        <v>0</v>
      </c>
      <c r="BD60" s="32">
        <f t="shared" si="39"/>
        <v>0</v>
      </c>
      <c r="BE60" s="32">
        <f t="shared" si="11"/>
        <v>0</v>
      </c>
      <c r="BF60" s="32">
        <v>0.0</v>
      </c>
      <c r="BG60" s="32">
        <f t="shared" si="40"/>
        <v>5500</v>
      </c>
      <c r="BH60" s="32">
        <v>0.0</v>
      </c>
      <c r="BI60" s="32">
        <f t="shared" si="41"/>
        <v>5000</v>
      </c>
      <c r="BJ60" s="32">
        <f>IF(OR(B60&lt;Assumptions!$B$111,AND(B60=Assumptions!$B$111,A60&lt;=Assumptions!$B$112)),Assumptions!$B$110,0)</f>
        <v>0</v>
      </c>
      <c r="BK60" s="32">
        <f>IF(B60&lt;2027,Assumptions!$B$116+IF(OR(A60=4,A60=10),Assumptions!$B$117,0),IF(AND(B60=2027,A60&lt;=4),IF(A60=4,MIN(950,Assumptions!$B$116+Assumptions!$B$117),Assumptions!$B$116),0))</f>
        <v>0</v>
      </c>
      <c r="BL60" s="32">
        <f>IF(OR(B60&lt;2030,AND(B60=2030,A60&lt;8)),Assumptions!$B$118,IF(AND(B60=2030,A60=8),MOD(11000,200),0))</f>
        <v>0</v>
      </c>
      <c r="BM60" s="32">
        <f>IF(OR(B60&lt;Assumptions!$B$120,AND(B60=Assumptions!$B$120,A60&lt;=Assumptions!$B$121)),Assumptions!$B$119,0)</f>
        <v>0</v>
      </c>
      <c r="BN60" s="32">
        <f>IF(AND(B60&lt;=Assumptions!$B$123,A60&lt;=Assumptions!$B$124),Assumptions!$B$122,0)</f>
        <v>0</v>
      </c>
      <c r="BO60" s="32">
        <f t="shared" si="12"/>
        <v>0</v>
      </c>
      <c r="BP60" s="32">
        <f>SUMIFS(SL_Budget!$B:$B,SL_Budget!$C:$C,"'"&amp;TEXT(DATE(B60,A60,1),"YYYY-MM"))</f>
        <v>4626</v>
      </c>
      <c r="BQ60" s="32">
        <f>MAX(BP60, IFERROR(SUMIFS(ShadowLedger!D:D, 
  ShadowLedger!C:C, "&gt;="&amp;DATE(B60,A60,1), 
  ShadowLedger!C:C, "&lt;"&amp;EOMONTH(DATE(B60,A60,1),0)+1), 0))
</f>
        <v>4626</v>
      </c>
      <c r="BR60" s="32">
        <f t="shared" si="42"/>
        <v>404788.8706</v>
      </c>
      <c r="BS60" s="32">
        <f t="shared" si="43"/>
        <v>2288.904</v>
      </c>
      <c r="BT60" s="32">
        <f>IF(AS60&gt;0,-MAX(0,21550-MAX(0,MAX(0,(AM60-AP60-BE60-BO60-BQ60)-Assumptions!$B$93))-MIN(MAX(0,21550-MAX(0,MAX(0,(AM60-AP60-BE60-BO60-BQ60)-Assumptions!$B$93))),MAX(0,BY59-Assumptions!$B$91))),IF(BY59&gt;=Assumptions!$B$92,MAX(0,(AM60-AP60-BE60-BO60-BQ60)-Assumptions!$B$93),MAX(0,(AM60-AP60-BE60-BO60-BQ60)-Assumptions!$B$93)*Assumptions!$B$99))</f>
        <v>8107.568</v>
      </c>
      <c r="BU60" s="32">
        <f>(BR60+BS60+MAX(0,BT60))*(Assumptions!$B$43-1)</f>
        <v>2830.733666</v>
      </c>
      <c r="BV60" s="32">
        <f t="shared" si="13"/>
        <v>418016.0762</v>
      </c>
      <c r="BW60" s="32">
        <f t="shared" si="44"/>
        <v>15182.86932</v>
      </c>
      <c r="BX60" s="32">
        <f>IF(AS60&gt;0,-MIN(MAX(0,21550-MAX(0,MAX(0,(AM60-AP60-BE60-BO60-BQ60)-Assumptions!$B$93))),MAX(0,BY59-Assumptions!$B$91)),IF(BY59&lt;Assumptions!$B$92,MAX(0,(AM60-AP60-BE60-BO60-BQ60)-Assumptions!$B$93)*Assumptions!$B$98,0))</f>
        <v>0</v>
      </c>
      <c r="BY60" s="32">
        <f t="shared" si="14"/>
        <v>15182.86932</v>
      </c>
      <c r="BZ60" s="32">
        <f t="shared" si="45"/>
        <v>41642</v>
      </c>
      <c r="CA60" s="32">
        <f t="shared" si="15"/>
        <v>4430</v>
      </c>
      <c r="CB60" s="32">
        <f t="shared" si="16"/>
        <v>46072</v>
      </c>
      <c r="CC60" s="55">
        <f>CC59+(G60+J60)/(Salary_Schedule!E60*12/208)</f>
        <v>1765.725729</v>
      </c>
      <c r="CD60" s="55">
        <f>CD59+(O60+R60)/(Salary_Schedule!G60*12/208)</f>
        <v>91.33418473</v>
      </c>
      <c r="CE60" s="32">
        <f t="shared" si="17"/>
        <v>418016.0762</v>
      </c>
      <c r="CF60" s="32">
        <f>Assumptions!$B$55*(1+Assumptions!$B$56)^((B60-2025)+(A60-1)/12)</f>
        <v>567181.3258</v>
      </c>
      <c r="CG60" s="32">
        <f t="shared" si="18"/>
        <v>-238998.7138</v>
      </c>
      <c r="CH60" s="32">
        <f t="shared" si="19"/>
        <v>-28582.94</v>
      </c>
      <c r="CI60" s="32">
        <f>CC60*(Salary_Schedule!E60/173.33)*(1-Assumptions!$B$28)+CD60*(Salary_Schedule!G60/173.33)*(1-Assumptions!$B$28)</f>
        <v>61724.46385</v>
      </c>
      <c r="CJ60" s="32">
        <f t="shared" si="20"/>
        <v>779340.2121</v>
      </c>
    </row>
    <row r="61" ht="15.0" customHeight="1">
      <c r="A61" s="1">
        <v>12.0</v>
      </c>
      <c r="B61" s="1">
        <v>2030.0</v>
      </c>
      <c r="C61" s="1" t="s">
        <v>730</v>
      </c>
      <c r="D61" s="1" t="str">
        <f t="shared" si="21"/>
        <v>11/2030</v>
      </c>
      <c r="E61" s="1" t="str">
        <f t="shared" si="2"/>
        <v>LEAN</v>
      </c>
      <c r="F61" s="32">
        <f>Salary_Schedule!E61</f>
        <v>8953.93</v>
      </c>
      <c r="G61" s="32">
        <f>Assumptions!$B$8</f>
        <v>200</v>
      </c>
      <c r="H61" s="32">
        <f>F61*Assumptions!$B$58</f>
        <v>895.393</v>
      </c>
      <c r="I61" s="32">
        <f>Salary_Schedule!F61</f>
        <v>0</v>
      </c>
      <c r="J61" s="32">
        <f>I61*Assumptions!$B$9</f>
        <v>0</v>
      </c>
      <c r="K61" s="54">
        <f t="shared" si="3"/>
        <v>7858.537</v>
      </c>
      <c r="L61" s="32">
        <f>IF(COUNTIFS(SL_Income_Log!$B:$B,TEXT(B61,"0000")&amp;"-"&amp;TEXT(A61,"00"),SL_Income_Log!$C:$C,"salary",SL_Income_Log!$E:$E,"H")&gt;0,SUMIFS(SL_Income_Log!$D:$D,SL_Income_Log!$B:$B,TEXT(B61,"0000")&amp;"-"&amp;TEXT(A61,"00"),SL_Income_Log!$C:$C,"salary",SL_Income_Log!$E:$E,"H"),K61*(1-Assumptions!$B$102)-Z61-Y61)</f>
        <v>4396.3322</v>
      </c>
      <c r="M61" s="32">
        <f>RSU_Schedule!H60</f>
        <v>0</v>
      </c>
      <c r="N61" s="32">
        <f>Salary_Schedule!G61</f>
        <v>7109.67</v>
      </c>
      <c r="O61" s="32">
        <f>Assumptions!$B$19</f>
        <v>200</v>
      </c>
      <c r="P61" s="32">
        <f>N61*Assumptions!$B$59</f>
        <v>710.967</v>
      </c>
      <c r="Q61" s="32">
        <f>Salary_Schedule!H61</f>
        <v>0</v>
      </c>
      <c r="R61" s="32">
        <f>Q61*Assumptions!$B$20</f>
        <v>0</v>
      </c>
      <c r="S61" s="54">
        <f t="shared" si="4"/>
        <v>6198.703</v>
      </c>
      <c r="T61" s="32">
        <f>IF(COUNTIFS(SL_Income_Log!$B:$B,TEXT(B61,"0000")&amp;"-"&amp;TEXT(A61,"00"),SL_Income_Log!$C:$C,"salary",SL_Income_Log!$E:$E,"W")&gt;0,SUMIFS(SL_Income_Log!$D:$D,SL_Income_Log!$B:$B,TEXT(B61,"0000")&amp;"-"&amp;TEXT(A61,"00"),SL_Income_Log!$C:$C,"salary",SL_Income_Log!$E:$E,"W"),S61*(1-Assumptions!$B$102)-AC61-AB61)
</f>
        <v>3400.4318</v>
      </c>
      <c r="U61" s="32">
        <f>RSU_Schedule!M60</f>
        <v>0</v>
      </c>
      <c r="V61" s="32">
        <f>H61*(1+Assumptions!$B$60)+Assumptions!$B$61</f>
        <v>1273.5502</v>
      </c>
      <c r="W61" s="32">
        <f>P61*(1+Assumptions!$B$60)+Assumptions!$B$61</f>
        <v>1015.3538</v>
      </c>
      <c r="X61" s="32">
        <f t="shared" si="5"/>
        <v>2288.904</v>
      </c>
      <c r="Y61" s="32">
        <f t="shared" si="22"/>
        <v>27.12</v>
      </c>
      <c r="Z61" s="32">
        <v>291.67</v>
      </c>
      <c r="AA61" s="32">
        <f t="shared" si="23"/>
        <v>8749.8</v>
      </c>
      <c r="AB61" s="32">
        <f t="shared" si="24"/>
        <v>27.12</v>
      </c>
      <c r="AC61" s="32">
        <v>291.67</v>
      </c>
      <c r="AD61" s="32">
        <f t="shared" si="25"/>
        <v>8749.8</v>
      </c>
      <c r="AE61" s="32">
        <f t="shared" ref="AE61:AF61" si="102">Z61+AC61</f>
        <v>583.34</v>
      </c>
      <c r="AF61" s="32">
        <f t="shared" si="102"/>
        <v>17499.6</v>
      </c>
      <c r="AG61" s="32">
        <f>IF(COUNTIFS(SL_Income_Log!$B:$B,TEXT(B61,"0000")&amp;"-"&amp;TEXT(A61,"00"),SL_Income_Log!$C:$C,"youtube")&gt;0,SUMIFS(SL_Income_Log!$D:$D,SL_Income_Log!$B:$B,TEXT(B61,"0000")&amp;"-"&amp;TEXT(A61,"00"),SL_Income_Log!$C:$C,"youtube"),MIN(Assumptions!$B$49+FLOOR((ROW()-2)/6,1)*Assumptions!$B$50,Assumptions!$B$51))
</f>
        <v>10000</v>
      </c>
      <c r="AH61" s="32">
        <f>AG61*Assumptions!$B$104</f>
        <v>4430</v>
      </c>
      <c r="AI61" s="32">
        <f t="shared" si="7"/>
        <v>5570</v>
      </c>
      <c r="AJ61" s="32">
        <f>SUMIFS(SL_Income_Log!$D:$D,SL_Income_Log!$B:$B,TEXT(B61,"0000")&amp;"-"&amp;TEXT(A61,"00"),SL_Income_Log!$C:$C,"other")</f>
        <v>0</v>
      </c>
      <c r="AK61" s="32">
        <f t="shared" si="27"/>
        <v>10000</v>
      </c>
      <c r="AL61" s="32">
        <f>L61+M61+T61+U61+AI61+AJ61-Y61-Z61-AB61-AC61+IF((Debt_Register!$C$2+Debt_Register!$C$6+Debt_Register!$C$7+Debt_Register!$C$8+Debt_Register!$C$9)&gt;5,X61,0)</f>
        <v>15018.088</v>
      </c>
      <c r="AM61" s="32">
        <f t="shared" si="8"/>
        <v>25018.088</v>
      </c>
      <c r="AN61" s="32">
        <f>MAX(Assumptions!$B$94,MIN(Assumptions!$B$93,AM61-AP61-BE61-BO61-BQ61))</f>
        <v>10000</v>
      </c>
      <c r="AO61" s="32">
        <f t="shared" si="28"/>
        <v>238998.7138</v>
      </c>
      <c r="AP61" s="32">
        <f>IF(AO61&gt;0,Assumptions!$B$33,0)</f>
        <v>2281</v>
      </c>
      <c r="AQ61" s="32">
        <f>AO61*Assumptions!$B$32/12</f>
        <v>774.7541638</v>
      </c>
      <c r="AR61" s="32">
        <f t="shared" si="9"/>
        <v>1506.245836</v>
      </c>
      <c r="AS61" s="32">
        <f t="shared" si="29"/>
        <v>0</v>
      </c>
      <c r="AT61" s="32">
        <f t="shared" si="10"/>
        <v>237492.4679</v>
      </c>
      <c r="AU61" s="32">
        <f t="shared" si="30"/>
        <v>0</v>
      </c>
      <c r="AV61" s="32">
        <f t="shared" si="31"/>
        <v>0</v>
      </c>
      <c r="AW61" s="32">
        <f t="shared" si="32"/>
        <v>0</v>
      </c>
      <c r="AX61" s="32">
        <f t="shared" si="33"/>
        <v>0</v>
      </c>
      <c r="AY61" s="32">
        <f t="shared" si="34"/>
        <v>0</v>
      </c>
      <c r="AZ61" s="32">
        <f t="shared" si="35"/>
        <v>0</v>
      </c>
      <c r="BA61" s="32">
        <f t="shared" si="36"/>
        <v>0</v>
      </c>
      <c r="BB61" s="32">
        <f t="shared" si="37"/>
        <v>0</v>
      </c>
      <c r="BC61" s="32">
        <f t="shared" si="38"/>
        <v>0</v>
      </c>
      <c r="BD61" s="32">
        <f t="shared" si="39"/>
        <v>0</v>
      </c>
      <c r="BE61" s="32">
        <f t="shared" si="11"/>
        <v>0</v>
      </c>
      <c r="BF61" s="32">
        <v>0.0</v>
      </c>
      <c r="BG61" s="32">
        <f t="shared" si="40"/>
        <v>5500</v>
      </c>
      <c r="BH61" s="32">
        <v>0.0</v>
      </c>
      <c r="BI61" s="32">
        <f t="shared" si="41"/>
        <v>5000</v>
      </c>
      <c r="BJ61" s="32">
        <f>IF(OR(B61&lt;Assumptions!$B$111,AND(B61=Assumptions!$B$111,A61&lt;=Assumptions!$B$112)),Assumptions!$B$110,0)</f>
        <v>0</v>
      </c>
      <c r="BK61" s="32">
        <f>IF(B61&lt;2027,Assumptions!$B$116+IF(OR(A61=4,A61=10),Assumptions!$B$117,0),IF(AND(B61=2027,A61&lt;=4),IF(A61=4,MIN(950,Assumptions!$B$116+Assumptions!$B$117),Assumptions!$B$116),0))</f>
        <v>0</v>
      </c>
      <c r="BL61" s="32">
        <f>IF(OR(B61&lt;2030,AND(B61=2030,A61&lt;8)),Assumptions!$B$118,IF(AND(B61=2030,A61=8),MOD(11000,200),0))</f>
        <v>0</v>
      </c>
      <c r="BM61" s="32">
        <f>IF(OR(B61&lt;Assumptions!$B$120,AND(B61=Assumptions!$B$120,A61&lt;=Assumptions!$B$121)),Assumptions!$B$119,0)</f>
        <v>0</v>
      </c>
      <c r="BN61" s="32">
        <f>IF(AND(B61&lt;=Assumptions!$B$123,A61&lt;=Assumptions!$B$124),Assumptions!$B$122,0)</f>
        <v>0</v>
      </c>
      <c r="BO61" s="32">
        <f t="shared" si="12"/>
        <v>0</v>
      </c>
      <c r="BP61" s="32">
        <f>SUMIFS(SL_Budget!$B:$B,SL_Budget!$C:$C,"'"&amp;TEXT(DATE(B61,A61,1),"YYYY-MM"))</f>
        <v>4626</v>
      </c>
      <c r="BQ61" s="32">
        <f>MAX(BP61, IFERROR(SUMIFS(ShadowLedger!D:D, 
  ShadowLedger!C:C, "&gt;="&amp;DATE(B61,A61,1), 
  ShadowLedger!C:C, "&lt;"&amp;EOMONTH(DATE(B61,A61,1),0)+1), 0))
</f>
        <v>4626</v>
      </c>
      <c r="BR61" s="32">
        <f t="shared" si="42"/>
        <v>418016.0762</v>
      </c>
      <c r="BS61" s="32">
        <f t="shared" si="43"/>
        <v>2288.904</v>
      </c>
      <c r="BT61" s="32">
        <f>IF(AS61&gt;0,-MAX(0,21550-MAX(0,MAX(0,(AM61-AP61-BE61-BO61-BQ61)-Assumptions!$B$93))-MIN(MAX(0,21550-MAX(0,MAX(0,(AM61-AP61-BE61-BO61-BQ61)-Assumptions!$B$93))),MAX(0,BY60-Assumptions!$B$91))),IF(BY60&gt;=Assumptions!$B$92,MAX(0,(AM61-AP61-BE61-BO61-BQ61)-Assumptions!$B$93),MAX(0,(AM61-AP61-BE61-BO61-BQ61)-Assumptions!$B$93)*Assumptions!$B$99))</f>
        <v>8111.088</v>
      </c>
      <c r="BU61" s="32">
        <f>(BR61+BS61+MAX(0,BT61))*(Assumptions!$B$43-1)</f>
        <v>2920.940753</v>
      </c>
      <c r="BV61" s="32">
        <f t="shared" si="13"/>
        <v>431337.009</v>
      </c>
      <c r="BW61" s="32">
        <f t="shared" si="44"/>
        <v>15182.86932</v>
      </c>
      <c r="BX61" s="32">
        <f>IF(AS61&gt;0,-MIN(MAX(0,21550-MAX(0,MAX(0,(AM61-AP61-BE61-BO61-BQ61)-Assumptions!$B$93))),MAX(0,BY60-Assumptions!$B$91)),IF(BY60&lt;Assumptions!$B$92,MAX(0,(AM61-AP61-BE61-BO61-BQ61)-Assumptions!$B$93)*Assumptions!$B$98,0))</f>
        <v>0</v>
      </c>
      <c r="BY61" s="32">
        <f t="shared" si="14"/>
        <v>15182.86932</v>
      </c>
      <c r="BZ61" s="32">
        <f t="shared" si="45"/>
        <v>46072</v>
      </c>
      <c r="CA61" s="32">
        <f t="shared" si="15"/>
        <v>4430</v>
      </c>
      <c r="CB61" s="32">
        <f t="shared" si="16"/>
        <v>50502</v>
      </c>
      <c r="CC61" s="55">
        <f>CC60+(G61+J61)/(Salary_Schedule!E61*12/208)</f>
        <v>1766.112896</v>
      </c>
      <c r="CD61" s="55">
        <f>CD60+(O61+R61)/(Salary_Schedule!G61*12/208)</f>
        <v>91.82178354</v>
      </c>
      <c r="CE61" s="32">
        <f t="shared" si="17"/>
        <v>431337.009</v>
      </c>
      <c r="CF61" s="32">
        <f>Assumptions!$B$55*(1+Assumptions!$B$56)^((B61-2025)+(A61-1)/12)</f>
        <v>567885.4744</v>
      </c>
      <c r="CG61" s="32">
        <f t="shared" si="18"/>
        <v>-237492.4679</v>
      </c>
      <c r="CH61" s="32">
        <f t="shared" si="19"/>
        <v>-27999.6</v>
      </c>
      <c r="CI61" s="32">
        <f>CC61*(Salary_Schedule!E61/173.33)*(1-Assumptions!$B$28)+CD61*(Salary_Schedule!G61/173.33)*(1-Assumptions!$B$28)</f>
        <v>61750.46435</v>
      </c>
      <c r="CJ61" s="32">
        <f t="shared" si="20"/>
        <v>795480.8798</v>
      </c>
    </row>
    <row r="62" ht="15.0" customHeight="1">
      <c r="A62" s="1">
        <v>1.0</v>
      </c>
      <c r="B62" s="1">
        <v>2031.0</v>
      </c>
      <c r="C62" s="1" t="s">
        <v>731</v>
      </c>
      <c r="D62" s="1" t="str">
        <f t="shared" si="21"/>
        <v>12/2030</v>
      </c>
      <c r="E62" s="1" t="str">
        <f t="shared" si="2"/>
        <v>FAT_RSU</v>
      </c>
      <c r="F62" s="32">
        <f>Salary_Schedule!E62</f>
        <v>9401.62</v>
      </c>
      <c r="G62" s="32">
        <f>Assumptions!$B$8</f>
        <v>200</v>
      </c>
      <c r="H62" s="32">
        <f>F62*Assumptions!$B$58</f>
        <v>940.162</v>
      </c>
      <c r="I62" s="32">
        <f>Salary_Schedule!F62</f>
        <v>0</v>
      </c>
      <c r="J62" s="32">
        <f>I62*Assumptions!$B$9</f>
        <v>0</v>
      </c>
      <c r="K62" s="54">
        <f t="shared" si="3"/>
        <v>8261.458</v>
      </c>
      <c r="L62" s="32">
        <f>IF(COUNTIFS(SL_Income_Log!$B:$B,TEXT(B62,"0000")&amp;"-"&amp;TEXT(A62,"00"),SL_Income_Log!$C:$C,"salary",SL_Income_Log!$E:$E,"H")&gt;0,SUMIFS(SL_Income_Log!$D:$D,SL_Income_Log!$B:$B,TEXT(B62,"0000")&amp;"-"&amp;TEXT(A62,"00"),SL_Income_Log!$C:$C,"salary",SL_Income_Log!$E:$E,"H"),K62*(1-Assumptions!$B$102)-Z62-Y62)</f>
        <v>4638.9548</v>
      </c>
      <c r="M62" s="32">
        <f>RSU_Schedule!H61</f>
        <v>2784.99</v>
      </c>
      <c r="N62" s="32">
        <f>Salary_Schedule!G62</f>
        <v>7358.51</v>
      </c>
      <c r="O62" s="32">
        <f>Assumptions!$B$19</f>
        <v>200</v>
      </c>
      <c r="P62" s="32">
        <f>N62*Assumptions!$B$59</f>
        <v>735.851</v>
      </c>
      <c r="Q62" s="32">
        <f>Salary_Schedule!H62</f>
        <v>0</v>
      </c>
      <c r="R62" s="32">
        <f>Q62*Assumptions!$B$20</f>
        <v>0</v>
      </c>
      <c r="S62" s="54">
        <f t="shared" si="4"/>
        <v>6422.659</v>
      </c>
      <c r="T62" s="32">
        <f>IF(COUNTIFS(SL_Income_Log!$B:$B,TEXT(B62,"0000")&amp;"-"&amp;TEXT(A62,"00"),SL_Income_Log!$C:$C,"salary",SL_Income_Log!$E:$E,"W")&gt;0,SUMIFS(SL_Income_Log!$D:$D,SL_Income_Log!$B:$B,TEXT(B62,"0000")&amp;"-"&amp;TEXT(A62,"00"),SL_Income_Log!$C:$C,"salary",SL_Income_Log!$E:$E,"W"),S62*(1-Assumptions!$B$102)-AC62-AB62)
</f>
        <v>3535.6754</v>
      </c>
      <c r="U62" s="32">
        <f>RSU_Schedule!M61</f>
        <v>1392.51</v>
      </c>
      <c r="V62" s="32">
        <f>H62*(1+Assumptions!$B$60)+Assumptions!$B$61</f>
        <v>1336.2268</v>
      </c>
      <c r="W62" s="32">
        <f>P62*(1+Assumptions!$B$60)+Assumptions!$B$61</f>
        <v>1050.1914</v>
      </c>
      <c r="X62" s="32">
        <f t="shared" si="5"/>
        <v>2386.4182</v>
      </c>
      <c r="Y62" s="32">
        <f t="shared" si="22"/>
        <v>26.25</v>
      </c>
      <c r="Z62" s="32">
        <v>291.67</v>
      </c>
      <c r="AA62" s="32">
        <f t="shared" si="23"/>
        <v>8458.13</v>
      </c>
      <c r="AB62" s="32">
        <f t="shared" si="24"/>
        <v>26.25</v>
      </c>
      <c r="AC62" s="32">
        <v>291.67</v>
      </c>
      <c r="AD62" s="32">
        <f t="shared" si="25"/>
        <v>8458.13</v>
      </c>
      <c r="AE62" s="32">
        <f t="shared" ref="AE62:AF62" si="103">Z62+AC62</f>
        <v>583.34</v>
      </c>
      <c r="AF62" s="32">
        <f t="shared" si="103"/>
        <v>16916.26</v>
      </c>
      <c r="AG62" s="32">
        <f>IF(COUNTIFS(SL_Income_Log!$B:$B,TEXT(B62,"0000")&amp;"-"&amp;TEXT(A62,"00"),SL_Income_Log!$C:$C,"youtube")&gt;0,SUMIFS(SL_Income_Log!$D:$D,SL_Income_Log!$B:$B,TEXT(B62,"0000")&amp;"-"&amp;TEXT(A62,"00"),SL_Income_Log!$C:$C,"youtube"),MIN(Assumptions!$B$49+FLOOR((ROW()-2)/6,1)*Assumptions!$B$50,Assumptions!$B$51))
</f>
        <v>11000</v>
      </c>
      <c r="AH62" s="32">
        <f>AG62*Assumptions!$B$104</f>
        <v>4873</v>
      </c>
      <c r="AI62" s="32">
        <f t="shared" si="7"/>
        <v>6127</v>
      </c>
      <c r="AJ62" s="32">
        <f>SUMIFS(SL_Income_Log!$D:$D,SL_Income_Log!$B:$B,TEXT(B62,"0000")&amp;"-"&amp;TEXT(A62,"00"),SL_Income_Log!$C:$C,"other")</f>
        <v>0</v>
      </c>
      <c r="AK62" s="32">
        <f t="shared" si="27"/>
        <v>10000</v>
      </c>
      <c r="AL62" s="32">
        <f>L62+M62+T62+U62+AI62+AJ62-Y62-Z62-AB62-AC62+IF((Debt_Register!$C$2+Debt_Register!$C$6+Debt_Register!$C$7+Debt_Register!$C$8+Debt_Register!$C$9)&gt;5,X62,0)</f>
        <v>20229.7084</v>
      </c>
      <c r="AM62" s="32">
        <f t="shared" si="8"/>
        <v>30229.7084</v>
      </c>
      <c r="AN62" s="32">
        <f>MAX(Assumptions!$B$94,MIN(Assumptions!$B$93,AM62-AP62-BE62-BO62-BQ62))</f>
        <v>10000</v>
      </c>
      <c r="AO62" s="32">
        <f t="shared" si="28"/>
        <v>237492.4679</v>
      </c>
      <c r="AP62" s="32">
        <f>IF(AO62&gt;0,Assumptions!$B$33,0)</f>
        <v>2281</v>
      </c>
      <c r="AQ62" s="32">
        <f>AO62*Assumptions!$B$32/12</f>
        <v>769.8714168</v>
      </c>
      <c r="AR62" s="32">
        <f t="shared" si="9"/>
        <v>1511.128583</v>
      </c>
      <c r="AS62" s="32">
        <f t="shared" si="29"/>
        <v>21550</v>
      </c>
      <c r="AT62" s="32">
        <f t="shared" si="10"/>
        <v>214431.3393</v>
      </c>
      <c r="AU62" s="32">
        <f t="shared" si="30"/>
        <v>0</v>
      </c>
      <c r="AV62" s="32">
        <f t="shared" si="31"/>
        <v>0</v>
      </c>
      <c r="AW62" s="32">
        <f t="shared" si="32"/>
        <v>0</v>
      </c>
      <c r="AX62" s="32">
        <f t="shared" si="33"/>
        <v>0</v>
      </c>
      <c r="AY62" s="32">
        <f t="shared" si="34"/>
        <v>0</v>
      </c>
      <c r="AZ62" s="32">
        <f t="shared" si="35"/>
        <v>0</v>
      </c>
      <c r="BA62" s="32">
        <f t="shared" si="36"/>
        <v>0</v>
      </c>
      <c r="BB62" s="32">
        <f t="shared" si="37"/>
        <v>0</v>
      </c>
      <c r="BC62" s="32">
        <f t="shared" si="38"/>
        <v>0</v>
      </c>
      <c r="BD62" s="32">
        <f t="shared" si="39"/>
        <v>0</v>
      </c>
      <c r="BE62" s="32">
        <f t="shared" si="11"/>
        <v>0</v>
      </c>
      <c r="BF62" s="32">
        <v>0.0</v>
      </c>
      <c r="BG62" s="32">
        <f t="shared" si="40"/>
        <v>5500</v>
      </c>
      <c r="BH62" s="32">
        <v>0.0</v>
      </c>
      <c r="BI62" s="32">
        <f t="shared" si="41"/>
        <v>5000</v>
      </c>
      <c r="BJ62" s="32">
        <f>IF(OR(B62&lt;Assumptions!$B$111,AND(B62=Assumptions!$B$111,A62&lt;=Assumptions!$B$112)),Assumptions!$B$110,0)</f>
        <v>0</v>
      </c>
      <c r="BK62" s="32">
        <f>IF(B62&lt;2027,Assumptions!$B$116+IF(OR(A62=4,A62=10),Assumptions!$B$117,0),IF(AND(B62=2027,A62&lt;=4),IF(A62=4,MIN(950,Assumptions!$B$116+Assumptions!$B$117),Assumptions!$B$116),0))</f>
        <v>0</v>
      </c>
      <c r="BL62" s="32">
        <f>IF(OR(B62&lt;2030,AND(B62=2030,A62&lt;8)),Assumptions!$B$118,IF(AND(B62=2030,A62=8),MOD(11000,200),0))</f>
        <v>0</v>
      </c>
      <c r="BM62" s="32">
        <f>IF(OR(B62&lt;Assumptions!$B$120,AND(B62=Assumptions!$B$120,A62&lt;=Assumptions!$B$121)),Assumptions!$B$119,0)</f>
        <v>0</v>
      </c>
      <c r="BN62" s="32">
        <f>IF(AND(B62&lt;=Assumptions!$B$123,A62&lt;=Assumptions!$B$124),Assumptions!$B$122,0)</f>
        <v>0</v>
      </c>
      <c r="BO62" s="32">
        <f t="shared" si="12"/>
        <v>0</v>
      </c>
      <c r="BP62" s="32">
        <f>SUMIFS(SL_Budget!$B:$B,SL_Budget!$C:$C,"'"&amp;TEXT(DATE(B62,A62,1),"YYYY-MM"))</f>
        <v>4766</v>
      </c>
      <c r="BQ62" s="32">
        <f>MAX(BP62, IFERROR(SUMIFS(ShadowLedger!D:D, 
  ShadowLedger!C:C, "&gt;="&amp;DATE(B62,A62,1), 
  ShadowLedger!C:C, "&lt;"&amp;EOMONTH(DATE(B62,A62,1),0)+1), 0))
</f>
        <v>4766</v>
      </c>
      <c r="BR62" s="32">
        <f t="shared" si="42"/>
        <v>431337.009</v>
      </c>
      <c r="BS62" s="32">
        <f t="shared" si="43"/>
        <v>2386.4182</v>
      </c>
      <c r="BT62" s="32">
        <f>IF(AS62&gt;0,-MAX(0,21550-MAX(0,MAX(0,(AM62-AP62-BE62-BO62-BQ62)-Assumptions!$B$93))-MIN(MAX(0,21550-MAX(0,MAX(0,(AM62-AP62-BE62-BO62-BQ62)-Assumptions!$B$93))),MAX(0,BY61-Assumptions!$B$91))),IF(BY61&gt;=Assumptions!$B$92,MAX(0,(AM62-AP62-BE62-BO62-BQ62)-Assumptions!$B$93),MAX(0,(AM62-AP62-BE62-BO62-BQ62)-Assumptions!$B$93)*Assumptions!$B$99))</f>
        <v>0</v>
      </c>
      <c r="BU62" s="32">
        <f>(BR62+BS62+MAX(0,BT62))*(Assumptions!$B$43-1)</f>
        <v>2957.126326</v>
      </c>
      <c r="BV62" s="32">
        <f t="shared" si="13"/>
        <v>436680.5535</v>
      </c>
      <c r="BW62" s="32">
        <f t="shared" si="44"/>
        <v>15182.86932</v>
      </c>
      <c r="BX62" s="32">
        <f>IF(AS62&gt;0,-MIN(MAX(0,21550-MAX(0,MAX(0,(AM62-AP62-BE62-BO62-BQ62)-Assumptions!$B$93))),MAX(0,BY61-Assumptions!$B$91)),IF(BY61&lt;Assumptions!$B$92,MAX(0,(AM62-AP62-BE62-BO62-BQ62)-Assumptions!$B$93)*Assumptions!$B$98,0))</f>
        <v>-8367.2916</v>
      </c>
      <c r="BY62" s="32">
        <f t="shared" si="14"/>
        <v>6815.57772</v>
      </c>
      <c r="BZ62" s="32">
        <f t="shared" si="45"/>
        <v>0</v>
      </c>
      <c r="CA62" s="32">
        <f t="shared" si="15"/>
        <v>4873</v>
      </c>
      <c r="CB62" s="32">
        <f t="shared" si="16"/>
        <v>4873</v>
      </c>
      <c r="CC62" s="55">
        <f>CC61+(G62+J62)/(Salary_Schedule!E62*12/208)</f>
        <v>1766.481627</v>
      </c>
      <c r="CD62" s="55">
        <f>CD61+(O62+R62)/(Salary_Schedule!G62*12/208)</f>
        <v>92.29289341</v>
      </c>
      <c r="CE62" s="32">
        <f t="shared" si="17"/>
        <v>436680.5535</v>
      </c>
      <c r="CF62" s="32">
        <f>Assumptions!$B$55*(1+Assumptions!$B$56)^((B62-2025)+(A62-1)/12)</f>
        <v>568590.4973</v>
      </c>
      <c r="CG62" s="32">
        <f t="shared" si="18"/>
        <v>-214431.3393</v>
      </c>
      <c r="CH62" s="32">
        <f t="shared" si="19"/>
        <v>-27416.26</v>
      </c>
      <c r="CI62" s="32">
        <f>CC62*(Salary_Schedule!E62/173.33)*(1-Assumptions!$B$28)+CD62*(Salary_Schedule!G62/173.33)*(1-Assumptions!$B$28)</f>
        <v>64827.22358</v>
      </c>
      <c r="CJ62" s="32">
        <f t="shared" si="20"/>
        <v>828250.675</v>
      </c>
    </row>
    <row r="63" ht="15.0" customHeight="1">
      <c r="A63" s="1">
        <v>2.0</v>
      </c>
      <c r="B63" s="1">
        <v>2031.0</v>
      </c>
      <c r="C63" s="1" t="s">
        <v>732</v>
      </c>
      <c r="D63" s="1" t="str">
        <f t="shared" si="21"/>
        <v>01/2031</v>
      </c>
      <c r="E63" s="1" t="str">
        <f t="shared" si="2"/>
        <v>LEAN</v>
      </c>
      <c r="F63" s="32">
        <f>Salary_Schedule!E63</f>
        <v>9401.62</v>
      </c>
      <c r="G63" s="32">
        <f>Assumptions!$B$8</f>
        <v>200</v>
      </c>
      <c r="H63" s="32">
        <f>F63*Assumptions!$B$58</f>
        <v>940.162</v>
      </c>
      <c r="I63" s="32">
        <f>Salary_Schedule!F63</f>
        <v>0</v>
      </c>
      <c r="J63" s="32">
        <f>I63*Assumptions!$B$9</f>
        <v>0</v>
      </c>
      <c r="K63" s="54">
        <f t="shared" si="3"/>
        <v>8261.458</v>
      </c>
      <c r="L63" s="32">
        <f>IF(COUNTIFS(SL_Income_Log!$B:$B,TEXT(B63,"0000")&amp;"-"&amp;TEXT(A63,"00"),SL_Income_Log!$C:$C,"salary",SL_Income_Log!$E:$E,"H")&gt;0,SUMIFS(SL_Income_Log!$D:$D,SL_Income_Log!$B:$B,TEXT(B63,"0000")&amp;"-"&amp;TEXT(A63,"00"),SL_Income_Log!$C:$C,"salary",SL_Income_Log!$E:$E,"H"),K63*(1-Assumptions!$B$102)-Z63-Y63)</f>
        <v>4639.8348</v>
      </c>
      <c r="M63" s="32">
        <f>RSU_Schedule!H62</f>
        <v>0</v>
      </c>
      <c r="N63" s="32">
        <f>Salary_Schedule!G63</f>
        <v>7358.51</v>
      </c>
      <c r="O63" s="32">
        <f>Assumptions!$B$19</f>
        <v>200</v>
      </c>
      <c r="P63" s="32">
        <f>N63*Assumptions!$B$59</f>
        <v>735.851</v>
      </c>
      <c r="Q63" s="32">
        <f>Salary_Schedule!H63</f>
        <v>0</v>
      </c>
      <c r="R63" s="32">
        <f>Q63*Assumptions!$B$20</f>
        <v>0</v>
      </c>
      <c r="S63" s="54">
        <f t="shared" si="4"/>
        <v>6422.659</v>
      </c>
      <c r="T63" s="32">
        <f>IF(COUNTIFS(SL_Income_Log!$B:$B,TEXT(B63,"0000")&amp;"-"&amp;TEXT(A63,"00"),SL_Income_Log!$C:$C,"salary",SL_Income_Log!$E:$E,"W")&gt;0,SUMIFS(SL_Income_Log!$D:$D,SL_Income_Log!$B:$B,TEXT(B63,"0000")&amp;"-"&amp;TEXT(A63,"00"),SL_Income_Log!$C:$C,"salary",SL_Income_Log!$E:$E,"W"),S63*(1-Assumptions!$B$102)-AC63-AB63)
</f>
        <v>3536.5554</v>
      </c>
      <c r="U63" s="32">
        <f>RSU_Schedule!M62</f>
        <v>0</v>
      </c>
      <c r="V63" s="32">
        <f>H63*(1+Assumptions!$B$60)+Assumptions!$B$61</f>
        <v>1336.2268</v>
      </c>
      <c r="W63" s="32">
        <f>P63*(1+Assumptions!$B$60)+Assumptions!$B$61</f>
        <v>1050.1914</v>
      </c>
      <c r="X63" s="32">
        <f t="shared" si="5"/>
        <v>2386.4182</v>
      </c>
      <c r="Y63" s="32">
        <f t="shared" si="22"/>
        <v>25.37</v>
      </c>
      <c r="Z63" s="32">
        <v>291.67</v>
      </c>
      <c r="AA63" s="32">
        <f t="shared" si="23"/>
        <v>8166.46</v>
      </c>
      <c r="AB63" s="32">
        <f t="shared" si="24"/>
        <v>25.37</v>
      </c>
      <c r="AC63" s="32">
        <v>291.67</v>
      </c>
      <c r="AD63" s="32">
        <f t="shared" si="25"/>
        <v>8166.46</v>
      </c>
      <c r="AE63" s="32">
        <f t="shared" ref="AE63:AF63" si="104">Z63+AC63</f>
        <v>583.34</v>
      </c>
      <c r="AF63" s="32">
        <f t="shared" si="104"/>
        <v>16332.92</v>
      </c>
      <c r="AG63" s="32">
        <f>IF(COUNTIFS(SL_Income_Log!$B:$B,TEXT(B63,"0000")&amp;"-"&amp;TEXT(A63,"00"),SL_Income_Log!$C:$C,"youtube")&gt;0,SUMIFS(SL_Income_Log!$D:$D,SL_Income_Log!$B:$B,TEXT(B63,"0000")&amp;"-"&amp;TEXT(A63,"00"),SL_Income_Log!$C:$C,"youtube"),MIN(Assumptions!$B$49+FLOOR((ROW()-2)/6,1)*Assumptions!$B$50,Assumptions!$B$51))
</f>
        <v>11000</v>
      </c>
      <c r="AH63" s="32">
        <f>AG63*Assumptions!$B$104</f>
        <v>4873</v>
      </c>
      <c r="AI63" s="32">
        <f t="shared" si="7"/>
        <v>6127</v>
      </c>
      <c r="AJ63" s="32">
        <f>SUMIFS(SL_Income_Log!$D:$D,SL_Income_Log!$B:$B,TEXT(B63,"0000")&amp;"-"&amp;TEXT(A63,"00"),SL_Income_Log!$C:$C,"other")</f>
        <v>0</v>
      </c>
      <c r="AK63" s="32">
        <f t="shared" si="27"/>
        <v>10000</v>
      </c>
      <c r="AL63" s="32">
        <f>L63+M63+T63+U63+AI63+AJ63-Y63-Z63-AB63-AC63+IF((Debt_Register!$C$2+Debt_Register!$C$6+Debt_Register!$C$7+Debt_Register!$C$8+Debt_Register!$C$9)&gt;5,X63,0)</f>
        <v>16055.7284</v>
      </c>
      <c r="AM63" s="32">
        <f t="shared" si="8"/>
        <v>26055.7284</v>
      </c>
      <c r="AN63" s="32">
        <f>MAX(Assumptions!$B$94,MIN(Assumptions!$B$93,AM63-AP63-BE63-BO63-BQ63))</f>
        <v>10000</v>
      </c>
      <c r="AO63" s="32">
        <f t="shared" si="28"/>
        <v>214431.3393</v>
      </c>
      <c r="AP63" s="32">
        <f>IF(AO63&gt;0,Assumptions!$B$33,0)</f>
        <v>2281</v>
      </c>
      <c r="AQ63" s="32">
        <f>AO63*Assumptions!$B$32/12</f>
        <v>695.114925</v>
      </c>
      <c r="AR63" s="32">
        <f t="shared" si="9"/>
        <v>1585.885075</v>
      </c>
      <c r="AS63" s="32">
        <f t="shared" si="29"/>
        <v>0</v>
      </c>
      <c r="AT63" s="32">
        <f t="shared" si="10"/>
        <v>212845.4543</v>
      </c>
      <c r="AU63" s="32">
        <f t="shared" si="30"/>
        <v>0</v>
      </c>
      <c r="AV63" s="32">
        <f t="shared" si="31"/>
        <v>0</v>
      </c>
      <c r="AW63" s="32">
        <f t="shared" si="32"/>
        <v>0</v>
      </c>
      <c r="AX63" s="32">
        <f t="shared" si="33"/>
        <v>0</v>
      </c>
      <c r="AY63" s="32">
        <f t="shared" si="34"/>
        <v>0</v>
      </c>
      <c r="AZ63" s="32">
        <f t="shared" si="35"/>
        <v>0</v>
      </c>
      <c r="BA63" s="32">
        <f t="shared" si="36"/>
        <v>0</v>
      </c>
      <c r="BB63" s="32">
        <f t="shared" si="37"/>
        <v>0</v>
      </c>
      <c r="BC63" s="32">
        <f t="shared" si="38"/>
        <v>0</v>
      </c>
      <c r="BD63" s="32">
        <f t="shared" si="39"/>
        <v>0</v>
      </c>
      <c r="BE63" s="32">
        <f t="shared" si="11"/>
        <v>0</v>
      </c>
      <c r="BF63" s="32">
        <v>0.0</v>
      </c>
      <c r="BG63" s="32">
        <f t="shared" si="40"/>
        <v>5500</v>
      </c>
      <c r="BH63" s="32">
        <v>0.0</v>
      </c>
      <c r="BI63" s="32">
        <f t="shared" si="41"/>
        <v>5000</v>
      </c>
      <c r="BJ63" s="32">
        <f>IF(OR(B63&lt;Assumptions!$B$111,AND(B63=Assumptions!$B$111,A63&lt;=Assumptions!$B$112)),Assumptions!$B$110,0)</f>
        <v>0</v>
      </c>
      <c r="BK63" s="32">
        <f>IF(B63&lt;2027,Assumptions!$B$116+IF(OR(A63=4,A63=10),Assumptions!$B$117,0),IF(AND(B63=2027,A63&lt;=4),IF(A63=4,MIN(950,Assumptions!$B$116+Assumptions!$B$117),Assumptions!$B$116),0))</f>
        <v>0</v>
      </c>
      <c r="BL63" s="32">
        <f>IF(OR(B63&lt;2030,AND(B63=2030,A63&lt;8)),Assumptions!$B$118,IF(AND(B63=2030,A63=8),MOD(11000,200),0))</f>
        <v>0</v>
      </c>
      <c r="BM63" s="32">
        <f>IF(OR(B63&lt;Assumptions!$B$120,AND(B63=Assumptions!$B$120,A63&lt;=Assumptions!$B$121)),Assumptions!$B$119,0)</f>
        <v>0</v>
      </c>
      <c r="BN63" s="32">
        <f>IF(AND(B63&lt;=Assumptions!$B$123,A63&lt;=Assumptions!$B$124),Assumptions!$B$122,0)</f>
        <v>0</v>
      </c>
      <c r="BO63" s="32">
        <f t="shared" si="12"/>
        <v>0</v>
      </c>
      <c r="BP63" s="32">
        <f>SUMIFS(SL_Budget!$B:$B,SL_Budget!$C:$C,"'"&amp;TEXT(DATE(B63,A63,1),"YYYY-MM"))</f>
        <v>4766</v>
      </c>
      <c r="BQ63" s="32">
        <f>MAX(BP63, IFERROR(SUMIFS(ShadowLedger!D:D, 
  ShadowLedger!C:C, "&gt;="&amp;DATE(B63,A63,1), 
  ShadowLedger!C:C, "&lt;"&amp;EOMONTH(DATE(B63,A63,1),0)+1), 0))
</f>
        <v>4766</v>
      </c>
      <c r="BR63" s="32">
        <f t="shared" si="42"/>
        <v>436680.5535</v>
      </c>
      <c r="BS63" s="32">
        <f t="shared" si="43"/>
        <v>2386.4182</v>
      </c>
      <c r="BT63" s="32">
        <f>IF(AS63&gt;0,-MAX(0,21550-MAX(0,MAX(0,(AM63-AP63-BE63-BO63-BQ63)-Assumptions!$B$93))-MIN(MAX(0,21550-MAX(0,MAX(0,(AM63-AP63-BE63-BO63-BQ63)-Assumptions!$B$93))),MAX(0,BY62-Assumptions!$B$91))),IF(BY62&gt;=Assumptions!$B$92,MAX(0,(AM63-AP63-BE63-BO63-BQ63)-Assumptions!$B$93),MAX(0,(AM63-AP63-BE63-BO63-BQ63)-Assumptions!$B$93)*Assumptions!$B$99))</f>
        <v>7206.98272</v>
      </c>
      <c r="BU63" s="32">
        <f>(BR63+BS63+MAX(0,BT63))*(Assumptions!$B$43-1)</f>
        <v>3042.695821</v>
      </c>
      <c r="BV63" s="32">
        <f t="shared" si="13"/>
        <v>449316.6502</v>
      </c>
      <c r="BW63" s="32">
        <f t="shared" si="44"/>
        <v>6815.57772</v>
      </c>
      <c r="BX63" s="32">
        <f>IF(AS63&gt;0,-MIN(MAX(0,21550-MAX(0,MAX(0,(AM63-AP63-BE63-BO63-BQ63)-Assumptions!$B$93))),MAX(0,BY62-Assumptions!$B$91)),IF(BY62&lt;Assumptions!$B$92,MAX(0,(AM63-AP63-BE63-BO63-BQ63)-Assumptions!$B$93)*Assumptions!$B$98,0))</f>
        <v>1801.74568</v>
      </c>
      <c r="BY63" s="32">
        <f t="shared" si="14"/>
        <v>8617.3234</v>
      </c>
      <c r="BZ63" s="32">
        <f t="shared" si="45"/>
        <v>4873</v>
      </c>
      <c r="CA63" s="32">
        <f t="shared" si="15"/>
        <v>4873</v>
      </c>
      <c r="CB63" s="32">
        <f t="shared" si="16"/>
        <v>9746</v>
      </c>
      <c r="CC63" s="55">
        <f>CC62+(G63+J63)/(Salary_Schedule!E63*12/208)</f>
        <v>1766.850358</v>
      </c>
      <c r="CD63" s="55">
        <f>CD62+(O63+R63)/(Salary_Schedule!G63*12/208)</f>
        <v>92.76400327</v>
      </c>
      <c r="CE63" s="32">
        <f t="shared" si="17"/>
        <v>449316.6502</v>
      </c>
      <c r="CF63" s="32">
        <f>Assumptions!$B$55*(1+Assumptions!$B$56)^((B63-2025)+(A63-1)/12)</f>
        <v>569296.3954</v>
      </c>
      <c r="CG63" s="32">
        <f t="shared" si="18"/>
        <v>-212845.4543</v>
      </c>
      <c r="CH63" s="32">
        <f t="shared" si="19"/>
        <v>-26832.92</v>
      </c>
      <c r="CI63" s="32">
        <f>CC63*(Salary_Schedule!E63/173.33)*(1-Assumptions!$B$28)+CD63*(Salary_Schedule!G63/173.33)*(1-Assumptions!$B$28)</f>
        <v>64853.22408</v>
      </c>
      <c r="CJ63" s="32">
        <f t="shared" si="20"/>
        <v>843787.8954</v>
      </c>
    </row>
    <row r="64" ht="15.0" customHeight="1">
      <c r="A64" s="1">
        <v>3.0</v>
      </c>
      <c r="B64" s="1">
        <v>2031.0</v>
      </c>
      <c r="C64" s="1" t="s">
        <v>733</v>
      </c>
      <c r="D64" s="1" t="str">
        <f t="shared" si="21"/>
        <v>02/2031</v>
      </c>
      <c r="E64" s="1" t="str">
        <f t="shared" si="2"/>
        <v>LEAN</v>
      </c>
      <c r="F64" s="32">
        <f>Salary_Schedule!E64</f>
        <v>9401.62</v>
      </c>
      <c r="G64" s="32">
        <f>Assumptions!$B$8</f>
        <v>200</v>
      </c>
      <c r="H64" s="32">
        <f>F64*Assumptions!$B$58</f>
        <v>940.162</v>
      </c>
      <c r="I64" s="32">
        <f>Salary_Schedule!F64</f>
        <v>0</v>
      </c>
      <c r="J64" s="32">
        <f>I64*Assumptions!$B$9</f>
        <v>0</v>
      </c>
      <c r="K64" s="54">
        <f t="shared" si="3"/>
        <v>8261.458</v>
      </c>
      <c r="L64" s="32">
        <f>IF(COUNTIFS(SL_Income_Log!$B:$B,TEXT(B64,"0000")&amp;"-"&amp;TEXT(A64,"00"),SL_Income_Log!$C:$C,"salary",SL_Income_Log!$E:$E,"H")&gt;0,SUMIFS(SL_Income_Log!$D:$D,SL_Income_Log!$B:$B,TEXT(B64,"0000")&amp;"-"&amp;TEXT(A64,"00"),SL_Income_Log!$C:$C,"salary",SL_Income_Log!$E:$E,"H"),K64*(1-Assumptions!$B$102)-Z64-Y64)</f>
        <v>4640.7048</v>
      </c>
      <c r="M64" s="32">
        <f>RSU_Schedule!H63</f>
        <v>0</v>
      </c>
      <c r="N64" s="32">
        <f>Salary_Schedule!G64</f>
        <v>7358.51</v>
      </c>
      <c r="O64" s="32">
        <f>Assumptions!$B$19</f>
        <v>200</v>
      </c>
      <c r="P64" s="32">
        <f>N64*Assumptions!$B$59</f>
        <v>735.851</v>
      </c>
      <c r="Q64" s="32">
        <f>Salary_Schedule!H64</f>
        <v>0</v>
      </c>
      <c r="R64" s="32">
        <f>Q64*Assumptions!$B$20</f>
        <v>0</v>
      </c>
      <c r="S64" s="54">
        <f t="shared" si="4"/>
        <v>6422.659</v>
      </c>
      <c r="T64" s="32">
        <f>IF(COUNTIFS(SL_Income_Log!$B:$B,TEXT(B64,"0000")&amp;"-"&amp;TEXT(A64,"00"),SL_Income_Log!$C:$C,"salary",SL_Income_Log!$E:$E,"W")&gt;0,SUMIFS(SL_Income_Log!$D:$D,SL_Income_Log!$B:$B,TEXT(B64,"0000")&amp;"-"&amp;TEXT(A64,"00"),SL_Income_Log!$C:$C,"salary",SL_Income_Log!$E:$E,"W"),S64*(1-Assumptions!$B$102)-AC64-AB64)
</f>
        <v>3537.4254</v>
      </c>
      <c r="U64" s="32">
        <f>RSU_Schedule!M63</f>
        <v>0</v>
      </c>
      <c r="V64" s="32">
        <f>H64*(1+Assumptions!$B$60)+Assumptions!$B$61</f>
        <v>1336.2268</v>
      </c>
      <c r="W64" s="32">
        <f>P64*(1+Assumptions!$B$60)+Assumptions!$B$61</f>
        <v>1050.1914</v>
      </c>
      <c r="X64" s="32">
        <f t="shared" si="5"/>
        <v>2386.4182</v>
      </c>
      <c r="Y64" s="32">
        <f t="shared" si="22"/>
        <v>24.5</v>
      </c>
      <c r="Z64" s="32">
        <v>291.67</v>
      </c>
      <c r="AA64" s="32">
        <f t="shared" si="23"/>
        <v>7874.79</v>
      </c>
      <c r="AB64" s="32">
        <f t="shared" si="24"/>
        <v>24.5</v>
      </c>
      <c r="AC64" s="32">
        <v>291.67</v>
      </c>
      <c r="AD64" s="32">
        <f t="shared" si="25"/>
        <v>7874.79</v>
      </c>
      <c r="AE64" s="32">
        <f t="shared" ref="AE64:AF64" si="105">Z64+AC64</f>
        <v>583.34</v>
      </c>
      <c r="AF64" s="32">
        <f t="shared" si="105"/>
        <v>15749.58</v>
      </c>
      <c r="AG64" s="32">
        <f>IF(COUNTIFS(SL_Income_Log!$B:$B,TEXT(B64,"0000")&amp;"-"&amp;TEXT(A64,"00"),SL_Income_Log!$C:$C,"youtube")&gt;0,SUMIFS(SL_Income_Log!$D:$D,SL_Income_Log!$B:$B,TEXT(B64,"0000")&amp;"-"&amp;TEXT(A64,"00"),SL_Income_Log!$C:$C,"youtube"),MIN(Assumptions!$B$49+FLOOR((ROW()-2)/6,1)*Assumptions!$B$50,Assumptions!$B$51))
</f>
        <v>11000</v>
      </c>
      <c r="AH64" s="32">
        <f>AG64*Assumptions!$B$104</f>
        <v>4873</v>
      </c>
      <c r="AI64" s="32">
        <f t="shared" si="7"/>
        <v>6127</v>
      </c>
      <c r="AJ64" s="32">
        <f>SUMIFS(SL_Income_Log!$D:$D,SL_Income_Log!$B:$B,TEXT(B64,"0000")&amp;"-"&amp;TEXT(A64,"00"),SL_Income_Log!$C:$C,"other")</f>
        <v>0</v>
      </c>
      <c r="AK64" s="32">
        <f t="shared" si="27"/>
        <v>10000</v>
      </c>
      <c r="AL64" s="32">
        <f>L64+M64+T64+U64+AI64+AJ64-Y64-Z64-AB64-AC64+IF((Debt_Register!$C$2+Debt_Register!$C$6+Debt_Register!$C$7+Debt_Register!$C$8+Debt_Register!$C$9)&gt;5,X64,0)</f>
        <v>16059.2084</v>
      </c>
      <c r="AM64" s="32">
        <f t="shared" si="8"/>
        <v>26059.2084</v>
      </c>
      <c r="AN64" s="32">
        <f>MAX(Assumptions!$B$94,MIN(Assumptions!$B$93,AM64-AP64-BE64-BO64-BQ64))</f>
        <v>10000</v>
      </c>
      <c r="AO64" s="32">
        <f t="shared" si="28"/>
        <v>212845.4543</v>
      </c>
      <c r="AP64" s="32">
        <f>IF(AO64&gt;0,Assumptions!$B$33,0)</f>
        <v>2281</v>
      </c>
      <c r="AQ64" s="32">
        <f>AO64*Assumptions!$B$32/12</f>
        <v>689.9740142</v>
      </c>
      <c r="AR64" s="32">
        <f t="shared" si="9"/>
        <v>1591.025986</v>
      </c>
      <c r="AS64" s="32">
        <f t="shared" si="29"/>
        <v>0</v>
      </c>
      <c r="AT64" s="32">
        <f t="shared" si="10"/>
        <v>211254.4283</v>
      </c>
      <c r="AU64" s="32">
        <f t="shared" si="30"/>
        <v>0</v>
      </c>
      <c r="AV64" s="32">
        <f t="shared" si="31"/>
        <v>0</v>
      </c>
      <c r="AW64" s="32">
        <f t="shared" si="32"/>
        <v>0</v>
      </c>
      <c r="AX64" s="32">
        <f t="shared" si="33"/>
        <v>0</v>
      </c>
      <c r="AY64" s="32">
        <f t="shared" si="34"/>
        <v>0</v>
      </c>
      <c r="AZ64" s="32">
        <f t="shared" si="35"/>
        <v>0</v>
      </c>
      <c r="BA64" s="32">
        <f t="shared" si="36"/>
        <v>0</v>
      </c>
      <c r="BB64" s="32">
        <f t="shared" si="37"/>
        <v>0</v>
      </c>
      <c r="BC64" s="32">
        <f t="shared" si="38"/>
        <v>0</v>
      </c>
      <c r="BD64" s="32">
        <f t="shared" si="39"/>
        <v>0</v>
      </c>
      <c r="BE64" s="32">
        <f t="shared" si="11"/>
        <v>0</v>
      </c>
      <c r="BF64" s="32">
        <v>0.0</v>
      </c>
      <c r="BG64" s="32">
        <f t="shared" si="40"/>
        <v>5500</v>
      </c>
      <c r="BH64" s="32">
        <v>0.0</v>
      </c>
      <c r="BI64" s="32">
        <f t="shared" si="41"/>
        <v>5000</v>
      </c>
      <c r="BJ64" s="32">
        <f>IF(OR(B64&lt;Assumptions!$B$111,AND(B64=Assumptions!$B$111,A64&lt;=Assumptions!$B$112)),Assumptions!$B$110,0)</f>
        <v>0</v>
      </c>
      <c r="BK64" s="32">
        <f>IF(B64&lt;2027,Assumptions!$B$116+IF(OR(A64=4,A64=10),Assumptions!$B$117,0),IF(AND(B64=2027,A64&lt;=4),IF(A64=4,MIN(950,Assumptions!$B$116+Assumptions!$B$117),Assumptions!$B$116),0))</f>
        <v>0</v>
      </c>
      <c r="BL64" s="32">
        <f>IF(OR(B64&lt;2030,AND(B64=2030,A64&lt;8)),Assumptions!$B$118,IF(AND(B64=2030,A64=8),MOD(11000,200),0))</f>
        <v>0</v>
      </c>
      <c r="BM64" s="32">
        <f>IF(OR(B64&lt;Assumptions!$B$120,AND(B64=Assumptions!$B$120,A64&lt;=Assumptions!$B$121)),Assumptions!$B$119,0)</f>
        <v>0</v>
      </c>
      <c r="BN64" s="32">
        <f>IF(AND(B64&lt;=Assumptions!$B$123,A64&lt;=Assumptions!$B$124),Assumptions!$B$122,0)</f>
        <v>0</v>
      </c>
      <c r="BO64" s="32">
        <f t="shared" si="12"/>
        <v>0</v>
      </c>
      <c r="BP64" s="32">
        <f>SUMIFS(SL_Budget!$B:$B,SL_Budget!$C:$C,"'"&amp;TEXT(DATE(B64,A64,1),"YYYY-MM"))</f>
        <v>4766</v>
      </c>
      <c r="BQ64" s="32">
        <f>MAX(BP64, IFERROR(SUMIFS(ShadowLedger!D:D, 
  ShadowLedger!C:C, "&gt;="&amp;DATE(B64,A64,1), 
  ShadowLedger!C:C, "&lt;"&amp;EOMONTH(DATE(B64,A64,1),0)+1), 0))
</f>
        <v>4766</v>
      </c>
      <c r="BR64" s="32">
        <f t="shared" si="42"/>
        <v>449316.6502</v>
      </c>
      <c r="BS64" s="32">
        <f t="shared" si="43"/>
        <v>2386.4182</v>
      </c>
      <c r="BT64" s="32">
        <f>IF(AS64&gt;0,-MAX(0,21550-MAX(0,MAX(0,(AM64-AP64-BE64-BO64-BQ64)-Assumptions!$B$93))-MIN(MAX(0,21550-MAX(0,MAX(0,(AM64-AP64-BE64-BO64-BQ64)-Assumptions!$B$93))),MAX(0,BY63-Assumptions!$B$91))),IF(BY63&gt;=Assumptions!$B$92,MAX(0,(AM64-AP64-BE64-BO64-BQ64)-Assumptions!$B$93),MAX(0,(AM64-AP64-BE64-BO64-BQ64)-Assumptions!$B$93)*Assumptions!$B$99))</f>
        <v>7209.76672</v>
      </c>
      <c r="BU64" s="32">
        <f>(BR64+BS64+MAX(0,BT64))*(Assumptions!$B$43-1)</f>
        <v>3128.86771</v>
      </c>
      <c r="BV64" s="32">
        <f t="shared" si="13"/>
        <v>462041.7029</v>
      </c>
      <c r="BW64" s="32">
        <f t="shared" si="44"/>
        <v>8617.3234</v>
      </c>
      <c r="BX64" s="32">
        <f>IF(AS64&gt;0,-MIN(MAX(0,21550-MAX(0,MAX(0,(AM64-AP64-BE64-BO64-BQ64)-Assumptions!$B$93))),MAX(0,BY63-Assumptions!$B$91)),IF(BY63&lt;Assumptions!$B$92,MAX(0,(AM64-AP64-BE64-BO64-BQ64)-Assumptions!$B$93)*Assumptions!$B$98,0))</f>
        <v>1802.44168</v>
      </c>
      <c r="BY64" s="32">
        <f t="shared" si="14"/>
        <v>10419.76508</v>
      </c>
      <c r="BZ64" s="32">
        <f t="shared" si="45"/>
        <v>9746</v>
      </c>
      <c r="CA64" s="32">
        <f t="shared" si="15"/>
        <v>4873</v>
      </c>
      <c r="CB64" s="32">
        <f t="shared" si="16"/>
        <v>14619</v>
      </c>
      <c r="CC64" s="55">
        <f>CC63+(G64+J64)/(Salary_Schedule!E64*12/208)</f>
        <v>1767.219089</v>
      </c>
      <c r="CD64" s="55">
        <f>CD63+(O64+R64)/(Salary_Schedule!G64*12/208)</f>
        <v>93.23511314</v>
      </c>
      <c r="CE64" s="32">
        <f t="shared" si="17"/>
        <v>462041.7029</v>
      </c>
      <c r="CF64" s="32">
        <f>Assumptions!$B$55*(1+Assumptions!$B$56)^((B64-2025)+(A64-1)/12)</f>
        <v>570003.1699</v>
      </c>
      <c r="CG64" s="32">
        <f t="shared" si="18"/>
        <v>-211254.4283</v>
      </c>
      <c r="CH64" s="32">
        <f t="shared" si="19"/>
        <v>-26249.58</v>
      </c>
      <c r="CI64" s="32">
        <f>CC64*(Salary_Schedule!E64/173.33)*(1-Assumptions!$B$28)+CD64*(Salary_Schedule!G64/173.33)*(1-Assumptions!$B$28)</f>
        <v>64879.22458</v>
      </c>
      <c r="CJ64" s="32">
        <f t="shared" si="20"/>
        <v>859420.089</v>
      </c>
    </row>
    <row r="65" ht="15.0" customHeight="1">
      <c r="A65" s="1">
        <v>4.0</v>
      </c>
      <c r="B65" s="1">
        <v>2031.0</v>
      </c>
      <c r="C65" s="1" t="s">
        <v>734</v>
      </c>
      <c r="D65" s="1" t="str">
        <f t="shared" si="21"/>
        <v>03/2031</v>
      </c>
      <c r="E65" s="1" t="str">
        <f t="shared" si="2"/>
        <v>FAT_BONUS</v>
      </c>
      <c r="F65" s="32">
        <f>Salary_Schedule!E65</f>
        <v>9401.62</v>
      </c>
      <c r="G65" s="32">
        <f>Assumptions!$B$8</f>
        <v>200</v>
      </c>
      <c r="H65" s="32">
        <f>F65*Assumptions!$B$58</f>
        <v>940.162</v>
      </c>
      <c r="I65" s="32">
        <f>Salary_Schedule!F65</f>
        <v>12534.36</v>
      </c>
      <c r="J65" s="32">
        <f>I65*Assumptions!$B$9</f>
        <v>4387.026</v>
      </c>
      <c r="K65" s="54">
        <f t="shared" si="3"/>
        <v>16408.792</v>
      </c>
      <c r="L65" s="32">
        <f>IF(COUNTIFS(SL_Income_Log!$B:$B,TEXT(B65,"0000")&amp;"-"&amp;TEXT(A65,"00"),SL_Income_Log!$C:$C,"salary",SL_Income_Log!$E:$E,"H")&gt;0,SUMIFS(SL_Income_Log!$D:$D,SL_Income_Log!$B:$B,TEXT(B65,"0000")&amp;"-"&amp;TEXT(A65,"00"),SL_Income_Log!$C:$C,"salary",SL_Income_Log!$E:$E,"H"),K65*(1-Assumptions!$B$102)-Z65-Y65)</f>
        <v>9529.9852</v>
      </c>
      <c r="M65" s="32">
        <f>RSU_Schedule!H64</f>
        <v>2784.99</v>
      </c>
      <c r="N65" s="32">
        <f>Salary_Schedule!G65</f>
        <v>7358.51</v>
      </c>
      <c r="O65" s="32">
        <f>Assumptions!$B$19</f>
        <v>200</v>
      </c>
      <c r="P65" s="32">
        <f>N65*Assumptions!$B$59</f>
        <v>735.851</v>
      </c>
      <c r="Q65" s="32">
        <f>Salary_Schedule!H65</f>
        <v>9811.48</v>
      </c>
      <c r="R65" s="32">
        <f>Q65*Assumptions!$B$20</f>
        <v>3434.018</v>
      </c>
      <c r="S65" s="54">
        <f t="shared" si="4"/>
        <v>12800.121</v>
      </c>
      <c r="T65" s="32">
        <f>IF(COUNTIFS(SL_Income_Log!$B:$B,TEXT(B65,"0000")&amp;"-"&amp;TEXT(A65,"00"),SL_Income_Log!$C:$C,"salary",SL_Income_Log!$E:$E,"W")&gt;0,SUMIFS(SL_Income_Log!$D:$D,SL_Income_Log!$B:$B,TEXT(B65,"0000")&amp;"-"&amp;TEXT(A65,"00"),SL_Income_Log!$C:$C,"salary",SL_Income_Log!$E:$E,"W"),S65*(1-Assumptions!$B$102)-AC65-AB65)
</f>
        <v>7364.7826</v>
      </c>
      <c r="U65" s="32">
        <f>RSU_Schedule!M64</f>
        <v>1392.51</v>
      </c>
      <c r="V65" s="32">
        <f>H65*(1+Assumptions!$B$60)+Assumptions!$B$61</f>
        <v>1336.2268</v>
      </c>
      <c r="W65" s="32">
        <f>P65*(1+Assumptions!$B$60)+Assumptions!$B$61</f>
        <v>1050.1914</v>
      </c>
      <c r="X65" s="32">
        <f t="shared" si="5"/>
        <v>2386.4182</v>
      </c>
      <c r="Y65" s="32">
        <f t="shared" si="22"/>
        <v>23.62</v>
      </c>
      <c r="Z65" s="32">
        <v>291.67</v>
      </c>
      <c r="AA65" s="32">
        <f t="shared" si="23"/>
        <v>7583.12</v>
      </c>
      <c r="AB65" s="32">
        <f t="shared" si="24"/>
        <v>23.62</v>
      </c>
      <c r="AC65" s="32">
        <v>291.67</v>
      </c>
      <c r="AD65" s="32">
        <f t="shared" si="25"/>
        <v>7583.12</v>
      </c>
      <c r="AE65" s="32">
        <f t="shared" ref="AE65:AF65" si="106">Z65+AC65</f>
        <v>583.34</v>
      </c>
      <c r="AF65" s="32">
        <f t="shared" si="106"/>
        <v>15166.24</v>
      </c>
      <c r="AG65" s="32">
        <f>IF(COUNTIFS(SL_Income_Log!$B:$B,TEXT(B65,"0000")&amp;"-"&amp;TEXT(A65,"00"),SL_Income_Log!$C:$C,"youtube")&gt;0,SUMIFS(SL_Income_Log!$D:$D,SL_Income_Log!$B:$B,TEXT(B65,"0000")&amp;"-"&amp;TEXT(A65,"00"),SL_Income_Log!$C:$C,"youtube"),MIN(Assumptions!$B$49+FLOOR((ROW()-2)/6,1)*Assumptions!$B$50,Assumptions!$B$51))
</f>
        <v>11000</v>
      </c>
      <c r="AH65" s="32">
        <f>AG65*Assumptions!$B$104</f>
        <v>4873</v>
      </c>
      <c r="AI65" s="32">
        <f t="shared" si="7"/>
        <v>6127</v>
      </c>
      <c r="AJ65" s="32">
        <f>SUMIFS(SL_Income_Log!$D:$D,SL_Income_Log!$B:$B,TEXT(B65,"0000")&amp;"-"&amp;TEXT(A65,"00"),SL_Income_Log!$C:$C,"other")</f>
        <v>0</v>
      </c>
      <c r="AK65" s="32">
        <f t="shared" si="27"/>
        <v>10000</v>
      </c>
      <c r="AL65" s="32">
        <f>L65+M65+T65+U65+AI65+AJ65-Y65-Z65-AB65-AC65+IF((Debt_Register!$C$2+Debt_Register!$C$6+Debt_Register!$C$7+Debt_Register!$C$8+Debt_Register!$C$9)&gt;5,X65,0)</f>
        <v>28955.106</v>
      </c>
      <c r="AM65" s="32">
        <f t="shared" si="8"/>
        <v>38955.106</v>
      </c>
      <c r="AN65" s="32">
        <f>MAX(Assumptions!$B$94,MIN(Assumptions!$B$93,AM65-AP65-BE65-BO65-BQ65))</f>
        <v>10000</v>
      </c>
      <c r="AO65" s="32">
        <f t="shared" si="28"/>
        <v>211254.4283</v>
      </c>
      <c r="AP65" s="32">
        <f>IF(AO65&gt;0,Assumptions!$B$33,0)</f>
        <v>2281</v>
      </c>
      <c r="AQ65" s="32">
        <f>AO65*Assumptions!$B$32/12</f>
        <v>684.8164383</v>
      </c>
      <c r="AR65" s="32">
        <f t="shared" si="9"/>
        <v>1596.183562</v>
      </c>
      <c r="AS65" s="32">
        <f t="shared" si="29"/>
        <v>0</v>
      </c>
      <c r="AT65" s="32">
        <f t="shared" si="10"/>
        <v>209658.2447</v>
      </c>
      <c r="AU65" s="32">
        <f t="shared" si="30"/>
        <v>0</v>
      </c>
      <c r="AV65" s="32">
        <f t="shared" si="31"/>
        <v>0</v>
      </c>
      <c r="AW65" s="32">
        <f t="shared" si="32"/>
        <v>0</v>
      </c>
      <c r="AX65" s="32">
        <f t="shared" si="33"/>
        <v>0</v>
      </c>
      <c r="AY65" s="32">
        <f t="shared" si="34"/>
        <v>0</v>
      </c>
      <c r="AZ65" s="32">
        <f t="shared" si="35"/>
        <v>0</v>
      </c>
      <c r="BA65" s="32">
        <f t="shared" si="36"/>
        <v>0</v>
      </c>
      <c r="BB65" s="32">
        <f t="shared" si="37"/>
        <v>0</v>
      </c>
      <c r="BC65" s="32">
        <f t="shared" si="38"/>
        <v>0</v>
      </c>
      <c r="BD65" s="32">
        <f t="shared" si="39"/>
        <v>0</v>
      </c>
      <c r="BE65" s="32">
        <f t="shared" si="11"/>
        <v>0</v>
      </c>
      <c r="BF65" s="32">
        <v>0.0</v>
      </c>
      <c r="BG65" s="32">
        <f t="shared" si="40"/>
        <v>5500</v>
      </c>
      <c r="BH65" s="32">
        <v>0.0</v>
      </c>
      <c r="BI65" s="32">
        <f t="shared" si="41"/>
        <v>5000</v>
      </c>
      <c r="BJ65" s="32">
        <f>IF(OR(B65&lt;Assumptions!$B$111,AND(B65=Assumptions!$B$111,A65&lt;=Assumptions!$B$112)),Assumptions!$B$110,0)</f>
        <v>0</v>
      </c>
      <c r="BK65" s="32">
        <f>IF(B65&lt;2027,Assumptions!$B$116+IF(OR(A65=4,A65=10),Assumptions!$B$117,0),IF(AND(B65=2027,A65&lt;=4),IF(A65=4,MIN(950,Assumptions!$B$116+Assumptions!$B$117),Assumptions!$B$116),0))</f>
        <v>0</v>
      </c>
      <c r="BL65" s="32">
        <f>IF(OR(B65&lt;2030,AND(B65=2030,A65&lt;8)),Assumptions!$B$118,IF(AND(B65=2030,A65=8),MOD(11000,200),0))</f>
        <v>0</v>
      </c>
      <c r="BM65" s="32">
        <f>IF(OR(B65&lt;Assumptions!$B$120,AND(B65=Assumptions!$B$120,A65&lt;=Assumptions!$B$121)),Assumptions!$B$119,0)</f>
        <v>0</v>
      </c>
      <c r="BN65" s="32">
        <f>IF(AND(B65&lt;=Assumptions!$B$123,A65&lt;=Assumptions!$B$124),Assumptions!$B$122,0)</f>
        <v>0</v>
      </c>
      <c r="BO65" s="32">
        <f t="shared" si="12"/>
        <v>0</v>
      </c>
      <c r="BP65" s="32">
        <f>SUMIFS(SL_Budget!$B:$B,SL_Budget!$C:$C,"'"&amp;TEXT(DATE(B65,A65,1),"YYYY-MM"))</f>
        <v>4766</v>
      </c>
      <c r="BQ65" s="32">
        <f>MAX(BP65, IFERROR(SUMIFS(ShadowLedger!D:D, 
  ShadowLedger!C:C, "&gt;="&amp;DATE(B65,A65,1), 
  ShadowLedger!C:C, "&lt;"&amp;EOMONTH(DATE(B65,A65,1),0)+1), 0))
</f>
        <v>4766</v>
      </c>
      <c r="BR65" s="32">
        <f t="shared" si="42"/>
        <v>462041.7029</v>
      </c>
      <c r="BS65" s="32">
        <f t="shared" si="43"/>
        <v>2386.4182</v>
      </c>
      <c r="BT65" s="32">
        <f>IF(AS65&gt;0,-MAX(0,21550-MAX(0,MAX(0,(AM65-AP65-BE65-BO65-BQ65)-Assumptions!$B$93))-MIN(MAX(0,21550-MAX(0,MAX(0,(AM65-AP65-BE65-BO65-BQ65)-Assumptions!$B$93))),MAX(0,BY64-Assumptions!$B$91))),IF(BY64&gt;=Assumptions!$B$92,MAX(0,(AM65-AP65-BE65-BO65-BQ65)-Assumptions!$B$93),MAX(0,(AM65-AP65-BE65-BO65-BQ65)-Assumptions!$B$93)*Assumptions!$B$99))</f>
        <v>17526.4848</v>
      </c>
      <c r="BU65" s="32">
        <f>(BR65+BS65+MAX(0,BT65))*(Assumptions!$B$43-1)</f>
        <v>3285.966503</v>
      </c>
      <c r="BV65" s="32">
        <f t="shared" si="13"/>
        <v>485240.5724</v>
      </c>
      <c r="BW65" s="32">
        <f t="shared" si="44"/>
        <v>10419.76508</v>
      </c>
      <c r="BX65" s="32">
        <f>IF(AS65&gt;0,-MIN(MAX(0,21550-MAX(0,MAX(0,(AM65-AP65-BE65-BO65-BQ65)-Assumptions!$B$93))),MAX(0,BY64-Assumptions!$B$91)),IF(BY64&lt;Assumptions!$B$92,MAX(0,(AM65-AP65-BE65-BO65-BQ65)-Assumptions!$B$93)*Assumptions!$B$98,0))</f>
        <v>4381.6212</v>
      </c>
      <c r="BY65" s="32">
        <f t="shared" si="14"/>
        <v>14801.38628</v>
      </c>
      <c r="BZ65" s="32">
        <f t="shared" si="45"/>
        <v>14619</v>
      </c>
      <c r="CA65" s="32">
        <f t="shared" si="15"/>
        <v>4873</v>
      </c>
      <c r="CB65" s="32">
        <f t="shared" si="16"/>
        <v>19492</v>
      </c>
      <c r="CC65" s="55">
        <f>CC64+(G65+J65)/(Salary_Schedule!E65*12/208)</f>
        <v>1775.675977</v>
      </c>
      <c r="CD65" s="55">
        <f>CD64+(O65+R65)/(Salary_Schedule!G65*12/208)</f>
        <v>101.7952218</v>
      </c>
      <c r="CE65" s="32">
        <f t="shared" si="17"/>
        <v>485240.5724</v>
      </c>
      <c r="CF65" s="32">
        <f>Assumptions!$B$55*(1+Assumptions!$B$56)^((B65-2025)+(A65-1)/12)</f>
        <v>570710.8218</v>
      </c>
      <c r="CG65" s="32">
        <f t="shared" si="18"/>
        <v>-209658.2447</v>
      </c>
      <c r="CH65" s="32">
        <f t="shared" si="19"/>
        <v>-25666.24</v>
      </c>
      <c r="CI65" s="32">
        <f>CC65*(Salary_Schedule!E65/173.33)*(1-Assumptions!$B$28)+CD65*(Salary_Schedule!G65/173.33)*(1-Assumptions!$B$28)</f>
        <v>65413.60272</v>
      </c>
      <c r="CJ65" s="32">
        <f t="shared" si="20"/>
        <v>886040.5122</v>
      </c>
    </row>
    <row r="66" ht="15.0" customHeight="1">
      <c r="A66" s="1">
        <v>5.0</v>
      </c>
      <c r="B66" s="1">
        <v>2031.0</v>
      </c>
      <c r="C66" s="1" t="s">
        <v>735</v>
      </c>
      <c r="D66" s="1" t="str">
        <f t="shared" si="21"/>
        <v>04/2031</v>
      </c>
      <c r="E66" s="1" t="str">
        <f t="shared" si="2"/>
        <v>LEAN</v>
      </c>
      <c r="F66" s="32">
        <f>Salary_Schedule!E66</f>
        <v>9401.62</v>
      </c>
      <c r="G66" s="32">
        <f>Assumptions!$B$8</f>
        <v>200</v>
      </c>
      <c r="H66" s="32">
        <f>F66*Assumptions!$B$58</f>
        <v>940.162</v>
      </c>
      <c r="I66" s="32">
        <f>Salary_Schedule!F66</f>
        <v>0</v>
      </c>
      <c r="J66" s="32">
        <f>I66*Assumptions!$B$9</f>
        <v>0</v>
      </c>
      <c r="K66" s="54">
        <f t="shared" si="3"/>
        <v>8261.458</v>
      </c>
      <c r="L66" s="32">
        <f>IF(COUNTIFS(SL_Income_Log!$B:$B,TEXT(B66,"0000")&amp;"-"&amp;TEXT(A66,"00"),SL_Income_Log!$C:$C,"salary",SL_Income_Log!$E:$E,"H")&gt;0,SUMIFS(SL_Income_Log!$D:$D,SL_Income_Log!$B:$B,TEXT(B66,"0000")&amp;"-"&amp;TEXT(A66,"00"),SL_Income_Log!$C:$C,"salary",SL_Income_Log!$E:$E,"H"),K66*(1-Assumptions!$B$102)-Z66-Y66)</f>
        <v>4642.4548</v>
      </c>
      <c r="M66" s="32">
        <f>RSU_Schedule!H65</f>
        <v>0</v>
      </c>
      <c r="N66" s="32">
        <f>Salary_Schedule!G66</f>
        <v>7358.51</v>
      </c>
      <c r="O66" s="32">
        <f>Assumptions!$B$19</f>
        <v>200</v>
      </c>
      <c r="P66" s="32">
        <f>N66*Assumptions!$B$59</f>
        <v>735.851</v>
      </c>
      <c r="Q66" s="32">
        <f>Salary_Schedule!H66</f>
        <v>0</v>
      </c>
      <c r="R66" s="32">
        <f>Q66*Assumptions!$B$20</f>
        <v>0</v>
      </c>
      <c r="S66" s="54">
        <f t="shared" si="4"/>
        <v>6422.659</v>
      </c>
      <c r="T66" s="32">
        <f>IF(COUNTIFS(SL_Income_Log!$B:$B,TEXT(B66,"0000")&amp;"-"&amp;TEXT(A66,"00"),SL_Income_Log!$C:$C,"salary",SL_Income_Log!$E:$E,"W")&gt;0,SUMIFS(SL_Income_Log!$D:$D,SL_Income_Log!$B:$B,TEXT(B66,"0000")&amp;"-"&amp;TEXT(A66,"00"),SL_Income_Log!$C:$C,"salary",SL_Income_Log!$E:$E,"W"),S66*(1-Assumptions!$B$102)-AC66-AB66)
</f>
        <v>3539.1754</v>
      </c>
      <c r="U66" s="32">
        <f>RSU_Schedule!M65</f>
        <v>0</v>
      </c>
      <c r="V66" s="32">
        <f>H66*(1+Assumptions!$B$60)+Assumptions!$B$61</f>
        <v>1336.2268</v>
      </c>
      <c r="W66" s="32">
        <f>P66*(1+Assumptions!$B$60)+Assumptions!$B$61</f>
        <v>1050.1914</v>
      </c>
      <c r="X66" s="32">
        <f t="shared" si="5"/>
        <v>2386.4182</v>
      </c>
      <c r="Y66" s="32">
        <f t="shared" si="22"/>
        <v>22.75</v>
      </c>
      <c r="Z66" s="32">
        <v>291.67</v>
      </c>
      <c r="AA66" s="32">
        <f t="shared" si="23"/>
        <v>7291.45</v>
      </c>
      <c r="AB66" s="32">
        <f t="shared" si="24"/>
        <v>22.75</v>
      </c>
      <c r="AC66" s="32">
        <v>291.67</v>
      </c>
      <c r="AD66" s="32">
        <f t="shared" si="25"/>
        <v>7291.45</v>
      </c>
      <c r="AE66" s="32">
        <f t="shared" ref="AE66:AF66" si="107">Z66+AC66</f>
        <v>583.34</v>
      </c>
      <c r="AF66" s="32">
        <f t="shared" si="107"/>
        <v>14582.9</v>
      </c>
      <c r="AG66" s="32">
        <f>IF(COUNTIFS(SL_Income_Log!$B:$B,TEXT(B66,"0000")&amp;"-"&amp;TEXT(A66,"00"),SL_Income_Log!$C:$C,"youtube")&gt;0,SUMIFS(SL_Income_Log!$D:$D,SL_Income_Log!$B:$B,TEXT(B66,"0000")&amp;"-"&amp;TEXT(A66,"00"),SL_Income_Log!$C:$C,"youtube"),MIN(Assumptions!$B$49+FLOOR((ROW()-2)/6,1)*Assumptions!$B$50,Assumptions!$B$51))
</f>
        <v>11000</v>
      </c>
      <c r="AH66" s="32">
        <f>AG66*Assumptions!$B$104</f>
        <v>4873</v>
      </c>
      <c r="AI66" s="32">
        <f t="shared" si="7"/>
        <v>6127</v>
      </c>
      <c r="AJ66" s="32">
        <f>SUMIFS(SL_Income_Log!$D:$D,SL_Income_Log!$B:$B,TEXT(B66,"0000")&amp;"-"&amp;TEXT(A66,"00"),SL_Income_Log!$C:$C,"other")</f>
        <v>0</v>
      </c>
      <c r="AK66" s="32">
        <f t="shared" si="27"/>
        <v>10000</v>
      </c>
      <c r="AL66" s="32">
        <f>L66+M66+T66+U66+AI66+AJ66-Y66-Z66-AB66-AC66+IF((Debt_Register!$C$2+Debt_Register!$C$6+Debt_Register!$C$7+Debt_Register!$C$8+Debt_Register!$C$9)&gt;5,X66,0)</f>
        <v>16066.2084</v>
      </c>
      <c r="AM66" s="32">
        <f t="shared" si="8"/>
        <v>26066.2084</v>
      </c>
      <c r="AN66" s="32">
        <f>MAX(Assumptions!$B$94,MIN(Assumptions!$B$93,AM66-AP66-BE66-BO66-BQ66))</f>
        <v>10000</v>
      </c>
      <c r="AO66" s="32">
        <f t="shared" si="28"/>
        <v>209658.2447</v>
      </c>
      <c r="AP66" s="32">
        <f>IF(AO66&gt;0,Assumptions!$B$33,0)</f>
        <v>2281</v>
      </c>
      <c r="AQ66" s="32">
        <f>AO66*Assumptions!$B$32/12</f>
        <v>679.6421433</v>
      </c>
      <c r="AR66" s="32">
        <f t="shared" si="9"/>
        <v>1601.357857</v>
      </c>
      <c r="AS66" s="32">
        <f t="shared" si="29"/>
        <v>0</v>
      </c>
      <c r="AT66" s="32">
        <f t="shared" si="10"/>
        <v>208056.8869</v>
      </c>
      <c r="AU66" s="32">
        <f t="shared" si="30"/>
        <v>0</v>
      </c>
      <c r="AV66" s="32">
        <f t="shared" si="31"/>
        <v>0</v>
      </c>
      <c r="AW66" s="32">
        <f t="shared" si="32"/>
        <v>0</v>
      </c>
      <c r="AX66" s="32">
        <f t="shared" si="33"/>
        <v>0</v>
      </c>
      <c r="AY66" s="32">
        <f t="shared" si="34"/>
        <v>0</v>
      </c>
      <c r="AZ66" s="32">
        <f t="shared" si="35"/>
        <v>0</v>
      </c>
      <c r="BA66" s="32">
        <f t="shared" si="36"/>
        <v>0</v>
      </c>
      <c r="BB66" s="32">
        <f t="shared" si="37"/>
        <v>0</v>
      </c>
      <c r="BC66" s="32">
        <f t="shared" si="38"/>
        <v>0</v>
      </c>
      <c r="BD66" s="32">
        <f t="shared" si="39"/>
        <v>0</v>
      </c>
      <c r="BE66" s="32">
        <f t="shared" si="11"/>
        <v>0</v>
      </c>
      <c r="BF66" s="32">
        <v>0.0</v>
      </c>
      <c r="BG66" s="32">
        <f t="shared" si="40"/>
        <v>5500</v>
      </c>
      <c r="BH66" s="32">
        <v>0.0</v>
      </c>
      <c r="BI66" s="32">
        <f t="shared" si="41"/>
        <v>5000</v>
      </c>
      <c r="BJ66" s="32">
        <f>IF(OR(B66&lt;Assumptions!$B$111,AND(B66=Assumptions!$B$111,A66&lt;=Assumptions!$B$112)),Assumptions!$B$110,0)</f>
        <v>0</v>
      </c>
      <c r="BK66" s="32">
        <f>IF(B66&lt;2027,Assumptions!$B$116+IF(OR(A66=4,A66=10),Assumptions!$B$117,0),IF(AND(B66=2027,A66&lt;=4),IF(A66=4,MIN(950,Assumptions!$B$116+Assumptions!$B$117),Assumptions!$B$116),0))</f>
        <v>0</v>
      </c>
      <c r="BL66" s="32">
        <f>IF(OR(B66&lt;2030,AND(B66=2030,A66&lt;8)),Assumptions!$B$118,IF(AND(B66=2030,A66=8),MOD(11000,200),0))</f>
        <v>0</v>
      </c>
      <c r="BM66" s="32">
        <f>IF(OR(B66&lt;Assumptions!$B$120,AND(B66=Assumptions!$B$120,A66&lt;=Assumptions!$B$121)),Assumptions!$B$119,0)</f>
        <v>0</v>
      </c>
      <c r="BN66" s="32">
        <f>IF(AND(B66&lt;=Assumptions!$B$123,A66&lt;=Assumptions!$B$124),Assumptions!$B$122,0)</f>
        <v>0</v>
      </c>
      <c r="BO66" s="32">
        <f t="shared" si="12"/>
        <v>0</v>
      </c>
      <c r="BP66" s="32">
        <f>SUMIFS(SL_Budget!$B:$B,SL_Budget!$C:$C,"'"&amp;TEXT(DATE(B66,A66,1),"YYYY-MM"))</f>
        <v>4766</v>
      </c>
      <c r="BQ66" s="32">
        <f>MAX(BP66, IFERROR(SUMIFS(ShadowLedger!D:D, 
  ShadowLedger!C:C, "&gt;="&amp;DATE(B66,A66,1), 
  ShadowLedger!C:C, "&lt;"&amp;EOMONTH(DATE(B66,A66,1),0)+1), 0))
</f>
        <v>4766</v>
      </c>
      <c r="BR66" s="32">
        <f t="shared" si="42"/>
        <v>485240.5724</v>
      </c>
      <c r="BS66" s="32">
        <f t="shared" si="43"/>
        <v>2386.4182</v>
      </c>
      <c r="BT66" s="32">
        <f>IF(AS66&gt;0,-MAX(0,21550-MAX(0,MAX(0,(AM66-AP66-BE66-BO66-BQ66)-Assumptions!$B$93))-MIN(MAX(0,21550-MAX(0,MAX(0,(AM66-AP66-BE66-BO66-BQ66)-Assumptions!$B$93))),MAX(0,BY65-Assumptions!$B$91))),IF(BY65&gt;=Assumptions!$B$92,MAX(0,(AM66-AP66-BE66-BO66-BQ66)-Assumptions!$B$93),MAX(0,(AM66-AP66-BE66-BO66-BQ66)-Assumptions!$B$93)*Assumptions!$B$99))</f>
        <v>7215.36672</v>
      </c>
      <c r="BU66" s="32">
        <f>(BR66+BS66+MAX(0,BT66))*(Assumptions!$B$43-1)</f>
        <v>3373.835192</v>
      </c>
      <c r="BV66" s="32">
        <f t="shared" si="13"/>
        <v>498216.1925</v>
      </c>
      <c r="BW66" s="32">
        <f t="shared" si="44"/>
        <v>14801.38628</v>
      </c>
      <c r="BX66" s="32">
        <f>IF(AS66&gt;0,-MIN(MAX(0,21550-MAX(0,MAX(0,(AM66-AP66-BE66-BO66-BQ66)-Assumptions!$B$93))),MAX(0,BY65-Assumptions!$B$91)),IF(BY65&lt;Assumptions!$B$92,MAX(0,(AM66-AP66-BE66-BO66-BQ66)-Assumptions!$B$93)*Assumptions!$B$98,0))</f>
        <v>1803.84168</v>
      </c>
      <c r="BY66" s="32">
        <f t="shared" si="14"/>
        <v>16605.22796</v>
      </c>
      <c r="BZ66" s="32">
        <f t="shared" si="45"/>
        <v>19492</v>
      </c>
      <c r="CA66" s="32">
        <f t="shared" si="15"/>
        <v>4873</v>
      </c>
      <c r="CB66" s="32">
        <f t="shared" si="16"/>
        <v>24365</v>
      </c>
      <c r="CC66" s="55">
        <f>CC65+(G66+J66)/(Salary_Schedule!E66*12/208)</f>
        <v>1776.044708</v>
      </c>
      <c r="CD66" s="55">
        <f>CD65+(O66+R66)/(Salary_Schedule!G66*12/208)</f>
        <v>102.2663317</v>
      </c>
      <c r="CE66" s="32">
        <f t="shared" si="17"/>
        <v>498216.1925</v>
      </c>
      <c r="CF66" s="32">
        <f>Assumptions!$B$55*(1+Assumptions!$B$56)^((B66-2025)+(A66-1)/12)</f>
        <v>571419.3523</v>
      </c>
      <c r="CG66" s="32">
        <f t="shared" si="18"/>
        <v>-208056.8869</v>
      </c>
      <c r="CH66" s="32">
        <f t="shared" si="19"/>
        <v>-25082.9</v>
      </c>
      <c r="CI66" s="32">
        <f>CC66*(Salary_Schedule!E66/173.33)*(1-Assumptions!$B$28)+CD66*(Salary_Schedule!G66/173.33)*(1-Assumptions!$B$28)</f>
        <v>65439.60322</v>
      </c>
      <c r="CJ66" s="32">
        <f t="shared" si="20"/>
        <v>901935.3611</v>
      </c>
    </row>
    <row r="67" ht="15.0" customHeight="1">
      <c r="A67" s="1">
        <v>6.0</v>
      </c>
      <c r="B67" s="1">
        <v>2031.0</v>
      </c>
      <c r="C67" s="1" t="s">
        <v>736</v>
      </c>
      <c r="D67" s="1" t="str">
        <f t="shared" si="21"/>
        <v>05/2031</v>
      </c>
      <c r="E67" s="1" t="str">
        <f t="shared" si="2"/>
        <v>LEAN</v>
      </c>
      <c r="F67" s="32">
        <f>Salary_Schedule!E67</f>
        <v>9401.62</v>
      </c>
      <c r="G67" s="32">
        <f>Assumptions!$B$8</f>
        <v>200</v>
      </c>
      <c r="H67" s="32">
        <f>F67*Assumptions!$B$58</f>
        <v>940.162</v>
      </c>
      <c r="I67" s="32">
        <f>Salary_Schedule!F67</f>
        <v>0</v>
      </c>
      <c r="J67" s="32">
        <f>I67*Assumptions!$B$9</f>
        <v>0</v>
      </c>
      <c r="K67" s="54">
        <f t="shared" si="3"/>
        <v>8261.458</v>
      </c>
      <c r="L67" s="32">
        <f>IF(COUNTIFS(SL_Income_Log!$B:$B,TEXT(B67,"0000")&amp;"-"&amp;TEXT(A67,"00"),SL_Income_Log!$C:$C,"salary",SL_Income_Log!$E:$E,"H")&gt;0,SUMIFS(SL_Income_Log!$D:$D,SL_Income_Log!$B:$B,TEXT(B67,"0000")&amp;"-"&amp;TEXT(A67,"00"),SL_Income_Log!$C:$C,"salary",SL_Income_Log!$E:$E,"H"),K67*(1-Assumptions!$B$102)-Z67-Y67)</f>
        <v>4643.3348</v>
      </c>
      <c r="M67" s="32">
        <f>RSU_Schedule!H66</f>
        <v>0</v>
      </c>
      <c r="N67" s="32">
        <f>Salary_Schedule!G67</f>
        <v>7358.51</v>
      </c>
      <c r="O67" s="32">
        <f>Assumptions!$B$19</f>
        <v>200</v>
      </c>
      <c r="P67" s="32">
        <f>N67*Assumptions!$B$59</f>
        <v>735.851</v>
      </c>
      <c r="Q67" s="32">
        <f>Salary_Schedule!H67</f>
        <v>0</v>
      </c>
      <c r="R67" s="32">
        <f>Q67*Assumptions!$B$20</f>
        <v>0</v>
      </c>
      <c r="S67" s="54">
        <f t="shared" si="4"/>
        <v>6422.659</v>
      </c>
      <c r="T67" s="32">
        <f>IF(COUNTIFS(SL_Income_Log!$B:$B,TEXT(B67,"0000")&amp;"-"&amp;TEXT(A67,"00"),SL_Income_Log!$C:$C,"salary",SL_Income_Log!$E:$E,"W")&gt;0,SUMIFS(SL_Income_Log!$D:$D,SL_Income_Log!$B:$B,TEXT(B67,"0000")&amp;"-"&amp;TEXT(A67,"00"),SL_Income_Log!$C:$C,"salary",SL_Income_Log!$E:$E,"W"),S67*(1-Assumptions!$B$102)-AC67-AB67)
</f>
        <v>3540.0554</v>
      </c>
      <c r="U67" s="32">
        <f>RSU_Schedule!M66</f>
        <v>0</v>
      </c>
      <c r="V67" s="32">
        <f>H67*(1+Assumptions!$B$60)+Assumptions!$B$61</f>
        <v>1336.2268</v>
      </c>
      <c r="W67" s="32">
        <f>P67*(1+Assumptions!$B$60)+Assumptions!$B$61</f>
        <v>1050.1914</v>
      </c>
      <c r="X67" s="32">
        <f t="shared" si="5"/>
        <v>2386.4182</v>
      </c>
      <c r="Y67" s="32">
        <f t="shared" si="22"/>
        <v>21.87</v>
      </c>
      <c r="Z67" s="32">
        <v>291.67</v>
      </c>
      <c r="AA67" s="32">
        <f t="shared" si="23"/>
        <v>6999.78</v>
      </c>
      <c r="AB67" s="32">
        <f t="shared" si="24"/>
        <v>21.87</v>
      </c>
      <c r="AC67" s="32">
        <v>291.67</v>
      </c>
      <c r="AD67" s="32">
        <f t="shared" si="25"/>
        <v>6999.78</v>
      </c>
      <c r="AE67" s="32">
        <f t="shared" ref="AE67:AF67" si="108">Z67+AC67</f>
        <v>583.34</v>
      </c>
      <c r="AF67" s="32">
        <f t="shared" si="108"/>
        <v>13999.56</v>
      </c>
      <c r="AG67" s="32">
        <f>IF(COUNTIFS(SL_Income_Log!$B:$B,TEXT(B67,"0000")&amp;"-"&amp;TEXT(A67,"00"),SL_Income_Log!$C:$C,"youtube")&gt;0,SUMIFS(SL_Income_Log!$D:$D,SL_Income_Log!$B:$B,TEXT(B67,"0000")&amp;"-"&amp;TEXT(A67,"00"),SL_Income_Log!$C:$C,"youtube"),MIN(Assumptions!$B$49+FLOOR((ROW()-2)/6,1)*Assumptions!$B$50,Assumptions!$B$51))
</f>
        <v>11000</v>
      </c>
      <c r="AH67" s="32">
        <f>AG67*Assumptions!$B$104</f>
        <v>4873</v>
      </c>
      <c r="AI67" s="32">
        <f t="shared" si="7"/>
        <v>6127</v>
      </c>
      <c r="AJ67" s="32">
        <f>SUMIFS(SL_Income_Log!$D:$D,SL_Income_Log!$B:$B,TEXT(B67,"0000")&amp;"-"&amp;TEXT(A67,"00"),SL_Income_Log!$C:$C,"other")</f>
        <v>0</v>
      </c>
      <c r="AK67" s="32">
        <f t="shared" si="27"/>
        <v>10000</v>
      </c>
      <c r="AL67" s="32">
        <f>L67+M67+T67+U67+AI67+AJ67-Y67-Z67-AB67-AC67+IF((Debt_Register!$C$2+Debt_Register!$C$6+Debt_Register!$C$7+Debt_Register!$C$8+Debt_Register!$C$9)&gt;5,X67,0)</f>
        <v>16069.7284</v>
      </c>
      <c r="AM67" s="32">
        <f t="shared" si="8"/>
        <v>26069.7284</v>
      </c>
      <c r="AN67" s="32">
        <f>MAX(Assumptions!$B$94,MIN(Assumptions!$B$93,AM67-AP67-BE67-BO67-BQ67))</f>
        <v>10000</v>
      </c>
      <c r="AO67" s="32">
        <f t="shared" si="28"/>
        <v>208056.8869</v>
      </c>
      <c r="AP67" s="32">
        <f>IF(AO67&gt;0,Assumptions!$B$33,0)</f>
        <v>2281</v>
      </c>
      <c r="AQ67" s="32">
        <f>AO67*Assumptions!$B$32/12</f>
        <v>674.4510749</v>
      </c>
      <c r="AR67" s="32">
        <f t="shared" si="9"/>
        <v>1606.548925</v>
      </c>
      <c r="AS67" s="32">
        <f t="shared" si="29"/>
        <v>0</v>
      </c>
      <c r="AT67" s="32">
        <f t="shared" si="10"/>
        <v>206450.3379</v>
      </c>
      <c r="AU67" s="32">
        <f t="shared" si="30"/>
        <v>0</v>
      </c>
      <c r="AV67" s="32">
        <f t="shared" si="31"/>
        <v>0</v>
      </c>
      <c r="AW67" s="32">
        <f t="shared" si="32"/>
        <v>0</v>
      </c>
      <c r="AX67" s="32">
        <f t="shared" si="33"/>
        <v>0</v>
      </c>
      <c r="AY67" s="32">
        <f t="shared" si="34"/>
        <v>0</v>
      </c>
      <c r="AZ67" s="32">
        <f t="shared" si="35"/>
        <v>0</v>
      </c>
      <c r="BA67" s="32">
        <f t="shared" si="36"/>
        <v>0</v>
      </c>
      <c r="BB67" s="32">
        <f t="shared" si="37"/>
        <v>0</v>
      </c>
      <c r="BC67" s="32">
        <f t="shared" si="38"/>
        <v>0</v>
      </c>
      <c r="BD67" s="32">
        <f t="shared" si="39"/>
        <v>0</v>
      </c>
      <c r="BE67" s="32">
        <f t="shared" si="11"/>
        <v>0</v>
      </c>
      <c r="BF67" s="32">
        <v>0.0</v>
      </c>
      <c r="BG67" s="32">
        <f t="shared" si="40"/>
        <v>5500</v>
      </c>
      <c r="BH67" s="32">
        <v>0.0</v>
      </c>
      <c r="BI67" s="32">
        <f t="shared" si="41"/>
        <v>5000</v>
      </c>
      <c r="BJ67" s="32">
        <f>IF(OR(B67&lt;Assumptions!$B$111,AND(B67=Assumptions!$B$111,A67&lt;=Assumptions!$B$112)),Assumptions!$B$110,0)</f>
        <v>0</v>
      </c>
      <c r="BK67" s="32">
        <f>IF(B67&lt;2027,Assumptions!$B$116+IF(OR(A67=4,A67=10),Assumptions!$B$117,0),IF(AND(B67=2027,A67&lt;=4),IF(A67=4,MIN(950,Assumptions!$B$116+Assumptions!$B$117),Assumptions!$B$116),0))</f>
        <v>0</v>
      </c>
      <c r="BL67" s="32">
        <f>IF(OR(B67&lt;2030,AND(B67=2030,A67&lt;8)),Assumptions!$B$118,IF(AND(B67=2030,A67=8),MOD(11000,200),0))</f>
        <v>0</v>
      </c>
      <c r="BM67" s="32">
        <f>IF(OR(B67&lt;Assumptions!$B$120,AND(B67=Assumptions!$B$120,A67&lt;=Assumptions!$B$121)),Assumptions!$B$119,0)</f>
        <v>0</v>
      </c>
      <c r="BN67" s="32">
        <f>IF(AND(B67&lt;=Assumptions!$B$123,A67&lt;=Assumptions!$B$124),Assumptions!$B$122,0)</f>
        <v>0</v>
      </c>
      <c r="BO67" s="32">
        <f t="shared" si="12"/>
        <v>0</v>
      </c>
      <c r="BP67" s="32">
        <f>SUMIFS(SL_Budget!$B:$B,SL_Budget!$C:$C,"'"&amp;TEXT(DATE(B67,A67,1),"YYYY-MM"))</f>
        <v>4766</v>
      </c>
      <c r="BQ67" s="32">
        <f>MAX(BP67, IFERROR(SUMIFS(ShadowLedger!D:D, 
  ShadowLedger!C:C, "&gt;="&amp;DATE(B67,A67,1), 
  ShadowLedger!C:C, "&lt;"&amp;EOMONTH(DATE(B67,A67,1),0)+1), 0))
</f>
        <v>4766</v>
      </c>
      <c r="BR67" s="32">
        <f t="shared" si="42"/>
        <v>498216.1925</v>
      </c>
      <c r="BS67" s="32">
        <f t="shared" si="43"/>
        <v>2386.4182</v>
      </c>
      <c r="BT67" s="32">
        <f>IF(AS67&gt;0,-MAX(0,21550-MAX(0,MAX(0,(AM67-AP67-BE67-BO67-BQ67)-Assumptions!$B$93))-MIN(MAX(0,21550-MAX(0,MAX(0,(AM67-AP67-BE67-BO67-BQ67)-Assumptions!$B$93))),MAX(0,BY66-Assumptions!$B$91))),IF(BY66&gt;=Assumptions!$B$92,MAX(0,(AM67-AP67-BE67-BO67-BQ67)-Assumptions!$B$93),MAX(0,(AM67-AP67-BE67-BO67-BQ67)-Assumptions!$B$93)*Assumptions!$B$99))</f>
        <v>9022.7284</v>
      </c>
      <c r="BU67" s="32">
        <f>(BR67+BS67+MAX(0,BT67))*(Assumptions!$B$43-1)</f>
        <v>3474.625562</v>
      </c>
      <c r="BV67" s="32">
        <f t="shared" si="13"/>
        <v>513099.9647</v>
      </c>
      <c r="BW67" s="32">
        <f t="shared" si="44"/>
        <v>16605.22796</v>
      </c>
      <c r="BX67" s="32">
        <f>IF(AS67&gt;0,-MIN(MAX(0,21550-MAX(0,MAX(0,(AM67-AP67-BE67-BO67-BQ67)-Assumptions!$B$93))),MAX(0,BY66-Assumptions!$B$91)),IF(BY66&lt;Assumptions!$B$92,MAX(0,(AM67-AP67-BE67-BO67-BQ67)-Assumptions!$B$93)*Assumptions!$B$98,0))</f>
        <v>0</v>
      </c>
      <c r="BY67" s="32">
        <f t="shared" si="14"/>
        <v>16605.22796</v>
      </c>
      <c r="BZ67" s="32">
        <f t="shared" si="45"/>
        <v>24365</v>
      </c>
      <c r="CA67" s="32">
        <f t="shared" si="15"/>
        <v>4873</v>
      </c>
      <c r="CB67" s="32">
        <f t="shared" si="16"/>
        <v>29238</v>
      </c>
      <c r="CC67" s="55">
        <f>CC66+(G67+J67)/(Salary_Schedule!E67*12/208)</f>
        <v>1776.413439</v>
      </c>
      <c r="CD67" s="55">
        <f>CD66+(O67+R67)/(Salary_Schedule!G67*12/208)</f>
        <v>102.7374416</v>
      </c>
      <c r="CE67" s="32">
        <f t="shared" si="17"/>
        <v>513099.9647</v>
      </c>
      <c r="CF67" s="32">
        <f>Assumptions!$B$55*(1+Assumptions!$B$56)^((B67-2025)+(A67-1)/12)</f>
        <v>572128.7624</v>
      </c>
      <c r="CG67" s="32">
        <f t="shared" si="18"/>
        <v>-206450.3379</v>
      </c>
      <c r="CH67" s="32">
        <f t="shared" si="19"/>
        <v>-24499.56</v>
      </c>
      <c r="CI67" s="32">
        <f>CC67*(Salary_Schedule!E67/173.33)*(1-Assumptions!$B$28)+CD67*(Salary_Schedule!G67/173.33)*(1-Assumptions!$B$28)</f>
        <v>65465.60372</v>
      </c>
      <c r="CJ67" s="32">
        <f t="shared" si="20"/>
        <v>919744.4328</v>
      </c>
    </row>
    <row r="68" ht="15.0" customHeight="1">
      <c r="A68" s="1">
        <v>7.0</v>
      </c>
      <c r="B68" s="1">
        <v>2031.0</v>
      </c>
      <c r="C68" s="1" t="s">
        <v>737</v>
      </c>
      <c r="D68" s="1" t="str">
        <f t="shared" si="21"/>
        <v>06/2031</v>
      </c>
      <c r="E68" s="1" t="str">
        <f t="shared" si="2"/>
        <v>FAT_RSU</v>
      </c>
      <c r="F68" s="32">
        <f>Salary_Schedule!E68</f>
        <v>9401.62</v>
      </c>
      <c r="G68" s="32">
        <f>Assumptions!$B$8</f>
        <v>200</v>
      </c>
      <c r="H68" s="32">
        <f>F68*Assumptions!$B$58</f>
        <v>940.162</v>
      </c>
      <c r="I68" s="32">
        <f>Salary_Schedule!F68</f>
        <v>0</v>
      </c>
      <c r="J68" s="32">
        <f>I68*Assumptions!$B$9</f>
        <v>0</v>
      </c>
      <c r="K68" s="54">
        <f t="shared" si="3"/>
        <v>8261.458</v>
      </c>
      <c r="L68" s="32">
        <f>IF(COUNTIFS(SL_Income_Log!$B:$B,TEXT(B68,"0000")&amp;"-"&amp;TEXT(A68,"00"),SL_Income_Log!$C:$C,"salary",SL_Income_Log!$E:$E,"H")&gt;0,SUMIFS(SL_Income_Log!$D:$D,SL_Income_Log!$B:$B,TEXT(B68,"0000")&amp;"-"&amp;TEXT(A68,"00"),SL_Income_Log!$C:$C,"salary",SL_Income_Log!$E:$E,"H"),K68*(1-Assumptions!$B$102)-Z68-Y68)</f>
        <v>4644.2048</v>
      </c>
      <c r="M68" s="32">
        <f>RSU_Schedule!H67</f>
        <v>2784.99</v>
      </c>
      <c r="N68" s="32">
        <f>Salary_Schedule!G68</f>
        <v>7358.51</v>
      </c>
      <c r="O68" s="32">
        <f>Assumptions!$B$19</f>
        <v>200</v>
      </c>
      <c r="P68" s="32">
        <f>N68*Assumptions!$B$59</f>
        <v>735.851</v>
      </c>
      <c r="Q68" s="32">
        <f>Salary_Schedule!H68</f>
        <v>0</v>
      </c>
      <c r="R68" s="32">
        <f>Q68*Assumptions!$B$20</f>
        <v>0</v>
      </c>
      <c r="S68" s="54">
        <f t="shared" si="4"/>
        <v>6422.659</v>
      </c>
      <c r="T68" s="32">
        <f>IF(COUNTIFS(SL_Income_Log!$B:$B,TEXT(B68,"0000")&amp;"-"&amp;TEXT(A68,"00"),SL_Income_Log!$C:$C,"salary",SL_Income_Log!$E:$E,"W")&gt;0,SUMIFS(SL_Income_Log!$D:$D,SL_Income_Log!$B:$B,TEXT(B68,"0000")&amp;"-"&amp;TEXT(A68,"00"),SL_Income_Log!$C:$C,"salary",SL_Income_Log!$E:$E,"W"),S68*(1-Assumptions!$B$102)-AC68-AB68)
</f>
        <v>3540.9254</v>
      </c>
      <c r="U68" s="32">
        <f>RSU_Schedule!M67</f>
        <v>1392.51</v>
      </c>
      <c r="V68" s="32">
        <f>H68*(1+Assumptions!$B$60)+Assumptions!$B$61</f>
        <v>1336.2268</v>
      </c>
      <c r="W68" s="32">
        <f>P68*(1+Assumptions!$B$60)+Assumptions!$B$61</f>
        <v>1050.1914</v>
      </c>
      <c r="X68" s="32">
        <f t="shared" si="5"/>
        <v>2386.4182</v>
      </c>
      <c r="Y68" s="32">
        <f t="shared" si="22"/>
        <v>21</v>
      </c>
      <c r="Z68" s="32">
        <v>291.67</v>
      </c>
      <c r="AA68" s="32">
        <f t="shared" si="23"/>
        <v>6708.11</v>
      </c>
      <c r="AB68" s="32">
        <f t="shared" si="24"/>
        <v>21</v>
      </c>
      <c r="AC68" s="32">
        <v>291.67</v>
      </c>
      <c r="AD68" s="32">
        <f t="shared" si="25"/>
        <v>6708.11</v>
      </c>
      <c r="AE68" s="32">
        <f t="shared" ref="AE68:AF68" si="109">Z68+AC68</f>
        <v>583.34</v>
      </c>
      <c r="AF68" s="32">
        <f t="shared" si="109"/>
        <v>13416.22</v>
      </c>
      <c r="AG68" s="32">
        <f>IF(COUNTIFS(SL_Income_Log!$B:$B,TEXT(B68,"0000")&amp;"-"&amp;TEXT(A68,"00"),SL_Income_Log!$C:$C,"youtube")&gt;0,SUMIFS(SL_Income_Log!$D:$D,SL_Income_Log!$B:$B,TEXT(B68,"0000")&amp;"-"&amp;TEXT(A68,"00"),SL_Income_Log!$C:$C,"youtube"),MIN(Assumptions!$B$49+FLOOR((ROW()-2)/6,1)*Assumptions!$B$50,Assumptions!$B$51))
</f>
        <v>12000</v>
      </c>
      <c r="AH68" s="32">
        <f>AG68*Assumptions!$B$104</f>
        <v>5316</v>
      </c>
      <c r="AI68" s="32">
        <f t="shared" si="7"/>
        <v>6684</v>
      </c>
      <c r="AJ68" s="32">
        <f>SUMIFS(SL_Income_Log!$D:$D,SL_Income_Log!$B:$B,TEXT(B68,"0000")&amp;"-"&amp;TEXT(A68,"00"),SL_Income_Log!$C:$C,"other")</f>
        <v>0</v>
      </c>
      <c r="AK68" s="32">
        <f t="shared" si="27"/>
        <v>10000</v>
      </c>
      <c r="AL68" s="32">
        <f>L68+M68+T68+U68+AI68+AJ68-Y68-Z68-AB68-AC68+IF((Debt_Register!$C$2+Debt_Register!$C$6+Debt_Register!$C$7+Debt_Register!$C$8+Debt_Register!$C$9)&gt;5,X68,0)</f>
        <v>20807.7084</v>
      </c>
      <c r="AM68" s="32">
        <f t="shared" si="8"/>
        <v>30807.7084</v>
      </c>
      <c r="AN68" s="32">
        <f>MAX(Assumptions!$B$94,MIN(Assumptions!$B$93,AM68-AP68-BE68-BO68-BQ68))</f>
        <v>10000</v>
      </c>
      <c r="AO68" s="32">
        <f t="shared" si="28"/>
        <v>206450.3379</v>
      </c>
      <c r="AP68" s="32">
        <f>IF(AO68&gt;0,Assumptions!$B$33,0)</f>
        <v>2281</v>
      </c>
      <c r="AQ68" s="32">
        <f>AO68*Assumptions!$B$32/12</f>
        <v>669.2431788</v>
      </c>
      <c r="AR68" s="32">
        <f t="shared" si="9"/>
        <v>1611.756821</v>
      </c>
      <c r="AS68" s="32">
        <f t="shared" si="29"/>
        <v>0</v>
      </c>
      <c r="AT68" s="32">
        <f t="shared" si="10"/>
        <v>204838.5811</v>
      </c>
      <c r="AU68" s="32">
        <f t="shared" si="30"/>
        <v>0</v>
      </c>
      <c r="AV68" s="32">
        <f t="shared" si="31"/>
        <v>0</v>
      </c>
      <c r="AW68" s="32">
        <f t="shared" si="32"/>
        <v>0</v>
      </c>
      <c r="AX68" s="32">
        <f t="shared" si="33"/>
        <v>0</v>
      </c>
      <c r="AY68" s="32">
        <f t="shared" si="34"/>
        <v>0</v>
      </c>
      <c r="AZ68" s="32">
        <f t="shared" si="35"/>
        <v>0</v>
      </c>
      <c r="BA68" s="32">
        <f t="shared" si="36"/>
        <v>0</v>
      </c>
      <c r="BB68" s="32">
        <f t="shared" si="37"/>
        <v>0</v>
      </c>
      <c r="BC68" s="32">
        <f t="shared" si="38"/>
        <v>0</v>
      </c>
      <c r="BD68" s="32">
        <f t="shared" si="39"/>
        <v>0</v>
      </c>
      <c r="BE68" s="32">
        <f t="shared" si="11"/>
        <v>0</v>
      </c>
      <c r="BF68" s="32">
        <v>0.0</v>
      </c>
      <c r="BG68" s="32">
        <f t="shared" si="40"/>
        <v>5500</v>
      </c>
      <c r="BH68" s="32">
        <v>0.0</v>
      </c>
      <c r="BI68" s="32">
        <f t="shared" si="41"/>
        <v>5000</v>
      </c>
      <c r="BJ68" s="32">
        <f>IF(OR(B68&lt;Assumptions!$B$111,AND(B68=Assumptions!$B$111,A68&lt;=Assumptions!$B$112)),Assumptions!$B$110,0)</f>
        <v>0</v>
      </c>
      <c r="BK68" s="32">
        <f>IF(B68&lt;2027,Assumptions!$B$116+IF(OR(A68=4,A68=10),Assumptions!$B$117,0),IF(AND(B68=2027,A68&lt;=4),IF(A68=4,MIN(950,Assumptions!$B$116+Assumptions!$B$117),Assumptions!$B$116),0))</f>
        <v>0</v>
      </c>
      <c r="BL68" s="32">
        <f>IF(OR(B68&lt;2030,AND(B68=2030,A68&lt;8)),Assumptions!$B$118,IF(AND(B68=2030,A68=8),MOD(11000,200),0))</f>
        <v>0</v>
      </c>
      <c r="BM68" s="32">
        <f>IF(OR(B68&lt;Assumptions!$B$120,AND(B68=Assumptions!$B$120,A68&lt;=Assumptions!$B$121)),Assumptions!$B$119,0)</f>
        <v>0</v>
      </c>
      <c r="BN68" s="32">
        <f>IF(AND(B68&lt;=Assumptions!$B$123,A68&lt;=Assumptions!$B$124),Assumptions!$B$122,0)</f>
        <v>0</v>
      </c>
      <c r="BO68" s="32">
        <f t="shared" si="12"/>
        <v>0</v>
      </c>
      <c r="BP68" s="32">
        <f>SUMIFS(SL_Budget!$B:$B,SL_Budget!$C:$C,"'"&amp;TEXT(DATE(B68,A68,1),"YYYY-MM"))</f>
        <v>4766</v>
      </c>
      <c r="BQ68" s="32">
        <f>MAX(BP68, IFERROR(SUMIFS(ShadowLedger!D:D, 
  ShadowLedger!C:C, "&gt;="&amp;DATE(B68,A68,1), 
  ShadowLedger!C:C, "&lt;"&amp;EOMONTH(DATE(B68,A68,1),0)+1), 0))
</f>
        <v>4766</v>
      </c>
      <c r="BR68" s="32">
        <f t="shared" si="42"/>
        <v>513099.9647</v>
      </c>
      <c r="BS68" s="32">
        <f t="shared" si="43"/>
        <v>2386.4182</v>
      </c>
      <c r="BT68" s="32">
        <f>IF(AS68&gt;0,-MAX(0,21550-MAX(0,MAX(0,(AM68-AP68-BE68-BO68-BQ68)-Assumptions!$B$93))-MIN(MAX(0,21550-MAX(0,MAX(0,(AM68-AP68-BE68-BO68-BQ68)-Assumptions!$B$93))),MAX(0,BY67-Assumptions!$B$91))),IF(BY67&gt;=Assumptions!$B$92,MAX(0,(AM68-AP68-BE68-BO68-BQ68)-Assumptions!$B$93),MAX(0,(AM68-AP68-BE68-BO68-BQ68)-Assumptions!$B$93)*Assumptions!$B$99))</f>
        <v>13760.7084</v>
      </c>
      <c r="BU68" s="32">
        <f>(BR68+BS68+MAX(0,BT68))*(Assumptions!$B$43-1)</f>
        <v>3608.406668</v>
      </c>
      <c r="BV68" s="32">
        <f t="shared" si="13"/>
        <v>532855.4979</v>
      </c>
      <c r="BW68" s="32">
        <f t="shared" si="44"/>
        <v>16605.22796</v>
      </c>
      <c r="BX68" s="32">
        <f>IF(AS68&gt;0,-MIN(MAX(0,21550-MAX(0,MAX(0,(AM68-AP68-BE68-BO68-BQ68)-Assumptions!$B$93))),MAX(0,BY67-Assumptions!$B$91)),IF(BY67&lt;Assumptions!$B$92,MAX(0,(AM68-AP68-BE68-BO68-BQ68)-Assumptions!$B$93)*Assumptions!$B$98,0))</f>
        <v>0</v>
      </c>
      <c r="BY68" s="32">
        <f t="shared" si="14"/>
        <v>16605.22796</v>
      </c>
      <c r="BZ68" s="32">
        <f t="shared" si="45"/>
        <v>29238</v>
      </c>
      <c r="CA68" s="32">
        <f t="shared" si="15"/>
        <v>5316</v>
      </c>
      <c r="CB68" s="32">
        <f t="shared" si="16"/>
        <v>34554</v>
      </c>
      <c r="CC68" s="55">
        <f>CC67+(G68+J68)/(Salary_Schedule!E68*12/208)</f>
        <v>1776.782169</v>
      </c>
      <c r="CD68" s="55">
        <f>CD67+(O68+R68)/(Salary_Schedule!G68*12/208)</f>
        <v>103.2085514</v>
      </c>
      <c r="CE68" s="32">
        <f t="shared" si="17"/>
        <v>532855.4979</v>
      </c>
      <c r="CF68" s="32">
        <f>Assumptions!$B$55*(1+Assumptions!$B$56)^((B68-2025)+(A68-1)/12)</f>
        <v>572839.0532</v>
      </c>
      <c r="CG68" s="32">
        <f t="shared" si="18"/>
        <v>-204838.5811</v>
      </c>
      <c r="CH68" s="32">
        <f t="shared" si="19"/>
        <v>-23916.22</v>
      </c>
      <c r="CI68" s="32">
        <f>CC68*(Salary_Schedule!E68/173.33)*(1-Assumptions!$B$28)+CD68*(Salary_Schedule!G68/173.33)*(1-Assumptions!$B$28)</f>
        <v>65491.60422</v>
      </c>
      <c r="CJ68" s="32">
        <f t="shared" si="20"/>
        <v>942431.3542</v>
      </c>
    </row>
    <row r="69" ht="15.0" customHeight="1">
      <c r="A69" s="1">
        <v>8.0</v>
      </c>
      <c r="B69" s="1">
        <v>2031.0</v>
      </c>
      <c r="C69" s="1" t="s">
        <v>738</v>
      </c>
      <c r="D69" s="1" t="str">
        <f t="shared" si="21"/>
        <v>07/2031</v>
      </c>
      <c r="E69" s="1" t="str">
        <f t="shared" si="2"/>
        <v>LEAN</v>
      </c>
      <c r="F69" s="32">
        <f>Salary_Schedule!E69</f>
        <v>9401.62</v>
      </c>
      <c r="G69" s="32">
        <f>Assumptions!$B$8</f>
        <v>200</v>
      </c>
      <c r="H69" s="32">
        <f>F69*Assumptions!$B$58</f>
        <v>940.162</v>
      </c>
      <c r="I69" s="32">
        <f>Salary_Schedule!F69</f>
        <v>0</v>
      </c>
      <c r="J69" s="32">
        <f>I69*Assumptions!$B$9</f>
        <v>0</v>
      </c>
      <c r="K69" s="54">
        <f t="shared" si="3"/>
        <v>8261.458</v>
      </c>
      <c r="L69" s="32">
        <f>IF(COUNTIFS(SL_Income_Log!$B:$B,TEXT(B69,"0000")&amp;"-"&amp;TEXT(A69,"00"),SL_Income_Log!$C:$C,"salary",SL_Income_Log!$E:$E,"H")&gt;0,SUMIFS(SL_Income_Log!$D:$D,SL_Income_Log!$B:$B,TEXT(B69,"0000")&amp;"-"&amp;TEXT(A69,"00"),SL_Income_Log!$C:$C,"salary",SL_Income_Log!$E:$E,"H"),K69*(1-Assumptions!$B$102)-Z69-Y69)</f>
        <v>4645.0848</v>
      </c>
      <c r="M69" s="32">
        <f>RSU_Schedule!H68</f>
        <v>0</v>
      </c>
      <c r="N69" s="32">
        <f>Salary_Schedule!G69</f>
        <v>7358.51</v>
      </c>
      <c r="O69" s="32">
        <f>Assumptions!$B$19</f>
        <v>200</v>
      </c>
      <c r="P69" s="32">
        <f>N69*Assumptions!$B$59</f>
        <v>735.851</v>
      </c>
      <c r="Q69" s="32">
        <f>Salary_Schedule!H69</f>
        <v>0</v>
      </c>
      <c r="R69" s="32">
        <f>Q69*Assumptions!$B$20</f>
        <v>0</v>
      </c>
      <c r="S69" s="54">
        <f t="shared" si="4"/>
        <v>6422.659</v>
      </c>
      <c r="T69" s="32">
        <f>IF(COUNTIFS(SL_Income_Log!$B:$B,TEXT(B69,"0000")&amp;"-"&amp;TEXT(A69,"00"),SL_Income_Log!$C:$C,"salary",SL_Income_Log!$E:$E,"W")&gt;0,SUMIFS(SL_Income_Log!$D:$D,SL_Income_Log!$B:$B,TEXT(B69,"0000")&amp;"-"&amp;TEXT(A69,"00"),SL_Income_Log!$C:$C,"salary",SL_Income_Log!$E:$E,"W"),S69*(1-Assumptions!$B$102)-AC69-AB69)
</f>
        <v>3541.8054</v>
      </c>
      <c r="U69" s="32">
        <f>RSU_Schedule!M68</f>
        <v>0</v>
      </c>
      <c r="V69" s="32">
        <f>H69*(1+Assumptions!$B$60)+Assumptions!$B$61</f>
        <v>1336.2268</v>
      </c>
      <c r="W69" s="32">
        <f>P69*(1+Assumptions!$B$60)+Assumptions!$B$61</f>
        <v>1050.1914</v>
      </c>
      <c r="X69" s="32">
        <f t="shared" si="5"/>
        <v>2386.4182</v>
      </c>
      <c r="Y69" s="32">
        <f t="shared" si="22"/>
        <v>20.12</v>
      </c>
      <c r="Z69" s="32">
        <v>291.67</v>
      </c>
      <c r="AA69" s="32">
        <f t="shared" si="23"/>
        <v>6416.44</v>
      </c>
      <c r="AB69" s="32">
        <f t="shared" si="24"/>
        <v>20.12</v>
      </c>
      <c r="AC69" s="32">
        <v>291.67</v>
      </c>
      <c r="AD69" s="32">
        <f t="shared" si="25"/>
        <v>6416.44</v>
      </c>
      <c r="AE69" s="32">
        <f t="shared" ref="AE69:AF69" si="110">Z69+AC69</f>
        <v>583.34</v>
      </c>
      <c r="AF69" s="32">
        <f t="shared" si="110"/>
        <v>12832.88</v>
      </c>
      <c r="AG69" s="32">
        <f>IF(COUNTIFS(SL_Income_Log!$B:$B,TEXT(B69,"0000")&amp;"-"&amp;TEXT(A69,"00"),SL_Income_Log!$C:$C,"youtube")&gt;0,SUMIFS(SL_Income_Log!$D:$D,SL_Income_Log!$B:$B,TEXT(B69,"0000")&amp;"-"&amp;TEXT(A69,"00"),SL_Income_Log!$C:$C,"youtube"),MIN(Assumptions!$B$49+FLOOR((ROW()-2)/6,1)*Assumptions!$B$50,Assumptions!$B$51))
</f>
        <v>12000</v>
      </c>
      <c r="AH69" s="32">
        <f>AG69*Assumptions!$B$104</f>
        <v>5316</v>
      </c>
      <c r="AI69" s="32">
        <f t="shared" si="7"/>
        <v>6684</v>
      </c>
      <c r="AJ69" s="32">
        <f>SUMIFS(SL_Income_Log!$D:$D,SL_Income_Log!$B:$B,TEXT(B69,"0000")&amp;"-"&amp;TEXT(A69,"00"),SL_Income_Log!$C:$C,"other")</f>
        <v>0</v>
      </c>
      <c r="AK69" s="32">
        <f t="shared" si="27"/>
        <v>10000</v>
      </c>
      <c r="AL69" s="32">
        <f>L69+M69+T69+U69+AI69+AJ69-Y69-Z69-AB69-AC69+IF((Debt_Register!$C$2+Debt_Register!$C$6+Debt_Register!$C$7+Debt_Register!$C$8+Debt_Register!$C$9)&gt;5,X69,0)</f>
        <v>16633.7284</v>
      </c>
      <c r="AM69" s="32">
        <f t="shared" si="8"/>
        <v>26633.7284</v>
      </c>
      <c r="AN69" s="32">
        <f>MAX(Assumptions!$B$94,MIN(Assumptions!$B$93,AM69-AP69-BE69-BO69-BQ69))</f>
        <v>10000</v>
      </c>
      <c r="AO69" s="32">
        <f t="shared" si="28"/>
        <v>204838.5811</v>
      </c>
      <c r="AP69" s="32">
        <f>IF(AO69&gt;0,Assumptions!$B$33,0)</f>
        <v>2281</v>
      </c>
      <c r="AQ69" s="32">
        <f>AO69*Assumptions!$B$32/12</f>
        <v>664.0184004</v>
      </c>
      <c r="AR69" s="32">
        <f t="shared" si="9"/>
        <v>1616.9816</v>
      </c>
      <c r="AS69" s="32">
        <f t="shared" si="29"/>
        <v>0</v>
      </c>
      <c r="AT69" s="32">
        <f t="shared" si="10"/>
        <v>203221.5995</v>
      </c>
      <c r="AU69" s="32">
        <f t="shared" si="30"/>
        <v>0</v>
      </c>
      <c r="AV69" s="32">
        <f t="shared" si="31"/>
        <v>0</v>
      </c>
      <c r="AW69" s="32">
        <f t="shared" si="32"/>
        <v>0</v>
      </c>
      <c r="AX69" s="32">
        <f t="shared" si="33"/>
        <v>0</v>
      </c>
      <c r="AY69" s="32">
        <f t="shared" si="34"/>
        <v>0</v>
      </c>
      <c r="AZ69" s="32">
        <f t="shared" si="35"/>
        <v>0</v>
      </c>
      <c r="BA69" s="32">
        <f t="shared" si="36"/>
        <v>0</v>
      </c>
      <c r="BB69" s="32">
        <f t="shared" si="37"/>
        <v>0</v>
      </c>
      <c r="BC69" s="32">
        <f t="shared" si="38"/>
        <v>0</v>
      </c>
      <c r="BD69" s="32">
        <f t="shared" si="39"/>
        <v>0</v>
      </c>
      <c r="BE69" s="32">
        <f t="shared" si="11"/>
        <v>0</v>
      </c>
      <c r="BF69" s="32">
        <v>0.0</v>
      </c>
      <c r="BG69" s="32">
        <f t="shared" si="40"/>
        <v>5500</v>
      </c>
      <c r="BH69" s="32">
        <v>0.0</v>
      </c>
      <c r="BI69" s="32">
        <f t="shared" si="41"/>
        <v>5000</v>
      </c>
      <c r="BJ69" s="32">
        <f>IF(OR(B69&lt;Assumptions!$B$111,AND(B69=Assumptions!$B$111,A69&lt;=Assumptions!$B$112)),Assumptions!$B$110,0)</f>
        <v>0</v>
      </c>
      <c r="BK69" s="32">
        <f>IF(B69&lt;2027,Assumptions!$B$116+IF(OR(A69=4,A69=10),Assumptions!$B$117,0),IF(AND(B69=2027,A69&lt;=4),IF(A69=4,MIN(950,Assumptions!$B$116+Assumptions!$B$117),Assumptions!$B$116),0))</f>
        <v>0</v>
      </c>
      <c r="BL69" s="32">
        <f>IF(OR(B69&lt;2030,AND(B69=2030,A69&lt;8)),Assumptions!$B$118,IF(AND(B69=2030,A69=8),MOD(11000,200),0))</f>
        <v>0</v>
      </c>
      <c r="BM69" s="32">
        <f>IF(OR(B69&lt;Assumptions!$B$120,AND(B69=Assumptions!$B$120,A69&lt;=Assumptions!$B$121)),Assumptions!$B$119,0)</f>
        <v>0</v>
      </c>
      <c r="BN69" s="32">
        <f>IF(AND(B69&lt;=Assumptions!$B$123,A69&lt;=Assumptions!$B$124),Assumptions!$B$122,0)</f>
        <v>0</v>
      </c>
      <c r="BO69" s="32">
        <f t="shared" si="12"/>
        <v>0</v>
      </c>
      <c r="BP69" s="32">
        <f>SUMIFS(SL_Budget!$B:$B,SL_Budget!$C:$C,"'"&amp;TEXT(DATE(B69,A69,1),"YYYY-MM"))</f>
        <v>4766</v>
      </c>
      <c r="BQ69" s="32">
        <f>MAX(BP69, IFERROR(SUMIFS(ShadowLedger!D:D, 
  ShadowLedger!C:C, "&gt;="&amp;DATE(B69,A69,1), 
  ShadowLedger!C:C, "&lt;"&amp;EOMONTH(DATE(B69,A69,1),0)+1), 0))
</f>
        <v>4766</v>
      </c>
      <c r="BR69" s="32">
        <f t="shared" si="42"/>
        <v>532855.4979</v>
      </c>
      <c r="BS69" s="32">
        <f t="shared" si="43"/>
        <v>2386.4182</v>
      </c>
      <c r="BT69" s="32">
        <f>IF(AS69&gt;0,-MAX(0,21550-MAX(0,MAX(0,(AM69-AP69-BE69-BO69-BQ69)-Assumptions!$B$93))-MIN(MAX(0,21550-MAX(0,MAX(0,(AM69-AP69-BE69-BO69-BQ69)-Assumptions!$B$93))),MAX(0,BY68-Assumptions!$B$91))),IF(BY68&gt;=Assumptions!$B$92,MAX(0,(AM69-AP69-BE69-BO69-BQ69)-Assumptions!$B$93),MAX(0,(AM69-AP69-BE69-BO69-BQ69)-Assumptions!$B$93)*Assumptions!$B$99))</f>
        <v>9586.7284</v>
      </c>
      <c r="BU69" s="32">
        <f>(BR69+BS69+MAX(0,BT69))*(Assumptions!$B$43-1)</f>
        <v>3714.641698</v>
      </c>
      <c r="BV69" s="32">
        <f t="shared" si="13"/>
        <v>548543.2862</v>
      </c>
      <c r="BW69" s="32">
        <f t="shared" si="44"/>
        <v>16605.22796</v>
      </c>
      <c r="BX69" s="32">
        <f>IF(AS69&gt;0,-MIN(MAX(0,21550-MAX(0,MAX(0,(AM69-AP69-BE69-BO69-BQ69)-Assumptions!$B$93))),MAX(0,BY68-Assumptions!$B$91)),IF(BY68&lt;Assumptions!$B$92,MAX(0,(AM69-AP69-BE69-BO69-BQ69)-Assumptions!$B$93)*Assumptions!$B$98,0))</f>
        <v>0</v>
      </c>
      <c r="BY69" s="32">
        <f t="shared" si="14"/>
        <v>16605.22796</v>
      </c>
      <c r="BZ69" s="32">
        <f t="shared" si="45"/>
        <v>34554</v>
      </c>
      <c r="CA69" s="32">
        <f t="shared" si="15"/>
        <v>5316</v>
      </c>
      <c r="CB69" s="32">
        <f t="shared" si="16"/>
        <v>39870</v>
      </c>
      <c r="CC69" s="55">
        <f>CC68+(G69+J69)/(Salary_Schedule!E69*12/208)</f>
        <v>1777.1509</v>
      </c>
      <c r="CD69" s="55">
        <f>CD68+(O69+R69)/(Salary_Schedule!G69*12/208)</f>
        <v>103.6796613</v>
      </c>
      <c r="CE69" s="32">
        <f t="shared" si="17"/>
        <v>548543.2862</v>
      </c>
      <c r="CF69" s="32">
        <f>Assumptions!$B$55*(1+Assumptions!$B$56)^((B69-2025)+(A69-1)/12)</f>
        <v>573550.2258</v>
      </c>
      <c r="CG69" s="32">
        <f t="shared" si="18"/>
        <v>-203221.5995</v>
      </c>
      <c r="CH69" s="32">
        <f t="shared" si="19"/>
        <v>-23332.88</v>
      </c>
      <c r="CI69" s="32">
        <f>CC69*(Salary_Schedule!E69/173.33)*(1-Assumptions!$B$28)+CD69*(Salary_Schedule!G69/173.33)*(1-Assumptions!$B$28)</f>
        <v>65517.60472</v>
      </c>
      <c r="CJ69" s="32">
        <f t="shared" si="20"/>
        <v>961056.6373</v>
      </c>
    </row>
    <row r="70" ht="15.0" customHeight="1">
      <c r="A70" s="1">
        <v>9.0</v>
      </c>
      <c r="B70" s="1">
        <v>2031.0</v>
      </c>
      <c r="C70" s="1" t="s">
        <v>739</v>
      </c>
      <c r="D70" s="1" t="str">
        <f t="shared" si="21"/>
        <v>08/2031</v>
      </c>
      <c r="E70" s="1" t="str">
        <f t="shared" si="2"/>
        <v>LEAN</v>
      </c>
      <c r="F70" s="32">
        <f>Salary_Schedule!E70</f>
        <v>9401.62</v>
      </c>
      <c r="G70" s="32">
        <f>Assumptions!$B$8</f>
        <v>200</v>
      </c>
      <c r="H70" s="32">
        <f>F70*Assumptions!$B$58</f>
        <v>940.162</v>
      </c>
      <c r="I70" s="32">
        <f>Salary_Schedule!F70</f>
        <v>0</v>
      </c>
      <c r="J70" s="32">
        <f>I70*Assumptions!$B$9</f>
        <v>0</v>
      </c>
      <c r="K70" s="54">
        <f t="shared" si="3"/>
        <v>8261.458</v>
      </c>
      <c r="L70" s="32">
        <f>IF(COUNTIFS(SL_Income_Log!$B:$B,TEXT(B70,"0000")&amp;"-"&amp;TEXT(A70,"00"),SL_Income_Log!$C:$C,"salary",SL_Income_Log!$E:$E,"H")&gt;0,SUMIFS(SL_Income_Log!$D:$D,SL_Income_Log!$B:$B,TEXT(B70,"0000")&amp;"-"&amp;TEXT(A70,"00"),SL_Income_Log!$C:$C,"salary",SL_Income_Log!$E:$E,"H"),K70*(1-Assumptions!$B$102)-Z70-Y70)</f>
        <v>4645.9548</v>
      </c>
      <c r="M70" s="32">
        <f>RSU_Schedule!H69</f>
        <v>0</v>
      </c>
      <c r="N70" s="32">
        <f>Salary_Schedule!G70</f>
        <v>7358.51</v>
      </c>
      <c r="O70" s="32">
        <f>Assumptions!$B$19</f>
        <v>200</v>
      </c>
      <c r="P70" s="32">
        <f>N70*Assumptions!$B$59</f>
        <v>735.851</v>
      </c>
      <c r="Q70" s="32">
        <f>Salary_Schedule!H70</f>
        <v>0</v>
      </c>
      <c r="R70" s="32">
        <f>Q70*Assumptions!$B$20</f>
        <v>0</v>
      </c>
      <c r="S70" s="54">
        <f t="shared" si="4"/>
        <v>6422.659</v>
      </c>
      <c r="T70" s="32">
        <f>IF(COUNTIFS(SL_Income_Log!$B:$B,TEXT(B70,"0000")&amp;"-"&amp;TEXT(A70,"00"),SL_Income_Log!$C:$C,"salary",SL_Income_Log!$E:$E,"W")&gt;0,SUMIFS(SL_Income_Log!$D:$D,SL_Income_Log!$B:$B,TEXT(B70,"0000")&amp;"-"&amp;TEXT(A70,"00"),SL_Income_Log!$C:$C,"salary",SL_Income_Log!$E:$E,"W"),S70*(1-Assumptions!$B$102)-AC70-AB70)
</f>
        <v>3542.6754</v>
      </c>
      <c r="U70" s="32">
        <f>RSU_Schedule!M69</f>
        <v>0</v>
      </c>
      <c r="V70" s="32">
        <f>H70*(1+Assumptions!$B$60)+Assumptions!$B$61</f>
        <v>1336.2268</v>
      </c>
      <c r="W70" s="32">
        <f>P70*(1+Assumptions!$B$60)+Assumptions!$B$61</f>
        <v>1050.1914</v>
      </c>
      <c r="X70" s="32">
        <f t="shared" si="5"/>
        <v>2386.4182</v>
      </c>
      <c r="Y70" s="32">
        <f t="shared" si="22"/>
        <v>19.25</v>
      </c>
      <c r="Z70" s="32">
        <v>291.67</v>
      </c>
      <c r="AA70" s="32">
        <f t="shared" si="23"/>
        <v>6124.77</v>
      </c>
      <c r="AB70" s="32">
        <f t="shared" si="24"/>
        <v>19.25</v>
      </c>
      <c r="AC70" s="32">
        <v>291.67</v>
      </c>
      <c r="AD70" s="32">
        <f t="shared" si="25"/>
        <v>6124.77</v>
      </c>
      <c r="AE70" s="32">
        <f t="shared" ref="AE70:AF70" si="111">Z70+AC70</f>
        <v>583.34</v>
      </c>
      <c r="AF70" s="32">
        <f t="shared" si="111"/>
        <v>12249.54</v>
      </c>
      <c r="AG70" s="32">
        <f>IF(COUNTIFS(SL_Income_Log!$B:$B,TEXT(B70,"0000")&amp;"-"&amp;TEXT(A70,"00"),SL_Income_Log!$C:$C,"youtube")&gt;0,SUMIFS(SL_Income_Log!$D:$D,SL_Income_Log!$B:$B,TEXT(B70,"0000")&amp;"-"&amp;TEXT(A70,"00"),SL_Income_Log!$C:$C,"youtube"),MIN(Assumptions!$B$49+FLOOR((ROW()-2)/6,1)*Assumptions!$B$50,Assumptions!$B$51))
</f>
        <v>12000</v>
      </c>
      <c r="AH70" s="32">
        <f>AG70*Assumptions!$B$104</f>
        <v>5316</v>
      </c>
      <c r="AI70" s="32">
        <f t="shared" si="7"/>
        <v>6684</v>
      </c>
      <c r="AJ70" s="32">
        <f>SUMIFS(SL_Income_Log!$D:$D,SL_Income_Log!$B:$B,TEXT(B70,"0000")&amp;"-"&amp;TEXT(A70,"00"),SL_Income_Log!$C:$C,"other")</f>
        <v>0</v>
      </c>
      <c r="AK70" s="32">
        <f t="shared" si="27"/>
        <v>10000</v>
      </c>
      <c r="AL70" s="32">
        <f>L70+M70+T70+U70+AI70+AJ70-Y70-Z70-AB70-AC70+IF((Debt_Register!$C$2+Debt_Register!$C$6+Debt_Register!$C$7+Debt_Register!$C$8+Debt_Register!$C$9)&gt;5,X70,0)</f>
        <v>16637.2084</v>
      </c>
      <c r="AM70" s="32">
        <f t="shared" si="8"/>
        <v>26637.2084</v>
      </c>
      <c r="AN70" s="32">
        <f>MAX(Assumptions!$B$94,MIN(Assumptions!$B$93,AM70-AP70-BE70-BO70-BQ70))</f>
        <v>10000</v>
      </c>
      <c r="AO70" s="32">
        <f t="shared" si="28"/>
        <v>203221.5995</v>
      </c>
      <c r="AP70" s="32">
        <f>IF(AO70&gt;0,Assumptions!$B$33,0)</f>
        <v>2281</v>
      </c>
      <c r="AQ70" s="32">
        <f>AO70*Assumptions!$B$32/12</f>
        <v>658.7766851</v>
      </c>
      <c r="AR70" s="32">
        <f t="shared" si="9"/>
        <v>1622.223315</v>
      </c>
      <c r="AS70" s="32">
        <f t="shared" si="29"/>
        <v>0</v>
      </c>
      <c r="AT70" s="32">
        <f t="shared" si="10"/>
        <v>201599.3762</v>
      </c>
      <c r="AU70" s="32">
        <f t="shared" si="30"/>
        <v>0</v>
      </c>
      <c r="AV70" s="32">
        <f t="shared" si="31"/>
        <v>0</v>
      </c>
      <c r="AW70" s="32">
        <f t="shared" si="32"/>
        <v>0</v>
      </c>
      <c r="AX70" s="32">
        <f t="shared" si="33"/>
        <v>0</v>
      </c>
      <c r="AY70" s="32">
        <f t="shared" si="34"/>
        <v>0</v>
      </c>
      <c r="AZ70" s="32">
        <f t="shared" si="35"/>
        <v>0</v>
      </c>
      <c r="BA70" s="32">
        <f t="shared" si="36"/>
        <v>0</v>
      </c>
      <c r="BB70" s="32">
        <f t="shared" si="37"/>
        <v>0</v>
      </c>
      <c r="BC70" s="32">
        <f t="shared" si="38"/>
        <v>0</v>
      </c>
      <c r="BD70" s="32">
        <f t="shared" si="39"/>
        <v>0</v>
      </c>
      <c r="BE70" s="32">
        <f t="shared" si="11"/>
        <v>0</v>
      </c>
      <c r="BF70" s="32">
        <v>0.0</v>
      </c>
      <c r="BG70" s="32">
        <f t="shared" si="40"/>
        <v>5500</v>
      </c>
      <c r="BH70" s="32">
        <v>0.0</v>
      </c>
      <c r="BI70" s="32">
        <f t="shared" si="41"/>
        <v>5000</v>
      </c>
      <c r="BJ70" s="32">
        <f>IF(OR(B70&lt;Assumptions!$B$111,AND(B70=Assumptions!$B$111,A70&lt;=Assumptions!$B$112)),Assumptions!$B$110,0)</f>
        <v>0</v>
      </c>
      <c r="BK70" s="32">
        <f>IF(B70&lt;2027,Assumptions!$B$116+IF(OR(A70=4,A70=10),Assumptions!$B$117,0),IF(AND(B70=2027,A70&lt;=4),IF(A70=4,MIN(950,Assumptions!$B$116+Assumptions!$B$117),Assumptions!$B$116),0))</f>
        <v>0</v>
      </c>
      <c r="BL70" s="32">
        <f>IF(OR(B70&lt;2030,AND(B70=2030,A70&lt;8)),Assumptions!$B$118,IF(AND(B70=2030,A70=8),MOD(11000,200),0))</f>
        <v>0</v>
      </c>
      <c r="BM70" s="32">
        <f>IF(OR(B70&lt;Assumptions!$B$120,AND(B70=Assumptions!$B$120,A70&lt;=Assumptions!$B$121)),Assumptions!$B$119,0)</f>
        <v>0</v>
      </c>
      <c r="BN70" s="32">
        <f>IF(AND(B70&lt;=Assumptions!$B$123,A70&lt;=Assumptions!$B$124),Assumptions!$B$122,0)</f>
        <v>0</v>
      </c>
      <c r="BO70" s="32">
        <f t="shared" si="12"/>
        <v>0</v>
      </c>
      <c r="BP70" s="32">
        <f>SUMIFS(SL_Budget!$B:$B,SL_Budget!$C:$C,"'"&amp;TEXT(DATE(B70,A70,1),"YYYY-MM"))</f>
        <v>4766</v>
      </c>
      <c r="BQ70" s="32">
        <f>MAX(BP70, IFERROR(SUMIFS(ShadowLedger!D:D, 
  ShadowLedger!C:C, "&gt;="&amp;DATE(B70,A70,1), 
  ShadowLedger!C:C, "&lt;"&amp;EOMONTH(DATE(B70,A70,1),0)+1), 0))
</f>
        <v>4766</v>
      </c>
      <c r="BR70" s="32">
        <f t="shared" si="42"/>
        <v>548543.2862</v>
      </c>
      <c r="BS70" s="32">
        <f t="shared" si="43"/>
        <v>2386.4182</v>
      </c>
      <c r="BT70" s="32">
        <f>IF(AS70&gt;0,-MAX(0,21550-MAX(0,MAX(0,(AM70-AP70-BE70-BO70-BQ70)-Assumptions!$B$93))-MIN(MAX(0,21550-MAX(0,MAX(0,(AM70-AP70-BE70-BO70-BQ70)-Assumptions!$B$93))),MAX(0,BY69-Assumptions!$B$91))),IF(BY69&gt;=Assumptions!$B$92,MAX(0,(AM70-AP70-BE70-BO70-BQ70)-Assumptions!$B$93),MAX(0,(AM70-AP70-BE70-BO70-BQ70)-Assumptions!$B$93)*Assumptions!$B$99))</f>
        <v>9590.2084</v>
      </c>
      <c r="BU70" s="32">
        <f>(BR70+BS70+MAX(0,BT70))*(Assumptions!$B$43-1)</f>
        <v>3821.624766</v>
      </c>
      <c r="BV70" s="32">
        <f t="shared" si="13"/>
        <v>564341.5376</v>
      </c>
      <c r="BW70" s="32">
        <f t="shared" si="44"/>
        <v>16605.22796</v>
      </c>
      <c r="BX70" s="32">
        <f>IF(AS70&gt;0,-MIN(MAX(0,21550-MAX(0,MAX(0,(AM70-AP70-BE70-BO70-BQ70)-Assumptions!$B$93))),MAX(0,BY69-Assumptions!$B$91)),IF(BY69&lt;Assumptions!$B$92,MAX(0,(AM70-AP70-BE70-BO70-BQ70)-Assumptions!$B$93)*Assumptions!$B$98,0))</f>
        <v>0</v>
      </c>
      <c r="BY70" s="32">
        <f t="shared" si="14"/>
        <v>16605.22796</v>
      </c>
      <c r="BZ70" s="32">
        <f t="shared" si="45"/>
        <v>39870</v>
      </c>
      <c r="CA70" s="32">
        <f t="shared" si="15"/>
        <v>5316</v>
      </c>
      <c r="CB70" s="32">
        <f t="shared" si="16"/>
        <v>45186</v>
      </c>
      <c r="CC70" s="55">
        <f>CC69+(G70+J70)/(Salary_Schedule!E70*12/208)</f>
        <v>1777.519631</v>
      </c>
      <c r="CD70" s="55">
        <f>CD69+(O70+R70)/(Salary_Schedule!G70*12/208)</f>
        <v>104.1507712</v>
      </c>
      <c r="CE70" s="32">
        <f t="shared" si="17"/>
        <v>564341.5376</v>
      </c>
      <c r="CF70" s="32">
        <f>Assumptions!$B$55*(1+Assumptions!$B$56)^((B70-2025)+(A70-1)/12)</f>
        <v>574262.2814</v>
      </c>
      <c r="CG70" s="32">
        <f t="shared" si="18"/>
        <v>-201599.3762</v>
      </c>
      <c r="CH70" s="32">
        <f t="shared" si="19"/>
        <v>-22749.54</v>
      </c>
      <c r="CI70" s="32">
        <f>CC70*(Salary_Schedule!E70/173.33)*(1-Assumptions!$B$28)+CD70*(Salary_Schedule!G70/173.33)*(1-Assumptions!$B$28)</f>
        <v>65543.60522</v>
      </c>
      <c r="CJ70" s="32">
        <f t="shared" si="20"/>
        <v>979798.508</v>
      </c>
    </row>
    <row r="71" ht="15.0" customHeight="1">
      <c r="A71" s="1">
        <v>10.0</v>
      </c>
      <c r="B71" s="1">
        <v>2031.0</v>
      </c>
      <c r="C71" s="1" t="s">
        <v>740</v>
      </c>
      <c r="D71" s="1" t="str">
        <f t="shared" si="21"/>
        <v>09/2031</v>
      </c>
      <c r="E71" s="1" t="str">
        <f t="shared" si="2"/>
        <v>FAT_RSU</v>
      </c>
      <c r="F71" s="32">
        <f>Salary_Schedule!E71</f>
        <v>9401.62</v>
      </c>
      <c r="G71" s="32">
        <f>Assumptions!$B$8</f>
        <v>200</v>
      </c>
      <c r="H71" s="32">
        <f>F71*Assumptions!$B$58</f>
        <v>940.162</v>
      </c>
      <c r="I71" s="32">
        <f>Salary_Schedule!F71</f>
        <v>0</v>
      </c>
      <c r="J71" s="32">
        <f>I71*Assumptions!$B$9</f>
        <v>0</v>
      </c>
      <c r="K71" s="54">
        <f t="shared" si="3"/>
        <v>8261.458</v>
      </c>
      <c r="L71" s="32">
        <f>IF(COUNTIFS(SL_Income_Log!$B:$B,TEXT(B71,"0000")&amp;"-"&amp;TEXT(A71,"00"),SL_Income_Log!$C:$C,"salary",SL_Income_Log!$E:$E,"H")&gt;0,SUMIFS(SL_Income_Log!$D:$D,SL_Income_Log!$B:$B,TEXT(B71,"0000")&amp;"-"&amp;TEXT(A71,"00"),SL_Income_Log!$C:$C,"salary",SL_Income_Log!$E:$E,"H"),K71*(1-Assumptions!$B$102)-Z71-Y71)</f>
        <v>4646.8348</v>
      </c>
      <c r="M71" s="32">
        <f>RSU_Schedule!H70</f>
        <v>2784.99</v>
      </c>
      <c r="N71" s="32">
        <f>Salary_Schedule!G71</f>
        <v>7358.51</v>
      </c>
      <c r="O71" s="32">
        <f>Assumptions!$B$19</f>
        <v>200</v>
      </c>
      <c r="P71" s="32">
        <f>N71*Assumptions!$B$59</f>
        <v>735.851</v>
      </c>
      <c r="Q71" s="32">
        <f>Salary_Schedule!H71</f>
        <v>0</v>
      </c>
      <c r="R71" s="32">
        <f>Q71*Assumptions!$B$20</f>
        <v>0</v>
      </c>
      <c r="S71" s="54">
        <f t="shared" si="4"/>
        <v>6422.659</v>
      </c>
      <c r="T71" s="32">
        <f>IF(COUNTIFS(SL_Income_Log!$B:$B,TEXT(B71,"0000")&amp;"-"&amp;TEXT(A71,"00"),SL_Income_Log!$C:$C,"salary",SL_Income_Log!$E:$E,"W")&gt;0,SUMIFS(SL_Income_Log!$D:$D,SL_Income_Log!$B:$B,TEXT(B71,"0000")&amp;"-"&amp;TEXT(A71,"00"),SL_Income_Log!$C:$C,"salary",SL_Income_Log!$E:$E,"W"),S71*(1-Assumptions!$B$102)-AC71-AB71)
</f>
        <v>3543.5554</v>
      </c>
      <c r="U71" s="32">
        <f>RSU_Schedule!M70</f>
        <v>1392.51</v>
      </c>
      <c r="V71" s="32">
        <f>H71*(1+Assumptions!$B$60)+Assumptions!$B$61</f>
        <v>1336.2268</v>
      </c>
      <c r="W71" s="32">
        <f>P71*(1+Assumptions!$B$60)+Assumptions!$B$61</f>
        <v>1050.1914</v>
      </c>
      <c r="X71" s="32">
        <f t="shared" si="5"/>
        <v>2386.4182</v>
      </c>
      <c r="Y71" s="32">
        <f t="shared" si="22"/>
        <v>18.37</v>
      </c>
      <c r="Z71" s="32">
        <v>291.67</v>
      </c>
      <c r="AA71" s="32">
        <f t="shared" si="23"/>
        <v>5833.1</v>
      </c>
      <c r="AB71" s="32">
        <f t="shared" si="24"/>
        <v>18.37</v>
      </c>
      <c r="AC71" s="32">
        <v>291.67</v>
      </c>
      <c r="AD71" s="32">
        <f t="shared" si="25"/>
        <v>5833.1</v>
      </c>
      <c r="AE71" s="32">
        <f t="shared" ref="AE71:AF71" si="112">Z71+AC71</f>
        <v>583.34</v>
      </c>
      <c r="AF71" s="32">
        <f t="shared" si="112"/>
        <v>11666.2</v>
      </c>
      <c r="AG71" s="32">
        <f>IF(COUNTIFS(SL_Income_Log!$B:$B,TEXT(B71,"0000")&amp;"-"&amp;TEXT(A71,"00"),SL_Income_Log!$C:$C,"youtube")&gt;0,SUMIFS(SL_Income_Log!$D:$D,SL_Income_Log!$B:$B,TEXT(B71,"0000")&amp;"-"&amp;TEXT(A71,"00"),SL_Income_Log!$C:$C,"youtube"),MIN(Assumptions!$B$49+FLOOR((ROW()-2)/6,1)*Assumptions!$B$50,Assumptions!$B$51))
</f>
        <v>12000</v>
      </c>
      <c r="AH71" s="32">
        <f>AG71*Assumptions!$B$104</f>
        <v>5316</v>
      </c>
      <c r="AI71" s="32">
        <f t="shared" si="7"/>
        <v>6684</v>
      </c>
      <c r="AJ71" s="32">
        <f>SUMIFS(SL_Income_Log!$D:$D,SL_Income_Log!$B:$B,TEXT(B71,"0000")&amp;"-"&amp;TEXT(A71,"00"),SL_Income_Log!$C:$C,"other")</f>
        <v>0</v>
      </c>
      <c r="AK71" s="32">
        <f t="shared" si="27"/>
        <v>10000</v>
      </c>
      <c r="AL71" s="32">
        <f>L71+M71+T71+U71+AI71+AJ71-Y71-Z71-AB71-AC71+IF((Debt_Register!$C$2+Debt_Register!$C$6+Debt_Register!$C$7+Debt_Register!$C$8+Debt_Register!$C$9)&gt;5,X71,0)</f>
        <v>20818.2284</v>
      </c>
      <c r="AM71" s="32">
        <f t="shared" si="8"/>
        <v>30818.2284</v>
      </c>
      <c r="AN71" s="32">
        <f>MAX(Assumptions!$B$94,MIN(Assumptions!$B$93,AM71-AP71-BE71-BO71-BQ71))</f>
        <v>10000</v>
      </c>
      <c r="AO71" s="32">
        <f t="shared" si="28"/>
        <v>201599.3762</v>
      </c>
      <c r="AP71" s="32">
        <f>IF(AO71&gt;0,Assumptions!$B$33,0)</f>
        <v>2281</v>
      </c>
      <c r="AQ71" s="32">
        <f>AO71*Assumptions!$B$32/12</f>
        <v>653.5179778</v>
      </c>
      <c r="AR71" s="32">
        <f t="shared" si="9"/>
        <v>1627.482022</v>
      </c>
      <c r="AS71" s="32">
        <f t="shared" si="29"/>
        <v>0</v>
      </c>
      <c r="AT71" s="32">
        <f t="shared" si="10"/>
        <v>199971.8942</v>
      </c>
      <c r="AU71" s="32">
        <f t="shared" si="30"/>
        <v>0</v>
      </c>
      <c r="AV71" s="32">
        <f t="shared" si="31"/>
        <v>0</v>
      </c>
      <c r="AW71" s="32">
        <f t="shared" si="32"/>
        <v>0</v>
      </c>
      <c r="AX71" s="32">
        <f t="shared" si="33"/>
        <v>0</v>
      </c>
      <c r="AY71" s="32">
        <f t="shared" si="34"/>
        <v>0</v>
      </c>
      <c r="AZ71" s="32">
        <f t="shared" si="35"/>
        <v>0</v>
      </c>
      <c r="BA71" s="32">
        <f t="shared" si="36"/>
        <v>0</v>
      </c>
      <c r="BB71" s="32">
        <f t="shared" si="37"/>
        <v>0</v>
      </c>
      <c r="BC71" s="32">
        <f t="shared" si="38"/>
        <v>0</v>
      </c>
      <c r="BD71" s="32">
        <f t="shared" si="39"/>
        <v>0</v>
      </c>
      <c r="BE71" s="32">
        <f t="shared" si="11"/>
        <v>0</v>
      </c>
      <c r="BF71" s="32">
        <v>0.0</v>
      </c>
      <c r="BG71" s="32">
        <f t="shared" si="40"/>
        <v>5500</v>
      </c>
      <c r="BH71" s="32">
        <v>0.0</v>
      </c>
      <c r="BI71" s="32">
        <f t="shared" si="41"/>
        <v>5000</v>
      </c>
      <c r="BJ71" s="32">
        <f>IF(OR(B71&lt;Assumptions!$B$111,AND(B71=Assumptions!$B$111,A71&lt;=Assumptions!$B$112)),Assumptions!$B$110,0)</f>
        <v>0</v>
      </c>
      <c r="BK71" s="32">
        <f>IF(B71&lt;2027,Assumptions!$B$116+IF(OR(A71=4,A71=10),Assumptions!$B$117,0),IF(AND(B71=2027,A71&lt;=4),IF(A71=4,MIN(950,Assumptions!$B$116+Assumptions!$B$117),Assumptions!$B$116),0))</f>
        <v>0</v>
      </c>
      <c r="BL71" s="32">
        <f>IF(OR(B71&lt;2030,AND(B71=2030,A71&lt;8)),Assumptions!$B$118,IF(AND(B71=2030,A71=8),MOD(11000,200),0))</f>
        <v>0</v>
      </c>
      <c r="BM71" s="32">
        <f>IF(OR(B71&lt;Assumptions!$B$120,AND(B71=Assumptions!$B$120,A71&lt;=Assumptions!$B$121)),Assumptions!$B$119,0)</f>
        <v>0</v>
      </c>
      <c r="BN71" s="32">
        <f>IF(AND(B71&lt;=Assumptions!$B$123,A71&lt;=Assumptions!$B$124),Assumptions!$B$122,0)</f>
        <v>0</v>
      </c>
      <c r="BO71" s="32">
        <f t="shared" si="12"/>
        <v>0</v>
      </c>
      <c r="BP71" s="32">
        <f>SUMIFS(SL_Budget!$B:$B,SL_Budget!$C:$C,"'"&amp;TEXT(DATE(B71,A71,1),"YYYY-MM"))</f>
        <v>4766</v>
      </c>
      <c r="BQ71" s="32">
        <f>MAX(BP71, IFERROR(SUMIFS(ShadowLedger!D:D, 
  ShadowLedger!C:C, "&gt;="&amp;DATE(B71,A71,1), 
  ShadowLedger!C:C, "&lt;"&amp;EOMONTH(DATE(B71,A71,1),0)+1), 0))
</f>
        <v>4766</v>
      </c>
      <c r="BR71" s="32">
        <f t="shared" si="42"/>
        <v>564341.5376</v>
      </c>
      <c r="BS71" s="32">
        <f t="shared" si="43"/>
        <v>2386.4182</v>
      </c>
      <c r="BT71" s="32">
        <f>IF(AS71&gt;0,-MAX(0,21550-MAX(0,MAX(0,(AM71-AP71-BE71-BO71-BQ71)-Assumptions!$B$93))-MIN(MAX(0,21550-MAX(0,MAX(0,(AM71-AP71-BE71-BO71-BQ71)-Assumptions!$B$93))),MAX(0,BY70-Assumptions!$B$91))),IF(BY70&gt;=Assumptions!$B$92,MAX(0,(AM71-AP71-BE71-BO71-BQ71)-Assumptions!$B$93),MAX(0,(AM71-AP71-BE71-BO71-BQ71)-Assumptions!$B$93)*Assumptions!$B$99))</f>
        <v>13771.2284</v>
      </c>
      <c r="BU71" s="32">
        <f>(BR71+BS71+MAX(0,BT71))*(Assumptions!$B$43-1)</f>
        <v>3957.843438</v>
      </c>
      <c r="BV71" s="32">
        <f t="shared" si="13"/>
        <v>584457.0276</v>
      </c>
      <c r="BW71" s="32">
        <f t="shared" si="44"/>
        <v>16605.22796</v>
      </c>
      <c r="BX71" s="32">
        <f>IF(AS71&gt;0,-MIN(MAX(0,21550-MAX(0,MAX(0,(AM71-AP71-BE71-BO71-BQ71)-Assumptions!$B$93))),MAX(0,BY70-Assumptions!$B$91)),IF(BY70&lt;Assumptions!$B$92,MAX(0,(AM71-AP71-BE71-BO71-BQ71)-Assumptions!$B$93)*Assumptions!$B$98,0))</f>
        <v>0</v>
      </c>
      <c r="BY71" s="32">
        <f t="shared" si="14"/>
        <v>16605.22796</v>
      </c>
      <c r="BZ71" s="32">
        <f t="shared" si="45"/>
        <v>45186</v>
      </c>
      <c r="CA71" s="32">
        <f t="shared" si="15"/>
        <v>5316</v>
      </c>
      <c r="CB71" s="32">
        <f t="shared" si="16"/>
        <v>50502</v>
      </c>
      <c r="CC71" s="55">
        <f>CC70+(G71+J71)/(Salary_Schedule!E71*12/208)</f>
        <v>1777.888362</v>
      </c>
      <c r="CD71" s="55">
        <f>CD70+(O71+R71)/(Salary_Schedule!G71*12/208)</f>
        <v>104.621881</v>
      </c>
      <c r="CE71" s="32">
        <f t="shared" si="17"/>
        <v>584457.0276</v>
      </c>
      <c r="CF71" s="32">
        <f>Assumptions!$B$55*(1+Assumptions!$B$56)^((B71-2025)+(A71-1)/12)</f>
        <v>574975.221</v>
      </c>
      <c r="CG71" s="32">
        <f t="shared" si="18"/>
        <v>-199971.8942</v>
      </c>
      <c r="CH71" s="32">
        <f t="shared" si="19"/>
        <v>-22166.2</v>
      </c>
      <c r="CI71" s="32">
        <f>CC71*(Salary_Schedule!E71/173.33)*(1-Assumptions!$B$28)+CD71*(Salary_Schedule!G71/173.33)*(1-Assumptions!$B$28)</f>
        <v>65569.60572</v>
      </c>
      <c r="CJ71" s="32">
        <f t="shared" si="20"/>
        <v>1002863.76</v>
      </c>
    </row>
    <row r="72" ht="15.0" customHeight="1">
      <c r="A72" s="1">
        <v>11.0</v>
      </c>
      <c r="B72" s="1">
        <v>2031.0</v>
      </c>
      <c r="C72" s="1" t="s">
        <v>741</v>
      </c>
      <c r="D72" s="1" t="str">
        <f t="shared" si="21"/>
        <v>10/2031</v>
      </c>
      <c r="E72" s="1" t="str">
        <f t="shared" si="2"/>
        <v>LEAN</v>
      </c>
      <c r="F72" s="32">
        <f>Salary_Schedule!E72</f>
        <v>9401.62</v>
      </c>
      <c r="G72" s="32">
        <f>Assumptions!$B$8</f>
        <v>200</v>
      </c>
      <c r="H72" s="32">
        <f>F72*Assumptions!$B$58</f>
        <v>940.162</v>
      </c>
      <c r="I72" s="32">
        <f>Salary_Schedule!F72</f>
        <v>0</v>
      </c>
      <c r="J72" s="32">
        <f>I72*Assumptions!$B$9</f>
        <v>0</v>
      </c>
      <c r="K72" s="54">
        <f t="shared" si="3"/>
        <v>8261.458</v>
      </c>
      <c r="L72" s="32">
        <f>IF(COUNTIFS(SL_Income_Log!$B:$B,TEXT(B72,"0000")&amp;"-"&amp;TEXT(A72,"00"),SL_Income_Log!$C:$C,"salary",SL_Income_Log!$E:$E,"H")&gt;0,SUMIFS(SL_Income_Log!$D:$D,SL_Income_Log!$B:$B,TEXT(B72,"0000")&amp;"-"&amp;TEXT(A72,"00"),SL_Income_Log!$C:$C,"salary",SL_Income_Log!$E:$E,"H"),K72*(1-Assumptions!$B$102)-Z72-Y72)</f>
        <v>4647.7048</v>
      </c>
      <c r="M72" s="32">
        <f>RSU_Schedule!H71</f>
        <v>0</v>
      </c>
      <c r="N72" s="32">
        <f>Salary_Schedule!G72</f>
        <v>7358.51</v>
      </c>
      <c r="O72" s="32">
        <f>Assumptions!$B$19</f>
        <v>200</v>
      </c>
      <c r="P72" s="32">
        <f>N72*Assumptions!$B$59</f>
        <v>735.851</v>
      </c>
      <c r="Q72" s="32">
        <f>Salary_Schedule!H72</f>
        <v>0</v>
      </c>
      <c r="R72" s="32">
        <f>Q72*Assumptions!$B$20</f>
        <v>0</v>
      </c>
      <c r="S72" s="54">
        <f t="shared" si="4"/>
        <v>6422.659</v>
      </c>
      <c r="T72" s="32">
        <f>IF(COUNTIFS(SL_Income_Log!$B:$B,TEXT(B72,"0000")&amp;"-"&amp;TEXT(A72,"00"),SL_Income_Log!$C:$C,"salary",SL_Income_Log!$E:$E,"W")&gt;0,SUMIFS(SL_Income_Log!$D:$D,SL_Income_Log!$B:$B,TEXT(B72,"0000")&amp;"-"&amp;TEXT(A72,"00"),SL_Income_Log!$C:$C,"salary",SL_Income_Log!$E:$E,"W"),S72*(1-Assumptions!$B$102)-AC72-AB72)
</f>
        <v>3544.4254</v>
      </c>
      <c r="U72" s="32">
        <f>RSU_Schedule!M71</f>
        <v>0</v>
      </c>
      <c r="V72" s="32">
        <f>H72*(1+Assumptions!$B$60)+Assumptions!$B$61</f>
        <v>1336.2268</v>
      </c>
      <c r="W72" s="32">
        <f>P72*(1+Assumptions!$B$60)+Assumptions!$B$61</f>
        <v>1050.1914</v>
      </c>
      <c r="X72" s="32">
        <f t="shared" si="5"/>
        <v>2386.4182</v>
      </c>
      <c r="Y72" s="32">
        <f t="shared" si="22"/>
        <v>17.5</v>
      </c>
      <c r="Z72" s="32">
        <v>291.67</v>
      </c>
      <c r="AA72" s="32">
        <f t="shared" si="23"/>
        <v>5541.43</v>
      </c>
      <c r="AB72" s="32">
        <f t="shared" si="24"/>
        <v>17.5</v>
      </c>
      <c r="AC72" s="32">
        <v>291.67</v>
      </c>
      <c r="AD72" s="32">
        <f t="shared" si="25"/>
        <v>5541.43</v>
      </c>
      <c r="AE72" s="32">
        <f t="shared" ref="AE72:AF72" si="113">Z72+AC72</f>
        <v>583.34</v>
      </c>
      <c r="AF72" s="32">
        <f t="shared" si="113"/>
        <v>11082.86</v>
      </c>
      <c r="AG72" s="32">
        <f>IF(COUNTIFS(SL_Income_Log!$B:$B,TEXT(B72,"0000")&amp;"-"&amp;TEXT(A72,"00"),SL_Income_Log!$C:$C,"youtube")&gt;0,SUMIFS(SL_Income_Log!$D:$D,SL_Income_Log!$B:$B,TEXT(B72,"0000")&amp;"-"&amp;TEXT(A72,"00"),SL_Income_Log!$C:$C,"youtube"),MIN(Assumptions!$B$49+FLOOR((ROW()-2)/6,1)*Assumptions!$B$50,Assumptions!$B$51))
</f>
        <v>12000</v>
      </c>
      <c r="AH72" s="32">
        <f>AG72*Assumptions!$B$104</f>
        <v>5316</v>
      </c>
      <c r="AI72" s="32">
        <f t="shared" si="7"/>
        <v>6684</v>
      </c>
      <c r="AJ72" s="32">
        <f>SUMIFS(SL_Income_Log!$D:$D,SL_Income_Log!$B:$B,TEXT(B72,"0000")&amp;"-"&amp;TEXT(A72,"00"),SL_Income_Log!$C:$C,"other")</f>
        <v>0</v>
      </c>
      <c r="AK72" s="32">
        <f t="shared" si="27"/>
        <v>10000</v>
      </c>
      <c r="AL72" s="32">
        <f>L72+M72+T72+U72+AI72+AJ72-Y72-Z72-AB72-AC72+IF((Debt_Register!$C$2+Debt_Register!$C$6+Debt_Register!$C$7+Debt_Register!$C$8+Debt_Register!$C$9)&gt;5,X72,0)</f>
        <v>16644.2084</v>
      </c>
      <c r="AM72" s="32">
        <f t="shared" si="8"/>
        <v>26644.2084</v>
      </c>
      <c r="AN72" s="32">
        <f>MAX(Assumptions!$B$94,MIN(Assumptions!$B$93,AM72-AP72-BE72-BO72-BQ72))</f>
        <v>10000</v>
      </c>
      <c r="AO72" s="32">
        <f t="shared" si="28"/>
        <v>199971.8942</v>
      </c>
      <c r="AP72" s="32">
        <f>IF(AO72&gt;0,Assumptions!$B$33,0)</f>
        <v>2281</v>
      </c>
      <c r="AQ72" s="32">
        <f>AO72*Assumptions!$B$32/12</f>
        <v>648.2422236</v>
      </c>
      <c r="AR72" s="32">
        <f t="shared" si="9"/>
        <v>1632.757776</v>
      </c>
      <c r="AS72" s="32">
        <f t="shared" si="29"/>
        <v>0</v>
      </c>
      <c r="AT72" s="32">
        <f t="shared" si="10"/>
        <v>198339.1364</v>
      </c>
      <c r="AU72" s="32">
        <f t="shared" si="30"/>
        <v>0</v>
      </c>
      <c r="AV72" s="32">
        <f t="shared" si="31"/>
        <v>0</v>
      </c>
      <c r="AW72" s="32">
        <f t="shared" si="32"/>
        <v>0</v>
      </c>
      <c r="AX72" s="32">
        <f t="shared" si="33"/>
        <v>0</v>
      </c>
      <c r="AY72" s="32">
        <f t="shared" si="34"/>
        <v>0</v>
      </c>
      <c r="AZ72" s="32">
        <f t="shared" si="35"/>
        <v>0</v>
      </c>
      <c r="BA72" s="32">
        <f t="shared" si="36"/>
        <v>0</v>
      </c>
      <c r="BB72" s="32">
        <f t="shared" si="37"/>
        <v>0</v>
      </c>
      <c r="BC72" s="32">
        <f t="shared" si="38"/>
        <v>0</v>
      </c>
      <c r="BD72" s="32">
        <f t="shared" si="39"/>
        <v>0</v>
      </c>
      <c r="BE72" s="32">
        <f t="shared" si="11"/>
        <v>0</v>
      </c>
      <c r="BF72" s="32">
        <v>0.0</v>
      </c>
      <c r="BG72" s="32">
        <f t="shared" si="40"/>
        <v>5500</v>
      </c>
      <c r="BH72" s="32">
        <v>0.0</v>
      </c>
      <c r="BI72" s="32">
        <f t="shared" si="41"/>
        <v>5000</v>
      </c>
      <c r="BJ72" s="32">
        <f>IF(OR(B72&lt;Assumptions!$B$111,AND(B72=Assumptions!$B$111,A72&lt;=Assumptions!$B$112)),Assumptions!$B$110,0)</f>
        <v>0</v>
      </c>
      <c r="BK72" s="32">
        <f>IF(B72&lt;2027,Assumptions!$B$116+IF(OR(A72=4,A72=10),Assumptions!$B$117,0),IF(AND(B72=2027,A72&lt;=4),IF(A72=4,MIN(950,Assumptions!$B$116+Assumptions!$B$117),Assumptions!$B$116),0))</f>
        <v>0</v>
      </c>
      <c r="BL72" s="32">
        <f>IF(OR(B72&lt;2030,AND(B72=2030,A72&lt;8)),Assumptions!$B$118,IF(AND(B72=2030,A72=8),MOD(11000,200),0))</f>
        <v>0</v>
      </c>
      <c r="BM72" s="32">
        <f>IF(OR(B72&lt;Assumptions!$B$120,AND(B72=Assumptions!$B$120,A72&lt;=Assumptions!$B$121)),Assumptions!$B$119,0)</f>
        <v>0</v>
      </c>
      <c r="BN72" s="32">
        <f>IF(AND(B72&lt;=Assumptions!$B$123,A72&lt;=Assumptions!$B$124),Assumptions!$B$122,0)</f>
        <v>0</v>
      </c>
      <c r="BO72" s="32">
        <f t="shared" si="12"/>
        <v>0</v>
      </c>
      <c r="BP72" s="32">
        <f>SUMIFS(SL_Budget!$B:$B,SL_Budget!$C:$C,"'"&amp;TEXT(DATE(B72,A72,1),"YYYY-MM"))</f>
        <v>4766</v>
      </c>
      <c r="BQ72" s="32">
        <f>MAX(BP72, IFERROR(SUMIFS(ShadowLedger!D:D, 
  ShadowLedger!C:C, "&gt;="&amp;DATE(B72,A72,1), 
  ShadowLedger!C:C, "&lt;"&amp;EOMONTH(DATE(B72,A72,1),0)+1), 0))
</f>
        <v>4766</v>
      </c>
      <c r="BR72" s="32">
        <f t="shared" si="42"/>
        <v>584457.0276</v>
      </c>
      <c r="BS72" s="32">
        <f t="shared" si="43"/>
        <v>2386.4182</v>
      </c>
      <c r="BT72" s="32">
        <f>IF(AS72&gt;0,-MAX(0,21550-MAX(0,MAX(0,(AM72-AP72-BE72-BO72-BQ72)-Assumptions!$B$93))-MIN(MAX(0,21550-MAX(0,MAX(0,(AM72-AP72-BE72-BO72-BQ72)-Assumptions!$B$93))),MAX(0,BY71-Assumptions!$B$91))),IF(BY71&gt;=Assumptions!$B$92,MAX(0,(AM72-AP72-BE72-BO72-BQ72)-Assumptions!$B$93),MAX(0,(AM72-AP72-BE72-BO72-BQ72)-Assumptions!$B$93)*Assumptions!$B$99))</f>
        <v>9597.2084</v>
      </c>
      <c r="BU72" s="32">
        <f>(BR72+BS72+MAX(0,BT72))*(Assumptions!$B$43-1)</f>
        <v>4066.53238</v>
      </c>
      <c r="BV72" s="32">
        <f t="shared" si="13"/>
        <v>600507.1866</v>
      </c>
      <c r="BW72" s="32">
        <f t="shared" si="44"/>
        <v>16605.22796</v>
      </c>
      <c r="BX72" s="32">
        <f>IF(AS72&gt;0,-MIN(MAX(0,21550-MAX(0,MAX(0,(AM72-AP72-BE72-BO72-BQ72)-Assumptions!$B$93))),MAX(0,BY71-Assumptions!$B$91)),IF(BY71&lt;Assumptions!$B$92,MAX(0,(AM72-AP72-BE72-BO72-BQ72)-Assumptions!$B$93)*Assumptions!$B$98,0))</f>
        <v>0</v>
      </c>
      <c r="BY72" s="32">
        <f t="shared" si="14"/>
        <v>16605.22796</v>
      </c>
      <c r="BZ72" s="32">
        <f t="shared" si="45"/>
        <v>50502</v>
      </c>
      <c r="CA72" s="32">
        <f t="shared" si="15"/>
        <v>5316</v>
      </c>
      <c r="CB72" s="32">
        <f t="shared" si="16"/>
        <v>55818</v>
      </c>
      <c r="CC72" s="55">
        <f>CC71+(G72+J72)/(Salary_Schedule!E72*12/208)</f>
        <v>1778.257092</v>
      </c>
      <c r="CD72" s="55">
        <f>CD71+(O72+R72)/(Salary_Schedule!G72*12/208)</f>
        <v>105.0929909</v>
      </c>
      <c r="CE72" s="32">
        <f t="shared" si="17"/>
        <v>600507.1866</v>
      </c>
      <c r="CF72" s="32">
        <f>Assumptions!$B$55*(1+Assumptions!$B$56)^((B72-2025)+(A72-1)/12)</f>
        <v>575689.0456</v>
      </c>
      <c r="CG72" s="32">
        <f t="shared" si="18"/>
        <v>-198339.1364</v>
      </c>
      <c r="CH72" s="32">
        <f t="shared" si="19"/>
        <v>-21582.86</v>
      </c>
      <c r="CI72" s="32">
        <f>CC72*(Salary_Schedule!E72/173.33)*(1-Assumptions!$B$28)+CD72*(Salary_Schedule!G72/173.33)*(1-Assumptions!$B$28)</f>
        <v>65595.60622</v>
      </c>
      <c r="CJ72" s="32">
        <f t="shared" si="20"/>
        <v>1021869.842</v>
      </c>
    </row>
    <row r="73" ht="15.0" customHeight="1">
      <c r="A73" s="1">
        <v>12.0</v>
      </c>
      <c r="B73" s="1">
        <v>2031.0</v>
      </c>
      <c r="C73" s="1" t="s">
        <v>742</v>
      </c>
      <c r="D73" s="1" t="str">
        <f t="shared" si="21"/>
        <v>11/2031</v>
      </c>
      <c r="E73" s="1" t="str">
        <f t="shared" si="2"/>
        <v>LEAN</v>
      </c>
      <c r="F73" s="32">
        <f>Salary_Schedule!E73</f>
        <v>9401.62</v>
      </c>
      <c r="G73" s="32">
        <f>Assumptions!$B$8</f>
        <v>200</v>
      </c>
      <c r="H73" s="32">
        <f>F73*Assumptions!$B$58</f>
        <v>940.162</v>
      </c>
      <c r="I73" s="32">
        <f>Salary_Schedule!F73</f>
        <v>0</v>
      </c>
      <c r="J73" s="32">
        <f>I73*Assumptions!$B$9</f>
        <v>0</v>
      </c>
      <c r="K73" s="54">
        <f t="shared" si="3"/>
        <v>8261.458</v>
      </c>
      <c r="L73" s="32">
        <f>IF(COUNTIFS(SL_Income_Log!$B:$B,TEXT(B73,"0000")&amp;"-"&amp;TEXT(A73,"00"),SL_Income_Log!$C:$C,"salary",SL_Income_Log!$E:$E,"H")&gt;0,SUMIFS(SL_Income_Log!$D:$D,SL_Income_Log!$B:$B,TEXT(B73,"0000")&amp;"-"&amp;TEXT(A73,"00"),SL_Income_Log!$C:$C,"salary",SL_Income_Log!$E:$E,"H"),K73*(1-Assumptions!$B$102)-Z73-Y73)</f>
        <v>4648.5848</v>
      </c>
      <c r="M73" s="32">
        <f>RSU_Schedule!H72</f>
        <v>0</v>
      </c>
      <c r="N73" s="32">
        <f>Salary_Schedule!G73</f>
        <v>7358.51</v>
      </c>
      <c r="O73" s="32">
        <f>Assumptions!$B$19</f>
        <v>200</v>
      </c>
      <c r="P73" s="32">
        <f>N73*Assumptions!$B$59</f>
        <v>735.851</v>
      </c>
      <c r="Q73" s="32">
        <f>Salary_Schedule!H73</f>
        <v>0</v>
      </c>
      <c r="R73" s="32">
        <f>Q73*Assumptions!$B$20</f>
        <v>0</v>
      </c>
      <c r="S73" s="54">
        <f t="shared" si="4"/>
        <v>6422.659</v>
      </c>
      <c r="T73" s="32">
        <f>IF(COUNTIFS(SL_Income_Log!$B:$B,TEXT(B73,"0000")&amp;"-"&amp;TEXT(A73,"00"),SL_Income_Log!$C:$C,"salary",SL_Income_Log!$E:$E,"W")&gt;0,SUMIFS(SL_Income_Log!$D:$D,SL_Income_Log!$B:$B,TEXT(B73,"0000")&amp;"-"&amp;TEXT(A73,"00"),SL_Income_Log!$C:$C,"salary",SL_Income_Log!$E:$E,"W"),S73*(1-Assumptions!$B$102)-AC73-AB73)
</f>
        <v>3545.3054</v>
      </c>
      <c r="U73" s="32">
        <f>RSU_Schedule!M72</f>
        <v>0</v>
      </c>
      <c r="V73" s="32">
        <f>H73*(1+Assumptions!$B$60)+Assumptions!$B$61</f>
        <v>1336.2268</v>
      </c>
      <c r="W73" s="32">
        <f>P73*(1+Assumptions!$B$60)+Assumptions!$B$61</f>
        <v>1050.1914</v>
      </c>
      <c r="X73" s="32">
        <f t="shared" si="5"/>
        <v>2386.4182</v>
      </c>
      <c r="Y73" s="32">
        <f t="shared" si="22"/>
        <v>16.62</v>
      </c>
      <c r="Z73" s="32">
        <v>291.67</v>
      </c>
      <c r="AA73" s="32">
        <f t="shared" si="23"/>
        <v>5249.76</v>
      </c>
      <c r="AB73" s="32">
        <f t="shared" si="24"/>
        <v>16.62</v>
      </c>
      <c r="AC73" s="32">
        <v>291.67</v>
      </c>
      <c r="AD73" s="32">
        <f t="shared" si="25"/>
        <v>5249.76</v>
      </c>
      <c r="AE73" s="32">
        <f t="shared" ref="AE73:AF73" si="114">Z73+AC73</f>
        <v>583.34</v>
      </c>
      <c r="AF73" s="32">
        <f t="shared" si="114"/>
        <v>10499.52</v>
      </c>
      <c r="AG73" s="32">
        <f>IF(COUNTIFS(SL_Income_Log!$B:$B,TEXT(B73,"0000")&amp;"-"&amp;TEXT(A73,"00"),SL_Income_Log!$C:$C,"youtube")&gt;0,SUMIFS(SL_Income_Log!$D:$D,SL_Income_Log!$B:$B,TEXT(B73,"0000")&amp;"-"&amp;TEXT(A73,"00"),SL_Income_Log!$C:$C,"youtube"),MIN(Assumptions!$B$49+FLOOR((ROW()-2)/6,1)*Assumptions!$B$50,Assumptions!$B$51))
</f>
        <v>12000</v>
      </c>
      <c r="AH73" s="32">
        <f>AG73*Assumptions!$B$104</f>
        <v>5316</v>
      </c>
      <c r="AI73" s="32">
        <f t="shared" si="7"/>
        <v>6684</v>
      </c>
      <c r="AJ73" s="32">
        <f>SUMIFS(SL_Income_Log!$D:$D,SL_Income_Log!$B:$B,TEXT(B73,"0000")&amp;"-"&amp;TEXT(A73,"00"),SL_Income_Log!$C:$C,"other")</f>
        <v>0</v>
      </c>
      <c r="AK73" s="32">
        <f t="shared" si="27"/>
        <v>10000</v>
      </c>
      <c r="AL73" s="32">
        <f>L73+M73+T73+U73+AI73+AJ73-Y73-Z73-AB73-AC73+IF((Debt_Register!$C$2+Debt_Register!$C$6+Debt_Register!$C$7+Debt_Register!$C$8+Debt_Register!$C$9)&gt;5,X73,0)</f>
        <v>16647.7284</v>
      </c>
      <c r="AM73" s="32">
        <f t="shared" si="8"/>
        <v>26647.7284</v>
      </c>
      <c r="AN73" s="32">
        <f>MAX(Assumptions!$B$94,MIN(Assumptions!$B$93,AM73-AP73-BE73-BO73-BQ73))</f>
        <v>10000</v>
      </c>
      <c r="AO73" s="32">
        <f t="shared" si="28"/>
        <v>198339.1364</v>
      </c>
      <c r="AP73" s="32">
        <f>IF(AO73&gt;0,Assumptions!$B$33,0)</f>
        <v>2281</v>
      </c>
      <c r="AQ73" s="32">
        <f>AO73*Assumptions!$B$32/12</f>
        <v>642.9493672</v>
      </c>
      <c r="AR73" s="32">
        <f t="shared" si="9"/>
        <v>1638.050633</v>
      </c>
      <c r="AS73" s="32">
        <f t="shared" si="29"/>
        <v>0</v>
      </c>
      <c r="AT73" s="32">
        <f t="shared" si="10"/>
        <v>196701.0858</v>
      </c>
      <c r="AU73" s="32">
        <f t="shared" si="30"/>
        <v>0</v>
      </c>
      <c r="AV73" s="32">
        <f t="shared" si="31"/>
        <v>0</v>
      </c>
      <c r="AW73" s="32">
        <f t="shared" si="32"/>
        <v>0</v>
      </c>
      <c r="AX73" s="32">
        <f t="shared" si="33"/>
        <v>0</v>
      </c>
      <c r="AY73" s="32">
        <f t="shared" si="34"/>
        <v>0</v>
      </c>
      <c r="AZ73" s="32">
        <f t="shared" si="35"/>
        <v>0</v>
      </c>
      <c r="BA73" s="32">
        <f t="shared" si="36"/>
        <v>0</v>
      </c>
      <c r="BB73" s="32">
        <f t="shared" si="37"/>
        <v>0</v>
      </c>
      <c r="BC73" s="32">
        <f t="shared" si="38"/>
        <v>0</v>
      </c>
      <c r="BD73" s="32">
        <f t="shared" si="39"/>
        <v>0</v>
      </c>
      <c r="BE73" s="32">
        <f t="shared" si="11"/>
        <v>0</v>
      </c>
      <c r="BF73" s="32">
        <v>0.0</v>
      </c>
      <c r="BG73" s="32">
        <f t="shared" si="40"/>
        <v>5500</v>
      </c>
      <c r="BH73" s="32">
        <v>0.0</v>
      </c>
      <c r="BI73" s="32">
        <f t="shared" si="41"/>
        <v>5000</v>
      </c>
      <c r="BJ73" s="32">
        <f>IF(OR(B73&lt;Assumptions!$B$111,AND(B73=Assumptions!$B$111,A73&lt;=Assumptions!$B$112)),Assumptions!$B$110,0)</f>
        <v>0</v>
      </c>
      <c r="BK73" s="32">
        <f>IF(B73&lt;2027,Assumptions!$B$116+IF(OR(A73=4,A73=10),Assumptions!$B$117,0),IF(AND(B73=2027,A73&lt;=4),IF(A73=4,MIN(950,Assumptions!$B$116+Assumptions!$B$117),Assumptions!$B$116),0))</f>
        <v>0</v>
      </c>
      <c r="BL73" s="32">
        <f>IF(OR(B73&lt;2030,AND(B73=2030,A73&lt;8)),Assumptions!$B$118,IF(AND(B73=2030,A73=8),MOD(11000,200),0))</f>
        <v>0</v>
      </c>
      <c r="BM73" s="32">
        <f>IF(OR(B73&lt;Assumptions!$B$120,AND(B73=Assumptions!$B$120,A73&lt;=Assumptions!$B$121)),Assumptions!$B$119,0)</f>
        <v>0</v>
      </c>
      <c r="BN73" s="32">
        <f>IF(AND(B73&lt;=Assumptions!$B$123,A73&lt;=Assumptions!$B$124),Assumptions!$B$122,0)</f>
        <v>0</v>
      </c>
      <c r="BO73" s="32">
        <f t="shared" si="12"/>
        <v>0</v>
      </c>
      <c r="BP73" s="32">
        <f>SUMIFS(SL_Budget!$B:$B,SL_Budget!$C:$C,"'"&amp;TEXT(DATE(B73,A73,1),"YYYY-MM"))</f>
        <v>4766</v>
      </c>
      <c r="BQ73" s="32">
        <f>MAX(BP73, IFERROR(SUMIFS(ShadowLedger!D:D, 
  ShadowLedger!C:C, "&gt;="&amp;DATE(B73,A73,1), 
  ShadowLedger!C:C, "&lt;"&amp;EOMONTH(DATE(B73,A73,1),0)+1), 0))
</f>
        <v>4766</v>
      </c>
      <c r="BR73" s="32">
        <f t="shared" si="42"/>
        <v>600507.1866</v>
      </c>
      <c r="BS73" s="32">
        <f t="shared" si="43"/>
        <v>2386.4182</v>
      </c>
      <c r="BT73" s="32">
        <f>IF(AS73&gt;0,-MAX(0,21550-MAX(0,MAX(0,(AM73-AP73-BE73-BO73-BQ73)-Assumptions!$B$93))-MIN(MAX(0,21550-MAX(0,MAX(0,(AM73-AP73-BE73-BO73-BQ73)-Assumptions!$B$93))),MAX(0,BY72-Assumptions!$B$91))),IF(BY72&gt;=Assumptions!$B$92,MAX(0,(AM73-AP73-BE73-BO73-BQ73)-Assumptions!$B$93),MAX(0,(AM73-AP73-BE73-BO73-BQ73)-Assumptions!$B$93)*Assumptions!$B$99))</f>
        <v>9600.7284</v>
      </c>
      <c r="BU73" s="32">
        <f>(BR73+BS73+MAX(0,BT73))*(Assumptions!$B$43-1)</f>
        <v>4175.986364</v>
      </c>
      <c r="BV73" s="32">
        <f t="shared" si="13"/>
        <v>616670.3196</v>
      </c>
      <c r="BW73" s="32">
        <f t="shared" si="44"/>
        <v>16605.22796</v>
      </c>
      <c r="BX73" s="32">
        <f>IF(AS73&gt;0,-MIN(MAX(0,21550-MAX(0,MAX(0,(AM73-AP73-BE73-BO73-BQ73)-Assumptions!$B$93))),MAX(0,BY72-Assumptions!$B$91)),IF(BY72&lt;Assumptions!$B$92,MAX(0,(AM73-AP73-BE73-BO73-BQ73)-Assumptions!$B$93)*Assumptions!$B$98,0))</f>
        <v>0</v>
      </c>
      <c r="BY73" s="32">
        <f t="shared" si="14"/>
        <v>16605.22796</v>
      </c>
      <c r="BZ73" s="32">
        <f t="shared" si="45"/>
        <v>55818</v>
      </c>
      <c r="CA73" s="32">
        <f t="shared" si="15"/>
        <v>5316</v>
      </c>
      <c r="CB73" s="32">
        <f t="shared" si="16"/>
        <v>61134</v>
      </c>
      <c r="CC73" s="55">
        <f>CC72+(G73+J73)/(Salary_Schedule!E73*12/208)</f>
        <v>1778.625823</v>
      </c>
      <c r="CD73" s="55">
        <f>CD72+(O73+R73)/(Salary_Schedule!G73*12/208)</f>
        <v>105.5641008</v>
      </c>
      <c r="CE73" s="32">
        <f t="shared" si="17"/>
        <v>616670.3196</v>
      </c>
      <c r="CF73" s="32">
        <f>Assumptions!$B$55*(1+Assumptions!$B$56)^((B73-2025)+(A73-1)/12)</f>
        <v>576403.7565</v>
      </c>
      <c r="CG73" s="32">
        <f t="shared" si="18"/>
        <v>-196701.0858</v>
      </c>
      <c r="CH73" s="32">
        <f t="shared" si="19"/>
        <v>-20999.52</v>
      </c>
      <c r="CI73" s="32">
        <f>CC73*(Salary_Schedule!E73/173.33)*(1-Assumptions!$B$28)+CD73*(Salary_Schedule!G73/173.33)*(1-Assumptions!$B$28)</f>
        <v>65621.60672</v>
      </c>
      <c r="CJ73" s="32">
        <f t="shared" si="20"/>
        <v>1040995.077</v>
      </c>
    </row>
    <row r="74" ht="15.0" customHeight="1">
      <c r="A74" s="1">
        <v>1.0</v>
      </c>
      <c r="B74" s="1">
        <v>2032.0</v>
      </c>
      <c r="C74" s="1" t="s">
        <v>743</v>
      </c>
      <c r="D74" s="1" t="str">
        <f t="shared" si="21"/>
        <v>12/2031</v>
      </c>
      <c r="E74" s="1" t="str">
        <f t="shared" si="2"/>
        <v>FAT_RSU</v>
      </c>
      <c r="F74" s="32">
        <f>Salary_Schedule!E74</f>
        <v>9871.7</v>
      </c>
      <c r="G74" s="32">
        <f>Assumptions!$B$8</f>
        <v>200</v>
      </c>
      <c r="H74" s="32">
        <f>F74*Assumptions!$B$58</f>
        <v>987.17</v>
      </c>
      <c r="I74" s="32">
        <f>Salary_Schedule!F74</f>
        <v>0</v>
      </c>
      <c r="J74" s="32">
        <f>I74*Assumptions!$B$9</f>
        <v>0</v>
      </c>
      <c r="K74" s="54">
        <f t="shared" si="3"/>
        <v>8684.53</v>
      </c>
      <c r="L74" s="32">
        <f>IF(COUNTIFS(SL_Income_Log!$B:$B,TEXT(B74,"0000")&amp;"-"&amp;TEXT(A74,"00"),SL_Income_Log!$C:$C,"salary",SL_Income_Log!$E:$E,"H")&gt;0,SUMIFS(SL_Income_Log!$D:$D,SL_Income_Log!$B:$B,TEXT(B74,"0000")&amp;"-"&amp;TEXT(A74,"00"),SL_Income_Log!$C:$C,"salary",SL_Income_Log!$E:$E,"H"),K74*(1-Assumptions!$B$102)-Z74-Y74)</f>
        <v>4903.298</v>
      </c>
      <c r="M74" s="32">
        <f>RSU_Schedule!H73</f>
        <v>2784.99</v>
      </c>
      <c r="N74" s="32">
        <f>Salary_Schedule!G74</f>
        <v>7616.06</v>
      </c>
      <c r="O74" s="32">
        <f>Assumptions!$B$19</f>
        <v>200</v>
      </c>
      <c r="P74" s="32">
        <f>N74*Assumptions!$B$59</f>
        <v>761.606</v>
      </c>
      <c r="Q74" s="32">
        <f>Salary_Schedule!H74</f>
        <v>0</v>
      </c>
      <c r="R74" s="32">
        <f>Q74*Assumptions!$B$20</f>
        <v>0</v>
      </c>
      <c r="S74" s="54">
        <f t="shared" si="4"/>
        <v>6654.454</v>
      </c>
      <c r="T74" s="32">
        <f>IF(COUNTIFS(SL_Income_Log!$B:$B,TEXT(B74,"0000")&amp;"-"&amp;TEXT(A74,"00"),SL_Income_Log!$C:$C,"salary",SL_Income_Log!$E:$E,"W")&gt;0,SUMIFS(SL_Income_Log!$D:$D,SL_Income_Log!$B:$B,TEXT(B74,"0000")&amp;"-"&amp;TEXT(A74,"00"),SL_Income_Log!$C:$C,"salary",SL_Income_Log!$E:$E,"W"),S74*(1-Assumptions!$B$102)-AC74-AB74)
</f>
        <v>3685.2524</v>
      </c>
      <c r="U74" s="32">
        <f>RSU_Schedule!M73</f>
        <v>1392.51</v>
      </c>
      <c r="V74" s="32">
        <f>H74*(1+Assumptions!$B$60)+Assumptions!$B$61</f>
        <v>1402.038</v>
      </c>
      <c r="W74" s="32">
        <f>P74*(1+Assumptions!$B$60)+Assumptions!$B$61</f>
        <v>1086.2484</v>
      </c>
      <c r="X74" s="32">
        <f t="shared" si="5"/>
        <v>2488.2864</v>
      </c>
      <c r="Y74" s="32">
        <f t="shared" si="22"/>
        <v>15.75</v>
      </c>
      <c r="Z74" s="32">
        <v>291.67</v>
      </c>
      <c r="AA74" s="32">
        <f t="shared" si="23"/>
        <v>4958.09</v>
      </c>
      <c r="AB74" s="32">
        <f t="shared" si="24"/>
        <v>15.75</v>
      </c>
      <c r="AC74" s="32">
        <v>291.67</v>
      </c>
      <c r="AD74" s="32">
        <f t="shared" si="25"/>
        <v>4958.09</v>
      </c>
      <c r="AE74" s="32">
        <f t="shared" ref="AE74:AF74" si="115">Z74+AC74</f>
        <v>583.34</v>
      </c>
      <c r="AF74" s="32">
        <f t="shared" si="115"/>
        <v>9916.18</v>
      </c>
      <c r="AG74" s="32">
        <f>IF(COUNTIFS(SL_Income_Log!$B:$B,TEXT(B74,"0000")&amp;"-"&amp;TEXT(A74,"00"),SL_Income_Log!$C:$C,"youtube")&gt;0,SUMIFS(SL_Income_Log!$D:$D,SL_Income_Log!$B:$B,TEXT(B74,"0000")&amp;"-"&amp;TEXT(A74,"00"),SL_Income_Log!$C:$C,"youtube"),MIN(Assumptions!$B$49+FLOOR((ROW()-2)/6,1)*Assumptions!$B$50,Assumptions!$B$51))
</f>
        <v>13000</v>
      </c>
      <c r="AH74" s="32">
        <f>AG74*Assumptions!$B$104</f>
        <v>5759</v>
      </c>
      <c r="AI74" s="32">
        <f t="shared" si="7"/>
        <v>7241</v>
      </c>
      <c r="AJ74" s="32">
        <f>SUMIFS(SL_Income_Log!$D:$D,SL_Income_Log!$B:$B,TEXT(B74,"0000")&amp;"-"&amp;TEXT(A74,"00"),SL_Income_Log!$C:$C,"other")</f>
        <v>0</v>
      </c>
      <c r="AK74" s="32">
        <f t="shared" si="27"/>
        <v>10000</v>
      </c>
      <c r="AL74" s="32">
        <f>L74+M74+T74+U74+AI74+AJ74-Y74-Z74-AB74-AC74+IF((Debt_Register!$C$2+Debt_Register!$C$6+Debt_Register!$C$7+Debt_Register!$C$8+Debt_Register!$C$9)&gt;5,X74,0)</f>
        <v>21880.4968</v>
      </c>
      <c r="AM74" s="32">
        <f t="shared" si="8"/>
        <v>31880.4968</v>
      </c>
      <c r="AN74" s="32">
        <f>MAX(Assumptions!$B$94,MIN(Assumptions!$B$93,AM74-AP74-BE74-BO74-BQ74))</f>
        <v>10000</v>
      </c>
      <c r="AO74" s="32">
        <f t="shared" si="28"/>
        <v>196701.0858</v>
      </c>
      <c r="AP74" s="32">
        <f>IF(AO74&gt;0,Assumptions!$B$33,0)</f>
        <v>2281</v>
      </c>
      <c r="AQ74" s="32">
        <f>AO74*Assumptions!$B$32/12</f>
        <v>637.639353</v>
      </c>
      <c r="AR74" s="32">
        <f t="shared" si="9"/>
        <v>1643.360647</v>
      </c>
      <c r="AS74" s="32">
        <f t="shared" si="29"/>
        <v>21550</v>
      </c>
      <c r="AT74" s="32">
        <f t="shared" si="10"/>
        <v>173507.7251</v>
      </c>
      <c r="AU74" s="32">
        <f t="shared" si="30"/>
        <v>0</v>
      </c>
      <c r="AV74" s="32">
        <f t="shared" si="31"/>
        <v>0</v>
      </c>
      <c r="AW74" s="32">
        <f t="shared" si="32"/>
        <v>0</v>
      </c>
      <c r="AX74" s="32">
        <f t="shared" si="33"/>
        <v>0</v>
      </c>
      <c r="AY74" s="32">
        <f t="shared" si="34"/>
        <v>0</v>
      </c>
      <c r="AZ74" s="32">
        <f t="shared" si="35"/>
        <v>0</v>
      </c>
      <c r="BA74" s="32">
        <f t="shared" si="36"/>
        <v>0</v>
      </c>
      <c r="BB74" s="32">
        <f t="shared" si="37"/>
        <v>0</v>
      </c>
      <c r="BC74" s="32">
        <f t="shared" si="38"/>
        <v>0</v>
      </c>
      <c r="BD74" s="32">
        <f t="shared" si="39"/>
        <v>0</v>
      </c>
      <c r="BE74" s="32">
        <f t="shared" si="11"/>
        <v>0</v>
      </c>
      <c r="BF74" s="32">
        <v>0.0</v>
      </c>
      <c r="BG74" s="32">
        <f t="shared" si="40"/>
        <v>5500</v>
      </c>
      <c r="BH74" s="32">
        <v>0.0</v>
      </c>
      <c r="BI74" s="32">
        <f t="shared" si="41"/>
        <v>5000</v>
      </c>
      <c r="BJ74" s="32">
        <f>IF(OR(B74&lt;Assumptions!$B$111,AND(B74=Assumptions!$B$111,A74&lt;=Assumptions!$B$112)),Assumptions!$B$110,0)</f>
        <v>0</v>
      </c>
      <c r="BK74" s="32">
        <f>IF(B74&lt;2027,Assumptions!$B$116+IF(OR(A74=4,A74=10),Assumptions!$B$117,0),IF(AND(B74=2027,A74&lt;=4),IF(A74=4,MIN(950,Assumptions!$B$116+Assumptions!$B$117),Assumptions!$B$116),0))</f>
        <v>0</v>
      </c>
      <c r="BL74" s="32">
        <f>IF(OR(B74&lt;2030,AND(B74=2030,A74&lt;8)),Assumptions!$B$118,IF(AND(B74=2030,A74=8),MOD(11000,200),0))</f>
        <v>0</v>
      </c>
      <c r="BM74" s="32">
        <f>IF(OR(B74&lt;Assumptions!$B$120,AND(B74=Assumptions!$B$120,A74&lt;=Assumptions!$B$121)),Assumptions!$B$119,0)</f>
        <v>0</v>
      </c>
      <c r="BN74" s="32">
        <f>IF(AND(B74&lt;=Assumptions!$B$123,A74&lt;=Assumptions!$B$124),Assumptions!$B$122,0)</f>
        <v>0</v>
      </c>
      <c r="BO74" s="32">
        <f t="shared" si="12"/>
        <v>0</v>
      </c>
      <c r="BP74" s="32">
        <f>SUMIFS(SL_Budget!$B:$B,SL_Budget!$C:$C,"'"&amp;TEXT(DATE(B74,A74,1),"YYYY-MM"))</f>
        <v>4908</v>
      </c>
      <c r="BQ74" s="32">
        <f>MAX(BP74, IFERROR(SUMIFS(ShadowLedger!D:D, 
  ShadowLedger!C:C, "&gt;="&amp;DATE(B74,A74,1), 
  ShadowLedger!C:C, "&lt;"&amp;EOMONTH(DATE(B74,A74,1),0)+1), 0))
</f>
        <v>4908</v>
      </c>
      <c r="BR74" s="32">
        <f t="shared" si="42"/>
        <v>616670.3196</v>
      </c>
      <c r="BS74" s="32">
        <f t="shared" si="43"/>
        <v>2488.2864</v>
      </c>
      <c r="BT74" s="32">
        <f>IF(AS74&gt;0,-MAX(0,21550-MAX(0,MAX(0,(AM74-AP74-BE74-BO74-BQ74)-Assumptions!$B$93))-MIN(MAX(0,21550-MAX(0,MAX(0,(AM74-AP74-BE74-BO74-BQ74)-Assumptions!$B$93))),MAX(0,BY73-Assumptions!$B$91))),IF(BY73&gt;=Assumptions!$B$92,MAX(0,(AM74-AP74-BE74-BO74-BQ74)-Assumptions!$B$93),MAX(0,(AM74-AP74-BE74-BO74-BQ74)-Assumptions!$B$93)*Assumptions!$B$99))</f>
        <v>0</v>
      </c>
      <c r="BU74" s="32">
        <f>(BR74+BS74+MAX(0,BT74))*(Assumptions!$B$43-1)</f>
        <v>4221.423375</v>
      </c>
      <c r="BV74" s="32">
        <f t="shared" si="13"/>
        <v>623380.0293</v>
      </c>
      <c r="BW74" s="32">
        <f t="shared" si="44"/>
        <v>16605.22796</v>
      </c>
      <c r="BX74" s="32">
        <f>IF(AS74&gt;0,-MIN(MAX(0,21550-MAX(0,MAX(0,(AM74-AP74-BE74-BO74-BQ74)-Assumptions!$B$93))),MAX(0,BY73-Assumptions!$B$91)),IF(BY73&lt;Assumptions!$B$92,MAX(0,(AM74-AP74-BE74-BO74-BQ74)-Assumptions!$B$93)*Assumptions!$B$98,0))</f>
        <v>-6858.5032</v>
      </c>
      <c r="BY74" s="32">
        <f t="shared" si="14"/>
        <v>9746.72476</v>
      </c>
      <c r="BZ74" s="32">
        <f t="shared" si="45"/>
        <v>0</v>
      </c>
      <c r="CA74" s="32">
        <f t="shared" si="15"/>
        <v>5759</v>
      </c>
      <c r="CB74" s="32">
        <f t="shared" si="16"/>
        <v>5759</v>
      </c>
      <c r="CC74" s="55">
        <f>CC73+(G74+J74)/(Salary_Schedule!E74*12/208)</f>
        <v>1778.976995</v>
      </c>
      <c r="CD74" s="55">
        <f>CD73+(O74+R74)/(Salary_Schedule!G74*12/208)</f>
        <v>106.0192792</v>
      </c>
      <c r="CE74" s="32">
        <f t="shared" si="17"/>
        <v>623380.0293</v>
      </c>
      <c r="CF74" s="32">
        <f>Assumptions!$B$55*(1+Assumptions!$B$56)^((B74-2025)+(A74-1)/12)</f>
        <v>577119.3547</v>
      </c>
      <c r="CG74" s="32">
        <f t="shared" si="18"/>
        <v>-173507.7251</v>
      </c>
      <c r="CH74" s="32">
        <f t="shared" si="19"/>
        <v>-20416.18</v>
      </c>
      <c r="CI74" s="32">
        <f>CC74*(Salary_Schedule!E74/173.33)*(1-Assumptions!$B$28)+CD74*(Salary_Schedule!G74/173.33)*(1-Assumptions!$B$28)</f>
        <v>68884.9862</v>
      </c>
      <c r="CJ74" s="32">
        <f t="shared" si="20"/>
        <v>1075460.465</v>
      </c>
    </row>
    <row r="75" ht="15.0" customHeight="1">
      <c r="A75" s="1">
        <v>2.0</v>
      </c>
      <c r="B75" s="1">
        <v>2032.0</v>
      </c>
      <c r="C75" s="1" t="s">
        <v>744</v>
      </c>
      <c r="D75" s="1" t="str">
        <f t="shared" si="21"/>
        <v>01/2032</v>
      </c>
      <c r="E75" s="1" t="str">
        <f t="shared" si="2"/>
        <v>LEAN</v>
      </c>
      <c r="F75" s="32">
        <f>Salary_Schedule!E75</f>
        <v>9871.7</v>
      </c>
      <c r="G75" s="32">
        <f>Assumptions!$B$8</f>
        <v>200</v>
      </c>
      <c r="H75" s="32">
        <f>F75*Assumptions!$B$58</f>
        <v>987.17</v>
      </c>
      <c r="I75" s="32">
        <f>Salary_Schedule!F75</f>
        <v>0</v>
      </c>
      <c r="J75" s="32">
        <f>I75*Assumptions!$B$9</f>
        <v>0</v>
      </c>
      <c r="K75" s="54">
        <f t="shared" si="3"/>
        <v>8684.53</v>
      </c>
      <c r="L75" s="32">
        <f>IF(COUNTIFS(SL_Income_Log!$B:$B,TEXT(B75,"0000")&amp;"-"&amp;TEXT(A75,"00"),SL_Income_Log!$C:$C,"salary",SL_Income_Log!$E:$E,"H")&gt;0,SUMIFS(SL_Income_Log!$D:$D,SL_Income_Log!$B:$B,TEXT(B75,"0000")&amp;"-"&amp;TEXT(A75,"00"),SL_Income_Log!$C:$C,"salary",SL_Income_Log!$E:$E,"H"),K75*(1-Assumptions!$B$102)-Z75-Y75)</f>
        <v>4904.178</v>
      </c>
      <c r="M75" s="32">
        <f>RSU_Schedule!H74</f>
        <v>0</v>
      </c>
      <c r="N75" s="32">
        <f>Salary_Schedule!G75</f>
        <v>7616.06</v>
      </c>
      <c r="O75" s="32">
        <f>Assumptions!$B$19</f>
        <v>200</v>
      </c>
      <c r="P75" s="32">
        <f>N75*Assumptions!$B$59</f>
        <v>761.606</v>
      </c>
      <c r="Q75" s="32">
        <f>Salary_Schedule!H75</f>
        <v>0</v>
      </c>
      <c r="R75" s="32">
        <f>Q75*Assumptions!$B$20</f>
        <v>0</v>
      </c>
      <c r="S75" s="54">
        <f t="shared" si="4"/>
        <v>6654.454</v>
      </c>
      <c r="T75" s="32">
        <f>IF(COUNTIFS(SL_Income_Log!$B:$B,TEXT(B75,"0000")&amp;"-"&amp;TEXT(A75,"00"),SL_Income_Log!$C:$C,"salary",SL_Income_Log!$E:$E,"W")&gt;0,SUMIFS(SL_Income_Log!$D:$D,SL_Income_Log!$B:$B,TEXT(B75,"0000")&amp;"-"&amp;TEXT(A75,"00"),SL_Income_Log!$C:$C,"salary",SL_Income_Log!$E:$E,"W"),S75*(1-Assumptions!$B$102)-AC75-AB75)
</f>
        <v>3686.1324</v>
      </c>
      <c r="U75" s="32">
        <f>RSU_Schedule!M74</f>
        <v>0</v>
      </c>
      <c r="V75" s="32">
        <f>H75*(1+Assumptions!$B$60)+Assumptions!$B$61</f>
        <v>1402.038</v>
      </c>
      <c r="W75" s="32">
        <f>P75*(1+Assumptions!$B$60)+Assumptions!$B$61</f>
        <v>1086.2484</v>
      </c>
      <c r="X75" s="32">
        <f t="shared" si="5"/>
        <v>2488.2864</v>
      </c>
      <c r="Y75" s="32">
        <f t="shared" si="22"/>
        <v>14.87</v>
      </c>
      <c r="Z75" s="32">
        <v>291.67</v>
      </c>
      <c r="AA75" s="32">
        <f t="shared" si="23"/>
        <v>4666.42</v>
      </c>
      <c r="AB75" s="32">
        <f t="shared" si="24"/>
        <v>14.87</v>
      </c>
      <c r="AC75" s="32">
        <v>291.67</v>
      </c>
      <c r="AD75" s="32">
        <f t="shared" si="25"/>
        <v>4666.42</v>
      </c>
      <c r="AE75" s="32">
        <f t="shared" ref="AE75:AF75" si="116">Z75+AC75</f>
        <v>583.34</v>
      </c>
      <c r="AF75" s="32">
        <f t="shared" si="116"/>
        <v>9332.84</v>
      </c>
      <c r="AG75" s="32">
        <f>IF(COUNTIFS(SL_Income_Log!$B:$B,TEXT(B75,"0000")&amp;"-"&amp;TEXT(A75,"00"),SL_Income_Log!$C:$C,"youtube")&gt;0,SUMIFS(SL_Income_Log!$D:$D,SL_Income_Log!$B:$B,TEXT(B75,"0000")&amp;"-"&amp;TEXT(A75,"00"),SL_Income_Log!$C:$C,"youtube"),MIN(Assumptions!$B$49+FLOOR((ROW()-2)/6,1)*Assumptions!$B$50,Assumptions!$B$51))
</f>
        <v>13000</v>
      </c>
      <c r="AH75" s="32">
        <f>AG75*Assumptions!$B$104</f>
        <v>5759</v>
      </c>
      <c r="AI75" s="32">
        <f t="shared" si="7"/>
        <v>7241</v>
      </c>
      <c r="AJ75" s="32">
        <f>SUMIFS(SL_Income_Log!$D:$D,SL_Income_Log!$B:$B,TEXT(B75,"0000")&amp;"-"&amp;TEXT(A75,"00"),SL_Income_Log!$C:$C,"other")</f>
        <v>0</v>
      </c>
      <c r="AK75" s="32">
        <f t="shared" si="27"/>
        <v>10000</v>
      </c>
      <c r="AL75" s="32">
        <f>L75+M75+T75+U75+AI75+AJ75-Y75-Z75-AB75-AC75+IF((Debt_Register!$C$2+Debt_Register!$C$6+Debt_Register!$C$7+Debt_Register!$C$8+Debt_Register!$C$9)&gt;5,X75,0)</f>
        <v>17706.5168</v>
      </c>
      <c r="AM75" s="32">
        <f t="shared" si="8"/>
        <v>27706.5168</v>
      </c>
      <c r="AN75" s="32">
        <f>MAX(Assumptions!$B$94,MIN(Assumptions!$B$93,AM75-AP75-BE75-BO75-BQ75))</f>
        <v>10000</v>
      </c>
      <c r="AO75" s="32">
        <f t="shared" si="28"/>
        <v>173507.7251</v>
      </c>
      <c r="AP75" s="32">
        <f>IF(AO75&gt;0,Assumptions!$B$33,0)</f>
        <v>2281</v>
      </c>
      <c r="AQ75" s="32">
        <f>AO75*Assumptions!$B$32/12</f>
        <v>562.4542089</v>
      </c>
      <c r="AR75" s="32">
        <f t="shared" si="9"/>
        <v>1718.545791</v>
      </c>
      <c r="AS75" s="32">
        <f t="shared" si="29"/>
        <v>0</v>
      </c>
      <c r="AT75" s="32">
        <f t="shared" si="10"/>
        <v>171789.1793</v>
      </c>
      <c r="AU75" s="32">
        <f t="shared" si="30"/>
        <v>0</v>
      </c>
      <c r="AV75" s="32">
        <f t="shared" si="31"/>
        <v>0</v>
      </c>
      <c r="AW75" s="32">
        <f t="shared" si="32"/>
        <v>0</v>
      </c>
      <c r="AX75" s="32">
        <f t="shared" si="33"/>
        <v>0</v>
      </c>
      <c r="AY75" s="32">
        <f t="shared" si="34"/>
        <v>0</v>
      </c>
      <c r="AZ75" s="32">
        <f t="shared" si="35"/>
        <v>0</v>
      </c>
      <c r="BA75" s="32">
        <f t="shared" si="36"/>
        <v>0</v>
      </c>
      <c r="BB75" s="32">
        <f t="shared" si="37"/>
        <v>0</v>
      </c>
      <c r="BC75" s="32">
        <f t="shared" si="38"/>
        <v>0</v>
      </c>
      <c r="BD75" s="32">
        <f t="shared" si="39"/>
        <v>0</v>
      </c>
      <c r="BE75" s="32">
        <f t="shared" si="11"/>
        <v>0</v>
      </c>
      <c r="BF75" s="32">
        <v>0.0</v>
      </c>
      <c r="BG75" s="32">
        <f t="shared" si="40"/>
        <v>5500</v>
      </c>
      <c r="BH75" s="32">
        <v>0.0</v>
      </c>
      <c r="BI75" s="32">
        <f t="shared" si="41"/>
        <v>5000</v>
      </c>
      <c r="BJ75" s="32">
        <f>IF(OR(B75&lt;Assumptions!$B$111,AND(B75=Assumptions!$B$111,A75&lt;=Assumptions!$B$112)),Assumptions!$B$110,0)</f>
        <v>0</v>
      </c>
      <c r="BK75" s="32">
        <f>IF(B75&lt;2027,Assumptions!$B$116+IF(OR(A75=4,A75=10),Assumptions!$B$117,0),IF(AND(B75=2027,A75&lt;=4),IF(A75=4,MIN(950,Assumptions!$B$116+Assumptions!$B$117),Assumptions!$B$116),0))</f>
        <v>0</v>
      </c>
      <c r="BL75" s="32">
        <f>IF(OR(B75&lt;2030,AND(B75=2030,A75&lt;8)),Assumptions!$B$118,IF(AND(B75=2030,A75=8),MOD(11000,200),0))</f>
        <v>0</v>
      </c>
      <c r="BM75" s="32">
        <f>IF(OR(B75&lt;Assumptions!$B$120,AND(B75=Assumptions!$B$120,A75&lt;=Assumptions!$B$121)),Assumptions!$B$119,0)</f>
        <v>0</v>
      </c>
      <c r="BN75" s="32">
        <f>IF(AND(B75&lt;=Assumptions!$B$123,A75&lt;=Assumptions!$B$124),Assumptions!$B$122,0)</f>
        <v>0</v>
      </c>
      <c r="BO75" s="32">
        <f t="shared" si="12"/>
        <v>0</v>
      </c>
      <c r="BP75" s="32">
        <f>SUMIFS(SL_Budget!$B:$B,SL_Budget!$C:$C,"'"&amp;TEXT(DATE(B75,A75,1),"YYYY-MM"))</f>
        <v>4908</v>
      </c>
      <c r="BQ75" s="32">
        <f>MAX(BP75, IFERROR(SUMIFS(ShadowLedger!D:D, 
  ShadowLedger!C:C, "&gt;="&amp;DATE(B75,A75,1), 
  ShadowLedger!C:C, "&lt;"&amp;EOMONTH(DATE(B75,A75,1),0)+1), 0))
</f>
        <v>4908</v>
      </c>
      <c r="BR75" s="32">
        <f t="shared" si="42"/>
        <v>623380.0293</v>
      </c>
      <c r="BS75" s="32">
        <f t="shared" si="43"/>
        <v>2488.2864</v>
      </c>
      <c r="BT75" s="32">
        <f>IF(AS75&gt;0,-MAX(0,21550-MAX(0,MAX(0,(AM75-AP75-BE75-BO75-BQ75)-Assumptions!$B$93))-MIN(MAX(0,21550-MAX(0,MAX(0,(AM75-AP75-BE75-BO75-BQ75)-Assumptions!$B$93))),MAX(0,BY74-Assumptions!$B$91))),IF(BY74&gt;=Assumptions!$B$92,MAX(0,(AM75-AP75-BE75-BO75-BQ75)-Assumptions!$B$93),MAX(0,(AM75-AP75-BE75-BO75-BQ75)-Assumptions!$B$93)*Assumptions!$B$99))</f>
        <v>8414.01344</v>
      </c>
      <c r="BU75" s="32">
        <f>(BR75+BS75+MAX(0,BT75))*(Assumptions!$B$43-1)</f>
        <v>4324.53692</v>
      </c>
      <c r="BV75" s="32">
        <f t="shared" si="13"/>
        <v>638606.8661</v>
      </c>
      <c r="BW75" s="32">
        <f t="shared" si="44"/>
        <v>9746.72476</v>
      </c>
      <c r="BX75" s="32">
        <f>IF(AS75&gt;0,-MIN(MAX(0,21550-MAX(0,MAX(0,(AM75-AP75-BE75-BO75-BQ75)-Assumptions!$B$93))),MAX(0,BY74-Assumptions!$B$91)),IF(BY74&lt;Assumptions!$B$92,MAX(0,(AM75-AP75-BE75-BO75-BQ75)-Assumptions!$B$93)*Assumptions!$B$98,0))</f>
        <v>2103.50336</v>
      </c>
      <c r="BY75" s="32">
        <f t="shared" si="14"/>
        <v>11850.22812</v>
      </c>
      <c r="BZ75" s="32">
        <f t="shared" si="45"/>
        <v>5759</v>
      </c>
      <c r="CA75" s="32">
        <f t="shared" si="15"/>
        <v>5759</v>
      </c>
      <c r="CB75" s="32">
        <f t="shared" si="16"/>
        <v>11518</v>
      </c>
      <c r="CC75" s="55">
        <f>CC74+(G75+J75)/(Salary_Schedule!E75*12/208)</f>
        <v>1779.328168</v>
      </c>
      <c r="CD75" s="55">
        <f>CD74+(O75+R75)/(Salary_Schedule!G75*12/208)</f>
        <v>106.4744577</v>
      </c>
      <c r="CE75" s="32">
        <f t="shared" si="17"/>
        <v>638606.8661</v>
      </c>
      <c r="CF75" s="32">
        <f>Assumptions!$B$55*(1+Assumptions!$B$56)^((B75-2025)+(A75-1)/12)</f>
        <v>577835.8413</v>
      </c>
      <c r="CG75" s="32">
        <f t="shared" si="18"/>
        <v>-171789.1793</v>
      </c>
      <c r="CH75" s="32">
        <f t="shared" si="19"/>
        <v>-19832.84</v>
      </c>
      <c r="CI75" s="32">
        <f>CC75*(Salary_Schedule!E75/173.33)*(1-Assumptions!$B$28)+CD75*(Salary_Schedule!G75/173.33)*(1-Assumptions!$B$28)</f>
        <v>68910.9867</v>
      </c>
      <c r="CJ75" s="32">
        <f t="shared" si="20"/>
        <v>1093731.675</v>
      </c>
    </row>
    <row r="76" ht="15.0" customHeight="1">
      <c r="A76" s="1">
        <v>3.0</v>
      </c>
      <c r="B76" s="1">
        <v>2032.0</v>
      </c>
      <c r="C76" s="1" t="s">
        <v>745</v>
      </c>
      <c r="D76" s="1" t="str">
        <f t="shared" si="21"/>
        <v>02/2032</v>
      </c>
      <c r="E76" s="1" t="str">
        <f t="shared" si="2"/>
        <v>LEAN</v>
      </c>
      <c r="F76" s="32">
        <f>Salary_Schedule!E76</f>
        <v>9871.7</v>
      </c>
      <c r="G76" s="32">
        <f>Assumptions!$B$8</f>
        <v>200</v>
      </c>
      <c r="H76" s="32">
        <f>F76*Assumptions!$B$58</f>
        <v>987.17</v>
      </c>
      <c r="I76" s="32">
        <f>Salary_Schedule!F76</f>
        <v>0</v>
      </c>
      <c r="J76" s="32">
        <f>I76*Assumptions!$B$9</f>
        <v>0</v>
      </c>
      <c r="K76" s="54">
        <f t="shared" si="3"/>
        <v>8684.53</v>
      </c>
      <c r="L76" s="32">
        <f>IF(COUNTIFS(SL_Income_Log!$B:$B,TEXT(B76,"0000")&amp;"-"&amp;TEXT(A76,"00"),SL_Income_Log!$C:$C,"salary",SL_Income_Log!$E:$E,"H")&gt;0,SUMIFS(SL_Income_Log!$D:$D,SL_Income_Log!$B:$B,TEXT(B76,"0000")&amp;"-"&amp;TEXT(A76,"00"),SL_Income_Log!$C:$C,"salary",SL_Income_Log!$E:$E,"H"),K76*(1-Assumptions!$B$102)-Z76-Y76)</f>
        <v>4905.048</v>
      </c>
      <c r="M76" s="32">
        <f>RSU_Schedule!H75</f>
        <v>0</v>
      </c>
      <c r="N76" s="32">
        <f>Salary_Schedule!G76</f>
        <v>7616.06</v>
      </c>
      <c r="O76" s="32">
        <f>Assumptions!$B$19</f>
        <v>200</v>
      </c>
      <c r="P76" s="32">
        <f>N76*Assumptions!$B$59</f>
        <v>761.606</v>
      </c>
      <c r="Q76" s="32">
        <f>Salary_Schedule!H76</f>
        <v>0</v>
      </c>
      <c r="R76" s="32">
        <f>Q76*Assumptions!$B$20</f>
        <v>0</v>
      </c>
      <c r="S76" s="54">
        <f t="shared" si="4"/>
        <v>6654.454</v>
      </c>
      <c r="T76" s="32">
        <f>IF(COUNTIFS(SL_Income_Log!$B:$B,TEXT(B76,"0000")&amp;"-"&amp;TEXT(A76,"00"),SL_Income_Log!$C:$C,"salary",SL_Income_Log!$E:$E,"W")&gt;0,SUMIFS(SL_Income_Log!$D:$D,SL_Income_Log!$B:$B,TEXT(B76,"0000")&amp;"-"&amp;TEXT(A76,"00"),SL_Income_Log!$C:$C,"salary",SL_Income_Log!$E:$E,"W"),S76*(1-Assumptions!$B$102)-AC76-AB76)
</f>
        <v>3687.0024</v>
      </c>
      <c r="U76" s="32">
        <f>RSU_Schedule!M75</f>
        <v>0</v>
      </c>
      <c r="V76" s="32">
        <f>H76*(1+Assumptions!$B$60)+Assumptions!$B$61</f>
        <v>1402.038</v>
      </c>
      <c r="W76" s="32">
        <f>P76*(1+Assumptions!$B$60)+Assumptions!$B$61</f>
        <v>1086.2484</v>
      </c>
      <c r="X76" s="32">
        <f t="shared" si="5"/>
        <v>2488.2864</v>
      </c>
      <c r="Y76" s="32">
        <f t="shared" si="22"/>
        <v>14</v>
      </c>
      <c r="Z76" s="32">
        <v>291.67</v>
      </c>
      <c r="AA76" s="32">
        <f t="shared" si="23"/>
        <v>4374.75</v>
      </c>
      <c r="AB76" s="32">
        <f t="shared" si="24"/>
        <v>14</v>
      </c>
      <c r="AC76" s="32">
        <v>291.67</v>
      </c>
      <c r="AD76" s="32">
        <f t="shared" si="25"/>
        <v>4374.75</v>
      </c>
      <c r="AE76" s="32">
        <f t="shared" ref="AE76:AF76" si="117">Z76+AC76</f>
        <v>583.34</v>
      </c>
      <c r="AF76" s="32">
        <f t="shared" si="117"/>
        <v>8749.5</v>
      </c>
      <c r="AG76" s="32">
        <f>IF(COUNTIFS(SL_Income_Log!$B:$B,TEXT(B76,"0000")&amp;"-"&amp;TEXT(A76,"00"),SL_Income_Log!$C:$C,"youtube")&gt;0,SUMIFS(SL_Income_Log!$D:$D,SL_Income_Log!$B:$B,TEXT(B76,"0000")&amp;"-"&amp;TEXT(A76,"00"),SL_Income_Log!$C:$C,"youtube"),MIN(Assumptions!$B$49+FLOOR((ROW()-2)/6,1)*Assumptions!$B$50,Assumptions!$B$51))
</f>
        <v>13000</v>
      </c>
      <c r="AH76" s="32">
        <f>AG76*Assumptions!$B$104</f>
        <v>5759</v>
      </c>
      <c r="AI76" s="32">
        <f t="shared" si="7"/>
        <v>7241</v>
      </c>
      <c r="AJ76" s="32">
        <f>SUMIFS(SL_Income_Log!$D:$D,SL_Income_Log!$B:$B,TEXT(B76,"0000")&amp;"-"&amp;TEXT(A76,"00"),SL_Income_Log!$C:$C,"other")</f>
        <v>0</v>
      </c>
      <c r="AK76" s="32">
        <f t="shared" si="27"/>
        <v>10000</v>
      </c>
      <c r="AL76" s="32">
        <f>L76+M76+T76+U76+AI76+AJ76-Y76-Z76-AB76-AC76+IF((Debt_Register!$C$2+Debt_Register!$C$6+Debt_Register!$C$7+Debt_Register!$C$8+Debt_Register!$C$9)&gt;5,X76,0)</f>
        <v>17709.9968</v>
      </c>
      <c r="AM76" s="32">
        <f t="shared" si="8"/>
        <v>27709.9968</v>
      </c>
      <c r="AN76" s="32">
        <f>MAX(Assumptions!$B$94,MIN(Assumptions!$B$93,AM76-AP76-BE76-BO76-BQ76))</f>
        <v>10000</v>
      </c>
      <c r="AO76" s="32">
        <f t="shared" si="28"/>
        <v>171789.1793</v>
      </c>
      <c r="AP76" s="32">
        <f>IF(AO76&gt;0,Assumptions!$B$33,0)</f>
        <v>2281</v>
      </c>
      <c r="AQ76" s="32">
        <f>AO76*Assumptions!$B$32/12</f>
        <v>556.8832563</v>
      </c>
      <c r="AR76" s="32">
        <f t="shared" si="9"/>
        <v>1724.116744</v>
      </c>
      <c r="AS76" s="32">
        <f t="shared" si="29"/>
        <v>0</v>
      </c>
      <c r="AT76" s="32">
        <f t="shared" si="10"/>
        <v>170065.0626</v>
      </c>
      <c r="AU76" s="32">
        <f t="shared" si="30"/>
        <v>0</v>
      </c>
      <c r="AV76" s="32">
        <f t="shared" si="31"/>
        <v>0</v>
      </c>
      <c r="AW76" s="32">
        <f t="shared" si="32"/>
        <v>0</v>
      </c>
      <c r="AX76" s="32">
        <f t="shared" si="33"/>
        <v>0</v>
      </c>
      <c r="AY76" s="32">
        <f t="shared" si="34"/>
        <v>0</v>
      </c>
      <c r="AZ76" s="32">
        <f t="shared" si="35"/>
        <v>0</v>
      </c>
      <c r="BA76" s="32">
        <f t="shared" si="36"/>
        <v>0</v>
      </c>
      <c r="BB76" s="32">
        <f t="shared" si="37"/>
        <v>0</v>
      </c>
      <c r="BC76" s="32">
        <f t="shared" si="38"/>
        <v>0</v>
      </c>
      <c r="BD76" s="32">
        <f t="shared" si="39"/>
        <v>0</v>
      </c>
      <c r="BE76" s="32">
        <f t="shared" si="11"/>
        <v>0</v>
      </c>
      <c r="BF76" s="32">
        <v>0.0</v>
      </c>
      <c r="BG76" s="32">
        <f t="shared" si="40"/>
        <v>5500</v>
      </c>
      <c r="BH76" s="32">
        <v>0.0</v>
      </c>
      <c r="BI76" s="32">
        <f t="shared" si="41"/>
        <v>5000</v>
      </c>
      <c r="BJ76" s="32">
        <f>IF(OR(B76&lt;Assumptions!$B$111,AND(B76=Assumptions!$B$111,A76&lt;=Assumptions!$B$112)),Assumptions!$B$110,0)</f>
        <v>0</v>
      </c>
      <c r="BK76" s="32">
        <f>IF(B76&lt;2027,Assumptions!$B$116+IF(OR(A76=4,A76=10),Assumptions!$B$117,0),IF(AND(B76=2027,A76&lt;=4),IF(A76=4,MIN(950,Assumptions!$B$116+Assumptions!$B$117),Assumptions!$B$116),0))</f>
        <v>0</v>
      </c>
      <c r="BL76" s="32">
        <f>IF(OR(B76&lt;2030,AND(B76=2030,A76&lt;8)),Assumptions!$B$118,IF(AND(B76=2030,A76=8),MOD(11000,200),0))</f>
        <v>0</v>
      </c>
      <c r="BM76" s="32">
        <f>IF(OR(B76&lt;Assumptions!$B$120,AND(B76=Assumptions!$B$120,A76&lt;=Assumptions!$B$121)),Assumptions!$B$119,0)</f>
        <v>0</v>
      </c>
      <c r="BN76" s="32">
        <f>IF(AND(B76&lt;=Assumptions!$B$123,A76&lt;=Assumptions!$B$124),Assumptions!$B$122,0)</f>
        <v>0</v>
      </c>
      <c r="BO76" s="32">
        <f t="shared" si="12"/>
        <v>0</v>
      </c>
      <c r="BP76" s="32">
        <f>SUMIFS(SL_Budget!$B:$B,SL_Budget!$C:$C,"'"&amp;TEXT(DATE(B76,A76,1),"YYYY-MM"))</f>
        <v>4908</v>
      </c>
      <c r="BQ76" s="32">
        <f>MAX(BP76, IFERROR(SUMIFS(ShadowLedger!D:D, 
  ShadowLedger!C:C, "&gt;="&amp;DATE(B76,A76,1), 
  ShadowLedger!C:C, "&lt;"&amp;EOMONTH(DATE(B76,A76,1),0)+1), 0))
</f>
        <v>4908</v>
      </c>
      <c r="BR76" s="32">
        <f t="shared" si="42"/>
        <v>638606.8661</v>
      </c>
      <c r="BS76" s="32">
        <f t="shared" si="43"/>
        <v>2488.2864</v>
      </c>
      <c r="BT76" s="32">
        <f>IF(AS76&gt;0,-MAX(0,21550-MAX(0,MAX(0,(AM76-AP76-BE76-BO76-BQ76)-Assumptions!$B$93))-MIN(MAX(0,21550-MAX(0,MAX(0,(AM76-AP76-BE76-BO76-BQ76)-Assumptions!$B$93))),MAX(0,BY75-Assumptions!$B$91))),IF(BY75&gt;=Assumptions!$B$92,MAX(0,(AM76-AP76-BE76-BO76-BQ76)-Assumptions!$B$93),MAX(0,(AM76-AP76-BE76-BO76-BQ76)-Assumptions!$B$93)*Assumptions!$B$99))</f>
        <v>8416.79744</v>
      </c>
      <c r="BU76" s="32">
        <f>(BR76+BS76+MAX(0,BT76))*(Assumptions!$B$43-1)</f>
        <v>4428.372475</v>
      </c>
      <c r="BV76" s="32">
        <f t="shared" si="13"/>
        <v>653940.3224</v>
      </c>
      <c r="BW76" s="32">
        <f t="shared" si="44"/>
        <v>11850.22812</v>
      </c>
      <c r="BX76" s="32">
        <f>IF(AS76&gt;0,-MIN(MAX(0,21550-MAX(0,MAX(0,(AM76-AP76-BE76-BO76-BQ76)-Assumptions!$B$93))),MAX(0,BY75-Assumptions!$B$91)),IF(BY75&lt;Assumptions!$B$92,MAX(0,(AM76-AP76-BE76-BO76-BQ76)-Assumptions!$B$93)*Assumptions!$B$98,0))</f>
        <v>2104.19936</v>
      </c>
      <c r="BY76" s="32">
        <f t="shared" si="14"/>
        <v>13954.42748</v>
      </c>
      <c r="BZ76" s="32">
        <f t="shared" si="45"/>
        <v>11518</v>
      </c>
      <c r="CA76" s="32">
        <f t="shared" si="15"/>
        <v>5759</v>
      </c>
      <c r="CB76" s="32">
        <f t="shared" si="16"/>
        <v>17277</v>
      </c>
      <c r="CC76" s="55">
        <f>CC75+(G76+J76)/(Salary_Schedule!E76*12/208)</f>
        <v>1779.67934</v>
      </c>
      <c r="CD76" s="55">
        <f>CD75+(O76+R76)/(Salary_Schedule!G76*12/208)</f>
        <v>106.9296362</v>
      </c>
      <c r="CE76" s="32">
        <f t="shared" si="17"/>
        <v>653940.3224</v>
      </c>
      <c r="CF76" s="32">
        <f>Assumptions!$B$55*(1+Assumptions!$B$56)^((B76-2025)+(A76-1)/12)</f>
        <v>578553.2174</v>
      </c>
      <c r="CG76" s="32">
        <f t="shared" si="18"/>
        <v>-170065.0626</v>
      </c>
      <c r="CH76" s="32">
        <f t="shared" si="19"/>
        <v>-19249.5</v>
      </c>
      <c r="CI76" s="32">
        <f>CC76*(Salary_Schedule!E76/173.33)*(1-Assumptions!$B$28)+CD76*(Salary_Schedule!G76/173.33)*(1-Assumptions!$B$28)</f>
        <v>68936.9872</v>
      </c>
      <c r="CJ76" s="32">
        <f t="shared" si="20"/>
        <v>1112115.964</v>
      </c>
    </row>
    <row r="77" ht="15.0" customHeight="1">
      <c r="A77" s="1">
        <v>4.0</v>
      </c>
      <c r="B77" s="1">
        <v>2032.0</v>
      </c>
      <c r="C77" s="1" t="s">
        <v>746</v>
      </c>
      <c r="D77" s="1" t="str">
        <f t="shared" si="21"/>
        <v>03/2032</v>
      </c>
      <c r="E77" s="1" t="str">
        <f t="shared" si="2"/>
        <v>FAT_BONUS</v>
      </c>
      <c r="F77" s="32">
        <f>Salary_Schedule!E77</f>
        <v>9871.7</v>
      </c>
      <c r="G77" s="32">
        <f>Assumptions!$B$8</f>
        <v>200</v>
      </c>
      <c r="H77" s="32">
        <f>F77*Assumptions!$B$58</f>
        <v>987.17</v>
      </c>
      <c r="I77" s="32">
        <f>Salary_Schedule!F77</f>
        <v>13161.08</v>
      </c>
      <c r="J77" s="32">
        <f>I77*Assumptions!$B$9</f>
        <v>4606.378</v>
      </c>
      <c r="K77" s="54">
        <f t="shared" si="3"/>
        <v>17239.232</v>
      </c>
      <c r="L77" s="32">
        <f>IF(COUNTIFS(SL_Income_Log!$B:$B,TEXT(B77,"0000")&amp;"-"&amp;TEXT(A77,"00"),SL_Income_Log!$C:$C,"salary",SL_Income_Log!$E:$E,"H")&gt;0,SUMIFS(SL_Income_Log!$D:$D,SL_Income_Log!$B:$B,TEXT(B77,"0000")&amp;"-"&amp;TEXT(A77,"00"),SL_Income_Log!$C:$C,"salary",SL_Income_Log!$E:$E,"H"),K77*(1-Assumptions!$B$102)-Z77-Y77)</f>
        <v>10038.7492</v>
      </c>
      <c r="M77" s="32">
        <f>RSU_Schedule!H76</f>
        <v>2784.99</v>
      </c>
      <c r="N77" s="32">
        <f>Salary_Schedule!G77</f>
        <v>7616.06</v>
      </c>
      <c r="O77" s="32">
        <f>Assumptions!$B$19</f>
        <v>200</v>
      </c>
      <c r="P77" s="32">
        <f>N77*Assumptions!$B$59</f>
        <v>761.606</v>
      </c>
      <c r="Q77" s="32">
        <f>Salary_Schedule!H77</f>
        <v>10154.88</v>
      </c>
      <c r="R77" s="32">
        <f>Q77*Assumptions!$B$20</f>
        <v>3554.208</v>
      </c>
      <c r="S77" s="54">
        <f t="shared" si="4"/>
        <v>13255.126</v>
      </c>
      <c r="T77" s="32">
        <f>IF(COUNTIFS(SL_Income_Log!$B:$B,TEXT(B77,"0000")&amp;"-"&amp;TEXT(A77,"00"),SL_Income_Log!$C:$C,"salary",SL_Income_Log!$E:$E,"W")&gt;0,SUMIFS(SL_Income_Log!$D:$D,SL_Income_Log!$B:$B,TEXT(B77,"0000")&amp;"-"&amp;TEXT(A77,"00"),SL_Income_Log!$C:$C,"salary",SL_Income_Log!$E:$E,"W"),S77*(1-Assumptions!$B$102)-AC77-AB77)
</f>
        <v>7648.2856</v>
      </c>
      <c r="U77" s="32">
        <f>RSU_Schedule!M76</f>
        <v>1392.51</v>
      </c>
      <c r="V77" s="32">
        <f>H77*(1+Assumptions!$B$60)+Assumptions!$B$61</f>
        <v>1402.038</v>
      </c>
      <c r="W77" s="32">
        <f>P77*(1+Assumptions!$B$60)+Assumptions!$B$61</f>
        <v>1086.2484</v>
      </c>
      <c r="X77" s="32">
        <f t="shared" si="5"/>
        <v>2488.2864</v>
      </c>
      <c r="Y77" s="32">
        <f t="shared" si="22"/>
        <v>13.12</v>
      </c>
      <c r="Z77" s="32">
        <v>291.67</v>
      </c>
      <c r="AA77" s="32">
        <f t="shared" si="23"/>
        <v>4083.08</v>
      </c>
      <c r="AB77" s="32">
        <f t="shared" si="24"/>
        <v>13.12</v>
      </c>
      <c r="AC77" s="32">
        <v>291.67</v>
      </c>
      <c r="AD77" s="32">
        <f t="shared" si="25"/>
        <v>4083.08</v>
      </c>
      <c r="AE77" s="32">
        <f t="shared" ref="AE77:AF77" si="118">Z77+AC77</f>
        <v>583.34</v>
      </c>
      <c r="AF77" s="32">
        <f t="shared" si="118"/>
        <v>8166.16</v>
      </c>
      <c r="AG77" s="32">
        <f>IF(COUNTIFS(SL_Income_Log!$B:$B,TEXT(B77,"0000")&amp;"-"&amp;TEXT(A77,"00"),SL_Income_Log!$C:$C,"youtube")&gt;0,SUMIFS(SL_Income_Log!$D:$D,SL_Income_Log!$B:$B,TEXT(B77,"0000")&amp;"-"&amp;TEXT(A77,"00"),SL_Income_Log!$C:$C,"youtube"),MIN(Assumptions!$B$49+FLOOR((ROW()-2)/6,1)*Assumptions!$B$50,Assumptions!$B$51))
</f>
        <v>13000</v>
      </c>
      <c r="AH77" s="32">
        <f>AG77*Assumptions!$B$104</f>
        <v>5759</v>
      </c>
      <c r="AI77" s="32">
        <f t="shared" si="7"/>
        <v>7241</v>
      </c>
      <c r="AJ77" s="32">
        <f>SUMIFS(SL_Income_Log!$D:$D,SL_Income_Log!$B:$B,TEXT(B77,"0000")&amp;"-"&amp;TEXT(A77,"00"),SL_Income_Log!$C:$C,"other")</f>
        <v>0</v>
      </c>
      <c r="AK77" s="32">
        <f t="shared" si="27"/>
        <v>10000</v>
      </c>
      <c r="AL77" s="32">
        <f>L77+M77+T77+U77+AI77+AJ77-Y77-Z77-AB77-AC77+IF((Debt_Register!$C$2+Debt_Register!$C$6+Debt_Register!$C$7+Debt_Register!$C$8+Debt_Register!$C$9)&gt;5,X77,0)</f>
        <v>30984.2412</v>
      </c>
      <c r="AM77" s="32">
        <f t="shared" si="8"/>
        <v>40984.2412</v>
      </c>
      <c r="AN77" s="32">
        <f>MAX(Assumptions!$B$94,MIN(Assumptions!$B$93,AM77-AP77-BE77-BO77-BQ77))</f>
        <v>10000</v>
      </c>
      <c r="AO77" s="32">
        <f t="shared" si="28"/>
        <v>170065.0626</v>
      </c>
      <c r="AP77" s="32">
        <f>IF(AO77&gt;0,Assumptions!$B$33,0)</f>
        <v>2281</v>
      </c>
      <c r="AQ77" s="32">
        <f>AO77*Assumptions!$B$32/12</f>
        <v>551.2942445</v>
      </c>
      <c r="AR77" s="32">
        <f t="shared" si="9"/>
        <v>1729.705755</v>
      </c>
      <c r="AS77" s="32">
        <f t="shared" si="29"/>
        <v>0</v>
      </c>
      <c r="AT77" s="32">
        <f t="shared" si="10"/>
        <v>168335.3568</v>
      </c>
      <c r="AU77" s="32">
        <f t="shared" si="30"/>
        <v>0</v>
      </c>
      <c r="AV77" s="32">
        <f t="shared" si="31"/>
        <v>0</v>
      </c>
      <c r="AW77" s="32">
        <f t="shared" si="32"/>
        <v>0</v>
      </c>
      <c r="AX77" s="32">
        <f t="shared" si="33"/>
        <v>0</v>
      </c>
      <c r="AY77" s="32">
        <f t="shared" si="34"/>
        <v>0</v>
      </c>
      <c r="AZ77" s="32">
        <f t="shared" si="35"/>
        <v>0</v>
      </c>
      <c r="BA77" s="32">
        <f t="shared" si="36"/>
        <v>0</v>
      </c>
      <c r="BB77" s="32">
        <f t="shared" si="37"/>
        <v>0</v>
      </c>
      <c r="BC77" s="32">
        <f t="shared" si="38"/>
        <v>0</v>
      </c>
      <c r="BD77" s="32">
        <f t="shared" si="39"/>
        <v>0</v>
      </c>
      <c r="BE77" s="32">
        <f t="shared" si="11"/>
        <v>0</v>
      </c>
      <c r="BF77" s="32">
        <v>0.0</v>
      </c>
      <c r="BG77" s="32">
        <f t="shared" si="40"/>
        <v>5500</v>
      </c>
      <c r="BH77" s="32">
        <v>0.0</v>
      </c>
      <c r="BI77" s="32">
        <f t="shared" si="41"/>
        <v>5000</v>
      </c>
      <c r="BJ77" s="32">
        <f>IF(OR(B77&lt;Assumptions!$B$111,AND(B77=Assumptions!$B$111,A77&lt;=Assumptions!$B$112)),Assumptions!$B$110,0)</f>
        <v>0</v>
      </c>
      <c r="BK77" s="32">
        <f>IF(B77&lt;2027,Assumptions!$B$116+IF(OR(A77=4,A77=10),Assumptions!$B$117,0),IF(AND(B77=2027,A77&lt;=4),IF(A77=4,MIN(950,Assumptions!$B$116+Assumptions!$B$117),Assumptions!$B$116),0))</f>
        <v>0</v>
      </c>
      <c r="BL77" s="32">
        <f>IF(OR(B77&lt;2030,AND(B77=2030,A77&lt;8)),Assumptions!$B$118,IF(AND(B77=2030,A77=8),MOD(11000,200),0))</f>
        <v>0</v>
      </c>
      <c r="BM77" s="32">
        <f>IF(OR(B77&lt;Assumptions!$B$120,AND(B77=Assumptions!$B$120,A77&lt;=Assumptions!$B$121)),Assumptions!$B$119,0)</f>
        <v>0</v>
      </c>
      <c r="BN77" s="32">
        <f>IF(AND(B77&lt;=Assumptions!$B$123,A77&lt;=Assumptions!$B$124),Assumptions!$B$122,0)</f>
        <v>0</v>
      </c>
      <c r="BO77" s="32">
        <f t="shared" si="12"/>
        <v>0</v>
      </c>
      <c r="BP77" s="32">
        <f>SUMIFS(SL_Budget!$B:$B,SL_Budget!$C:$C,"'"&amp;TEXT(DATE(B77,A77,1),"YYYY-MM"))</f>
        <v>4908</v>
      </c>
      <c r="BQ77" s="32">
        <f>MAX(BP77, IFERROR(SUMIFS(ShadowLedger!D:D, 
  ShadowLedger!C:C, "&gt;="&amp;DATE(B77,A77,1), 
  ShadowLedger!C:C, "&lt;"&amp;EOMONTH(DATE(B77,A77,1),0)+1), 0))
</f>
        <v>4908</v>
      </c>
      <c r="BR77" s="32">
        <f t="shared" si="42"/>
        <v>653940.3224</v>
      </c>
      <c r="BS77" s="32">
        <f t="shared" si="43"/>
        <v>2488.2864</v>
      </c>
      <c r="BT77" s="32">
        <f>IF(AS77&gt;0,-MAX(0,21550-MAX(0,MAX(0,(AM77-AP77-BE77-BO77-BQ77)-Assumptions!$B$93))-MIN(MAX(0,21550-MAX(0,MAX(0,(AM77-AP77-BE77-BO77-BQ77)-Assumptions!$B$93))),MAX(0,BY76-Assumptions!$B$91))),IF(BY76&gt;=Assumptions!$B$92,MAX(0,(AM77-AP77-BE77-BO77-BQ77)-Assumptions!$B$93),MAX(0,(AM77-AP77-BE77-BO77-BQ77)-Assumptions!$B$93)*Assumptions!$B$99))</f>
        <v>19036.19296</v>
      </c>
      <c r="BU77" s="32">
        <f>(BR77+BS77+MAX(0,BT77))*(Assumptions!$B$43-1)</f>
        <v>4605.319019</v>
      </c>
      <c r="BV77" s="32">
        <f t="shared" si="13"/>
        <v>680070.1208</v>
      </c>
      <c r="BW77" s="32">
        <f t="shared" si="44"/>
        <v>13954.42748</v>
      </c>
      <c r="BX77" s="32">
        <f>IF(AS77&gt;0,-MIN(MAX(0,21550-MAX(0,MAX(0,(AM77-AP77-BE77-BO77-BQ77)-Assumptions!$B$93))),MAX(0,BY76-Assumptions!$B$91)),IF(BY76&lt;Assumptions!$B$92,MAX(0,(AM77-AP77-BE77-BO77-BQ77)-Assumptions!$B$93)*Assumptions!$B$98,0))</f>
        <v>4759.04824</v>
      </c>
      <c r="BY77" s="32">
        <f t="shared" si="14"/>
        <v>18713.47572</v>
      </c>
      <c r="BZ77" s="32">
        <f t="shared" si="45"/>
        <v>17277</v>
      </c>
      <c r="CA77" s="32">
        <f t="shared" si="15"/>
        <v>5759</v>
      </c>
      <c r="CB77" s="32">
        <f t="shared" si="16"/>
        <v>23036</v>
      </c>
      <c r="CC77" s="55">
        <f>CC76+(G77+J77)/(Salary_Schedule!E77*12/208)</f>
        <v>1788.118672</v>
      </c>
      <c r="CD77" s="55">
        <f>CD76+(O77+R77)/(Salary_Schedule!G77*12/208)</f>
        <v>115.4738098</v>
      </c>
      <c r="CE77" s="32">
        <f t="shared" si="17"/>
        <v>680070.1208</v>
      </c>
      <c r="CF77" s="32">
        <f>Assumptions!$B$55*(1+Assumptions!$B$56)^((B77-2025)+(A77-1)/12)</f>
        <v>579271.4841</v>
      </c>
      <c r="CG77" s="32">
        <f t="shared" si="18"/>
        <v>-168335.3568</v>
      </c>
      <c r="CH77" s="32">
        <f t="shared" si="19"/>
        <v>-18666.16</v>
      </c>
      <c r="CI77" s="32">
        <f>CC77*(Salary_Schedule!E77/173.33)*(1-Assumptions!$B$28)+CD77*(Salary_Schedule!G77/173.33)*(1-Assumptions!$B$28)</f>
        <v>69493.43599</v>
      </c>
      <c r="CJ77" s="32">
        <f t="shared" si="20"/>
        <v>1141833.524</v>
      </c>
    </row>
    <row r="78" ht="15.0" customHeight="1">
      <c r="A78" s="1">
        <v>5.0</v>
      </c>
      <c r="B78" s="1">
        <v>2032.0</v>
      </c>
      <c r="C78" s="1" t="s">
        <v>747</v>
      </c>
      <c r="D78" s="1" t="str">
        <f t="shared" si="21"/>
        <v>04/2032</v>
      </c>
      <c r="E78" s="1" t="str">
        <f t="shared" si="2"/>
        <v>LEAN</v>
      </c>
      <c r="F78" s="32">
        <f>Salary_Schedule!E78</f>
        <v>9871.7</v>
      </c>
      <c r="G78" s="32">
        <f>Assumptions!$B$8</f>
        <v>200</v>
      </c>
      <c r="H78" s="32">
        <f>F78*Assumptions!$B$58</f>
        <v>987.17</v>
      </c>
      <c r="I78" s="32">
        <f>Salary_Schedule!F78</f>
        <v>0</v>
      </c>
      <c r="J78" s="32">
        <f>I78*Assumptions!$B$9</f>
        <v>0</v>
      </c>
      <c r="K78" s="54">
        <f t="shared" si="3"/>
        <v>8684.53</v>
      </c>
      <c r="L78" s="32">
        <f>IF(COUNTIFS(SL_Income_Log!$B:$B,TEXT(B78,"0000")&amp;"-"&amp;TEXT(A78,"00"),SL_Income_Log!$C:$C,"salary",SL_Income_Log!$E:$E,"H")&gt;0,SUMIFS(SL_Income_Log!$D:$D,SL_Income_Log!$B:$B,TEXT(B78,"0000")&amp;"-"&amp;TEXT(A78,"00"),SL_Income_Log!$C:$C,"salary",SL_Income_Log!$E:$E,"H"),K78*(1-Assumptions!$B$102)-Z78-Y78)</f>
        <v>4906.798</v>
      </c>
      <c r="M78" s="32">
        <f>RSU_Schedule!H77</f>
        <v>0</v>
      </c>
      <c r="N78" s="32">
        <f>Salary_Schedule!G78</f>
        <v>7616.06</v>
      </c>
      <c r="O78" s="32">
        <f>Assumptions!$B$19</f>
        <v>200</v>
      </c>
      <c r="P78" s="32">
        <f>N78*Assumptions!$B$59</f>
        <v>761.606</v>
      </c>
      <c r="Q78" s="32">
        <f>Salary_Schedule!H78</f>
        <v>0</v>
      </c>
      <c r="R78" s="32">
        <f>Q78*Assumptions!$B$20</f>
        <v>0</v>
      </c>
      <c r="S78" s="54">
        <f t="shared" si="4"/>
        <v>6654.454</v>
      </c>
      <c r="T78" s="32">
        <f>IF(COUNTIFS(SL_Income_Log!$B:$B,TEXT(B78,"0000")&amp;"-"&amp;TEXT(A78,"00"),SL_Income_Log!$C:$C,"salary",SL_Income_Log!$E:$E,"W")&gt;0,SUMIFS(SL_Income_Log!$D:$D,SL_Income_Log!$B:$B,TEXT(B78,"0000")&amp;"-"&amp;TEXT(A78,"00"),SL_Income_Log!$C:$C,"salary",SL_Income_Log!$E:$E,"W"),S78*(1-Assumptions!$B$102)-AC78-AB78)
</f>
        <v>3688.7524</v>
      </c>
      <c r="U78" s="32">
        <f>RSU_Schedule!M77</f>
        <v>0</v>
      </c>
      <c r="V78" s="32">
        <f>H78*(1+Assumptions!$B$60)+Assumptions!$B$61</f>
        <v>1402.038</v>
      </c>
      <c r="W78" s="32">
        <f>P78*(1+Assumptions!$B$60)+Assumptions!$B$61</f>
        <v>1086.2484</v>
      </c>
      <c r="X78" s="32">
        <f t="shared" si="5"/>
        <v>2488.2864</v>
      </c>
      <c r="Y78" s="32">
        <f t="shared" si="22"/>
        <v>12.25</v>
      </c>
      <c r="Z78" s="32">
        <v>291.67</v>
      </c>
      <c r="AA78" s="32">
        <f t="shared" si="23"/>
        <v>3791.41</v>
      </c>
      <c r="AB78" s="32">
        <f t="shared" si="24"/>
        <v>12.25</v>
      </c>
      <c r="AC78" s="32">
        <v>291.67</v>
      </c>
      <c r="AD78" s="32">
        <f t="shared" si="25"/>
        <v>3791.41</v>
      </c>
      <c r="AE78" s="32">
        <f t="shared" ref="AE78:AF78" si="119">Z78+AC78</f>
        <v>583.34</v>
      </c>
      <c r="AF78" s="32">
        <f t="shared" si="119"/>
        <v>7582.82</v>
      </c>
      <c r="AG78" s="32">
        <f>IF(COUNTIFS(SL_Income_Log!$B:$B,TEXT(B78,"0000")&amp;"-"&amp;TEXT(A78,"00"),SL_Income_Log!$C:$C,"youtube")&gt;0,SUMIFS(SL_Income_Log!$D:$D,SL_Income_Log!$B:$B,TEXT(B78,"0000")&amp;"-"&amp;TEXT(A78,"00"),SL_Income_Log!$C:$C,"youtube"),MIN(Assumptions!$B$49+FLOOR((ROW()-2)/6,1)*Assumptions!$B$50,Assumptions!$B$51))
</f>
        <v>13000</v>
      </c>
      <c r="AH78" s="32">
        <f>AG78*Assumptions!$B$104</f>
        <v>5759</v>
      </c>
      <c r="AI78" s="32">
        <f t="shared" si="7"/>
        <v>7241</v>
      </c>
      <c r="AJ78" s="32">
        <f>SUMIFS(SL_Income_Log!$D:$D,SL_Income_Log!$B:$B,TEXT(B78,"0000")&amp;"-"&amp;TEXT(A78,"00"),SL_Income_Log!$C:$C,"other")</f>
        <v>0</v>
      </c>
      <c r="AK78" s="32">
        <f t="shared" si="27"/>
        <v>10000</v>
      </c>
      <c r="AL78" s="32">
        <f>L78+M78+T78+U78+AI78+AJ78-Y78-Z78-AB78-AC78+IF((Debt_Register!$C$2+Debt_Register!$C$6+Debt_Register!$C$7+Debt_Register!$C$8+Debt_Register!$C$9)&gt;5,X78,0)</f>
        <v>17716.9968</v>
      </c>
      <c r="AM78" s="32">
        <f t="shared" si="8"/>
        <v>27716.9968</v>
      </c>
      <c r="AN78" s="32">
        <f>MAX(Assumptions!$B$94,MIN(Assumptions!$B$93,AM78-AP78-BE78-BO78-BQ78))</f>
        <v>10000</v>
      </c>
      <c r="AO78" s="32">
        <f t="shared" si="28"/>
        <v>168335.3568</v>
      </c>
      <c r="AP78" s="32">
        <f>IF(AO78&gt;0,Assumptions!$B$33,0)</f>
        <v>2281</v>
      </c>
      <c r="AQ78" s="32">
        <f>AO78*Assumptions!$B$32/12</f>
        <v>545.687115</v>
      </c>
      <c r="AR78" s="32">
        <f t="shared" si="9"/>
        <v>1735.312885</v>
      </c>
      <c r="AS78" s="32">
        <f t="shared" si="29"/>
        <v>0</v>
      </c>
      <c r="AT78" s="32">
        <f t="shared" si="10"/>
        <v>166600.0439</v>
      </c>
      <c r="AU78" s="32">
        <f t="shared" si="30"/>
        <v>0</v>
      </c>
      <c r="AV78" s="32">
        <f t="shared" si="31"/>
        <v>0</v>
      </c>
      <c r="AW78" s="32">
        <f t="shared" si="32"/>
        <v>0</v>
      </c>
      <c r="AX78" s="32">
        <f t="shared" si="33"/>
        <v>0</v>
      </c>
      <c r="AY78" s="32">
        <f t="shared" si="34"/>
        <v>0</v>
      </c>
      <c r="AZ78" s="32">
        <f t="shared" si="35"/>
        <v>0</v>
      </c>
      <c r="BA78" s="32">
        <f t="shared" si="36"/>
        <v>0</v>
      </c>
      <c r="BB78" s="32">
        <f t="shared" si="37"/>
        <v>0</v>
      </c>
      <c r="BC78" s="32">
        <f t="shared" si="38"/>
        <v>0</v>
      </c>
      <c r="BD78" s="32">
        <f t="shared" si="39"/>
        <v>0</v>
      </c>
      <c r="BE78" s="32">
        <f t="shared" si="11"/>
        <v>0</v>
      </c>
      <c r="BF78" s="32">
        <v>0.0</v>
      </c>
      <c r="BG78" s="32">
        <f t="shared" si="40"/>
        <v>5500</v>
      </c>
      <c r="BH78" s="32">
        <v>0.0</v>
      </c>
      <c r="BI78" s="32">
        <f t="shared" si="41"/>
        <v>5000</v>
      </c>
      <c r="BJ78" s="32">
        <f>IF(OR(B78&lt;Assumptions!$B$111,AND(B78=Assumptions!$B$111,A78&lt;=Assumptions!$B$112)),Assumptions!$B$110,0)</f>
        <v>0</v>
      </c>
      <c r="BK78" s="32">
        <f>IF(B78&lt;2027,Assumptions!$B$116+IF(OR(A78=4,A78=10),Assumptions!$B$117,0),IF(AND(B78=2027,A78&lt;=4),IF(A78=4,MIN(950,Assumptions!$B$116+Assumptions!$B$117),Assumptions!$B$116),0))</f>
        <v>0</v>
      </c>
      <c r="BL78" s="32">
        <f>IF(OR(B78&lt;2030,AND(B78=2030,A78&lt;8)),Assumptions!$B$118,IF(AND(B78=2030,A78=8),MOD(11000,200),0))</f>
        <v>0</v>
      </c>
      <c r="BM78" s="32">
        <f>IF(OR(B78&lt;Assumptions!$B$120,AND(B78=Assumptions!$B$120,A78&lt;=Assumptions!$B$121)),Assumptions!$B$119,0)</f>
        <v>0</v>
      </c>
      <c r="BN78" s="32">
        <f>IF(AND(B78&lt;=Assumptions!$B$123,A78&lt;=Assumptions!$B$124),Assumptions!$B$122,0)</f>
        <v>0</v>
      </c>
      <c r="BO78" s="32">
        <f t="shared" si="12"/>
        <v>0</v>
      </c>
      <c r="BP78" s="32">
        <f>SUMIFS(SL_Budget!$B:$B,SL_Budget!$C:$C,"'"&amp;TEXT(DATE(B78,A78,1),"YYYY-MM"))</f>
        <v>4908</v>
      </c>
      <c r="BQ78" s="32">
        <f>MAX(BP78, IFERROR(SUMIFS(ShadowLedger!D:D, 
  ShadowLedger!C:C, "&gt;="&amp;DATE(B78,A78,1), 
  ShadowLedger!C:C, "&lt;"&amp;EOMONTH(DATE(B78,A78,1),0)+1), 0))
</f>
        <v>4908</v>
      </c>
      <c r="BR78" s="32">
        <f t="shared" si="42"/>
        <v>680070.1208</v>
      </c>
      <c r="BS78" s="32">
        <f t="shared" si="43"/>
        <v>2488.2864</v>
      </c>
      <c r="BT78" s="32">
        <f>IF(AS78&gt;0,-MAX(0,21550-MAX(0,MAX(0,(AM78-AP78-BE78-BO78-BQ78)-Assumptions!$B$93))-MIN(MAX(0,21550-MAX(0,MAX(0,(AM78-AP78-BE78-BO78-BQ78)-Assumptions!$B$93))),MAX(0,BY77-Assumptions!$B$91))),IF(BY77&gt;=Assumptions!$B$92,MAX(0,(AM78-AP78-BE78-BO78-BQ78)-Assumptions!$B$93),MAX(0,(AM78-AP78-BE78-BO78-BQ78)-Assumptions!$B$93)*Assumptions!$B$99))</f>
        <v>10527.9968</v>
      </c>
      <c r="BU78" s="32">
        <f>(BR78+BS78+MAX(0,BT78))*(Assumptions!$B$43-1)</f>
        <v>4725.463102</v>
      </c>
      <c r="BV78" s="32">
        <f t="shared" si="13"/>
        <v>697811.8671</v>
      </c>
      <c r="BW78" s="32">
        <f t="shared" si="44"/>
        <v>18713.47572</v>
      </c>
      <c r="BX78" s="32">
        <f>IF(AS78&gt;0,-MIN(MAX(0,21550-MAX(0,MAX(0,(AM78-AP78-BE78-BO78-BQ78)-Assumptions!$B$93))),MAX(0,BY77-Assumptions!$B$91)),IF(BY77&lt;Assumptions!$B$92,MAX(0,(AM78-AP78-BE78-BO78-BQ78)-Assumptions!$B$93)*Assumptions!$B$98,0))</f>
        <v>0</v>
      </c>
      <c r="BY78" s="32">
        <f t="shared" si="14"/>
        <v>18713.47572</v>
      </c>
      <c r="BZ78" s="32">
        <f t="shared" si="45"/>
        <v>23036</v>
      </c>
      <c r="CA78" s="32">
        <f t="shared" si="15"/>
        <v>5759</v>
      </c>
      <c r="CB78" s="32">
        <f t="shared" si="16"/>
        <v>28795</v>
      </c>
      <c r="CC78" s="55">
        <f>CC77+(G78+J78)/(Salary_Schedule!E78*12/208)</f>
        <v>1788.469844</v>
      </c>
      <c r="CD78" s="55">
        <f>CD77+(O78+R78)/(Salary_Schedule!G78*12/208)</f>
        <v>115.9289883</v>
      </c>
      <c r="CE78" s="32">
        <f t="shared" si="17"/>
        <v>697811.8671</v>
      </c>
      <c r="CF78" s="32">
        <f>Assumptions!$B$55*(1+Assumptions!$B$56)^((B78-2025)+(A78-1)/12)</f>
        <v>579990.6425</v>
      </c>
      <c r="CG78" s="32">
        <f t="shared" si="18"/>
        <v>-166600.0439</v>
      </c>
      <c r="CH78" s="32">
        <f t="shared" si="19"/>
        <v>-18082.82</v>
      </c>
      <c r="CI78" s="32">
        <f>CC78*(Salary_Schedule!E78/173.33)*(1-Assumptions!$B$28)+CD78*(Salary_Schedule!G78/173.33)*(1-Assumptions!$B$28)</f>
        <v>69519.43649</v>
      </c>
      <c r="CJ78" s="32">
        <f t="shared" si="20"/>
        <v>1162639.082</v>
      </c>
    </row>
    <row r="79" ht="15.0" customHeight="1">
      <c r="A79" s="1">
        <v>6.0</v>
      </c>
      <c r="B79" s="1">
        <v>2032.0</v>
      </c>
      <c r="C79" s="1" t="s">
        <v>748</v>
      </c>
      <c r="D79" s="1" t="str">
        <f t="shared" si="21"/>
        <v>05/2032</v>
      </c>
      <c r="E79" s="1" t="str">
        <f t="shared" si="2"/>
        <v>LEAN</v>
      </c>
      <c r="F79" s="32">
        <f>Salary_Schedule!E79</f>
        <v>9871.7</v>
      </c>
      <c r="G79" s="32">
        <f>Assumptions!$B$8</f>
        <v>200</v>
      </c>
      <c r="H79" s="32">
        <f>F79*Assumptions!$B$58</f>
        <v>987.17</v>
      </c>
      <c r="I79" s="32">
        <f>Salary_Schedule!F79</f>
        <v>0</v>
      </c>
      <c r="J79" s="32">
        <f>I79*Assumptions!$B$9</f>
        <v>0</v>
      </c>
      <c r="K79" s="54">
        <f t="shared" si="3"/>
        <v>8684.53</v>
      </c>
      <c r="L79" s="32">
        <f>IF(COUNTIFS(SL_Income_Log!$B:$B,TEXT(B79,"0000")&amp;"-"&amp;TEXT(A79,"00"),SL_Income_Log!$C:$C,"salary",SL_Income_Log!$E:$E,"H")&gt;0,SUMIFS(SL_Income_Log!$D:$D,SL_Income_Log!$B:$B,TEXT(B79,"0000")&amp;"-"&amp;TEXT(A79,"00"),SL_Income_Log!$C:$C,"salary",SL_Income_Log!$E:$E,"H"),K79*(1-Assumptions!$B$102)-Z79-Y79)</f>
        <v>4907.678</v>
      </c>
      <c r="M79" s="32">
        <f>RSU_Schedule!H78</f>
        <v>0</v>
      </c>
      <c r="N79" s="32">
        <f>Salary_Schedule!G79</f>
        <v>7616.06</v>
      </c>
      <c r="O79" s="32">
        <f>Assumptions!$B$19</f>
        <v>200</v>
      </c>
      <c r="P79" s="32">
        <f>N79*Assumptions!$B$59</f>
        <v>761.606</v>
      </c>
      <c r="Q79" s="32">
        <f>Salary_Schedule!H79</f>
        <v>0</v>
      </c>
      <c r="R79" s="32">
        <f>Q79*Assumptions!$B$20</f>
        <v>0</v>
      </c>
      <c r="S79" s="54">
        <f t="shared" si="4"/>
        <v>6654.454</v>
      </c>
      <c r="T79" s="32">
        <f>IF(COUNTIFS(SL_Income_Log!$B:$B,TEXT(B79,"0000")&amp;"-"&amp;TEXT(A79,"00"),SL_Income_Log!$C:$C,"salary",SL_Income_Log!$E:$E,"W")&gt;0,SUMIFS(SL_Income_Log!$D:$D,SL_Income_Log!$B:$B,TEXT(B79,"0000")&amp;"-"&amp;TEXT(A79,"00"),SL_Income_Log!$C:$C,"salary",SL_Income_Log!$E:$E,"W"),S79*(1-Assumptions!$B$102)-AC79-AB79)
</f>
        <v>3689.6324</v>
      </c>
      <c r="U79" s="32">
        <f>RSU_Schedule!M78</f>
        <v>0</v>
      </c>
      <c r="V79" s="32">
        <f>H79*(1+Assumptions!$B$60)+Assumptions!$B$61</f>
        <v>1402.038</v>
      </c>
      <c r="W79" s="32">
        <f>P79*(1+Assumptions!$B$60)+Assumptions!$B$61</f>
        <v>1086.2484</v>
      </c>
      <c r="X79" s="32">
        <f t="shared" si="5"/>
        <v>2488.2864</v>
      </c>
      <c r="Y79" s="32">
        <f t="shared" si="22"/>
        <v>11.37</v>
      </c>
      <c r="Z79" s="32">
        <v>291.67</v>
      </c>
      <c r="AA79" s="32">
        <f t="shared" si="23"/>
        <v>3499.74</v>
      </c>
      <c r="AB79" s="32">
        <f t="shared" si="24"/>
        <v>11.37</v>
      </c>
      <c r="AC79" s="32">
        <v>291.67</v>
      </c>
      <c r="AD79" s="32">
        <f t="shared" si="25"/>
        <v>3499.74</v>
      </c>
      <c r="AE79" s="32">
        <f t="shared" ref="AE79:AF79" si="120">Z79+AC79</f>
        <v>583.34</v>
      </c>
      <c r="AF79" s="32">
        <f t="shared" si="120"/>
        <v>6999.48</v>
      </c>
      <c r="AG79" s="32">
        <f>IF(COUNTIFS(SL_Income_Log!$B:$B,TEXT(B79,"0000")&amp;"-"&amp;TEXT(A79,"00"),SL_Income_Log!$C:$C,"youtube")&gt;0,SUMIFS(SL_Income_Log!$D:$D,SL_Income_Log!$B:$B,TEXT(B79,"0000")&amp;"-"&amp;TEXT(A79,"00"),SL_Income_Log!$C:$C,"youtube"),MIN(Assumptions!$B$49+FLOOR((ROW()-2)/6,1)*Assumptions!$B$50,Assumptions!$B$51))
</f>
        <v>13000</v>
      </c>
      <c r="AH79" s="32">
        <f>AG79*Assumptions!$B$104</f>
        <v>5759</v>
      </c>
      <c r="AI79" s="32">
        <f t="shared" si="7"/>
        <v>7241</v>
      </c>
      <c r="AJ79" s="32">
        <f>SUMIFS(SL_Income_Log!$D:$D,SL_Income_Log!$B:$B,TEXT(B79,"0000")&amp;"-"&amp;TEXT(A79,"00"),SL_Income_Log!$C:$C,"other")</f>
        <v>0</v>
      </c>
      <c r="AK79" s="32">
        <f t="shared" si="27"/>
        <v>10000</v>
      </c>
      <c r="AL79" s="32">
        <f>L79+M79+T79+U79+AI79+AJ79-Y79-Z79-AB79-AC79+IF((Debt_Register!$C$2+Debt_Register!$C$6+Debt_Register!$C$7+Debt_Register!$C$8+Debt_Register!$C$9)&gt;5,X79,0)</f>
        <v>17720.5168</v>
      </c>
      <c r="AM79" s="32">
        <f t="shared" si="8"/>
        <v>27720.5168</v>
      </c>
      <c r="AN79" s="32">
        <f>MAX(Assumptions!$B$94,MIN(Assumptions!$B$93,AM79-AP79-BE79-BO79-BQ79))</f>
        <v>10000</v>
      </c>
      <c r="AO79" s="32">
        <f t="shared" si="28"/>
        <v>166600.0439</v>
      </c>
      <c r="AP79" s="32">
        <f>IF(AO79&gt;0,Assumptions!$B$33,0)</f>
        <v>2281</v>
      </c>
      <c r="AQ79" s="32">
        <f>AO79*Assumptions!$B$32/12</f>
        <v>540.0618091</v>
      </c>
      <c r="AR79" s="32">
        <f t="shared" si="9"/>
        <v>1740.938191</v>
      </c>
      <c r="AS79" s="32">
        <f t="shared" si="29"/>
        <v>0</v>
      </c>
      <c r="AT79" s="32">
        <f t="shared" si="10"/>
        <v>164859.1058</v>
      </c>
      <c r="AU79" s="32">
        <f t="shared" si="30"/>
        <v>0</v>
      </c>
      <c r="AV79" s="32">
        <f t="shared" si="31"/>
        <v>0</v>
      </c>
      <c r="AW79" s="32">
        <f t="shared" si="32"/>
        <v>0</v>
      </c>
      <c r="AX79" s="32">
        <f t="shared" si="33"/>
        <v>0</v>
      </c>
      <c r="AY79" s="32">
        <f t="shared" si="34"/>
        <v>0</v>
      </c>
      <c r="AZ79" s="32">
        <f t="shared" si="35"/>
        <v>0</v>
      </c>
      <c r="BA79" s="32">
        <f t="shared" si="36"/>
        <v>0</v>
      </c>
      <c r="BB79" s="32">
        <f t="shared" si="37"/>
        <v>0</v>
      </c>
      <c r="BC79" s="32">
        <f t="shared" si="38"/>
        <v>0</v>
      </c>
      <c r="BD79" s="32">
        <f t="shared" si="39"/>
        <v>0</v>
      </c>
      <c r="BE79" s="32">
        <f t="shared" si="11"/>
        <v>0</v>
      </c>
      <c r="BF79" s="32">
        <v>0.0</v>
      </c>
      <c r="BG79" s="32">
        <f t="shared" si="40"/>
        <v>5500</v>
      </c>
      <c r="BH79" s="32">
        <v>0.0</v>
      </c>
      <c r="BI79" s="32">
        <f t="shared" si="41"/>
        <v>5000</v>
      </c>
      <c r="BJ79" s="32">
        <f>IF(OR(B79&lt;Assumptions!$B$111,AND(B79=Assumptions!$B$111,A79&lt;=Assumptions!$B$112)),Assumptions!$B$110,0)</f>
        <v>0</v>
      </c>
      <c r="BK79" s="32">
        <f>IF(B79&lt;2027,Assumptions!$B$116+IF(OR(A79=4,A79=10),Assumptions!$B$117,0),IF(AND(B79=2027,A79&lt;=4),IF(A79=4,MIN(950,Assumptions!$B$116+Assumptions!$B$117),Assumptions!$B$116),0))</f>
        <v>0</v>
      </c>
      <c r="BL79" s="32">
        <f>IF(OR(B79&lt;2030,AND(B79=2030,A79&lt;8)),Assumptions!$B$118,IF(AND(B79=2030,A79=8),MOD(11000,200),0))</f>
        <v>0</v>
      </c>
      <c r="BM79" s="32">
        <f>IF(OR(B79&lt;Assumptions!$B$120,AND(B79=Assumptions!$B$120,A79&lt;=Assumptions!$B$121)),Assumptions!$B$119,0)</f>
        <v>0</v>
      </c>
      <c r="BN79" s="32">
        <f>IF(AND(B79&lt;=Assumptions!$B$123,A79&lt;=Assumptions!$B$124),Assumptions!$B$122,0)</f>
        <v>0</v>
      </c>
      <c r="BO79" s="32">
        <f t="shared" si="12"/>
        <v>0</v>
      </c>
      <c r="BP79" s="32">
        <f>SUMIFS(SL_Budget!$B:$B,SL_Budget!$C:$C,"'"&amp;TEXT(DATE(B79,A79,1),"YYYY-MM"))</f>
        <v>4908</v>
      </c>
      <c r="BQ79" s="32">
        <f>MAX(BP79, IFERROR(SUMIFS(ShadowLedger!D:D, 
  ShadowLedger!C:C, "&gt;="&amp;DATE(B79,A79,1), 
  ShadowLedger!C:C, "&lt;"&amp;EOMONTH(DATE(B79,A79,1),0)+1), 0))
</f>
        <v>4908</v>
      </c>
      <c r="BR79" s="32">
        <f t="shared" si="42"/>
        <v>697811.8671</v>
      </c>
      <c r="BS79" s="32">
        <f t="shared" si="43"/>
        <v>2488.2864</v>
      </c>
      <c r="BT79" s="32">
        <f>IF(AS79&gt;0,-MAX(0,21550-MAX(0,MAX(0,(AM79-AP79-BE79-BO79-BQ79)-Assumptions!$B$93))-MIN(MAX(0,21550-MAX(0,MAX(0,(AM79-AP79-BE79-BO79-BQ79)-Assumptions!$B$93))),MAX(0,BY78-Assumptions!$B$91))),IF(BY78&gt;=Assumptions!$B$92,MAX(0,(AM79-AP79-BE79-BO79-BQ79)-Assumptions!$B$93),MAX(0,(AM79-AP79-BE79-BO79-BQ79)-Assumptions!$B$93)*Assumptions!$B$99))</f>
        <v>10531.5168</v>
      </c>
      <c r="BU79" s="32">
        <f>(BR79+BS79+MAX(0,BT79))*(Assumptions!$B$43-1)</f>
        <v>4846.450328</v>
      </c>
      <c r="BV79" s="32">
        <f t="shared" si="13"/>
        <v>715678.1206</v>
      </c>
      <c r="BW79" s="32">
        <f t="shared" si="44"/>
        <v>18713.47572</v>
      </c>
      <c r="BX79" s="32">
        <f>IF(AS79&gt;0,-MIN(MAX(0,21550-MAX(0,MAX(0,(AM79-AP79-BE79-BO79-BQ79)-Assumptions!$B$93))),MAX(0,BY78-Assumptions!$B$91)),IF(BY78&lt;Assumptions!$B$92,MAX(0,(AM79-AP79-BE79-BO79-BQ79)-Assumptions!$B$93)*Assumptions!$B$98,0))</f>
        <v>0</v>
      </c>
      <c r="BY79" s="32">
        <f t="shared" si="14"/>
        <v>18713.47572</v>
      </c>
      <c r="BZ79" s="32">
        <f t="shared" si="45"/>
        <v>28795</v>
      </c>
      <c r="CA79" s="32">
        <f t="shared" si="15"/>
        <v>5759</v>
      </c>
      <c r="CB79" s="32">
        <f t="shared" si="16"/>
        <v>34554</v>
      </c>
      <c r="CC79" s="55">
        <f>CC78+(G79+J79)/(Salary_Schedule!E79*12/208)</f>
        <v>1788.821016</v>
      </c>
      <c r="CD79" s="55">
        <f>CD78+(O79+R79)/(Salary_Schedule!G79*12/208)</f>
        <v>116.3841668</v>
      </c>
      <c r="CE79" s="32">
        <f t="shared" si="17"/>
        <v>715678.1206</v>
      </c>
      <c r="CF79" s="32">
        <f>Assumptions!$B$55*(1+Assumptions!$B$56)^((B79-2025)+(A79-1)/12)</f>
        <v>580710.6938</v>
      </c>
      <c r="CG79" s="32">
        <f t="shared" si="18"/>
        <v>-164859.1058</v>
      </c>
      <c r="CH79" s="32">
        <f t="shared" si="19"/>
        <v>-17499.48</v>
      </c>
      <c r="CI79" s="32">
        <f>CC79*(Salary_Schedule!E79/173.33)*(1-Assumptions!$B$28)+CD79*(Salary_Schedule!G79/173.33)*(1-Assumptions!$B$28)</f>
        <v>69545.43699</v>
      </c>
      <c r="CJ79" s="32">
        <f t="shared" si="20"/>
        <v>1183575.666</v>
      </c>
    </row>
    <row r="80" ht="15.0" customHeight="1">
      <c r="A80" s="1">
        <v>7.0</v>
      </c>
      <c r="B80" s="1">
        <v>2032.0</v>
      </c>
      <c r="C80" s="1" t="s">
        <v>749</v>
      </c>
      <c r="D80" s="1" t="str">
        <f t="shared" si="21"/>
        <v>06/2032</v>
      </c>
      <c r="E80" s="1" t="str">
        <f t="shared" si="2"/>
        <v>FAT_RSU</v>
      </c>
      <c r="F80" s="32">
        <f>Salary_Schedule!E80</f>
        <v>9871.7</v>
      </c>
      <c r="G80" s="32">
        <f>Assumptions!$B$8</f>
        <v>200</v>
      </c>
      <c r="H80" s="32">
        <f>F80*Assumptions!$B$58</f>
        <v>987.17</v>
      </c>
      <c r="I80" s="32">
        <f>Salary_Schedule!F80</f>
        <v>0</v>
      </c>
      <c r="J80" s="32">
        <f>I80*Assumptions!$B$9</f>
        <v>0</v>
      </c>
      <c r="K80" s="54">
        <f t="shared" si="3"/>
        <v>8684.53</v>
      </c>
      <c r="L80" s="32">
        <f>IF(COUNTIFS(SL_Income_Log!$B:$B,TEXT(B80,"0000")&amp;"-"&amp;TEXT(A80,"00"),SL_Income_Log!$C:$C,"salary",SL_Income_Log!$E:$E,"H")&gt;0,SUMIFS(SL_Income_Log!$D:$D,SL_Income_Log!$B:$B,TEXT(B80,"0000")&amp;"-"&amp;TEXT(A80,"00"),SL_Income_Log!$C:$C,"salary",SL_Income_Log!$E:$E,"H"),K80*(1-Assumptions!$B$102)-Z80-Y80)</f>
        <v>4908.548</v>
      </c>
      <c r="M80" s="32">
        <f>RSU_Schedule!H79</f>
        <v>2784.99</v>
      </c>
      <c r="N80" s="32">
        <f>Salary_Schedule!G80</f>
        <v>7616.06</v>
      </c>
      <c r="O80" s="32">
        <f>Assumptions!$B$19</f>
        <v>200</v>
      </c>
      <c r="P80" s="32">
        <f>N80*Assumptions!$B$59</f>
        <v>761.606</v>
      </c>
      <c r="Q80" s="32">
        <f>Salary_Schedule!H80</f>
        <v>0</v>
      </c>
      <c r="R80" s="32">
        <f>Q80*Assumptions!$B$20</f>
        <v>0</v>
      </c>
      <c r="S80" s="54">
        <f t="shared" si="4"/>
        <v>6654.454</v>
      </c>
      <c r="T80" s="32">
        <f>IF(COUNTIFS(SL_Income_Log!$B:$B,TEXT(B80,"0000")&amp;"-"&amp;TEXT(A80,"00"),SL_Income_Log!$C:$C,"salary",SL_Income_Log!$E:$E,"W")&gt;0,SUMIFS(SL_Income_Log!$D:$D,SL_Income_Log!$B:$B,TEXT(B80,"0000")&amp;"-"&amp;TEXT(A80,"00"),SL_Income_Log!$C:$C,"salary",SL_Income_Log!$E:$E,"W"),S80*(1-Assumptions!$B$102)-AC80-AB80)
</f>
        <v>3690.5024</v>
      </c>
      <c r="U80" s="32">
        <f>RSU_Schedule!M79</f>
        <v>1392.51</v>
      </c>
      <c r="V80" s="32">
        <f>H80*(1+Assumptions!$B$60)+Assumptions!$B$61</f>
        <v>1402.038</v>
      </c>
      <c r="W80" s="32">
        <f>P80*(1+Assumptions!$B$60)+Assumptions!$B$61</f>
        <v>1086.2484</v>
      </c>
      <c r="X80" s="32">
        <f t="shared" si="5"/>
        <v>2488.2864</v>
      </c>
      <c r="Y80" s="32">
        <f t="shared" si="22"/>
        <v>10.5</v>
      </c>
      <c r="Z80" s="32">
        <v>291.67</v>
      </c>
      <c r="AA80" s="32">
        <f t="shared" si="23"/>
        <v>3208.07</v>
      </c>
      <c r="AB80" s="32">
        <f t="shared" si="24"/>
        <v>10.5</v>
      </c>
      <c r="AC80" s="32">
        <v>291.67</v>
      </c>
      <c r="AD80" s="32">
        <f t="shared" si="25"/>
        <v>3208.07</v>
      </c>
      <c r="AE80" s="32">
        <f t="shared" ref="AE80:AF80" si="121">Z80+AC80</f>
        <v>583.34</v>
      </c>
      <c r="AF80" s="32">
        <f t="shared" si="121"/>
        <v>6416.14</v>
      </c>
      <c r="AG80" s="32">
        <f>IF(COUNTIFS(SL_Income_Log!$B:$B,TEXT(B80,"0000")&amp;"-"&amp;TEXT(A80,"00"),SL_Income_Log!$C:$C,"youtube")&gt;0,SUMIFS(SL_Income_Log!$D:$D,SL_Income_Log!$B:$B,TEXT(B80,"0000")&amp;"-"&amp;TEXT(A80,"00"),SL_Income_Log!$C:$C,"youtube"),MIN(Assumptions!$B$49+FLOOR((ROW()-2)/6,1)*Assumptions!$B$50,Assumptions!$B$51))
</f>
        <v>14000</v>
      </c>
      <c r="AH80" s="32">
        <f>AG80*Assumptions!$B$104</f>
        <v>6202</v>
      </c>
      <c r="AI80" s="32">
        <f t="shared" si="7"/>
        <v>7798</v>
      </c>
      <c r="AJ80" s="32">
        <f>SUMIFS(SL_Income_Log!$D:$D,SL_Income_Log!$B:$B,TEXT(B80,"0000")&amp;"-"&amp;TEXT(A80,"00"),SL_Income_Log!$C:$C,"other")</f>
        <v>0</v>
      </c>
      <c r="AK80" s="32">
        <f t="shared" si="27"/>
        <v>10000</v>
      </c>
      <c r="AL80" s="32">
        <f>L80+M80+T80+U80+AI80+AJ80-Y80-Z80-AB80-AC80+IF((Debt_Register!$C$2+Debt_Register!$C$6+Debt_Register!$C$7+Debt_Register!$C$8+Debt_Register!$C$9)&gt;5,X80,0)</f>
        <v>22458.4968</v>
      </c>
      <c r="AM80" s="32">
        <f t="shared" si="8"/>
        <v>32458.4968</v>
      </c>
      <c r="AN80" s="32">
        <f>MAX(Assumptions!$B$94,MIN(Assumptions!$B$93,AM80-AP80-BE80-BO80-BQ80))</f>
        <v>10000</v>
      </c>
      <c r="AO80" s="32">
        <f t="shared" si="28"/>
        <v>164859.1058</v>
      </c>
      <c r="AP80" s="32">
        <f>IF(AO80&gt;0,Assumptions!$B$33,0)</f>
        <v>2281</v>
      </c>
      <c r="AQ80" s="32">
        <f>AO80*Assumptions!$B$32/12</f>
        <v>534.4182678</v>
      </c>
      <c r="AR80" s="32">
        <f t="shared" si="9"/>
        <v>1746.581732</v>
      </c>
      <c r="AS80" s="32">
        <f t="shared" si="29"/>
        <v>0</v>
      </c>
      <c r="AT80" s="32">
        <f t="shared" si="10"/>
        <v>163112.524</v>
      </c>
      <c r="AU80" s="32">
        <f t="shared" si="30"/>
        <v>0</v>
      </c>
      <c r="AV80" s="32">
        <f t="shared" si="31"/>
        <v>0</v>
      </c>
      <c r="AW80" s="32">
        <f t="shared" si="32"/>
        <v>0</v>
      </c>
      <c r="AX80" s="32">
        <f t="shared" si="33"/>
        <v>0</v>
      </c>
      <c r="AY80" s="32">
        <f t="shared" si="34"/>
        <v>0</v>
      </c>
      <c r="AZ80" s="32">
        <f t="shared" si="35"/>
        <v>0</v>
      </c>
      <c r="BA80" s="32">
        <f t="shared" si="36"/>
        <v>0</v>
      </c>
      <c r="BB80" s="32">
        <f t="shared" si="37"/>
        <v>0</v>
      </c>
      <c r="BC80" s="32">
        <f t="shared" si="38"/>
        <v>0</v>
      </c>
      <c r="BD80" s="32">
        <f t="shared" si="39"/>
        <v>0</v>
      </c>
      <c r="BE80" s="32">
        <f t="shared" si="11"/>
        <v>0</v>
      </c>
      <c r="BF80" s="32">
        <v>0.0</v>
      </c>
      <c r="BG80" s="32">
        <f t="shared" si="40"/>
        <v>5500</v>
      </c>
      <c r="BH80" s="32">
        <v>0.0</v>
      </c>
      <c r="BI80" s="32">
        <f t="shared" si="41"/>
        <v>5000</v>
      </c>
      <c r="BJ80" s="32">
        <f>IF(OR(B80&lt;Assumptions!$B$111,AND(B80=Assumptions!$B$111,A80&lt;=Assumptions!$B$112)),Assumptions!$B$110,0)</f>
        <v>0</v>
      </c>
      <c r="BK80" s="32">
        <f>IF(B80&lt;2027,Assumptions!$B$116+IF(OR(A80=4,A80=10),Assumptions!$B$117,0),IF(AND(B80=2027,A80&lt;=4),IF(A80=4,MIN(950,Assumptions!$B$116+Assumptions!$B$117),Assumptions!$B$116),0))</f>
        <v>0</v>
      </c>
      <c r="BL80" s="32">
        <f>IF(OR(B80&lt;2030,AND(B80=2030,A80&lt;8)),Assumptions!$B$118,IF(AND(B80=2030,A80=8),MOD(11000,200),0))</f>
        <v>0</v>
      </c>
      <c r="BM80" s="32">
        <f>IF(OR(B80&lt;Assumptions!$B$120,AND(B80=Assumptions!$B$120,A80&lt;=Assumptions!$B$121)),Assumptions!$B$119,0)</f>
        <v>0</v>
      </c>
      <c r="BN80" s="32">
        <f>IF(AND(B80&lt;=Assumptions!$B$123,A80&lt;=Assumptions!$B$124),Assumptions!$B$122,0)</f>
        <v>0</v>
      </c>
      <c r="BO80" s="32">
        <f t="shared" si="12"/>
        <v>0</v>
      </c>
      <c r="BP80" s="32">
        <f>SUMIFS(SL_Budget!$B:$B,SL_Budget!$C:$C,"'"&amp;TEXT(DATE(B80,A80,1),"YYYY-MM"))</f>
        <v>4908</v>
      </c>
      <c r="BQ80" s="32">
        <f>MAX(BP80, IFERROR(SUMIFS(ShadowLedger!D:D, 
  ShadowLedger!C:C, "&gt;="&amp;DATE(B80,A80,1), 
  ShadowLedger!C:C, "&lt;"&amp;EOMONTH(DATE(B80,A80,1),0)+1), 0))
</f>
        <v>4908</v>
      </c>
      <c r="BR80" s="32">
        <f t="shared" si="42"/>
        <v>715678.1206</v>
      </c>
      <c r="BS80" s="32">
        <f t="shared" si="43"/>
        <v>2488.2864</v>
      </c>
      <c r="BT80" s="32">
        <f>IF(AS80&gt;0,-MAX(0,21550-MAX(0,MAX(0,(AM80-AP80-BE80-BO80-BQ80)-Assumptions!$B$93))-MIN(MAX(0,21550-MAX(0,MAX(0,(AM80-AP80-BE80-BO80-BQ80)-Assumptions!$B$93))),MAX(0,BY79-Assumptions!$B$91))),IF(BY79&gt;=Assumptions!$B$92,MAX(0,(AM80-AP80-BE80-BO80-BQ80)-Assumptions!$B$93),MAX(0,(AM80-AP80-BE80-BO80-BQ80)-Assumptions!$B$93)*Assumptions!$B$99))</f>
        <v>15269.4968</v>
      </c>
      <c r="BU80" s="32">
        <f>(BR80+BS80+MAX(0,BT80))*(Assumptions!$B$43-1)</f>
        <v>5000.565992</v>
      </c>
      <c r="BV80" s="32">
        <f t="shared" si="13"/>
        <v>738436.4698</v>
      </c>
      <c r="BW80" s="32">
        <f t="shared" si="44"/>
        <v>18713.47572</v>
      </c>
      <c r="BX80" s="32">
        <f>IF(AS80&gt;0,-MIN(MAX(0,21550-MAX(0,MAX(0,(AM80-AP80-BE80-BO80-BQ80)-Assumptions!$B$93))),MAX(0,BY79-Assumptions!$B$91)),IF(BY79&lt;Assumptions!$B$92,MAX(0,(AM80-AP80-BE80-BO80-BQ80)-Assumptions!$B$93)*Assumptions!$B$98,0))</f>
        <v>0</v>
      </c>
      <c r="BY80" s="32">
        <f t="shared" si="14"/>
        <v>18713.47572</v>
      </c>
      <c r="BZ80" s="32">
        <f t="shared" si="45"/>
        <v>34554</v>
      </c>
      <c r="CA80" s="32">
        <f t="shared" si="15"/>
        <v>6202</v>
      </c>
      <c r="CB80" s="32">
        <f t="shared" si="16"/>
        <v>40756</v>
      </c>
      <c r="CC80" s="55">
        <f>CC79+(G80+J80)/(Salary_Schedule!E80*12/208)</f>
        <v>1789.172188</v>
      </c>
      <c r="CD80" s="55">
        <f>CD79+(O80+R80)/(Salary_Schedule!G80*12/208)</f>
        <v>116.8393453</v>
      </c>
      <c r="CE80" s="32">
        <f t="shared" si="17"/>
        <v>738436.4698</v>
      </c>
      <c r="CF80" s="32">
        <f>Assumptions!$B$55*(1+Assumptions!$B$56)^((B80-2025)+(A80-1)/12)</f>
        <v>581431.639</v>
      </c>
      <c r="CG80" s="32">
        <f t="shared" si="18"/>
        <v>-163112.524</v>
      </c>
      <c r="CH80" s="32">
        <f t="shared" si="19"/>
        <v>-16916.14</v>
      </c>
      <c r="CI80" s="32">
        <f>CC80*(Salary_Schedule!E80/173.33)*(1-Assumptions!$B$28)+CD80*(Salary_Schedule!G80/173.33)*(1-Assumptions!$B$28)</f>
        <v>69571.43749</v>
      </c>
      <c r="CJ80" s="32">
        <f t="shared" si="20"/>
        <v>1209410.882</v>
      </c>
    </row>
    <row r="81" ht="15.0" customHeight="1">
      <c r="A81" s="1">
        <v>8.0</v>
      </c>
      <c r="B81" s="1">
        <v>2032.0</v>
      </c>
      <c r="C81" s="1" t="s">
        <v>750</v>
      </c>
      <c r="D81" s="1" t="str">
        <f t="shared" si="21"/>
        <v>07/2032</v>
      </c>
      <c r="E81" s="1" t="str">
        <f t="shared" si="2"/>
        <v>LEAN</v>
      </c>
      <c r="F81" s="32">
        <f>Salary_Schedule!E81</f>
        <v>9871.7</v>
      </c>
      <c r="G81" s="32">
        <f>Assumptions!$B$8</f>
        <v>200</v>
      </c>
      <c r="H81" s="32">
        <f>F81*Assumptions!$B$58</f>
        <v>987.17</v>
      </c>
      <c r="I81" s="32">
        <f>Salary_Schedule!F81</f>
        <v>0</v>
      </c>
      <c r="J81" s="32">
        <f>I81*Assumptions!$B$9</f>
        <v>0</v>
      </c>
      <c r="K81" s="54">
        <f t="shared" si="3"/>
        <v>8684.53</v>
      </c>
      <c r="L81" s="32">
        <f>IF(COUNTIFS(SL_Income_Log!$B:$B,TEXT(B81,"0000")&amp;"-"&amp;TEXT(A81,"00"),SL_Income_Log!$C:$C,"salary",SL_Income_Log!$E:$E,"H")&gt;0,SUMIFS(SL_Income_Log!$D:$D,SL_Income_Log!$B:$B,TEXT(B81,"0000")&amp;"-"&amp;TEXT(A81,"00"),SL_Income_Log!$C:$C,"salary",SL_Income_Log!$E:$E,"H"),K81*(1-Assumptions!$B$102)-Z81-Y81)</f>
        <v>4909.428</v>
      </c>
      <c r="M81" s="32">
        <f>RSU_Schedule!H80</f>
        <v>0</v>
      </c>
      <c r="N81" s="32">
        <f>Salary_Schedule!G81</f>
        <v>7616.06</v>
      </c>
      <c r="O81" s="32">
        <f>Assumptions!$B$19</f>
        <v>200</v>
      </c>
      <c r="P81" s="32">
        <f>N81*Assumptions!$B$59</f>
        <v>761.606</v>
      </c>
      <c r="Q81" s="32">
        <f>Salary_Schedule!H81</f>
        <v>0</v>
      </c>
      <c r="R81" s="32">
        <f>Q81*Assumptions!$B$20</f>
        <v>0</v>
      </c>
      <c r="S81" s="54">
        <f t="shared" si="4"/>
        <v>6654.454</v>
      </c>
      <c r="T81" s="32">
        <f>IF(COUNTIFS(SL_Income_Log!$B:$B,TEXT(B81,"0000")&amp;"-"&amp;TEXT(A81,"00"),SL_Income_Log!$C:$C,"salary",SL_Income_Log!$E:$E,"W")&gt;0,SUMIFS(SL_Income_Log!$D:$D,SL_Income_Log!$B:$B,TEXT(B81,"0000")&amp;"-"&amp;TEXT(A81,"00"),SL_Income_Log!$C:$C,"salary",SL_Income_Log!$E:$E,"W"),S81*(1-Assumptions!$B$102)-AC81-AB81)
</f>
        <v>3691.3824</v>
      </c>
      <c r="U81" s="32">
        <f>RSU_Schedule!M80</f>
        <v>0</v>
      </c>
      <c r="V81" s="32">
        <f>H81*(1+Assumptions!$B$60)+Assumptions!$B$61</f>
        <v>1402.038</v>
      </c>
      <c r="W81" s="32">
        <f>P81*(1+Assumptions!$B$60)+Assumptions!$B$61</f>
        <v>1086.2484</v>
      </c>
      <c r="X81" s="32">
        <f t="shared" si="5"/>
        <v>2488.2864</v>
      </c>
      <c r="Y81" s="32">
        <f t="shared" si="22"/>
        <v>9.62</v>
      </c>
      <c r="Z81" s="32">
        <v>291.67</v>
      </c>
      <c r="AA81" s="32">
        <f t="shared" si="23"/>
        <v>2916.4</v>
      </c>
      <c r="AB81" s="32">
        <f t="shared" si="24"/>
        <v>9.62</v>
      </c>
      <c r="AC81" s="32">
        <v>291.67</v>
      </c>
      <c r="AD81" s="32">
        <f t="shared" si="25"/>
        <v>2916.4</v>
      </c>
      <c r="AE81" s="32">
        <f t="shared" ref="AE81:AF81" si="122">Z81+AC81</f>
        <v>583.34</v>
      </c>
      <c r="AF81" s="32">
        <f t="shared" si="122"/>
        <v>5832.8</v>
      </c>
      <c r="AG81" s="32">
        <f>IF(COUNTIFS(SL_Income_Log!$B:$B,TEXT(B81,"0000")&amp;"-"&amp;TEXT(A81,"00"),SL_Income_Log!$C:$C,"youtube")&gt;0,SUMIFS(SL_Income_Log!$D:$D,SL_Income_Log!$B:$B,TEXT(B81,"0000")&amp;"-"&amp;TEXT(A81,"00"),SL_Income_Log!$C:$C,"youtube"),MIN(Assumptions!$B$49+FLOOR((ROW()-2)/6,1)*Assumptions!$B$50,Assumptions!$B$51))
</f>
        <v>14000</v>
      </c>
      <c r="AH81" s="32">
        <f>AG81*Assumptions!$B$104</f>
        <v>6202</v>
      </c>
      <c r="AI81" s="32">
        <f t="shared" si="7"/>
        <v>7798</v>
      </c>
      <c r="AJ81" s="32">
        <f>SUMIFS(SL_Income_Log!$D:$D,SL_Income_Log!$B:$B,TEXT(B81,"0000")&amp;"-"&amp;TEXT(A81,"00"),SL_Income_Log!$C:$C,"other")</f>
        <v>0</v>
      </c>
      <c r="AK81" s="32">
        <f t="shared" si="27"/>
        <v>10000</v>
      </c>
      <c r="AL81" s="32">
        <f>L81+M81+T81+U81+AI81+AJ81-Y81-Z81-AB81-AC81+IF((Debt_Register!$C$2+Debt_Register!$C$6+Debt_Register!$C$7+Debt_Register!$C$8+Debt_Register!$C$9)&gt;5,X81,0)</f>
        <v>18284.5168</v>
      </c>
      <c r="AM81" s="32">
        <f t="shared" si="8"/>
        <v>28284.5168</v>
      </c>
      <c r="AN81" s="32">
        <f>MAX(Assumptions!$B$94,MIN(Assumptions!$B$93,AM81-AP81-BE81-BO81-BQ81))</f>
        <v>10000</v>
      </c>
      <c r="AO81" s="32">
        <f t="shared" si="28"/>
        <v>163112.524</v>
      </c>
      <c r="AP81" s="32">
        <f>IF(AO81&gt;0,Assumptions!$B$33,0)</f>
        <v>2281</v>
      </c>
      <c r="AQ81" s="32">
        <f>AO81*Assumptions!$B$32/12</f>
        <v>528.756432</v>
      </c>
      <c r="AR81" s="32">
        <f t="shared" si="9"/>
        <v>1752.243568</v>
      </c>
      <c r="AS81" s="32">
        <f t="shared" si="29"/>
        <v>0</v>
      </c>
      <c r="AT81" s="32">
        <f t="shared" si="10"/>
        <v>161360.2805</v>
      </c>
      <c r="AU81" s="32">
        <f t="shared" si="30"/>
        <v>0</v>
      </c>
      <c r="AV81" s="32">
        <f t="shared" si="31"/>
        <v>0</v>
      </c>
      <c r="AW81" s="32">
        <f t="shared" si="32"/>
        <v>0</v>
      </c>
      <c r="AX81" s="32">
        <f t="shared" si="33"/>
        <v>0</v>
      </c>
      <c r="AY81" s="32">
        <f t="shared" si="34"/>
        <v>0</v>
      </c>
      <c r="AZ81" s="32">
        <f t="shared" si="35"/>
        <v>0</v>
      </c>
      <c r="BA81" s="32">
        <f t="shared" si="36"/>
        <v>0</v>
      </c>
      <c r="BB81" s="32">
        <f t="shared" si="37"/>
        <v>0</v>
      </c>
      <c r="BC81" s="32">
        <f t="shared" si="38"/>
        <v>0</v>
      </c>
      <c r="BD81" s="32">
        <f t="shared" si="39"/>
        <v>0</v>
      </c>
      <c r="BE81" s="32">
        <f t="shared" si="11"/>
        <v>0</v>
      </c>
      <c r="BF81" s="32">
        <v>0.0</v>
      </c>
      <c r="BG81" s="32">
        <f t="shared" si="40"/>
        <v>5500</v>
      </c>
      <c r="BH81" s="32">
        <v>0.0</v>
      </c>
      <c r="BI81" s="32">
        <f t="shared" si="41"/>
        <v>5000</v>
      </c>
      <c r="BJ81" s="32">
        <f>IF(OR(B81&lt;Assumptions!$B$111,AND(B81=Assumptions!$B$111,A81&lt;=Assumptions!$B$112)),Assumptions!$B$110,0)</f>
        <v>0</v>
      </c>
      <c r="BK81" s="32">
        <f>IF(B81&lt;2027,Assumptions!$B$116+IF(OR(A81=4,A81=10),Assumptions!$B$117,0),IF(AND(B81=2027,A81&lt;=4),IF(A81=4,MIN(950,Assumptions!$B$116+Assumptions!$B$117),Assumptions!$B$116),0))</f>
        <v>0</v>
      </c>
      <c r="BL81" s="32">
        <f>IF(OR(B81&lt;2030,AND(B81=2030,A81&lt;8)),Assumptions!$B$118,IF(AND(B81=2030,A81=8),MOD(11000,200),0))</f>
        <v>0</v>
      </c>
      <c r="BM81" s="32">
        <f>IF(OR(B81&lt;Assumptions!$B$120,AND(B81=Assumptions!$B$120,A81&lt;=Assumptions!$B$121)),Assumptions!$B$119,0)</f>
        <v>0</v>
      </c>
      <c r="BN81" s="32">
        <f>IF(AND(B81&lt;=Assumptions!$B$123,A81&lt;=Assumptions!$B$124),Assumptions!$B$122,0)</f>
        <v>0</v>
      </c>
      <c r="BO81" s="32">
        <f t="shared" si="12"/>
        <v>0</v>
      </c>
      <c r="BP81" s="32">
        <f>SUMIFS(SL_Budget!$B:$B,SL_Budget!$C:$C,"'"&amp;TEXT(DATE(B81,A81,1),"YYYY-MM"))</f>
        <v>4908</v>
      </c>
      <c r="BQ81" s="32">
        <f>MAX(BP81, IFERROR(SUMIFS(ShadowLedger!D:D, 
  ShadowLedger!C:C, "&gt;="&amp;DATE(B81,A81,1), 
  ShadowLedger!C:C, "&lt;"&amp;EOMONTH(DATE(B81,A81,1),0)+1), 0))
</f>
        <v>4908</v>
      </c>
      <c r="BR81" s="32">
        <f t="shared" si="42"/>
        <v>738436.4698</v>
      </c>
      <c r="BS81" s="32">
        <f t="shared" si="43"/>
        <v>2488.2864</v>
      </c>
      <c r="BT81" s="32">
        <f>IF(AS81&gt;0,-MAX(0,21550-MAX(0,MAX(0,(AM81-AP81-BE81-BO81-BQ81)-Assumptions!$B$93))-MIN(MAX(0,21550-MAX(0,MAX(0,(AM81-AP81-BE81-BO81-BQ81)-Assumptions!$B$93))),MAX(0,BY80-Assumptions!$B$91))),IF(BY80&gt;=Assumptions!$B$92,MAX(0,(AM81-AP81-BE81-BO81-BQ81)-Assumptions!$B$93),MAX(0,(AM81-AP81-BE81-BO81-BQ81)-Assumptions!$B$93)*Assumptions!$B$99))</f>
        <v>11095.5168</v>
      </c>
      <c r="BU81" s="32">
        <f>(BR81+BS81+MAX(0,BT81))*(Assumptions!$B$43-1)</f>
        <v>5127.274221</v>
      </c>
      <c r="BV81" s="32">
        <f t="shared" si="13"/>
        <v>757147.5472</v>
      </c>
      <c r="BW81" s="32">
        <f t="shared" si="44"/>
        <v>18713.47572</v>
      </c>
      <c r="BX81" s="32">
        <f>IF(AS81&gt;0,-MIN(MAX(0,21550-MAX(0,MAX(0,(AM81-AP81-BE81-BO81-BQ81)-Assumptions!$B$93))),MAX(0,BY80-Assumptions!$B$91)),IF(BY80&lt;Assumptions!$B$92,MAX(0,(AM81-AP81-BE81-BO81-BQ81)-Assumptions!$B$93)*Assumptions!$B$98,0))</f>
        <v>0</v>
      </c>
      <c r="BY81" s="32">
        <f t="shared" si="14"/>
        <v>18713.47572</v>
      </c>
      <c r="BZ81" s="32">
        <f t="shared" si="45"/>
        <v>40756</v>
      </c>
      <c r="CA81" s="32">
        <f t="shared" si="15"/>
        <v>6202</v>
      </c>
      <c r="CB81" s="32">
        <f t="shared" si="16"/>
        <v>46958</v>
      </c>
      <c r="CC81" s="55">
        <f>CC80+(G81+J81)/(Salary_Schedule!E81*12/208)</f>
        <v>1789.52336</v>
      </c>
      <c r="CD81" s="55">
        <f>CD80+(O81+R81)/(Salary_Schedule!G81*12/208)</f>
        <v>117.2945237</v>
      </c>
      <c r="CE81" s="32">
        <f t="shared" si="17"/>
        <v>757147.5472</v>
      </c>
      <c r="CF81" s="32">
        <f>Assumptions!$B$55*(1+Assumptions!$B$56)^((B81-2025)+(A81-1)/12)</f>
        <v>582153.4792</v>
      </c>
      <c r="CG81" s="32">
        <f t="shared" si="18"/>
        <v>-161360.2805</v>
      </c>
      <c r="CH81" s="32">
        <f t="shared" si="19"/>
        <v>-16332.8</v>
      </c>
      <c r="CI81" s="32">
        <f>CC81*(Salary_Schedule!E81/173.33)*(1-Assumptions!$B$28)+CD81*(Salary_Schedule!G81/173.33)*(1-Assumptions!$B$28)</f>
        <v>69597.43799</v>
      </c>
      <c r="CJ81" s="32">
        <f t="shared" si="20"/>
        <v>1231205.384</v>
      </c>
    </row>
    <row r="82" ht="15.0" customHeight="1">
      <c r="A82" s="1">
        <v>9.0</v>
      </c>
      <c r="B82" s="1">
        <v>2032.0</v>
      </c>
      <c r="C82" s="1" t="s">
        <v>751</v>
      </c>
      <c r="D82" s="1" t="str">
        <f t="shared" si="21"/>
        <v>08/2032</v>
      </c>
      <c r="E82" s="1" t="str">
        <f t="shared" si="2"/>
        <v>LEAN</v>
      </c>
      <c r="F82" s="32">
        <f>Salary_Schedule!E82</f>
        <v>9871.7</v>
      </c>
      <c r="G82" s="32">
        <f>Assumptions!$B$8</f>
        <v>200</v>
      </c>
      <c r="H82" s="32">
        <f>F82*Assumptions!$B$58</f>
        <v>987.17</v>
      </c>
      <c r="I82" s="32">
        <f>Salary_Schedule!F82</f>
        <v>0</v>
      </c>
      <c r="J82" s="32">
        <f>I82*Assumptions!$B$9</f>
        <v>0</v>
      </c>
      <c r="K82" s="54">
        <f t="shared" si="3"/>
        <v>8684.53</v>
      </c>
      <c r="L82" s="32">
        <f>IF(COUNTIFS(SL_Income_Log!$B:$B,TEXT(B82,"0000")&amp;"-"&amp;TEXT(A82,"00"),SL_Income_Log!$C:$C,"salary",SL_Income_Log!$E:$E,"H")&gt;0,SUMIFS(SL_Income_Log!$D:$D,SL_Income_Log!$B:$B,TEXT(B82,"0000")&amp;"-"&amp;TEXT(A82,"00"),SL_Income_Log!$C:$C,"salary",SL_Income_Log!$E:$E,"H"),K82*(1-Assumptions!$B$102)-Z82-Y82)</f>
        <v>4910.298</v>
      </c>
      <c r="M82" s="32">
        <f>RSU_Schedule!H81</f>
        <v>0</v>
      </c>
      <c r="N82" s="32">
        <f>Salary_Schedule!G82</f>
        <v>7616.06</v>
      </c>
      <c r="O82" s="32">
        <f>Assumptions!$B$19</f>
        <v>200</v>
      </c>
      <c r="P82" s="32">
        <f>N82*Assumptions!$B$59</f>
        <v>761.606</v>
      </c>
      <c r="Q82" s="32">
        <f>Salary_Schedule!H82</f>
        <v>0</v>
      </c>
      <c r="R82" s="32">
        <f>Q82*Assumptions!$B$20</f>
        <v>0</v>
      </c>
      <c r="S82" s="54">
        <f t="shared" si="4"/>
        <v>6654.454</v>
      </c>
      <c r="T82" s="32">
        <f>IF(COUNTIFS(SL_Income_Log!$B:$B,TEXT(B82,"0000")&amp;"-"&amp;TEXT(A82,"00"),SL_Income_Log!$C:$C,"salary",SL_Income_Log!$E:$E,"W")&gt;0,SUMIFS(SL_Income_Log!$D:$D,SL_Income_Log!$B:$B,TEXT(B82,"0000")&amp;"-"&amp;TEXT(A82,"00"),SL_Income_Log!$C:$C,"salary",SL_Income_Log!$E:$E,"W"),S82*(1-Assumptions!$B$102)-AC82-AB82)
</f>
        <v>3692.2524</v>
      </c>
      <c r="U82" s="32">
        <f>RSU_Schedule!M81</f>
        <v>0</v>
      </c>
      <c r="V82" s="32">
        <f>H82*(1+Assumptions!$B$60)+Assumptions!$B$61</f>
        <v>1402.038</v>
      </c>
      <c r="W82" s="32">
        <f>P82*(1+Assumptions!$B$60)+Assumptions!$B$61</f>
        <v>1086.2484</v>
      </c>
      <c r="X82" s="32">
        <f t="shared" si="5"/>
        <v>2488.2864</v>
      </c>
      <c r="Y82" s="32">
        <f t="shared" si="22"/>
        <v>8.75</v>
      </c>
      <c r="Z82" s="32">
        <v>291.67</v>
      </c>
      <c r="AA82" s="32">
        <f t="shared" si="23"/>
        <v>2624.73</v>
      </c>
      <c r="AB82" s="32">
        <f t="shared" si="24"/>
        <v>8.75</v>
      </c>
      <c r="AC82" s="32">
        <v>291.67</v>
      </c>
      <c r="AD82" s="32">
        <f t="shared" si="25"/>
        <v>2624.73</v>
      </c>
      <c r="AE82" s="32">
        <f t="shared" ref="AE82:AF82" si="123">Z82+AC82</f>
        <v>583.34</v>
      </c>
      <c r="AF82" s="32">
        <f t="shared" si="123"/>
        <v>5249.46</v>
      </c>
      <c r="AG82" s="32">
        <f>IF(COUNTIFS(SL_Income_Log!$B:$B,TEXT(B82,"0000")&amp;"-"&amp;TEXT(A82,"00"),SL_Income_Log!$C:$C,"youtube")&gt;0,SUMIFS(SL_Income_Log!$D:$D,SL_Income_Log!$B:$B,TEXT(B82,"0000")&amp;"-"&amp;TEXT(A82,"00"),SL_Income_Log!$C:$C,"youtube"),MIN(Assumptions!$B$49+FLOOR((ROW()-2)/6,1)*Assumptions!$B$50,Assumptions!$B$51))
</f>
        <v>14000</v>
      </c>
      <c r="AH82" s="32">
        <f>AG82*Assumptions!$B$104</f>
        <v>6202</v>
      </c>
      <c r="AI82" s="32">
        <f t="shared" si="7"/>
        <v>7798</v>
      </c>
      <c r="AJ82" s="32">
        <f>SUMIFS(SL_Income_Log!$D:$D,SL_Income_Log!$B:$B,TEXT(B82,"0000")&amp;"-"&amp;TEXT(A82,"00"),SL_Income_Log!$C:$C,"other")</f>
        <v>0</v>
      </c>
      <c r="AK82" s="32">
        <f t="shared" si="27"/>
        <v>10000</v>
      </c>
      <c r="AL82" s="32">
        <f>L82+M82+T82+U82+AI82+AJ82-Y82-Z82-AB82-AC82+IF((Debt_Register!$C$2+Debt_Register!$C$6+Debt_Register!$C$7+Debt_Register!$C$8+Debt_Register!$C$9)&gt;5,X82,0)</f>
        <v>18287.9968</v>
      </c>
      <c r="AM82" s="32">
        <f t="shared" si="8"/>
        <v>28287.9968</v>
      </c>
      <c r="AN82" s="32">
        <f>MAX(Assumptions!$B$94,MIN(Assumptions!$B$93,AM82-AP82-BE82-BO82-BQ82))</f>
        <v>10000</v>
      </c>
      <c r="AO82" s="32">
        <f t="shared" si="28"/>
        <v>161360.2805</v>
      </c>
      <c r="AP82" s="32">
        <f>IF(AO82&gt;0,Assumptions!$B$33,0)</f>
        <v>2281</v>
      </c>
      <c r="AQ82" s="32">
        <f>AO82*Assumptions!$B$32/12</f>
        <v>523.0762425</v>
      </c>
      <c r="AR82" s="32">
        <f t="shared" si="9"/>
        <v>1757.923758</v>
      </c>
      <c r="AS82" s="32">
        <f t="shared" si="29"/>
        <v>0</v>
      </c>
      <c r="AT82" s="32">
        <f t="shared" si="10"/>
        <v>159602.3567</v>
      </c>
      <c r="AU82" s="32">
        <f t="shared" si="30"/>
        <v>0</v>
      </c>
      <c r="AV82" s="32">
        <f t="shared" si="31"/>
        <v>0</v>
      </c>
      <c r="AW82" s="32">
        <f t="shared" si="32"/>
        <v>0</v>
      </c>
      <c r="AX82" s="32">
        <f t="shared" si="33"/>
        <v>0</v>
      </c>
      <c r="AY82" s="32">
        <f t="shared" si="34"/>
        <v>0</v>
      </c>
      <c r="AZ82" s="32">
        <f t="shared" si="35"/>
        <v>0</v>
      </c>
      <c r="BA82" s="32">
        <f t="shared" si="36"/>
        <v>0</v>
      </c>
      <c r="BB82" s="32">
        <f t="shared" si="37"/>
        <v>0</v>
      </c>
      <c r="BC82" s="32">
        <f t="shared" si="38"/>
        <v>0</v>
      </c>
      <c r="BD82" s="32">
        <f t="shared" si="39"/>
        <v>0</v>
      </c>
      <c r="BE82" s="32">
        <f t="shared" si="11"/>
        <v>0</v>
      </c>
      <c r="BF82" s="32">
        <v>0.0</v>
      </c>
      <c r="BG82" s="32">
        <f t="shared" si="40"/>
        <v>5500</v>
      </c>
      <c r="BH82" s="32">
        <v>0.0</v>
      </c>
      <c r="BI82" s="32">
        <f t="shared" si="41"/>
        <v>5000</v>
      </c>
      <c r="BJ82" s="32">
        <f>IF(OR(B82&lt;Assumptions!$B$111,AND(B82=Assumptions!$B$111,A82&lt;=Assumptions!$B$112)),Assumptions!$B$110,0)</f>
        <v>0</v>
      </c>
      <c r="BK82" s="32">
        <f>IF(B82&lt;2027,Assumptions!$B$116+IF(OR(A82=4,A82=10),Assumptions!$B$117,0),IF(AND(B82=2027,A82&lt;=4),IF(A82=4,MIN(950,Assumptions!$B$116+Assumptions!$B$117),Assumptions!$B$116),0))</f>
        <v>0</v>
      </c>
      <c r="BL82" s="32">
        <f>IF(OR(B82&lt;2030,AND(B82=2030,A82&lt;8)),Assumptions!$B$118,IF(AND(B82=2030,A82=8),MOD(11000,200),0))</f>
        <v>0</v>
      </c>
      <c r="BM82" s="32">
        <f>IF(OR(B82&lt;Assumptions!$B$120,AND(B82=Assumptions!$B$120,A82&lt;=Assumptions!$B$121)),Assumptions!$B$119,0)</f>
        <v>0</v>
      </c>
      <c r="BN82" s="32">
        <f>IF(AND(B82&lt;=Assumptions!$B$123,A82&lt;=Assumptions!$B$124),Assumptions!$B$122,0)</f>
        <v>0</v>
      </c>
      <c r="BO82" s="32">
        <f t="shared" si="12"/>
        <v>0</v>
      </c>
      <c r="BP82" s="32">
        <f>SUMIFS(SL_Budget!$B:$B,SL_Budget!$C:$C,"'"&amp;TEXT(DATE(B82,A82,1),"YYYY-MM"))</f>
        <v>4908</v>
      </c>
      <c r="BQ82" s="32">
        <f>MAX(BP82, IFERROR(SUMIFS(ShadowLedger!D:D, 
  ShadowLedger!C:C, "&gt;="&amp;DATE(B82,A82,1), 
  ShadowLedger!C:C, "&lt;"&amp;EOMONTH(DATE(B82,A82,1),0)+1), 0))
</f>
        <v>4908</v>
      </c>
      <c r="BR82" s="32">
        <f t="shared" si="42"/>
        <v>757147.5472</v>
      </c>
      <c r="BS82" s="32">
        <f t="shared" si="43"/>
        <v>2488.2864</v>
      </c>
      <c r="BT82" s="32">
        <f>IF(AS82&gt;0,-MAX(0,21550-MAX(0,MAX(0,(AM82-AP82-BE82-BO82-BQ82)-Assumptions!$B$93))-MIN(MAX(0,21550-MAX(0,MAX(0,(AM82-AP82-BE82-BO82-BQ82)-Assumptions!$B$93))),MAX(0,BY81-Assumptions!$B$91))),IF(BY81&gt;=Assumptions!$B$92,MAX(0,(AM82-AP82-BE82-BO82-BQ82)-Assumptions!$B$93),MAX(0,(AM82-AP82-BE82-BO82-BQ82)-Assumptions!$B$93)*Assumptions!$B$99))</f>
        <v>11098.9968</v>
      </c>
      <c r="BU82" s="32">
        <f>(BR82+BS82+MAX(0,BT82))*(Assumptions!$B$43-1)</f>
        <v>5254.870074</v>
      </c>
      <c r="BV82" s="32">
        <f t="shared" si="13"/>
        <v>775989.7005</v>
      </c>
      <c r="BW82" s="32">
        <f t="shared" si="44"/>
        <v>18713.47572</v>
      </c>
      <c r="BX82" s="32">
        <f>IF(AS82&gt;0,-MIN(MAX(0,21550-MAX(0,MAX(0,(AM82-AP82-BE82-BO82-BQ82)-Assumptions!$B$93))),MAX(0,BY81-Assumptions!$B$91)),IF(BY81&lt;Assumptions!$B$92,MAX(0,(AM82-AP82-BE82-BO82-BQ82)-Assumptions!$B$93)*Assumptions!$B$98,0))</f>
        <v>0</v>
      </c>
      <c r="BY82" s="32">
        <f t="shared" si="14"/>
        <v>18713.47572</v>
      </c>
      <c r="BZ82" s="32">
        <f t="shared" si="45"/>
        <v>46958</v>
      </c>
      <c r="CA82" s="32">
        <f t="shared" si="15"/>
        <v>6202</v>
      </c>
      <c r="CB82" s="32">
        <f t="shared" si="16"/>
        <v>53160</v>
      </c>
      <c r="CC82" s="55">
        <f>CC81+(G82+J82)/(Salary_Schedule!E82*12/208)</f>
        <v>1789.874533</v>
      </c>
      <c r="CD82" s="55">
        <f>CD81+(O82+R82)/(Salary_Schedule!G82*12/208)</f>
        <v>117.7497022</v>
      </c>
      <c r="CE82" s="32">
        <f t="shared" si="17"/>
        <v>775989.7005</v>
      </c>
      <c r="CF82" s="32">
        <f>Assumptions!$B$55*(1+Assumptions!$B$56)^((B82-2025)+(A82-1)/12)</f>
        <v>582876.2156</v>
      </c>
      <c r="CG82" s="32">
        <f t="shared" si="18"/>
        <v>-159602.3567</v>
      </c>
      <c r="CH82" s="32">
        <f t="shared" si="19"/>
        <v>-15749.46</v>
      </c>
      <c r="CI82" s="32">
        <f>CC82*(Salary_Schedule!E82/173.33)*(1-Assumptions!$B$28)+CD82*(Salary_Schedule!G82/173.33)*(1-Assumptions!$B$28)</f>
        <v>69623.43849</v>
      </c>
      <c r="CJ82" s="32">
        <f t="shared" si="20"/>
        <v>1253137.538</v>
      </c>
    </row>
    <row r="83" ht="15.0" customHeight="1">
      <c r="A83" s="1">
        <v>10.0</v>
      </c>
      <c r="B83" s="1">
        <v>2032.0</v>
      </c>
      <c r="C83" s="1" t="s">
        <v>752</v>
      </c>
      <c r="D83" s="1" t="str">
        <f t="shared" si="21"/>
        <v>09/2032</v>
      </c>
      <c r="E83" s="1" t="str">
        <f t="shared" si="2"/>
        <v>FAT_RSU</v>
      </c>
      <c r="F83" s="32">
        <f>Salary_Schedule!E83</f>
        <v>9871.7</v>
      </c>
      <c r="G83" s="32">
        <f>Assumptions!$B$8</f>
        <v>200</v>
      </c>
      <c r="H83" s="32">
        <f>F83*Assumptions!$B$58</f>
        <v>987.17</v>
      </c>
      <c r="I83" s="32">
        <f>Salary_Schedule!F83</f>
        <v>0</v>
      </c>
      <c r="J83" s="32">
        <f>I83*Assumptions!$B$9</f>
        <v>0</v>
      </c>
      <c r="K83" s="54">
        <f t="shared" si="3"/>
        <v>8684.53</v>
      </c>
      <c r="L83" s="32">
        <f>IF(COUNTIFS(SL_Income_Log!$B:$B,TEXT(B83,"0000")&amp;"-"&amp;TEXT(A83,"00"),SL_Income_Log!$C:$C,"salary",SL_Income_Log!$E:$E,"H")&gt;0,SUMIFS(SL_Income_Log!$D:$D,SL_Income_Log!$B:$B,TEXT(B83,"0000")&amp;"-"&amp;TEXT(A83,"00"),SL_Income_Log!$C:$C,"salary",SL_Income_Log!$E:$E,"H"),K83*(1-Assumptions!$B$102)-Z83-Y83)</f>
        <v>4911.178</v>
      </c>
      <c r="M83" s="32">
        <f>RSU_Schedule!H82</f>
        <v>2784.99</v>
      </c>
      <c r="N83" s="32">
        <f>Salary_Schedule!G83</f>
        <v>7616.06</v>
      </c>
      <c r="O83" s="32">
        <f>Assumptions!$B$19</f>
        <v>200</v>
      </c>
      <c r="P83" s="32">
        <f>N83*Assumptions!$B$59</f>
        <v>761.606</v>
      </c>
      <c r="Q83" s="32">
        <f>Salary_Schedule!H83</f>
        <v>0</v>
      </c>
      <c r="R83" s="32">
        <f>Q83*Assumptions!$B$20</f>
        <v>0</v>
      </c>
      <c r="S83" s="54">
        <f t="shared" si="4"/>
        <v>6654.454</v>
      </c>
      <c r="T83" s="32">
        <f>IF(COUNTIFS(SL_Income_Log!$B:$B,TEXT(B83,"0000")&amp;"-"&amp;TEXT(A83,"00"),SL_Income_Log!$C:$C,"salary",SL_Income_Log!$E:$E,"W")&gt;0,SUMIFS(SL_Income_Log!$D:$D,SL_Income_Log!$B:$B,TEXT(B83,"0000")&amp;"-"&amp;TEXT(A83,"00"),SL_Income_Log!$C:$C,"salary",SL_Income_Log!$E:$E,"W"),S83*(1-Assumptions!$B$102)-AC83-AB83)
</f>
        <v>3693.1324</v>
      </c>
      <c r="U83" s="32">
        <f>RSU_Schedule!M82</f>
        <v>1392.51</v>
      </c>
      <c r="V83" s="32">
        <f>H83*(1+Assumptions!$B$60)+Assumptions!$B$61</f>
        <v>1402.038</v>
      </c>
      <c r="W83" s="32">
        <f>P83*(1+Assumptions!$B$60)+Assumptions!$B$61</f>
        <v>1086.2484</v>
      </c>
      <c r="X83" s="32">
        <f t="shared" si="5"/>
        <v>2488.2864</v>
      </c>
      <c r="Y83" s="32">
        <f t="shared" si="22"/>
        <v>7.87</v>
      </c>
      <c r="Z83" s="32">
        <v>291.67</v>
      </c>
      <c r="AA83" s="32">
        <f t="shared" si="23"/>
        <v>2333.06</v>
      </c>
      <c r="AB83" s="32">
        <f t="shared" si="24"/>
        <v>7.87</v>
      </c>
      <c r="AC83" s="32">
        <v>291.67</v>
      </c>
      <c r="AD83" s="32">
        <f t="shared" si="25"/>
        <v>2333.06</v>
      </c>
      <c r="AE83" s="32">
        <f t="shared" ref="AE83:AF83" si="124">Z83+AC83</f>
        <v>583.34</v>
      </c>
      <c r="AF83" s="32">
        <f t="shared" si="124"/>
        <v>4666.12</v>
      </c>
      <c r="AG83" s="32">
        <f>IF(COUNTIFS(SL_Income_Log!$B:$B,TEXT(B83,"0000")&amp;"-"&amp;TEXT(A83,"00"),SL_Income_Log!$C:$C,"youtube")&gt;0,SUMIFS(SL_Income_Log!$D:$D,SL_Income_Log!$B:$B,TEXT(B83,"0000")&amp;"-"&amp;TEXT(A83,"00"),SL_Income_Log!$C:$C,"youtube"),MIN(Assumptions!$B$49+FLOOR((ROW()-2)/6,1)*Assumptions!$B$50,Assumptions!$B$51))
</f>
        <v>14000</v>
      </c>
      <c r="AH83" s="32">
        <f>AG83*Assumptions!$B$104</f>
        <v>6202</v>
      </c>
      <c r="AI83" s="32">
        <f t="shared" si="7"/>
        <v>7798</v>
      </c>
      <c r="AJ83" s="32">
        <f>SUMIFS(SL_Income_Log!$D:$D,SL_Income_Log!$B:$B,TEXT(B83,"0000")&amp;"-"&amp;TEXT(A83,"00"),SL_Income_Log!$C:$C,"other")</f>
        <v>0</v>
      </c>
      <c r="AK83" s="32">
        <f t="shared" si="27"/>
        <v>10000</v>
      </c>
      <c r="AL83" s="32">
        <f>L83+M83+T83+U83+AI83+AJ83-Y83-Z83-AB83-AC83+IF((Debt_Register!$C$2+Debt_Register!$C$6+Debt_Register!$C$7+Debt_Register!$C$8+Debt_Register!$C$9)&gt;5,X83,0)</f>
        <v>22469.0168</v>
      </c>
      <c r="AM83" s="32">
        <f t="shared" si="8"/>
        <v>32469.0168</v>
      </c>
      <c r="AN83" s="32">
        <f>MAX(Assumptions!$B$94,MIN(Assumptions!$B$93,AM83-AP83-BE83-BO83-BQ83))</f>
        <v>10000</v>
      </c>
      <c r="AO83" s="32">
        <f t="shared" si="28"/>
        <v>159602.3567</v>
      </c>
      <c r="AP83" s="32">
        <f>IF(AO83&gt;0,Assumptions!$B$33,0)</f>
        <v>2281</v>
      </c>
      <c r="AQ83" s="32">
        <f>AO83*Assumptions!$B$32/12</f>
        <v>517.3776396</v>
      </c>
      <c r="AR83" s="32">
        <f t="shared" si="9"/>
        <v>1763.62236</v>
      </c>
      <c r="AS83" s="32">
        <f t="shared" si="29"/>
        <v>0</v>
      </c>
      <c r="AT83" s="32">
        <f t="shared" si="10"/>
        <v>157838.7343</v>
      </c>
      <c r="AU83" s="32">
        <f t="shared" si="30"/>
        <v>0</v>
      </c>
      <c r="AV83" s="32">
        <f t="shared" si="31"/>
        <v>0</v>
      </c>
      <c r="AW83" s="32">
        <f t="shared" si="32"/>
        <v>0</v>
      </c>
      <c r="AX83" s="32">
        <f t="shared" si="33"/>
        <v>0</v>
      </c>
      <c r="AY83" s="32">
        <f t="shared" si="34"/>
        <v>0</v>
      </c>
      <c r="AZ83" s="32">
        <f t="shared" si="35"/>
        <v>0</v>
      </c>
      <c r="BA83" s="32">
        <f t="shared" si="36"/>
        <v>0</v>
      </c>
      <c r="BB83" s="32">
        <f t="shared" si="37"/>
        <v>0</v>
      </c>
      <c r="BC83" s="32">
        <f t="shared" si="38"/>
        <v>0</v>
      </c>
      <c r="BD83" s="32">
        <f t="shared" si="39"/>
        <v>0</v>
      </c>
      <c r="BE83" s="32">
        <f t="shared" si="11"/>
        <v>0</v>
      </c>
      <c r="BF83" s="32">
        <v>0.0</v>
      </c>
      <c r="BG83" s="32">
        <f t="shared" si="40"/>
        <v>5500</v>
      </c>
      <c r="BH83" s="32">
        <v>0.0</v>
      </c>
      <c r="BI83" s="32">
        <f t="shared" si="41"/>
        <v>5000</v>
      </c>
      <c r="BJ83" s="32">
        <f>IF(OR(B83&lt;Assumptions!$B$111,AND(B83=Assumptions!$B$111,A83&lt;=Assumptions!$B$112)),Assumptions!$B$110,0)</f>
        <v>0</v>
      </c>
      <c r="BK83" s="32">
        <f>IF(B83&lt;2027,Assumptions!$B$116+IF(OR(A83=4,A83=10),Assumptions!$B$117,0),IF(AND(B83=2027,A83&lt;=4),IF(A83=4,MIN(950,Assumptions!$B$116+Assumptions!$B$117),Assumptions!$B$116),0))</f>
        <v>0</v>
      </c>
      <c r="BL83" s="32">
        <f>IF(OR(B83&lt;2030,AND(B83=2030,A83&lt;8)),Assumptions!$B$118,IF(AND(B83=2030,A83=8),MOD(11000,200),0))</f>
        <v>0</v>
      </c>
      <c r="BM83" s="32">
        <f>IF(OR(B83&lt;Assumptions!$B$120,AND(B83=Assumptions!$B$120,A83&lt;=Assumptions!$B$121)),Assumptions!$B$119,0)</f>
        <v>0</v>
      </c>
      <c r="BN83" s="32">
        <f>IF(AND(B83&lt;=Assumptions!$B$123,A83&lt;=Assumptions!$B$124),Assumptions!$B$122,0)</f>
        <v>0</v>
      </c>
      <c r="BO83" s="32">
        <f t="shared" si="12"/>
        <v>0</v>
      </c>
      <c r="BP83" s="32">
        <f>SUMIFS(SL_Budget!$B:$B,SL_Budget!$C:$C,"'"&amp;TEXT(DATE(B83,A83,1),"YYYY-MM"))</f>
        <v>4908</v>
      </c>
      <c r="BQ83" s="32">
        <f>MAX(BP83, IFERROR(SUMIFS(ShadowLedger!D:D, 
  ShadowLedger!C:C, "&gt;="&amp;DATE(B83,A83,1), 
  ShadowLedger!C:C, "&lt;"&amp;EOMONTH(DATE(B83,A83,1),0)+1), 0))
</f>
        <v>4908</v>
      </c>
      <c r="BR83" s="32">
        <f t="shared" si="42"/>
        <v>775989.7005</v>
      </c>
      <c r="BS83" s="32">
        <f t="shared" si="43"/>
        <v>2488.2864</v>
      </c>
      <c r="BT83" s="32">
        <f>IF(AS83&gt;0,-MAX(0,21550-MAX(0,MAX(0,(AM83-AP83-BE83-BO83-BQ83)-Assumptions!$B$93))-MIN(MAX(0,21550-MAX(0,MAX(0,(AM83-AP83-BE83-BO83-BQ83)-Assumptions!$B$93))),MAX(0,BY82-Assumptions!$B$91))),IF(BY82&gt;=Assumptions!$B$92,MAX(0,(AM83-AP83-BE83-BO83-BQ83)-Assumptions!$B$93),MAX(0,(AM83-AP83-BE83-BO83-BQ83)-Assumptions!$B$93)*Assumptions!$B$99))</f>
        <v>15280.0168</v>
      </c>
      <c r="BU83" s="32">
        <f>(BR83+BS83+MAX(0,BT83))*(Assumptions!$B$43-1)</f>
        <v>5411.842069</v>
      </c>
      <c r="BV83" s="32">
        <f t="shared" si="13"/>
        <v>799169.8458</v>
      </c>
      <c r="BW83" s="32">
        <f t="shared" si="44"/>
        <v>18713.47572</v>
      </c>
      <c r="BX83" s="32">
        <f>IF(AS83&gt;0,-MIN(MAX(0,21550-MAX(0,MAX(0,(AM83-AP83-BE83-BO83-BQ83)-Assumptions!$B$93))),MAX(0,BY82-Assumptions!$B$91)),IF(BY82&lt;Assumptions!$B$92,MAX(0,(AM83-AP83-BE83-BO83-BQ83)-Assumptions!$B$93)*Assumptions!$B$98,0))</f>
        <v>0</v>
      </c>
      <c r="BY83" s="32">
        <f t="shared" si="14"/>
        <v>18713.47572</v>
      </c>
      <c r="BZ83" s="32">
        <f t="shared" si="45"/>
        <v>53160</v>
      </c>
      <c r="CA83" s="32">
        <f t="shared" si="15"/>
        <v>6202</v>
      </c>
      <c r="CB83" s="32">
        <f t="shared" si="16"/>
        <v>59362</v>
      </c>
      <c r="CC83" s="55">
        <f>CC82+(G83+J83)/(Salary_Schedule!E83*12/208)</f>
        <v>1790.225705</v>
      </c>
      <c r="CD83" s="55">
        <f>CD82+(O83+R83)/(Salary_Schedule!G83*12/208)</f>
        <v>118.2048807</v>
      </c>
      <c r="CE83" s="32">
        <f t="shared" si="17"/>
        <v>799169.8458</v>
      </c>
      <c r="CF83" s="32">
        <f>Assumptions!$B$55*(1+Assumptions!$B$56)^((B83-2025)+(A83-1)/12)</f>
        <v>583599.8493</v>
      </c>
      <c r="CG83" s="32">
        <f t="shared" si="18"/>
        <v>-157838.7343</v>
      </c>
      <c r="CH83" s="32">
        <f t="shared" si="19"/>
        <v>-15166.12</v>
      </c>
      <c r="CI83" s="32">
        <f>CC83*(Salary_Schedule!E83/173.33)*(1-Assumptions!$B$28)+CD83*(Salary_Schedule!G83/173.33)*(1-Assumptions!$B$28)</f>
        <v>69649.43899</v>
      </c>
      <c r="CJ83" s="32">
        <f t="shared" si="20"/>
        <v>1279414.28</v>
      </c>
    </row>
    <row r="84" ht="15.0" customHeight="1">
      <c r="A84" s="1">
        <v>11.0</v>
      </c>
      <c r="B84" s="1">
        <v>2032.0</v>
      </c>
      <c r="C84" s="1" t="s">
        <v>753</v>
      </c>
      <c r="D84" s="1" t="str">
        <f t="shared" si="21"/>
        <v>10/2032</v>
      </c>
      <c r="E84" s="1" t="str">
        <f t="shared" si="2"/>
        <v>LEAN</v>
      </c>
      <c r="F84" s="32">
        <f>Salary_Schedule!E84</f>
        <v>9871.7</v>
      </c>
      <c r="G84" s="32">
        <f>Assumptions!$B$8</f>
        <v>200</v>
      </c>
      <c r="H84" s="32">
        <f>F84*Assumptions!$B$58</f>
        <v>987.17</v>
      </c>
      <c r="I84" s="32">
        <f>Salary_Schedule!F84</f>
        <v>0</v>
      </c>
      <c r="J84" s="32">
        <f>I84*Assumptions!$B$9</f>
        <v>0</v>
      </c>
      <c r="K84" s="54">
        <f t="shared" si="3"/>
        <v>8684.53</v>
      </c>
      <c r="L84" s="32">
        <f>IF(COUNTIFS(SL_Income_Log!$B:$B,TEXT(B84,"0000")&amp;"-"&amp;TEXT(A84,"00"),SL_Income_Log!$C:$C,"salary",SL_Income_Log!$E:$E,"H")&gt;0,SUMIFS(SL_Income_Log!$D:$D,SL_Income_Log!$B:$B,TEXT(B84,"0000")&amp;"-"&amp;TEXT(A84,"00"),SL_Income_Log!$C:$C,"salary",SL_Income_Log!$E:$E,"H"),K84*(1-Assumptions!$B$102)-Z84-Y84)</f>
        <v>4912.048</v>
      </c>
      <c r="M84" s="32">
        <f>RSU_Schedule!H83</f>
        <v>0</v>
      </c>
      <c r="N84" s="32">
        <f>Salary_Schedule!G84</f>
        <v>7616.06</v>
      </c>
      <c r="O84" s="32">
        <f>Assumptions!$B$19</f>
        <v>200</v>
      </c>
      <c r="P84" s="32">
        <f>N84*Assumptions!$B$59</f>
        <v>761.606</v>
      </c>
      <c r="Q84" s="32">
        <f>Salary_Schedule!H84</f>
        <v>0</v>
      </c>
      <c r="R84" s="32">
        <f>Q84*Assumptions!$B$20</f>
        <v>0</v>
      </c>
      <c r="S84" s="54">
        <f t="shared" si="4"/>
        <v>6654.454</v>
      </c>
      <c r="T84" s="32">
        <f>IF(COUNTIFS(SL_Income_Log!$B:$B,TEXT(B84,"0000")&amp;"-"&amp;TEXT(A84,"00"),SL_Income_Log!$C:$C,"salary",SL_Income_Log!$E:$E,"W")&gt;0,SUMIFS(SL_Income_Log!$D:$D,SL_Income_Log!$B:$B,TEXT(B84,"0000")&amp;"-"&amp;TEXT(A84,"00"),SL_Income_Log!$C:$C,"salary",SL_Income_Log!$E:$E,"W"),S84*(1-Assumptions!$B$102)-AC84-AB84)
</f>
        <v>3694.0024</v>
      </c>
      <c r="U84" s="32">
        <f>RSU_Schedule!M83</f>
        <v>0</v>
      </c>
      <c r="V84" s="32">
        <f>H84*(1+Assumptions!$B$60)+Assumptions!$B$61</f>
        <v>1402.038</v>
      </c>
      <c r="W84" s="32">
        <f>P84*(1+Assumptions!$B$60)+Assumptions!$B$61</f>
        <v>1086.2484</v>
      </c>
      <c r="X84" s="32">
        <f t="shared" si="5"/>
        <v>2488.2864</v>
      </c>
      <c r="Y84" s="32">
        <f t="shared" si="22"/>
        <v>7</v>
      </c>
      <c r="Z84" s="32">
        <v>291.67</v>
      </c>
      <c r="AA84" s="32">
        <f t="shared" si="23"/>
        <v>2041.39</v>
      </c>
      <c r="AB84" s="32">
        <f t="shared" si="24"/>
        <v>7</v>
      </c>
      <c r="AC84" s="32">
        <v>291.67</v>
      </c>
      <c r="AD84" s="32">
        <f t="shared" si="25"/>
        <v>2041.39</v>
      </c>
      <c r="AE84" s="32">
        <f t="shared" ref="AE84:AF84" si="125">Z84+AC84</f>
        <v>583.34</v>
      </c>
      <c r="AF84" s="32">
        <f t="shared" si="125"/>
        <v>4082.78</v>
      </c>
      <c r="AG84" s="32">
        <f>IF(COUNTIFS(SL_Income_Log!$B:$B,TEXT(B84,"0000")&amp;"-"&amp;TEXT(A84,"00"),SL_Income_Log!$C:$C,"youtube")&gt;0,SUMIFS(SL_Income_Log!$D:$D,SL_Income_Log!$B:$B,TEXT(B84,"0000")&amp;"-"&amp;TEXT(A84,"00"),SL_Income_Log!$C:$C,"youtube"),MIN(Assumptions!$B$49+FLOOR((ROW()-2)/6,1)*Assumptions!$B$50,Assumptions!$B$51))
</f>
        <v>14000</v>
      </c>
      <c r="AH84" s="32">
        <f>AG84*Assumptions!$B$104</f>
        <v>6202</v>
      </c>
      <c r="AI84" s="32">
        <f t="shared" si="7"/>
        <v>7798</v>
      </c>
      <c r="AJ84" s="32">
        <f>SUMIFS(SL_Income_Log!$D:$D,SL_Income_Log!$B:$B,TEXT(B84,"0000")&amp;"-"&amp;TEXT(A84,"00"),SL_Income_Log!$C:$C,"other")</f>
        <v>0</v>
      </c>
      <c r="AK84" s="32">
        <f t="shared" si="27"/>
        <v>10000</v>
      </c>
      <c r="AL84" s="32">
        <f>L84+M84+T84+U84+AI84+AJ84-Y84-Z84-AB84-AC84+IF((Debt_Register!$C$2+Debt_Register!$C$6+Debt_Register!$C$7+Debt_Register!$C$8+Debt_Register!$C$9)&gt;5,X84,0)</f>
        <v>18294.9968</v>
      </c>
      <c r="AM84" s="32">
        <f t="shared" si="8"/>
        <v>28294.9968</v>
      </c>
      <c r="AN84" s="32">
        <f>MAX(Assumptions!$B$94,MIN(Assumptions!$B$93,AM84-AP84-BE84-BO84-BQ84))</f>
        <v>10000</v>
      </c>
      <c r="AO84" s="32">
        <f t="shared" si="28"/>
        <v>157838.7343</v>
      </c>
      <c r="AP84" s="32">
        <f>IF(AO84&gt;0,Assumptions!$B$33,0)</f>
        <v>2281</v>
      </c>
      <c r="AQ84" s="32">
        <f>AO84*Assumptions!$B$32/12</f>
        <v>511.6605638</v>
      </c>
      <c r="AR84" s="32">
        <f t="shared" si="9"/>
        <v>1769.339436</v>
      </c>
      <c r="AS84" s="32">
        <f t="shared" si="29"/>
        <v>0</v>
      </c>
      <c r="AT84" s="32">
        <f t="shared" si="10"/>
        <v>156069.3949</v>
      </c>
      <c r="AU84" s="32">
        <f t="shared" si="30"/>
        <v>0</v>
      </c>
      <c r="AV84" s="32">
        <f t="shared" si="31"/>
        <v>0</v>
      </c>
      <c r="AW84" s="32">
        <f t="shared" si="32"/>
        <v>0</v>
      </c>
      <c r="AX84" s="32">
        <f t="shared" si="33"/>
        <v>0</v>
      </c>
      <c r="AY84" s="32">
        <f t="shared" si="34"/>
        <v>0</v>
      </c>
      <c r="AZ84" s="32">
        <f t="shared" si="35"/>
        <v>0</v>
      </c>
      <c r="BA84" s="32">
        <f t="shared" si="36"/>
        <v>0</v>
      </c>
      <c r="BB84" s="32">
        <f t="shared" si="37"/>
        <v>0</v>
      </c>
      <c r="BC84" s="32">
        <f t="shared" si="38"/>
        <v>0</v>
      </c>
      <c r="BD84" s="32">
        <f t="shared" si="39"/>
        <v>0</v>
      </c>
      <c r="BE84" s="32">
        <f t="shared" si="11"/>
        <v>0</v>
      </c>
      <c r="BF84" s="32">
        <v>0.0</v>
      </c>
      <c r="BG84" s="32">
        <f t="shared" si="40"/>
        <v>5500</v>
      </c>
      <c r="BH84" s="32">
        <v>0.0</v>
      </c>
      <c r="BI84" s="32">
        <f t="shared" si="41"/>
        <v>5000</v>
      </c>
      <c r="BJ84" s="32">
        <f>IF(OR(B84&lt;Assumptions!$B$111,AND(B84=Assumptions!$B$111,A84&lt;=Assumptions!$B$112)),Assumptions!$B$110,0)</f>
        <v>0</v>
      </c>
      <c r="BK84" s="32">
        <f>IF(B84&lt;2027,Assumptions!$B$116+IF(OR(A84=4,A84=10),Assumptions!$B$117,0),IF(AND(B84=2027,A84&lt;=4),IF(A84=4,MIN(950,Assumptions!$B$116+Assumptions!$B$117),Assumptions!$B$116),0))</f>
        <v>0</v>
      </c>
      <c r="BL84" s="32">
        <f>IF(OR(B84&lt;2030,AND(B84=2030,A84&lt;8)),Assumptions!$B$118,IF(AND(B84=2030,A84=8),MOD(11000,200),0))</f>
        <v>0</v>
      </c>
      <c r="BM84" s="32">
        <f>IF(OR(B84&lt;Assumptions!$B$120,AND(B84=Assumptions!$B$120,A84&lt;=Assumptions!$B$121)),Assumptions!$B$119,0)</f>
        <v>0</v>
      </c>
      <c r="BN84" s="32">
        <f>IF(AND(B84&lt;=Assumptions!$B$123,A84&lt;=Assumptions!$B$124),Assumptions!$B$122,0)</f>
        <v>0</v>
      </c>
      <c r="BO84" s="32">
        <f t="shared" si="12"/>
        <v>0</v>
      </c>
      <c r="BP84" s="32">
        <f>SUMIFS(SL_Budget!$B:$B,SL_Budget!$C:$C,"'"&amp;TEXT(DATE(B84,A84,1),"YYYY-MM"))</f>
        <v>4908</v>
      </c>
      <c r="BQ84" s="32">
        <f>MAX(BP84, IFERROR(SUMIFS(ShadowLedger!D:D, 
  ShadowLedger!C:C, "&gt;="&amp;DATE(B84,A84,1), 
  ShadowLedger!C:C, "&lt;"&amp;EOMONTH(DATE(B84,A84,1),0)+1), 0))
</f>
        <v>4908</v>
      </c>
      <c r="BR84" s="32">
        <f t="shared" si="42"/>
        <v>799169.8458</v>
      </c>
      <c r="BS84" s="32">
        <f t="shared" si="43"/>
        <v>2488.2864</v>
      </c>
      <c r="BT84" s="32">
        <f>IF(AS84&gt;0,-MAX(0,21550-MAX(0,MAX(0,(AM84-AP84-BE84-BO84-BQ84)-Assumptions!$B$93))-MIN(MAX(0,21550-MAX(0,MAX(0,(AM84-AP84-BE84-BO84-BQ84)-Assumptions!$B$93))),MAX(0,BY83-Assumptions!$B$91))),IF(BY83&gt;=Assumptions!$B$92,MAX(0,(AM84-AP84-BE84-BO84-BQ84)-Assumptions!$B$93),MAX(0,(AM84-AP84-BE84-BO84-BQ84)-Assumptions!$B$93)*Assumptions!$B$99))</f>
        <v>11105.9968</v>
      </c>
      <c r="BU84" s="32">
        <f>(BR84+BS84+MAX(0,BT84))*(Assumptions!$B$43-1)</f>
        <v>5541.425831</v>
      </c>
      <c r="BV84" s="32">
        <f t="shared" si="13"/>
        <v>818305.5548</v>
      </c>
      <c r="BW84" s="32">
        <f t="shared" si="44"/>
        <v>18713.47572</v>
      </c>
      <c r="BX84" s="32">
        <f>IF(AS84&gt;0,-MIN(MAX(0,21550-MAX(0,MAX(0,(AM84-AP84-BE84-BO84-BQ84)-Assumptions!$B$93))),MAX(0,BY83-Assumptions!$B$91)),IF(BY83&lt;Assumptions!$B$92,MAX(0,(AM84-AP84-BE84-BO84-BQ84)-Assumptions!$B$93)*Assumptions!$B$98,0))</f>
        <v>0</v>
      </c>
      <c r="BY84" s="32">
        <f t="shared" si="14"/>
        <v>18713.47572</v>
      </c>
      <c r="BZ84" s="32">
        <f t="shared" si="45"/>
        <v>59362</v>
      </c>
      <c r="CA84" s="32">
        <f t="shared" si="15"/>
        <v>6202</v>
      </c>
      <c r="CB84" s="32">
        <f t="shared" si="16"/>
        <v>65564</v>
      </c>
      <c r="CC84" s="55">
        <f>CC83+(G84+J84)/(Salary_Schedule!E84*12/208)</f>
        <v>1790.576877</v>
      </c>
      <c r="CD84" s="55">
        <f>CD83+(O84+R84)/(Salary_Schedule!G84*12/208)</f>
        <v>118.6600592</v>
      </c>
      <c r="CE84" s="32">
        <f t="shared" si="17"/>
        <v>818305.5548</v>
      </c>
      <c r="CF84" s="32">
        <f>Assumptions!$B$55*(1+Assumptions!$B$56)^((B84-2025)+(A84-1)/12)</f>
        <v>584324.3813</v>
      </c>
      <c r="CG84" s="32">
        <f t="shared" si="18"/>
        <v>-156069.3949</v>
      </c>
      <c r="CH84" s="32">
        <f t="shared" si="19"/>
        <v>-14582.78</v>
      </c>
      <c r="CI84" s="32">
        <f>CC84*(Salary_Schedule!E84/173.33)*(1-Assumptions!$B$28)+CD84*(Salary_Schedule!G84/173.33)*(1-Assumptions!$B$28)</f>
        <v>69675.43949</v>
      </c>
      <c r="CJ84" s="32">
        <f t="shared" si="20"/>
        <v>1301653.201</v>
      </c>
    </row>
    <row r="85" ht="15.0" customHeight="1">
      <c r="A85" s="1">
        <v>12.0</v>
      </c>
      <c r="B85" s="1">
        <v>2032.0</v>
      </c>
      <c r="C85" s="1" t="s">
        <v>754</v>
      </c>
      <c r="D85" s="1" t="str">
        <f t="shared" si="21"/>
        <v>11/2032</v>
      </c>
      <c r="E85" s="1" t="str">
        <f t="shared" si="2"/>
        <v>LEAN</v>
      </c>
      <c r="F85" s="32">
        <f>Salary_Schedule!E85</f>
        <v>9871.7</v>
      </c>
      <c r="G85" s="32">
        <f>Assumptions!$B$8</f>
        <v>200</v>
      </c>
      <c r="H85" s="32">
        <f>F85*Assumptions!$B$58</f>
        <v>987.17</v>
      </c>
      <c r="I85" s="32">
        <f>Salary_Schedule!F85</f>
        <v>0</v>
      </c>
      <c r="J85" s="32">
        <f>I85*Assumptions!$B$9</f>
        <v>0</v>
      </c>
      <c r="K85" s="54">
        <f t="shared" si="3"/>
        <v>8684.53</v>
      </c>
      <c r="L85" s="32">
        <f>IF(COUNTIFS(SL_Income_Log!$B:$B,TEXT(B85,"0000")&amp;"-"&amp;TEXT(A85,"00"),SL_Income_Log!$C:$C,"salary",SL_Income_Log!$E:$E,"H")&gt;0,SUMIFS(SL_Income_Log!$D:$D,SL_Income_Log!$B:$B,TEXT(B85,"0000")&amp;"-"&amp;TEXT(A85,"00"),SL_Income_Log!$C:$C,"salary",SL_Income_Log!$E:$E,"H"),K85*(1-Assumptions!$B$102)-Z85-Y85)</f>
        <v>4912.928</v>
      </c>
      <c r="M85" s="32">
        <f>RSU_Schedule!H84</f>
        <v>0</v>
      </c>
      <c r="N85" s="32">
        <f>Salary_Schedule!G85</f>
        <v>7616.06</v>
      </c>
      <c r="O85" s="32">
        <f>Assumptions!$B$19</f>
        <v>200</v>
      </c>
      <c r="P85" s="32">
        <f>N85*Assumptions!$B$59</f>
        <v>761.606</v>
      </c>
      <c r="Q85" s="32">
        <f>Salary_Schedule!H85</f>
        <v>0</v>
      </c>
      <c r="R85" s="32">
        <f>Q85*Assumptions!$B$20</f>
        <v>0</v>
      </c>
      <c r="S85" s="54">
        <f t="shared" si="4"/>
        <v>6654.454</v>
      </c>
      <c r="T85" s="32">
        <f>IF(COUNTIFS(SL_Income_Log!$B:$B,TEXT(B85,"0000")&amp;"-"&amp;TEXT(A85,"00"),SL_Income_Log!$C:$C,"salary",SL_Income_Log!$E:$E,"W")&gt;0,SUMIFS(SL_Income_Log!$D:$D,SL_Income_Log!$B:$B,TEXT(B85,"0000")&amp;"-"&amp;TEXT(A85,"00"),SL_Income_Log!$C:$C,"salary",SL_Income_Log!$E:$E,"W"),S85*(1-Assumptions!$B$102)-AC85-AB85)
</f>
        <v>3694.8824</v>
      </c>
      <c r="U85" s="32">
        <f>RSU_Schedule!M84</f>
        <v>0</v>
      </c>
      <c r="V85" s="32">
        <f>H85*(1+Assumptions!$B$60)+Assumptions!$B$61</f>
        <v>1402.038</v>
      </c>
      <c r="W85" s="32">
        <f>P85*(1+Assumptions!$B$60)+Assumptions!$B$61</f>
        <v>1086.2484</v>
      </c>
      <c r="X85" s="32">
        <f t="shared" si="5"/>
        <v>2488.2864</v>
      </c>
      <c r="Y85" s="32">
        <f t="shared" si="22"/>
        <v>6.12</v>
      </c>
      <c r="Z85" s="32">
        <v>291.67</v>
      </c>
      <c r="AA85" s="32">
        <f t="shared" si="23"/>
        <v>1749.72</v>
      </c>
      <c r="AB85" s="32">
        <f t="shared" si="24"/>
        <v>6.12</v>
      </c>
      <c r="AC85" s="32">
        <v>291.67</v>
      </c>
      <c r="AD85" s="32">
        <f t="shared" si="25"/>
        <v>1749.72</v>
      </c>
      <c r="AE85" s="32">
        <f t="shared" ref="AE85:AF85" si="126">Z85+AC85</f>
        <v>583.34</v>
      </c>
      <c r="AF85" s="32">
        <f t="shared" si="126"/>
        <v>3499.44</v>
      </c>
      <c r="AG85" s="32">
        <f>IF(COUNTIFS(SL_Income_Log!$B:$B,TEXT(B85,"0000")&amp;"-"&amp;TEXT(A85,"00"),SL_Income_Log!$C:$C,"youtube")&gt;0,SUMIFS(SL_Income_Log!$D:$D,SL_Income_Log!$B:$B,TEXT(B85,"0000")&amp;"-"&amp;TEXT(A85,"00"),SL_Income_Log!$C:$C,"youtube"),MIN(Assumptions!$B$49+FLOOR((ROW()-2)/6,1)*Assumptions!$B$50,Assumptions!$B$51))
</f>
        <v>14000</v>
      </c>
      <c r="AH85" s="32">
        <f>AG85*Assumptions!$B$104</f>
        <v>6202</v>
      </c>
      <c r="AI85" s="32">
        <f t="shared" si="7"/>
        <v>7798</v>
      </c>
      <c r="AJ85" s="32">
        <f>SUMIFS(SL_Income_Log!$D:$D,SL_Income_Log!$B:$B,TEXT(B85,"0000")&amp;"-"&amp;TEXT(A85,"00"),SL_Income_Log!$C:$C,"other")</f>
        <v>0</v>
      </c>
      <c r="AK85" s="32">
        <f t="shared" si="27"/>
        <v>10000</v>
      </c>
      <c r="AL85" s="32">
        <f>L85+M85+T85+U85+AI85+AJ85-Y85-Z85-AB85-AC85+IF((Debt_Register!$C$2+Debt_Register!$C$6+Debt_Register!$C$7+Debt_Register!$C$8+Debt_Register!$C$9)&gt;5,X85,0)</f>
        <v>18298.5168</v>
      </c>
      <c r="AM85" s="32">
        <f t="shared" si="8"/>
        <v>28298.5168</v>
      </c>
      <c r="AN85" s="32">
        <f>MAX(Assumptions!$B$94,MIN(Assumptions!$B$93,AM85-AP85-BE85-BO85-BQ85))</f>
        <v>10000</v>
      </c>
      <c r="AO85" s="32">
        <f t="shared" si="28"/>
        <v>156069.3949</v>
      </c>
      <c r="AP85" s="32">
        <f>IF(AO85&gt;0,Assumptions!$B$33,0)</f>
        <v>2281</v>
      </c>
      <c r="AQ85" s="32">
        <f>AO85*Assumptions!$B$32/12</f>
        <v>505.9249551</v>
      </c>
      <c r="AR85" s="32">
        <f t="shared" si="9"/>
        <v>1775.075045</v>
      </c>
      <c r="AS85" s="32">
        <f t="shared" si="29"/>
        <v>0</v>
      </c>
      <c r="AT85" s="32">
        <f t="shared" si="10"/>
        <v>154294.3199</v>
      </c>
      <c r="AU85" s="32">
        <f t="shared" si="30"/>
        <v>0</v>
      </c>
      <c r="AV85" s="32">
        <f t="shared" si="31"/>
        <v>0</v>
      </c>
      <c r="AW85" s="32">
        <f t="shared" si="32"/>
        <v>0</v>
      </c>
      <c r="AX85" s="32">
        <f t="shared" si="33"/>
        <v>0</v>
      </c>
      <c r="AY85" s="32">
        <f t="shared" si="34"/>
        <v>0</v>
      </c>
      <c r="AZ85" s="32">
        <f t="shared" si="35"/>
        <v>0</v>
      </c>
      <c r="BA85" s="32">
        <f t="shared" si="36"/>
        <v>0</v>
      </c>
      <c r="BB85" s="32">
        <f t="shared" si="37"/>
        <v>0</v>
      </c>
      <c r="BC85" s="32">
        <f t="shared" si="38"/>
        <v>0</v>
      </c>
      <c r="BD85" s="32">
        <f t="shared" si="39"/>
        <v>0</v>
      </c>
      <c r="BE85" s="32">
        <f t="shared" si="11"/>
        <v>0</v>
      </c>
      <c r="BF85" s="32">
        <v>0.0</v>
      </c>
      <c r="BG85" s="32">
        <f t="shared" si="40"/>
        <v>5500</v>
      </c>
      <c r="BH85" s="32">
        <v>0.0</v>
      </c>
      <c r="BI85" s="32">
        <f t="shared" si="41"/>
        <v>5000</v>
      </c>
      <c r="BJ85" s="32">
        <f>IF(OR(B85&lt;Assumptions!$B$111,AND(B85=Assumptions!$B$111,A85&lt;=Assumptions!$B$112)),Assumptions!$B$110,0)</f>
        <v>0</v>
      </c>
      <c r="BK85" s="32">
        <f>IF(B85&lt;2027,Assumptions!$B$116+IF(OR(A85=4,A85=10),Assumptions!$B$117,0),IF(AND(B85=2027,A85&lt;=4),IF(A85=4,MIN(950,Assumptions!$B$116+Assumptions!$B$117),Assumptions!$B$116),0))</f>
        <v>0</v>
      </c>
      <c r="BL85" s="32">
        <f>IF(OR(B85&lt;2030,AND(B85=2030,A85&lt;8)),Assumptions!$B$118,IF(AND(B85=2030,A85=8),MOD(11000,200),0))</f>
        <v>0</v>
      </c>
      <c r="BM85" s="32">
        <f>IF(OR(B85&lt;Assumptions!$B$120,AND(B85=Assumptions!$B$120,A85&lt;=Assumptions!$B$121)),Assumptions!$B$119,0)</f>
        <v>0</v>
      </c>
      <c r="BN85" s="32">
        <f>IF(AND(B85&lt;=Assumptions!$B$123,A85&lt;=Assumptions!$B$124),Assumptions!$B$122,0)</f>
        <v>0</v>
      </c>
      <c r="BO85" s="32">
        <f t="shared" si="12"/>
        <v>0</v>
      </c>
      <c r="BP85" s="32">
        <f>SUMIFS(SL_Budget!$B:$B,SL_Budget!$C:$C,"'"&amp;TEXT(DATE(B85,A85,1),"YYYY-MM"))</f>
        <v>4908</v>
      </c>
      <c r="BQ85" s="32">
        <f>MAX(BP85, IFERROR(SUMIFS(ShadowLedger!D:D, 
  ShadowLedger!C:C, "&gt;="&amp;DATE(B85,A85,1), 
  ShadowLedger!C:C, "&lt;"&amp;EOMONTH(DATE(B85,A85,1),0)+1), 0))
</f>
        <v>4908</v>
      </c>
      <c r="BR85" s="32">
        <f t="shared" si="42"/>
        <v>818305.5548</v>
      </c>
      <c r="BS85" s="32">
        <f t="shared" si="43"/>
        <v>2488.2864</v>
      </c>
      <c r="BT85" s="32">
        <f>IF(AS85&gt;0,-MAX(0,21550-MAX(0,MAX(0,(AM85-AP85-BE85-BO85-BQ85)-Assumptions!$B$93))-MIN(MAX(0,21550-MAX(0,MAX(0,(AM85-AP85-BE85-BO85-BQ85)-Assumptions!$B$93))),MAX(0,BY84-Assumptions!$B$91))),IF(BY84&gt;=Assumptions!$B$92,MAX(0,(AM85-AP85-BE85-BO85-BQ85)-Assumptions!$B$93),MAX(0,(AM85-AP85-BE85-BO85-BQ85)-Assumptions!$B$93)*Assumptions!$B$99))</f>
        <v>11109.5168</v>
      </c>
      <c r="BU85" s="32">
        <f>(BR85+BS85+MAX(0,BT85))*(Assumptions!$B$43-1)</f>
        <v>5671.917095</v>
      </c>
      <c r="BV85" s="32">
        <f t="shared" si="13"/>
        <v>837575.2751</v>
      </c>
      <c r="BW85" s="32">
        <f t="shared" si="44"/>
        <v>18713.47572</v>
      </c>
      <c r="BX85" s="32">
        <f>IF(AS85&gt;0,-MIN(MAX(0,21550-MAX(0,MAX(0,(AM85-AP85-BE85-BO85-BQ85)-Assumptions!$B$93))),MAX(0,BY84-Assumptions!$B$91)),IF(BY84&lt;Assumptions!$B$92,MAX(0,(AM85-AP85-BE85-BO85-BQ85)-Assumptions!$B$93)*Assumptions!$B$98,0))</f>
        <v>0</v>
      </c>
      <c r="BY85" s="32">
        <f t="shared" si="14"/>
        <v>18713.47572</v>
      </c>
      <c r="BZ85" s="32">
        <f t="shared" si="45"/>
        <v>65564</v>
      </c>
      <c r="CA85" s="32">
        <f t="shared" si="15"/>
        <v>6202</v>
      </c>
      <c r="CB85" s="32">
        <f t="shared" si="16"/>
        <v>71766</v>
      </c>
      <c r="CC85" s="55">
        <f>CC84+(G85+J85)/(Salary_Schedule!E85*12/208)</f>
        <v>1790.928049</v>
      </c>
      <c r="CD85" s="55">
        <f>CD84+(O85+R85)/(Salary_Schedule!G85*12/208)</f>
        <v>119.1152377</v>
      </c>
      <c r="CE85" s="32">
        <f t="shared" si="17"/>
        <v>837575.2751</v>
      </c>
      <c r="CF85" s="32">
        <f>Assumptions!$B$55*(1+Assumptions!$B$56)^((B85-2025)+(A85-1)/12)</f>
        <v>585049.8129</v>
      </c>
      <c r="CG85" s="32">
        <f t="shared" si="18"/>
        <v>-154294.3199</v>
      </c>
      <c r="CH85" s="32">
        <f t="shared" si="19"/>
        <v>-13999.44</v>
      </c>
      <c r="CI85" s="32">
        <f>CC85*(Salary_Schedule!E85/173.33)*(1-Assumptions!$B$28)+CD85*(Salary_Schedule!G85/173.33)*(1-Assumptions!$B$28)</f>
        <v>69701.43999</v>
      </c>
      <c r="CJ85" s="32">
        <f t="shared" si="20"/>
        <v>1324032.768</v>
      </c>
    </row>
    <row r="86" ht="15.0" customHeight="1">
      <c r="A86" s="1">
        <v>1.0</v>
      </c>
      <c r="B86" s="1">
        <v>2033.0</v>
      </c>
      <c r="C86" s="1" t="s">
        <v>755</v>
      </c>
      <c r="D86" s="1" t="str">
        <f t="shared" si="21"/>
        <v>12/2032</v>
      </c>
      <c r="E86" s="1" t="str">
        <f t="shared" si="2"/>
        <v>FAT_RSU</v>
      </c>
      <c r="F86" s="32">
        <f>Salary_Schedule!E86</f>
        <v>10365.29</v>
      </c>
      <c r="G86" s="32">
        <f>Assumptions!$B$8</f>
        <v>200</v>
      </c>
      <c r="H86" s="32">
        <f>F86*Assumptions!$B$58</f>
        <v>1036.529</v>
      </c>
      <c r="I86" s="32">
        <f>Salary_Schedule!F86</f>
        <v>0</v>
      </c>
      <c r="J86" s="32">
        <f>I86*Assumptions!$B$9</f>
        <v>0</v>
      </c>
      <c r="K86" s="54">
        <f t="shared" si="3"/>
        <v>9128.761</v>
      </c>
      <c r="L86" s="32">
        <f>IF(COUNTIFS(SL_Income_Log!$B:$B,TEXT(B86,"0000")&amp;"-"&amp;TEXT(A86,"00"),SL_Income_Log!$C:$C,"salary",SL_Income_Log!$E:$E,"H")&gt;0,SUMIFS(SL_Income_Log!$D:$D,SL_Income_Log!$B:$B,TEXT(B86,"0000")&amp;"-"&amp;TEXT(A86,"00"),SL_Income_Log!$C:$C,"salary",SL_Income_Log!$E:$E,"H"),K86*(1-Assumptions!$B$102)-Z86-Y86)</f>
        <v>5180.3366</v>
      </c>
      <c r="M86" s="32">
        <f>RSU_Schedule!H85</f>
        <v>2784.99</v>
      </c>
      <c r="N86" s="32">
        <f>Salary_Schedule!G86</f>
        <v>7882.62</v>
      </c>
      <c r="O86" s="32">
        <f>Assumptions!$B$19</f>
        <v>200</v>
      </c>
      <c r="P86" s="32">
        <f>N86*Assumptions!$B$59</f>
        <v>788.262</v>
      </c>
      <c r="Q86" s="32">
        <f>Salary_Schedule!H86</f>
        <v>0</v>
      </c>
      <c r="R86" s="32">
        <f>Q86*Assumptions!$B$20</f>
        <v>0</v>
      </c>
      <c r="S86" s="54">
        <f t="shared" si="4"/>
        <v>6894.358</v>
      </c>
      <c r="T86" s="32">
        <f>IF(COUNTIFS(SL_Income_Log!$B:$B,TEXT(B86,"0000")&amp;"-"&amp;TEXT(A86,"00"),SL_Income_Log!$C:$C,"salary",SL_Income_Log!$E:$E,"W")&gt;0,SUMIFS(SL_Income_Log!$D:$D,SL_Income_Log!$B:$B,TEXT(B86,"0000")&amp;"-"&amp;TEXT(A86,"00"),SL_Income_Log!$C:$C,"salary",SL_Income_Log!$E:$E,"W"),S86*(1-Assumptions!$B$102)-AC86-AB86)
</f>
        <v>3839.6948</v>
      </c>
      <c r="U86" s="32">
        <f>RSU_Schedule!M85</f>
        <v>1392.51</v>
      </c>
      <c r="V86" s="32">
        <f>H86*(1+Assumptions!$B$60)+Assumptions!$B$61</f>
        <v>1471.1406</v>
      </c>
      <c r="W86" s="32">
        <f>P86*(1+Assumptions!$B$60)+Assumptions!$B$61</f>
        <v>1123.5668</v>
      </c>
      <c r="X86" s="32">
        <f t="shared" si="5"/>
        <v>2594.7074</v>
      </c>
      <c r="Y86" s="32">
        <f t="shared" si="22"/>
        <v>5.25</v>
      </c>
      <c r="Z86" s="32">
        <v>291.67</v>
      </c>
      <c r="AA86" s="32">
        <f t="shared" si="23"/>
        <v>1458.05</v>
      </c>
      <c r="AB86" s="32">
        <f t="shared" si="24"/>
        <v>5.25</v>
      </c>
      <c r="AC86" s="32">
        <v>291.67</v>
      </c>
      <c r="AD86" s="32">
        <f t="shared" si="25"/>
        <v>1458.05</v>
      </c>
      <c r="AE86" s="32">
        <f t="shared" ref="AE86:AF86" si="127">Z86+AC86</f>
        <v>583.34</v>
      </c>
      <c r="AF86" s="32">
        <f t="shared" si="127"/>
        <v>2916.1</v>
      </c>
      <c r="AG86" s="32">
        <f>IF(COUNTIFS(SL_Income_Log!$B:$B,TEXT(B86,"0000")&amp;"-"&amp;TEXT(A86,"00"),SL_Income_Log!$C:$C,"youtube")&gt;0,SUMIFS(SL_Income_Log!$D:$D,SL_Income_Log!$B:$B,TEXT(B86,"0000")&amp;"-"&amp;TEXT(A86,"00"),SL_Income_Log!$C:$C,"youtube"),MIN(Assumptions!$B$49+FLOOR((ROW()-2)/6,1)*Assumptions!$B$50,Assumptions!$B$51))
</f>
        <v>15000</v>
      </c>
      <c r="AH86" s="32">
        <f>AG86*Assumptions!$B$104</f>
        <v>6645</v>
      </c>
      <c r="AI86" s="32">
        <f t="shared" si="7"/>
        <v>8355</v>
      </c>
      <c r="AJ86" s="32">
        <f>SUMIFS(SL_Income_Log!$D:$D,SL_Income_Log!$B:$B,TEXT(B86,"0000")&amp;"-"&amp;TEXT(A86,"00"),SL_Income_Log!$C:$C,"other")</f>
        <v>0</v>
      </c>
      <c r="AK86" s="32">
        <f t="shared" si="27"/>
        <v>10000</v>
      </c>
      <c r="AL86" s="32">
        <f>L86+M86+T86+U86+AI86+AJ86-Y86-Z86-AB86-AC86+IF((Debt_Register!$C$2+Debt_Register!$C$6+Debt_Register!$C$7+Debt_Register!$C$8+Debt_Register!$C$9)&gt;5,X86,0)</f>
        <v>23553.3988</v>
      </c>
      <c r="AM86" s="32">
        <f t="shared" si="8"/>
        <v>33553.3988</v>
      </c>
      <c r="AN86" s="32">
        <f>MAX(Assumptions!$B$94,MIN(Assumptions!$B$93,AM86-AP86-BE86-BO86-BQ86))</f>
        <v>10000</v>
      </c>
      <c r="AO86" s="32">
        <f t="shared" si="28"/>
        <v>154294.3199</v>
      </c>
      <c r="AP86" s="32">
        <f>IF(AO86&gt;0,Assumptions!$B$33,0)</f>
        <v>2281</v>
      </c>
      <c r="AQ86" s="32">
        <f>AO86*Assumptions!$B$32/12</f>
        <v>500.1707535</v>
      </c>
      <c r="AR86" s="32">
        <f t="shared" si="9"/>
        <v>1780.829246</v>
      </c>
      <c r="AS86" s="32">
        <v>0.0</v>
      </c>
      <c r="AT86" s="32">
        <f t="shared" si="10"/>
        <v>152513.4906</v>
      </c>
      <c r="AU86" s="32">
        <f t="shared" si="30"/>
        <v>0</v>
      </c>
      <c r="AV86" s="32">
        <f t="shared" si="31"/>
        <v>0</v>
      </c>
      <c r="AW86" s="32">
        <f t="shared" si="32"/>
        <v>0</v>
      </c>
      <c r="AX86" s="32">
        <f t="shared" si="33"/>
        <v>0</v>
      </c>
      <c r="AY86" s="32">
        <f t="shared" si="34"/>
        <v>0</v>
      </c>
      <c r="AZ86" s="32">
        <f t="shared" si="35"/>
        <v>0</v>
      </c>
      <c r="BA86" s="32">
        <f t="shared" si="36"/>
        <v>0</v>
      </c>
      <c r="BB86" s="32">
        <f t="shared" si="37"/>
        <v>0</v>
      </c>
      <c r="BC86" s="32">
        <f t="shared" si="38"/>
        <v>0</v>
      </c>
      <c r="BD86" s="32">
        <f t="shared" si="39"/>
        <v>0</v>
      </c>
      <c r="BE86" s="32">
        <f t="shared" si="11"/>
        <v>0</v>
      </c>
      <c r="BF86" s="32">
        <v>0.0</v>
      </c>
      <c r="BG86" s="32">
        <f t="shared" si="40"/>
        <v>5500</v>
      </c>
      <c r="BH86" s="32">
        <v>0.0</v>
      </c>
      <c r="BI86" s="32">
        <f t="shared" si="41"/>
        <v>5000</v>
      </c>
      <c r="BJ86" s="32">
        <f>IF(OR(B86&lt;Assumptions!$B$111,AND(B86=Assumptions!$B$111,A86&lt;=Assumptions!$B$112)),Assumptions!$B$110,0)</f>
        <v>0</v>
      </c>
      <c r="BK86" s="32">
        <f>IF(B86&lt;2027,Assumptions!$B$116+IF(OR(A86=4,A86=10),Assumptions!$B$117,0),IF(AND(B86=2027,A86&lt;=4),IF(A86=4,MIN(950,Assumptions!$B$116+Assumptions!$B$117),Assumptions!$B$116),0))</f>
        <v>0</v>
      </c>
      <c r="BL86" s="32">
        <f>IF(OR(B86&lt;2030,AND(B86=2030,A86&lt;8)),Assumptions!$B$118,IF(AND(B86=2030,A86=8),MOD(11000,200),0))</f>
        <v>0</v>
      </c>
      <c r="BM86" s="32">
        <f>IF(OR(B86&lt;Assumptions!$B$120,AND(B86=Assumptions!$B$120,A86&lt;=Assumptions!$B$121)),Assumptions!$B$119,0)</f>
        <v>0</v>
      </c>
      <c r="BN86" s="32">
        <f>IF(AND(B86&lt;=Assumptions!$B$123,A86&lt;=Assumptions!$B$124),Assumptions!$B$122,0)</f>
        <v>0</v>
      </c>
      <c r="BO86" s="32">
        <f t="shared" si="12"/>
        <v>0</v>
      </c>
      <c r="BP86" s="32">
        <f>SUMIFS(SL_Budget!$B:$B,SL_Budget!$C:$C,"'"&amp;TEXT(DATE(B86,A86,1),"YYYY-MM"))</f>
        <v>5053</v>
      </c>
      <c r="BQ86" s="32">
        <f>MAX(BP86, IFERROR(SUMIFS(ShadowLedger!D:D, 
  ShadowLedger!C:C, "&gt;="&amp;DATE(B86,A86,1), 
  ShadowLedger!C:C, "&lt;"&amp;EOMONTH(DATE(B86,A86,1),0)+1), 0))
</f>
        <v>5053</v>
      </c>
      <c r="BR86" s="32">
        <f t="shared" si="42"/>
        <v>837575.2751</v>
      </c>
      <c r="BS86" s="32">
        <f t="shared" si="43"/>
        <v>2594.7074</v>
      </c>
      <c r="BT86" s="32">
        <f>IF(AS86&gt;0,-MAX(0,21550-MAX(0,MAX(0,(AM86-AP86-BE86-BO86-BQ86)-Assumptions!$B$93))-MIN(MAX(0,21550-MAX(0,MAX(0,(AM86-AP86-BE86-BO86-BQ86)-Assumptions!$B$93))),MAX(0,BY85-Assumptions!$B$91))),IF(BY85&gt;=Assumptions!$B$92,MAX(0,(AM86-AP86-BE86-BO86-BQ86)-Assumptions!$B$93),MAX(0,(AM86-AP86-BE86-BO86-BQ86)-Assumptions!$B$93)*Assumptions!$B$99))</f>
        <v>16219.3988</v>
      </c>
      <c r="BU86" s="32">
        <f>(BR86+BS86+MAX(0,BT86))*(Assumptions!$B$43-1)</f>
        <v>5838.862802</v>
      </c>
      <c r="BV86" s="32">
        <f t="shared" si="13"/>
        <v>862228.2441</v>
      </c>
      <c r="BW86" s="32">
        <f t="shared" si="44"/>
        <v>18713.47572</v>
      </c>
      <c r="BX86" s="32">
        <f>IF(AS86&gt;0,-MIN(MAX(0,21550-MAX(0,MAX(0,(AM86-AP86-BE86-BO86-BQ86)-Assumptions!$B$93))),MAX(0,BY85-Assumptions!$B$91)),IF(BY85&lt;Assumptions!$B$92,MAX(0,(AM86-AP86-BE86-BO86-BQ86)-Assumptions!$B$93)*Assumptions!$B$98,0))</f>
        <v>0</v>
      </c>
      <c r="BY86" s="32">
        <f t="shared" si="14"/>
        <v>18713.47572</v>
      </c>
      <c r="BZ86" s="32">
        <f t="shared" si="45"/>
        <v>0</v>
      </c>
      <c r="CA86" s="32">
        <f t="shared" si="15"/>
        <v>6645</v>
      </c>
      <c r="CB86" s="32">
        <f t="shared" si="16"/>
        <v>6645</v>
      </c>
      <c r="CC86" s="55">
        <f>CC85+(G86+J86)/(Salary_Schedule!E86*12/208)</f>
        <v>1791.262499</v>
      </c>
      <c r="CD86" s="55">
        <f>CD85+(O86+R86)/(Salary_Schedule!G86*12/208)</f>
        <v>119.5550238</v>
      </c>
      <c r="CE86" s="32">
        <f t="shared" si="17"/>
        <v>862228.2441</v>
      </c>
      <c r="CF86" s="32">
        <f>Assumptions!$B$55*(1+Assumptions!$B$56)^((B86-2025)+(A86-1)/12)</f>
        <v>585776.145</v>
      </c>
      <c r="CG86" s="32">
        <f t="shared" si="18"/>
        <v>-152513.4906</v>
      </c>
      <c r="CH86" s="32">
        <f t="shared" si="19"/>
        <v>-13416.1</v>
      </c>
      <c r="CI86" s="32">
        <f>CC86*(Salary_Schedule!E86/173.33)*(1-Assumptions!$B$28)+CD86*(Salary_Schedule!G86/173.33)*(1-Assumptions!$B$28)</f>
        <v>73161.51478</v>
      </c>
      <c r="CJ86" s="32">
        <f t="shared" si="20"/>
        <v>1355236.313</v>
      </c>
    </row>
    <row r="87" ht="15.0" customHeight="1">
      <c r="A87" s="1">
        <v>2.0</v>
      </c>
      <c r="B87" s="1">
        <v>2033.0</v>
      </c>
      <c r="C87" s="1" t="s">
        <v>756</v>
      </c>
      <c r="D87" s="1" t="str">
        <f t="shared" si="21"/>
        <v>01/2033</v>
      </c>
      <c r="E87" s="1" t="str">
        <f t="shared" si="2"/>
        <v>LEAN</v>
      </c>
      <c r="F87" s="32">
        <f>Salary_Schedule!E87</f>
        <v>10365.29</v>
      </c>
      <c r="G87" s="32">
        <f>Assumptions!$B$8</f>
        <v>200</v>
      </c>
      <c r="H87" s="32">
        <f>F87*Assumptions!$B$58</f>
        <v>1036.529</v>
      </c>
      <c r="I87" s="32">
        <f>Salary_Schedule!F87</f>
        <v>0</v>
      </c>
      <c r="J87" s="32">
        <f>I87*Assumptions!$B$9</f>
        <v>0</v>
      </c>
      <c r="K87" s="54">
        <f t="shared" si="3"/>
        <v>9128.761</v>
      </c>
      <c r="L87" s="32">
        <f>IF(COUNTIFS(SL_Income_Log!$B:$B,TEXT(B87,"0000")&amp;"-"&amp;TEXT(A87,"00"),SL_Income_Log!$C:$C,"salary",SL_Income_Log!$E:$E,"H")&gt;0,SUMIFS(SL_Income_Log!$D:$D,SL_Income_Log!$B:$B,TEXT(B87,"0000")&amp;"-"&amp;TEXT(A87,"00"),SL_Income_Log!$C:$C,"salary",SL_Income_Log!$E:$E,"H"),K87*(1-Assumptions!$B$102)-Z87-Y87)</f>
        <v>5181.2166</v>
      </c>
      <c r="M87" s="32">
        <f>RSU_Schedule!H86</f>
        <v>0</v>
      </c>
      <c r="N87" s="32">
        <f>Salary_Schedule!G87</f>
        <v>7882.62</v>
      </c>
      <c r="O87" s="32">
        <f>Assumptions!$B$19</f>
        <v>200</v>
      </c>
      <c r="P87" s="32">
        <f>N87*Assumptions!$B$59</f>
        <v>788.262</v>
      </c>
      <c r="Q87" s="32">
        <f>Salary_Schedule!H87</f>
        <v>0</v>
      </c>
      <c r="R87" s="32">
        <f>Q87*Assumptions!$B$20</f>
        <v>0</v>
      </c>
      <c r="S87" s="54">
        <f t="shared" si="4"/>
        <v>6894.358</v>
      </c>
      <c r="T87" s="32">
        <f>IF(COUNTIFS(SL_Income_Log!$B:$B,TEXT(B87,"0000")&amp;"-"&amp;TEXT(A87,"00"),SL_Income_Log!$C:$C,"salary",SL_Income_Log!$E:$E,"W")&gt;0,SUMIFS(SL_Income_Log!$D:$D,SL_Income_Log!$B:$B,TEXT(B87,"0000")&amp;"-"&amp;TEXT(A87,"00"),SL_Income_Log!$C:$C,"salary",SL_Income_Log!$E:$E,"W"),S87*(1-Assumptions!$B$102)-AC87-AB87)
</f>
        <v>3840.5748</v>
      </c>
      <c r="U87" s="32">
        <f>RSU_Schedule!M86</f>
        <v>0</v>
      </c>
      <c r="V87" s="32">
        <f>H87*(1+Assumptions!$B$60)+Assumptions!$B$61</f>
        <v>1471.1406</v>
      </c>
      <c r="W87" s="32">
        <f>P87*(1+Assumptions!$B$60)+Assumptions!$B$61</f>
        <v>1123.5668</v>
      </c>
      <c r="X87" s="32">
        <f t="shared" si="5"/>
        <v>2594.7074</v>
      </c>
      <c r="Y87" s="32">
        <f t="shared" si="22"/>
        <v>4.37</v>
      </c>
      <c r="Z87" s="32">
        <v>291.67</v>
      </c>
      <c r="AA87" s="32">
        <f t="shared" si="23"/>
        <v>1166.38</v>
      </c>
      <c r="AB87" s="32">
        <f t="shared" si="24"/>
        <v>4.37</v>
      </c>
      <c r="AC87" s="32">
        <v>291.67</v>
      </c>
      <c r="AD87" s="32">
        <f t="shared" si="25"/>
        <v>1166.38</v>
      </c>
      <c r="AE87" s="32">
        <f t="shared" ref="AE87:AF87" si="128">Z87+AC87</f>
        <v>583.34</v>
      </c>
      <c r="AF87" s="32">
        <f t="shared" si="128"/>
        <v>2332.76</v>
      </c>
      <c r="AG87" s="32">
        <f>IF(COUNTIFS(SL_Income_Log!$B:$B,TEXT(B87,"0000")&amp;"-"&amp;TEXT(A87,"00"),SL_Income_Log!$C:$C,"youtube")&gt;0,SUMIFS(SL_Income_Log!$D:$D,SL_Income_Log!$B:$B,TEXT(B87,"0000")&amp;"-"&amp;TEXT(A87,"00"),SL_Income_Log!$C:$C,"youtube"),MIN(Assumptions!$B$49+FLOOR((ROW()-2)/6,1)*Assumptions!$B$50,Assumptions!$B$51))
</f>
        <v>15000</v>
      </c>
      <c r="AH87" s="32">
        <f>AG87*Assumptions!$B$104</f>
        <v>6645</v>
      </c>
      <c r="AI87" s="32">
        <f t="shared" si="7"/>
        <v>8355</v>
      </c>
      <c r="AJ87" s="32">
        <f>SUMIFS(SL_Income_Log!$D:$D,SL_Income_Log!$B:$B,TEXT(B87,"0000")&amp;"-"&amp;TEXT(A87,"00"),SL_Income_Log!$C:$C,"other")</f>
        <v>0</v>
      </c>
      <c r="AK87" s="32">
        <f t="shared" si="27"/>
        <v>10000</v>
      </c>
      <c r="AL87" s="32">
        <f>L87+M87+T87+U87+AI87+AJ87-Y87-Z87-AB87-AC87+IF((Debt_Register!$C$2+Debt_Register!$C$6+Debt_Register!$C$7+Debt_Register!$C$8+Debt_Register!$C$9)&gt;5,X87,0)</f>
        <v>19379.4188</v>
      </c>
      <c r="AM87" s="32">
        <f t="shared" si="8"/>
        <v>29379.4188</v>
      </c>
      <c r="AN87" s="32">
        <f>MAX(Assumptions!$B$94,MIN(Assumptions!$B$93,AM87-AP87-BE87-BO87-BQ87))</f>
        <v>10000</v>
      </c>
      <c r="AO87" s="32">
        <f t="shared" si="28"/>
        <v>152513.4906</v>
      </c>
      <c r="AP87" s="32">
        <f>IF(AO87&gt;0,Assumptions!$B$33,0)</f>
        <v>2281</v>
      </c>
      <c r="AQ87" s="32">
        <f>AO87*Assumptions!$B$32/12</f>
        <v>494.3978987</v>
      </c>
      <c r="AR87" s="32">
        <f t="shared" si="9"/>
        <v>1786.602101</v>
      </c>
      <c r="AS87" s="32">
        <v>0.0</v>
      </c>
      <c r="AT87" s="32">
        <f t="shared" si="10"/>
        <v>150726.8885</v>
      </c>
      <c r="AU87" s="32">
        <f t="shared" si="30"/>
        <v>0</v>
      </c>
      <c r="AV87" s="32">
        <f t="shared" si="31"/>
        <v>0</v>
      </c>
      <c r="AW87" s="32">
        <f t="shared" si="32"/>
        <v>0</v>
      </c>
      <c r="AX87" s="32">
        <f t="shared" si="33"/>
        <v>0</v>
      </c>
      <c r="AY87" s="32">
        <f t="shared" si="34"/>
        <v>0</v>
      </c>
      <c r="AZ87" s="32">
        <f t="shared" si="35"/>
        <v>0</v>
      </c>
      <c r="BA87" s="32">
        <f t="shared" si="36"/>
        <v>0</v>
      </c>
      <c r="BB87" s="32">
        <f t="shared" si="37"/>
        <v>0</v>
      </c>
      <c r="BC87" s="32">
        <f t="shared" si="38"/>
        <v>0</v>
      </c>
      <c r="BD87" s="32">
        <f t="shared" si="39"/>
        <v>0</v>
      </c>
      <c r="BE87" s="32">
        <f t="shared" si="11"/>
        <v>0</v>
      </c>
      <c r="BF87" s="32">
        <v>0.0</v>
      </c>
      <c r="BG87" s="32">
        <f t="shared" si="40"/>
        <v>5500</v>
      </c>
      <c r="BH87" s="32">
        <v>0.0</v>
      </c>
      <c r="BI87" s="32">
        <f t="shared" si="41"/>
        <v>5000</v>
      </c>
      <c r="BJ87" s="32">
        <f>IF(OR(B87&lt;Assumptions!$B$111,AND(B87=Assumptions!$B$111,A87&lt;=Assumptions!$B$112)),Assumptions!$B$110,0)</f>
        <v>0</v>
      </c>
      <c r="BK87" s="32">
        <f>IF(B87&lt;2027,Assumptions!$B$116+IF(OR(A87=4,A87=10),Assumptions!$B$117,0),IF(AND(B87=2027,A87&lt;=4),IF(A87=4,MIN(950,Assumptions!$B$116+Assumptions!$B$117),Assumptions!$B$116),0))</f>
        <v>0</v>
      </c>
      <c r="BL87" s="32">
        <f>IF(OR(B87&lt;2030,AND(B87=2030,A87&lt;8)),Assumptions!$B$118,IF(AND(B87=2030,A87=8),MOD(11000,200),0))</f>
        <v>0</v>
      </c>
      <c r="BM87" s="32">
        <f>IF(OR(B87&lt;Assumptions!$B$120,AND(B87=Assumptions!$B$120,A87&lt;=Assumptions!$B$121)),Assumptions!$B$119,0)</f>
        <v>0</v>
      </c>
      <c r="BN87" s="32">
        <f>IF(AND(B87&lt;=Assumptions!$B$123,A87&lt;=Assumptions!$B$124),Assumptions!$B$122,0)</f>
        <v>0</v>
      </c>
      <c r="BO87" s="32">
        <f t="shared" si="12"/>
        <v>0</v>
      </c>
      <c r="BP87" s="32">
        <f>SUMIFS(SL_Budget!$B:$B,SL_Budget!$C:$C,"'"&amp;TEXT(DATE(B87,A87,1),"YYYY-MM"))</f>
        <v>5053</v>
      </c>
      <c r="BQ87" s="32">
        <f>MAX(BP87, IFERROR(SUMIFS(ShadowLedger!D:D, 
  ShadowLedger!C:C, "&gt;="&amp;DATE(B87,A87,1), 
  ShadowLedger!C:C, "&lt;"&amp;EOMONTH(DATE(B87,A87,1),0)+1), 0))
</f>
        <v>5053</v>
      </c>
      <c r="BR87" s="32">
        <f t="shared" si="42"/>
        <v>862228.2441</v>
      </c>
      <c r="BS87" s="32">
        <f t="shared" si="43"/>
        <v>2594.7074</v>
      </c>
      <c r="BT87" s="32">
        <f>IF(AS87&gt;0,-MAX(0,21550-MAX(0,MAX(0,(AM87-AP87-BE87-BO87-BQ87)-Assumptions!$B$93))-MIN(MAX(0,21550-MAX(0,MAX(0,(AM87-AP87-BE87-BO87-BQ87)-Assumptions!$B$93))),MAX(0,BY86-Assumptions!$B$91))),IF(BY86&gt;=Assumptions!$B$92,MAX(0,(AM87-AP87-BE87-BO87-BQ87)-Assumptions!$B$93),MAX(0,(AM87-AP87-BE87-BO87-BQ87)-Assumptions!$B$93)*Assumptions!$B$99))</f>
        <v>12045.4188</v>
      </c>
      <c r="BU87" s="32">
        <f>(BR87+BS87+MAX(0,BT87))*(Assumptions!$B$43-1)</f>
        <v>5978.488549</v>
      </c>
      <c r="BV87" s="32">
        <f t="shared" si="13"/>
        <v>882846.8589</v>
      </c>
      <c r="BW87" s="32">
        <f t="shared" si="44"/>
        <v>18713.47572</v>
      </c>
      <c r="BX87" s="32">
        <f>IF(AS87&gt;0,-MIN(MAX(0,21550-MAX(0,MAX(0,(AM87-AP87-BE87-BO87-BQ87)-Assumptions!$B$93))),MAX(0,BY86-Assumptions!$B$91)),IF(BY86&lt;Assumptions!$B$92,MAX(0,(AM87-AP87-BE87-BO87-BQ87)-Assumptions!$B$93)*Assumptions!$B$98,0))</f>
        <v>0</v>
      </c>
      <c r="BY87" s="32">
        <f t="shared" si="14"/>
        <v>18713.47572</v>
      </c>
      <c r="BZ87" s="32">
        <f t="shared" si="45"/>
        <v>6645</v>
      </c>
      <c r="CA87" s="32">
        <f t="shared" si="15"/>
        <v>6645</v>
      </c>
      <c r="CB87" s="32">
        <f t="shared" si="16"/>
        <v>13290</v>
      </c>
      <c r="CC87" s="55">
        <f>CC86+(G87+J87)/(Salary_Schedule!E87*12/208)</f>
        <v>1791.596948</v>
      </c>
      <c r="CD87" s="55">
        <f>CD86+(O87+R87)/(Salary_Schedule!G87*12/208)</f>
        <v>119.9948099</v>
      </c>
      <c r="CE87" s="32">
        <f t="shared" si="17"/>
        <v>882846.8589</v>
      </c>
      <c r="CF87" s="32">
        <f>Assumptions!$B$55*(1+Assumptions!$B$56)^((B87-2025)+(A87-1)/12)</f>
        <v>586503.3789</v>
      </c>
      <c r="CG87" s="32">
        <f t="shared" si="18"/>
        <v>-150726.8885</v>
      </c>
      <c r="CH87" s="32">
        <f t="shared" si="19"/>
        <v>-12832.76</v>
      </c>
      <c r="CI87" s="32">
        <f>CC87*(Salary_Schedule!E87/173.33)*(1-Assumptions!$B$28)+CD87*(Salary_Schedule!G87/173.33)*(1-Assumptions!$B$28)</f>
        <v>73187.51528</v>
      </c>
      <c r="CJ87" s="32">
        <f t="shared" si="20"/>
        <v>1378978.105</v>
      </c>
    </row>
    <row r="88" ht="15.0" customHeight="1">
      <c r="A88" s="1">
        <v>3.0</v>
      </c>
      <c r="B88" s="1">
        <v>2033.0</v>
      </c>
      <c r="C88" s="1" t="s">
        <v>757</v>
      </c>
      <c r="D88" s="1" t="str">
        <f t="shared" si="21"/>
        <v>02/2033</v>
      </c>
      <c r="E88" s="1" t="str">
        <f t="shared" si="2"/>
        <v>LEAN</v>
      </c>
      <c r="F88" s="32">
        <f>Salary_Schedule!E88</f>
        <v>10365.29</v>
      </c>
      <c r="G88" s="32">
        <f>Assumptions!$B$8</f>
        <v>200</v>
      </c>
      <c r="H88" s="32">
        <f>F88*Assumptions!$B$58</f>
        <v>1036.529</v>
      </c>
      <c r="I88" s="32">
        <f>Salary_Schedule!F88</f>
        <v>0</v>
      </c>
      <c r="J88" s="32">
        <f>I88*Assumptions!$B$9</f>
        <v>0</v>
      </c>
      <c r="K88" s="54">
        <f t="shared" si="3"/>
        <v>9128.761</v>
      </c>
      <c r="L88" s="32">
        <f>IF(COUNTIFS(SL_Income_Log!$B:$B,TEXT(B88,"0000")&amp;"-"&amp;TEXT(A88,"00"),SL_Income_Log!$C:$C,"salary",SL_Income_Log!$E:$E,"H")&gt;0,SUMIFS(SL_Income_Log!$D:$D,SL_Income_Log!$B:$B,TEXT(B88,"0000")&amp;"-"&amp;TEXT(A88,"00"),SL_Income_Log!$C:$C,"salary",SL_Income_Log!$E:$E,"H"),K88*(1-Assumptions!$B$102)-Z88-Y88)</f>
        <v>5182.0866</v>
      </c>
      <c r="M88" s="32">
        <f>RSU_Schedule!H87</f>
        <v>0</v>
      </c>
      <c r="N88" s="32">
        <f>Salary_Schedule!G88</f>
        <v>7882.62</v>
      </c>
      <c r="O88" s="32">
        <f>Assumptions!$B$19</f>
        <v>200</v>
      </c>
      <c r="P88" s="32">
        <f>N88*Assumptions!$B$59</f>
        <v>788.262</v>
      </c>
      <c r="Q88" s="32">
        <f>Salary_Schedule!H88</f>
        <v>0</v>
      </c>
      <c r="R88" s="32">
        <f>Q88*Assumptions!$B$20</f>
        <v>0</v>
      </c>
      <c r="S88" s="54">
        <f t="shared" si="4"/>
        <v>6894.358</v>
      </c>
      <c r="T88" s="32">
        <f>IF(COUNTIFS(SL_Income_Log!$B:$B,TEXT(B88,"0000")&amp;"-"&amp;TEXT(A88,"00"),SL_Income_Log!$C:$C,"salary",SL_Income_Log!$E:$E,"W")&gt;0,SUMIFS(SL_Income_Log!$D:$D,SL_Income_Log!$B:$B,TEXT(B88,"0000")&amp;"-"&amp;TEXT(A88,"00"),SL_Income_Log!$C:$C,"salary",SL_Income_Log!$E:$E,"W"),S88*(1-Assumptions!$B$102)-AC88-AB88)
</f>
        <v>3841.4448</v>
      </c>
      <c r="U88" s="32">
        <f>RSU_Schedule!M87</f>
        <v>0</v>
      </c>
      <c r="V88" s="32">
        <f>H88*(1+Assumptions!$B$60)+Assumptions!$B$61</f>
        <v>1471.1406</v>
      </c>
      <c r="W88" s="32">
        <f>P88*(1+Assumptions!$B$60)+Assumptions!$B$61</f>
        <v>1123.5668</v>
      </c>
      <c r="X88" s="32">
        <f t="shared" si="5"/>
        <v>2594.7074</v>
      </c>
      <c r="Y88" s="32">
        <f t="shared" si="22"/>
        <v>3.5</v>
      </c>
      <c r="Z88" s="32">
        <v>291.67</v>
      </c>
      <c r="AA88" s="32">
        <f t="shared" si="23"/>
        <v>874.71</v>
      </c>
      <c r="AB88" s="32">
        <f t="shared" si="24"/>
        <v>3.5</v>
      </c>
      <c r="AC88" s="32">
        <v>291.67</v>
      </c>
      <c r="AD88" s="32">
        <f t="shared" si="25"/>
        <v>874.71</v>
      </c>
      <c r="AE88" s="32">
        <f t="shared" ref="AE88:AF88" si="129">Z88+AC88</f>
        <v>583.34</v>
      </c>
      <c r="AF88" s="32">
        <f t="shared" si="129"/>
        <v>1749.42</v>
      </c>
      <c r="AG88" s="32">
        <f>IF(COUNTIFS(SL_Income_Log!$B:$B,TEXT(B88,"0000")&amp;"-"&amp;TEXT(A88,"00"),SL_Income_Log!$C:$C,"youtube")&gt;0,SUMIFS(SL_Income_Log!$D:$D,SL_Income_Log!$B:$B,TEXT(B88,"0000")&amp;"-"&amp;TEXT(A88,"00"),SL_Income_Log!$C:$C,"youtube"),MIN(Assumptions!$B$49+FLOOR((ROW()-2)/6,1)*Assumptions!$B$50,Assumptions!$B$51))
</f>
        <v>15000</v>
      </c>
      <c r="AH88" s="32">
        <f>AG88*Assumptions!$B$104</f>
        <v>6645</v>
      </c>
      <c r="AI88" s="32">
        <f t="shared" si="7"/>
        <v>8355</v>
      </c>
      <c r="AJ88" s="32">
        <f>SUMIFS(SL_Income_Log!$D:$D,SL_Income_Log!$B:$B,TEXT(B88,"0000")&amp;"-"&amp;TEXT(A88,"00"),SL_Income_Log!$C:$C,"other")</f>
        <v>0</v>
      </c>
      <c r="AK88" s="32">
        <f t="shared" si="27"/>
        <v>10000</v>
      </c>
      <c r="AL88" s="32">
        <f>L88+M88+T88+U88+AI88+AJ88-Y88-Z88-AB88-AC88+IF((Debt_Register!$C$2+Debt_Register!$C$6+Debt_Register!$C$7+Debt_Register!$C$8+Debt_Register!$C$9)&gt;5,X88,0)</f>
        <v>19382.8988</v>
      </c>
      <c r="AM88" s="32">
        <f t="shared" si="8"/>
        <v>29382.8988</v>
      </c>
      <c r="AN88" s="32">
        <f>MAX(Assumptions!$B$94,MIN(Assumptions!$B$93,AM88-AP88-BE88-BO88-BQ88))</f>
        <v>10000</v>
      </c>
      <c r="AO88" s="32">
        <f t="shared" si="28"/>
        <v>150726.8885</v>
      </c>
      <c r="AP88" s="32">
        <f>IF(AO88&gt;0,Assumptions!$B$33,0)</f>
        <v>2281</v>
      </c>
      <c r="AQ88" s="32">
        <f>AO88*Assumptions!$B$32/12</f>
        <v>488.6063302</v>
      </c>
      <c r="AR88" s="32">
        <f t="shared" si="9"/>
        <v>1792.39367</v>
      </c>
      <c r="AS88" s="32">
        <v>0.0</v>
      </c>
      <c r="AT88" s="32">
        <f t="shared" si="10"/>
        <v>148934.4948</v>
      </c>
      <c r="AU88" s="32">
        <f t="shared" si="30"/>
        <v>0</v>
      </c>
      <c r="AV88" s="32">
        <f t="shared" si="31"/>
        <v>0</v>
      </c>
      <c r="AW88" s="32">
        <f t="shared" si="32"/>
        <v>0</v>
      </c>
      <c r="AX88" s="32">
        <f t="shared" si="33"/>
        <v>0</v>
      </c>
      <c r="AY88" s="32">
        <f t="shared" si="34"/>
        <v>0</v>
      </c>
      <c r="AZ88" s="32">
        <f t="shared" si="35"/>
        <v>0</v>
      </c>
      <c r="BA88" s="32">
        <f t="shared" si="36"/>
        <v>0</v>
      </c>
      <c r="BB88" s="32">
        <f t="shared" si="37"/>
        <v>0</v>
      </c>
      <c r="BC88" s="32">
        <f t="shared" si="38"/>
        <v>0</v>
      </c>
      <c r="BD88" s="32">
        <f t="shared" si="39"/>
        <v>0</v>
      </c>
      <c r="BE88" s="32">
        <f t="shared" si="11"/>
        <v>0</v>
      </c>
      <c r="BF88" s="32">
        <v>0.0</v>
      </c>
      <c r="BG88" s="32">
        <f t="shared" si="40"/>
        <v>5500</v>
      </c>
      <c r="BH88" s="32">
        <v>0.0</v>
      </c>
      <c r="BI88" s="32">
        <f t="shared" si="41"/>
        <v>5000</v>
      </c>
      <c r="BJ88" s="32">
        <f>IF(OR(B88&lt;Assumptions!$B$111,AND(B88=Assumptions!$B$111,A88&lt;=Assumptions!$B$112)),Assumptions!$B$110,0)</f>
        <v>0</v>
      </c>
      <c r="BK88" s="32">
        <f>IF(B88&lt;2027,Assumptions!$B$116+IF(OR(A88=4,A88=10),Assumptions!$B$117,0),IF(AND(B88=2027,A88&lt;=4),IF(A88=4,MIN(950,Assumptions!$B$116+Assumptions!$B$117),Assumptions!$B$116),0))</f>
        <v>0</v>
      </c>
      <c r="BL88" s="32">
        <f>IF(OR(B88&lt;2030,AND(B88=2030,A88&lt;8)),Assumptions!$B$118,IF(AND(B88=2030,A88=8),MOD(11000,200),0))</f>
        <v>0</v>
      </c>
      <c r="BM88" s="32">
        <f>IF(OR(B88&lt;Assumptions!$B$120,AND(B88=Assumptions!$B$120,A88&lt;=Assumptions!$B$121)),Assumptions!$B$119,0)</f>
        <v>0</v>
      </c>
      <c r="BN88" s="32">
        <f>IF(AND(B88&lt;=Assumptions!$B$123,A88&lt;=Assumptions!$B$124),Assumptions!$B$122,0)</f>
        <v>0</v>
      </c>
      <c r="BO88" s="32">
        <f t="shared" si="12"/>
        <v>0</v>
      </c>
      <c r="BP88" s="32">
        <f>SUMIFS(SL_Budget!$B:$B,SL_Budget!$C:$C,"'"&amp;TEXT(DATE(B88,A88,1),"YYYY-MM"))</f>
        <v>5053</v>
      </c>
      <c r="BQ88" s="32">
        <f>MAX(BP88, IFERROR(SUMIFS(ShadowLedger!D:D, 
  ShadowLedger!C:C, "&gt;="&amp;DATE(B88,A88,1), 
  ShadowLedger!C:C, "&lt;"&amp;EOMONTH(DATE(B88,A88,1),0)+1), 0))
</f>
        <v>5053</v>
      </c>
      <c r="BR88" s="32">
        <f t="shared" si="42"/>
        <v>882846.8589</v>
      </c>
      <c r="BS88" s="32">
        <f t="shared" si="43"/>
        <v>2594.7074</v>
      </c>
      <c r="BT88" s="32">
        <f>IF(AS88&gt;0,-MAX(0,21550-MAX(0,MAX(0,(AM88-AP88-BE88-BO88-BQ88)-Assumptions!$B$93))-MIN(MAX(0,21550-MAX(0,MAX(0,(AM88-AP88-BE88-BO88-BQ88)-Assumptions!$B$93))),MAX(0,BY87-Assumptions!$B$91))),IF(BY87&gt;=Assumptions!$B$92,MAX(0,(AM88-AP88-BE88-BO88-BQ88)-Assumptions!$B$93),MAX(0,(AM88-AP88-BE88-BO88-BQ88)-Assumptions!$B$93)*Assumptions!$B$99))</f>
        <v>12048.8988</v>
      </c>
      <c r="BU88" s="32">
        <f>(BR88+BS88+MAX(0,BT88))*(Assumptions!$B$43-1)</f>
        <v>6119.089991</v>
      </c>
      <c r="BV88" s="32">
        <f t="shared" si="13"/>
        <v>903609.5551</v>
      </c>
      <c r="BW88" s="32">
        <f t="shared" si="44"/>
        <v>18713.47572</v>
      </c>
      <c r="BX88" s="32">
        <f>IF(AS88&gt;0,-MIN(MAX(0,21550-MAX(0,MAX(0,(AM88-AP88-BE88-BO88-BQ88)-Assumptions!$B$93))),MAX(0,BY87-Assumptions!$B$91)),IF(BY87&lt;Assumptions!$B$92,MAX(0,(AM88-AP88-BE88-BO88-BQ88)-Assumptions!$B$93)*Assumptions!$B$98,0))</f>
        <v>0</v>
      </c>
      <c r="BY88" s="32">
        <f t="shared" si="14"/>
        <v>18713.47572</v>
      </c>
      <c r="BZ88" s="32">
        <f t="shared" si="45"/>
        <v>13290</v>
      </c>
      <c r="CA88" s="32">
        <f t="shared" si="15"/>
        <v>6645</v>
      </c>
      <c r="CB88" s="32">
        <f t="shared" si="16"/>
        <v>19935</v>
      </c>
      <c r="CC88" s="55">
        <f>CC87+(G88+J88)/(Salary_Schedule!E88*12/208)</f>
        <v>1791.931398</v>
      </c>
      <c r="CD88" s="55">
        <f>CD87+(O88+R88)/(Salary_Schedule!G88*12/208)</f>
        <v>120.434596</v>
      </c>
      <c r="CE88" s="32">
        <f t="shared" si="17"/>
        <v>903609.5551</v>
      </c>
      <c r="CF88" s="32">
        <f>Assumptions!$B$55*(1+Assumptions!$B$56)^((B88-2025)+(A88-1)/12)</f>
        <v>587231.5157</v>
      </c>
      <c r="CG88" s="32">
        <f t="shared" si="18"/>
        <v>-148934.4948</v>
      </c>
      <c r="CH88" s="32">
        <f t="shared" si="19"/>
        <v>-12249.42</v>
      </c>
      <c r="CI88" s="32">
        <f>CC88*(Salary_Schedule!E88/173.33)*(1-Assumptions!$B$28)+CD88*(Salary_Schedule!G88/173.33)*(1-Assumptions!$B$28)</f>
        <v>73213.51578</v>
      </c>
      <c r="CJ88" s="32">
        <f t="shared" si="20"/>
        <v>1402870.672</v>
      </c>
    </row>
    <row r="89" ht="15.0" customHeight="1">
      <c r="A89" s="1">
        <v>4.0</v>
      </c>
      <c r="B89" s="1">
        <v>2033.0</v>
      </c>
      <c r="C89" s="1" t="s">
        <v>758</v>
      </c>
      <c r="D89" s="1" t="str">
        <f t="shared" si="21"/>
        <v>03/2033</v>
      </c>
      <c r="E89" s="1" t="str">
        <f t="shared" si="2"/>
        <v>FAT_BONUS</v>
      </c>
      <c r="F89" s="32">
        <f>Salary_Schedule!E89</f>
        <v>10365.29</v>
      </c>
      <c r="G89" s="32">
        <f>Assumptions!$B$8</f>
        <v>200</v>
      </c>
      <c r="H89" s="32">
        <f>F89*Assumptions!$B$58</f>
        <v>1036.529</v>
      </c>
      <c r="I89" s="32">
        <f>Salary_Schedule!F89</f>
        <v>13819.13</v>
      </c>
      <c r="J89" s="32">
        <f>I89*Assumptions!$B$9</f>
        <v>4836.6955</v>
      </c>
      <c r="K89" s="54">
        <f t="shared" si="3"/>
        <v>18111.1955</v>
      </c>
      <c r="L89" s="32">
        <f>IF(COUNTIFS(SL_Income_Log!$B:$B,TEXT(B89,"0000")&amp;"-"&amp;TEXT(A89,"00"),SL_Income_Log!$C:$C,"salary",SL_Income_Log!$E:$E,"H")&gt;0,SUMIFS(SL_Income_Log!$D:$D,SL_Income_Log!$B:$B,TEXT(B89,"0000")&amp;"-"&amp;TEXT(A89,"00"),SL_Income_Log!$C:$C,"salary",SL_Income_Log!$E:$E,"H"),K89*(1-Assumptions!$B$102)-Z89-Y89)</f>
        <v>10572.4273</v>
      </c>
      <c r="M89" s="32">
        <f>RSU_Schedule!H88</f>
        <v>2784.99</v>
      </c>
      <c r="N89" s="32">
        <f>Salary_Schedule!G89</f>
        <v>7882.62</v>
      </c>
      <c r="O89" s="32">
        <f>Assumptions!$B$19</f>
        <v>200</v>
      </c>
      <c r="P89" s="32">
        <f>N89*Assumptions!$B$59</f>
        <v>788.262</v>
      </c>
      <c r="Q89" s="32">
        <f>Salary_Schedule!H89</f>
        <v>10510.3</v>
      </c>
      <c r="R89" s="32">
        <f>Q89*Assumptions!$B$20</f>
        <v>3678.605</v>
      </c>
      <c r="S89" s="54">
        <f t="shared" si="4"/>
        <v>13726.053</v>
      </c>
      <c r="T89" s="32">
        <f>IF(COUNTIFS(SL_Income_Log!$B:$B,TEXT(B89,"0000")&amp;"-"&amp;TEXT(A89,"00"),SL_Income_Log!$C:$C,"salary",SL_Income_Log!$E:$E,"W")&gt;0,SUMIFS(SL_Income_Log!$D:$D,SL_Income_Log!$B:$B,TEXT(B89,"0000")&amp;"-"&amp;TEXT(A89,"00"),SL_Income_Log!$C:$C,"salary",SL_Income_Log!$E:$E,"W"),S89*(1-Assumptions!$B$102)-AC89-AB89)
</f>
        <v>7941.3418</v>
      </c>
      <c r="U89" s="32">
        <f>RSU_Schedule!M88</f>
        <v>1392.51</v>
      </c>
      <c r="V89" s="32">
        <f>H89*(1+Assumptions!$B$60)+Assumptions!$B$61</f>
        <v>1471.1406</v>
      </c>
      <c r="W89" s="32">
        <f>P89*(1+Assumptions!$B$60)+Assumptions!$B$61</f>
        <v>1123.5668</v>
      </c>
      <c r="X89" s="32">
        <f t="shared" si="5"/>
        <v>2594.7074</v>
      </c>
      <c r="Y89" s="32">
        <f t="shared" si="22"/>
        <v>2.62</v>
      </c>
      <c r="Z89" s="32">
        <v>291.67</v>
      </c>
      <c r="AA89" s="32">
        <f t="shared" si="23"/>
        <v>583.04</v>
      </c>
      <c r="AB89" s="32">
        <f t="shared" si="24"/>
        <v>2.62</v>
      </c>
      <c r="AC89" s="32">
        <v>291.67</v>
      </c>
      <c r="AD89" s="32">
        <f t="shared" si="25"/>
        <v>583.04</v>
      </c>
      <c r="AE89" s="32">
        <f t="shared" ref="AE89:AF89" si="130">Z89+AC89</f>
        <v>583.34</v>
      </c>
      <c r="AF89" s="32">
        <f t="shared" si="130"/>
        <v>1166.08</v>
      </c>
      <c r="AG89" s="32">
        <f>IF(COUNTIFS(SL_Income_Log!$B:$B,TEXT(B89,"0000")&amp;"-"&amp;TEXT(A89,"00"),SL_Income_Log!$C:$C,"youtube")&gt;0,SUMIFS(SL_Income_Log!$D:$D,SL_Income_Log!$B:$B,TEXT(B89,"0000")&amp;"-"&amp;TEXT(A89,"00"),SL_Income_Log!$C:$C,"youtube"),MIN(Assumptions!$B$49+FLOOR((ROW()-2)/6,1)*Assumptions!$B$50,Assumptions!$B$51))
</f>
        <v>15000</v>
      </c>
      <c r="AH89" s="32">
        <f>AG89*Assumptions!$B$104</f>
        <v>6645</v>
      </c>
      <c r="AI89" s="32">
        <f t="shared" si="7"/>
        <v>8355</v>
      </c>
      <c r="AJ89" s="32">
        <f>SUMIFS(SL_Income_Log!$D:$D,SL_Income_Log!$B:$B,TEXT(B89,"0000")&amp;"-"&amp;TEXT(A89,"00"),SL_Income_Log!$C:$C,"other")</f>
        <v>0</v>
      </c>
      <c r="AK89" s="32">
        <f t="shared" si="27"/>
        <v>10000</v>
      </c>
      <c r="AL89" s="32">
        <f>L89+M89+T89+U89+AI89+AJ89-Y89-Z89-AB89-AC89+IF((Debt_Register!$C$2+Debt_Register!$C$6+Debt_Register!$C$7+Debt_Register!$C$8+Debt_Register!$C$9)&gt;5,X89,0)</f>
        <v>33052.3965</v>
      </c>
      <c r="AM89" s="32">
        <f t="shared" si="8"/>
        <v>43052.3965</v>
      </c>
      <c r="AN89" s="32">
        <f>MAX(Assumptions!$B$94,MIN(Assumptions!$B$93,AM89-AP89-BE89-BO89-BQ89))</f>
        <v>10000</v>
      </c>
      <c r="AO89" s="32">
        <f t="shared" si="28"/>
        <v>148934.4948</v>
      </c>
      <c r="AP89" s="32">
        <f>IF(AO89&gt;0,Assumptions!$B$33,0)</f>
        <v>2281</v>
      </c>
      <c r="AQ89" s="32">
        <f>AO89*Assumptions!$B$32/12</f>
        <v>482.7959874</v>
      </c>
      <c r="AR89" s="32">
        <f t="shared" si="9"/>
        <v>1798.204013</v>
      </c>
      <c r="AS89" s="32">
        <v>0.0</v>
      </c>
      <c r="AT89" s="32">
        <f t="shared" si="10"/>
        <v>147136.2908</v>
      </c>
      <c r="AU89" s="32">
        <f t="shared" si="30"/>
        <v>0</v>
      </c>
      <c r="AV89" s="32">
        <f t="shared" si="31"/>
        <v>0</v>
      </c>
      <c r="AW89" s="32">
        <f t="shared" si="32"/>
        <v>0</v>
      </c>
      <c r="AX89" s="32">
        <f t="shared" si="33"/>
        <v>0</v>
      </c>
      <c r="AY89" s="32">
        <f t="shared" si="34"/>
        <v>0</v>
      </c>
      <c r="AZ89" s="32">
        <f t="shared" si="35"/>
        <v>0</v>
      </c>
      <c r="BA89" s="32">
        <f t="shared" si="36"/>
        <v>0</v>
      </c>
      <c r="BB89" s="32">
        <f t="shared" si="37"/>
        <v>0</v>
      </c>
      <c r="BC89" s="32">
        <f t="shared" si="38"/>
        <v>0</v>
      </c>
      <c r="BD89" s="32">
        <f t="shared" si="39"/>
        <v>0</v>
      </c>
      <c r="BE89" s="32">
        <f t="shared" si="11"/>
        <v>0</v>
      </c>
      <c r="BF89" s="32">
        <v>0.0</v>
      </c>
      <c r="BG89" s="32">
        <f t="shared" si="40"/>
        <v>5500</v>
      </c>
      <c r="BH89" s="32">
        <v>0.0</v>
      </c>
      <c r="BI89" s="32">
        <f t="shared" si="41"/>
        <v>5000</v>
      </c>
      <c r="BJ89" s="32">
        <f>IF(OR(B89&lt;Assumptions!$B$111,AND(B89=Assumptions!$B$111,A89&lt;=Assumptions!$B$112)),Assumptions!$B$110,0)</f>
        <v>0</v>
      </c>
      <c r="BK89" s="32">
        <f>IF(B89&lt;2027,Assumptions!$B$116+IF(OR(A89=4,A89=10),Assumptions!$B$117,0),IF(AND(B89=2027,A89&lt;=4),IF(A89=4,MIN(950,Assumptions!$B$116+Assumptions!$B$117),Assumptions!$B$116),0))</f>
        <v>0</v>
      </c>
      <c r="BL89" s="32">
        <f>IF(OR(B89&lt;2030,AND(B89=2030,A89&lt;8)),Assumptions!$B$118,IF(AND(B89=2030,A89=8),MOD(11000,200),0))</f>
        <v>0</v>
      </c>
      <c r="BM89" s="32">
        <f>IF(OR(B89&lt;Assumptions!$B$120,AND(B89=Assumptions!$B$120,A89&lt;=Assumptions!$B$121)),Assumptions!$B$119,0)</f>
        <v>0</v>
      </c>
      <c r="BN89" s="32">
        <f>IF(AND(B89&lt;=Assumptions!$B$123,A89&lt;=Assumptions!$B$124),Assumptions!$B$122,0)</f>
        <v>0</v>
      </c>
      <c r="BO89" s="32">
        <f t="shared" si="12"/>
        <v>0</v>
      </c>
      <c r="BP89" s="32">
        <f>SUMIFS(SL_Budget!$B:$B,SL_Budget!$C:$C,"'"&amp;TEXT(DATE(B89,A89,1),"YYYY-MM"))</f>
        <v>5053</v>
      </c>
      <c r="BQ89" s="32">
        <f>MAX(BP89, IFERROR(SUMIFS(ShadowLedger!D:D, 
  ShadowLedger!C:C, "&gt;="&amp;DATE(B89,A89,1), 
  ShadowLedger!C:C, "&lt;"&amp;EOMONTH(DATE(B89,A89,1),0)+1), 0))
</f>
        <v>5053</v>
      </c>
      <c r="BR89" s="32">
        <f t="shared" si="42"/>
        <v>903609.5551</v>
      </c>
      <c r="BS89" s="32">
        <f t="shared" si="43"/>
        <v>2594.7074</v>
      </c>
      <c r="BT89" s="32">
        <f>IF(AS89&gt;0,-MAX(0,21550-MAX(0,MAX(0,(AM89-AP89-BE89-BO89-BQ89)-Assumptions!$B$93))-MIN(MAX(0,21550-MAX(0,MAX(0,(AM89-AP89-BE89-BO89-BQ89)-Assumptions!$B$93))),MAX(0,BY88-Assumptions!$B$91))),IF(BY88&gt;=Assumptions!$B$92,MAX(0,(AM89-AP89-BE89-BO89-BQ89)-Assumptions!$B$93),MAX(0,(AM89-AP89-BE89-BO89-BQ89)-Assumptions!$B$93)*Assumptions!$B$99))</f>
        <v>25718.3965</v>
      </c>
      <c r="BU89" s="32">
        <f>(BR89+BS89+MAX(0,BT89))*(Assumptions!$B$43-1)</f>
        <v>6353.848689</v>
      </c>
      <c r="BV89" s="32">
        <f t="shared" si="13"/>
        <v>938276.5076</v>
      </c>
      <c r="BW89" s="32">
        <f t="shared" si="44"/>
        <v>18713.47572</v>
      </c>
      <c r="BX89" s="32">
        <f>IF(AS89&gt;0,-MIN(MAX(0,21550-MAX(0,MAX(0,(AM89-AP89-BE89-BO89-BQ89)-Assumptions!$B$93))),MAX(0,BY88-Assumptions!$B$91)),IF(BY88&lt;Assumptions!$B$92,MAX(0,(AM89-AP89-BE89-BO89-BQ89)-Assumptions!$B$93)*Assumptions!$B$98,0))</f>
        <v>0</v>
      </c>
      <c r="BY89" s="32">
        <f t="shared" si="14"/>
        <v>18713.47572</v>
      </c>
      <c r="BZ89" s="32">
        <f t="shared" si="45"/>
        <v>19935</v>
      </c>
      <c r="CA89" s="32">
        <f t="shared" si="15"/>
        <v>6645</v>
      </c>
      <c r="CB89" s="32">
        <f t="shared" si="16"/>
        <v>26580</v>
      </c>
      <c r="CC89" s="55">
        <f>CC88+(G89+J89)/(Salary_Schedule!E89*12/208)</f>
        <v>1800.354001</v>
      </c>
      <c r="CD89" s="55">
        <f>CD88+(O89+R89)/(Salary_Schedule!G89*12/208)</f>
        <v>128.9633787</v>
      </c>
      <c r="CE89" s="32">
        <f t="shared" si="17"/>
        <v>938276.5076</v>
      </c>
      <c r="CF89" s="32">
        <f>Assumptions!$B$55*(1+Assumptions!$B$56)^((B89-2025)+(A89-1)/12)</f>
        <v>587960.5564</v>
      </c>
      <c r="CG89" s="32">
        <f t="shared" si="18"/>
        <v>-147136.2908</v>
      </c>
      <c r="CH89" s="32">
        <f t="shared" si="19"/>
        <v>-11666.08</v>
      </c>
      <c r="CI89" s="32">
        <f>CC89*(Salary_Schedule!E89/173.33)*(1-Assumptions!$B$28)+CD89*(Salary_Schedule!G89/173.33)*(1-Assumptions!$B$28)</f>
        <v>73793.02146</v>
      </c>
      <c r="CJ89" s="32">
        <f t="shared" si="20"/>
        <v>1441227.715</v>
      </c>
    </row>
    <row r="90" ht="15.0" customHeight="1">
      <c r="A90" s="1">
        <v>5.0</v>
      </c>
      <c r="B90" s="1">
        <v>2033.0</v>
      </c>
      <c r="C90" s="1" t="s">
        <v>759</v>
      </c>
      <c r="D90" s="1" t="str">
        <f t="shared" si="21"/>
        <v>04/2033</v>
      </c>
      <c r="E90" s="1" t="str">
        <f t="shared" si="2"/>
        <v>LEAN</v>
      </c>
      <c r="F90" s="32">
        <f>Salary_Schedule!E90</f>
        <v>10365.29</v>
      </c>
      <c r="G90" s="32">
        <f>Assumptions!$B$8</f>
        <v>200</v>
      </c>
      <c r="H90" s="32">
        <f>F90*Assumptions!$B$58</f>
        <v>1036.529</v>
      </c>
      <c r="I90" s="32">
        <f>Salary_Schedule!F90</f>
        <v>0</v>
      </c>
      <c r="J90" s="32">
        <f>I90*Assumptions!$B$9</f>
        <v>0</v>
      </c>
      <c r="K90" s="54">
        <f t="shared" si="3"/>
        <v>9128.761</v>
      </c>
      <c r="L90" s="32">
        <f>IF(COUNTIFS(SL_Income_Log!$B:$B,TEXT(B90,"0000")&amp;"-"&amp;TEXT(A90,"00"),SL_Income_Log!$C:$C,"salary",SL_Income_Log!$E:$E,"H")&gt;0,SUMIFS(SL_Income_Log!$D:$D,SL_Income_Log!$B:$B,TEXT(B90,"0000")&amp;"-"&amp;TEXT(A90,"00"),SL_Income_Log!$C:$C,"salary",SL_Income_Log!$E:$E,"H"),K90*(1-Assumptions!$B$102)-Z90-Y90)</f>
        <v>5183.8366</v>
      </c>
      <c r="M90" s="32">
        <f>RSU_Schedule!H89</f>
        <v>0</v>
      </c>
      <c r="N90" s="32">
        <f>Salary_Schedule!G90</f>
        <v>7882.62</v>
      </c>
      <c r="O90" s="32">
        <f>Assumptions!$B$19</f>
        <v>200</v>
      </c>
      <c r="P90" s="32">
        <f>N90*Assumptions!$B$59</f>
        <v>788.262</v>
      </c>
      <c r="Q90" s="32">
        <f>Salary_Schedule!H90</f>
        <v>0</v>
      </c>
      <c r="R90" s="32">
        <f>Q90*Assumptions!$B$20</f>
        <v>0</v>
      </c>
      <c r="S90" s="54">
        <f t="shared" si="4"/>
        <v>6894.358</v>
      </c>
      <c r="T90" s="32">
        <f>IF(COUNTIFS(SL_Income_Log!$B:$B,TEXT(B90,"0000")&amp;"-"&amp;TEXT(A90,"00"),SL_Income_Log!$C:$C,"salary",SL_Income_Log!$E:$E,"W")&gt;0,SUMIFS(SL_Income_Log!$D:$D,SL_Income_Log!$B:$B,TEXT(B90,"0000")&amp;"-"&amp;TEXT(A90,"00"),SL_Income_Log!$C:$C,"salary",SL_Income_Log!$E:$E,"W"),S90*(1-Assumptions!$B$102)-AC90-AB90)
</f>
        <v>3843.1948</v>
      </c>
      <c r="U90" s="32">
        <f>RSU_Schedule!M89</f>
        <v>0</v>
      </c>
      <c r="V90" s="32">
        <f>H90*(1+Assumptions!$B$60)+Assumptions!$B$61</f>
        <v>1471.1406</v>
      </c>
      <c r="W90" s="32">
        <f>P90*(1+Assumptions!$B$60)+Assumptions!$B$61</f>
        <v>1123.5668</v>
      </c>
      <c r="X90" s="32">
        <f t="shared" si="5"/>
        <v>2594.7074</v>
      </c>
      <c r="Y90" s="32">
        <f t="shared" si="22"/>
        <v>1.75</v>
      </c>
      <c r="Z90" s="32">
        <v>291.67</v>
      </c>
      <c r="AA90" s="32">
        <f t="shared" si="23"/>
        <v>291.37</v>
      </c>
      <c r="AB90" s="32">
        <f t="shared" si="24"/>
        <v>1.75</v>
      </c>
      <c r="AC90" s="32">
        <v>291.67</v>
      </c>
      <c r="AD90" s="32">
        <f t="shared" si="25"/>
        <v>291.37</v>
      </c>
      <c r="AE90" s="32">
        <f t="shared" ref="AE90:AF90" si="131">Z90+AC90</f>
        <v>583.34</v>
      </c>
      <c r="AF90" s="32">
        <f t="shared" si="131"/>
        <v>582.74</v>
      </c>
      <c r="AG90" s="32">
        <f>IF(COUNTIFS(SL_Income_Log!$B:$B,TEXT(B90,"0000")&amp;"-"&amp;TEXT(A90,"00"),SL_Income_Log!$C:$C,"youtube")&gt;0,SUMIFS(SL_Income_Log!$D:$D,SL_Income_Log!$B:$B,TEXT(B90,"0000")&amp;"-"&amp;TEXT(A90,"00"),SL_Income_Log!$C:$C,"youtube"),MIN(Assumptions!$B$49+FLOOR((ROW()-2)/6,1)*Assumptions!$B$50,Assumptions!$B$51))
</f>
        <v>15000</v>
      </c>
      <c r="AH90" s="32">
        <f>AG90*Assumptions!$B$104</f>
        <v>6645</v>
      </c>
      <c r="AI90" s="32">
        <f t="shared" si="7"/>
        <v>8355</v>
      </c>
      <c r="AJ90" s="32">
        <f>SUMIFS(SL_Income_Log!$D:$D,SL_Income_Log!$B:$B,TEXT(B90,"0000")&amp;"-"&amp;TEXT(A90,"00"),SL_Income_Log!$C:$C,"other")</f>
        <v>0</v>
      </c>
      <c r="AK90" s="32">
        <f t="shared" si="27"/>
        <v>10000</v>
      </c>
      <c r="AL90" s="32">
        <f>L90+M90+T90+U90+AI90+AJ90-Y90-Z90-AB90-AC90+IF((Debt_Register!$C$2+Debt_Register!$C$6+Debt_Register!$C$7+Debt_Register!$C$8+Debt_Register!$C$9)&gt;5,X90,0)</f>
        <v>19389.8988</v>
      </c>
      <c r="AM90" s="32">
        <f t="shared" si="8"/>
        <v>29389.8988</v>
      </c>
      <c r="AN90" s="32">
        <f>MAX(Assumptions!$B$94,MIN(Assumptions!$B$93,AM90-AP90-BE90-BO90-BQ90))</f>
        <v>10000</v>
      </c>
      <c r="AO90" s="32">
        <f t="shared" si="28"/>
        <v>147136.2908</v>
      </c>
      <c r="AP90" s="32">
        <f>IF(AO90&gt;0,Assumptions!$B$33,0)</f>
        <v>2281</v>
      </c>
      <c r="AQ90" s="32">
        <f>AO90*Assumptions!$B$32/12</f>
        <v>476.9668094</v>
      </c>
      <c r="AR90" s="32">
        <f t="shared" si="9"/>
        <v>1804.033191</v>
      </c>
      <c r="AS90" s="32">
        <v>0.0</v>
      </c>
      <c r="AT90" s="32">
        <f t="shared" si="10"/>
        <v>145332.2576</v>
      </c>
      <c r="AU90" s="32">
        <f t="shared" si="30"/>
        <v>0</v>
      </c>
      <c r="AV90" s="32">
        <f t="shared" si="31"/>
        <v>0</v>
      </c>
      <c r="AW90" s="32">
        <f t="shared" si="32"/>
        <v>0</v>
      </c>
      <c r="AX90" s="32">
        <f t="shared" si="33"/>
        <v>0</v>
      </c>
      <c r="AY90" s="32">
        <f t="shared" si="34"/>
        <v>0</v>
      </c>
      <c r="AZ90" s="32">
        <f t="shared" si="35"/>
        <v>0</v>
      </c>
      <c r="BA90" s="32">
        <f t="shared" si="36"/>
        <v>0</v>
      </c>
      <c r="BB90" s="32">
        <f t="shared" si="37"/>
        <v>0</v>
      </c>
      <c r="BC90" s="32">
        <f t="shared" si="38"/>
        <v>0</v>
      </c>
      <c r="BD90" s="32">
        <f t="shared" si="39"/>
        <v>0</v>
      </c>
      <c r="BE90" s="32">
        <f t="shared" si="11"/>
        <v>0</v>
      </c>
      <c r="BF90" s="32">
        <v>0.0</v>
      </c>
      <c r="BG90" s="32">
        <f t="shared" si="40"/>
        <v>5500</v>
      </c>
      <c r="BH90" s="32">
        <v>0.0</v>
      </c>
      <c r="BI90" s="32">
        <f t="shared" si="41"/>
        <v>5000</v>
      </c>
      <c r="BJ90" s="32">
        <f>IF(OR(B90&lt;Assumptions!$B$111,AND(B90=Assumptions!$B$111,A90&lt;=Assumptions!$B$112)),Assumptions!$B$110,0)</f>
        <v>0</v>
      </c>
      <c r="BK90" s="32">
        <f>IF(B90&lt;2027,Assumptions!$B$116+IF(OR(A90=4,A90=10),Assumptions!$B$117,0),IF(AND(B90=2027,A90&lt;=4),IF(A90=4,MIN(950,Assumptions!$B$116+Assumptions!$B$117),Assumptions!$B$116),0))</f>
        <v>0</v>
      </c>
      <c r="BL90" s="32">
        <f>IF(OR(B90&lt;2030,AND(B90=2030,A90&lt;8)),Assumptions!$B$118,IF(AND(B90=2030,A90=8),MOD(11000,200),0))</f>
        <v>0</v>
      </c>
      <c r="BM90" s="32">
        <f>IF(OR(B90&lt;Assumptions!$B$120,AND(B90=Assumptions!$B$120,A90&lt;=Assumptions!$B$121)),Assumptions!$B$119,0)</f>
        <v>0</v>
      </c>
      <c r="BN90" s="32">
        <f>IF(AND(B90&lt;=Assumptions!$B$123,A90&lt;=Assumptions!$B$124),Assumptions!$B$122,0)</f>
        <v>0</v>
      </c>
      <c r="BO90" s="32">
        <f t="shared" si="12"/>
        <v>0</v>
      </c>
      <c r="BP90" s="32">
        <f>SUMIFS(SL_Budget!$B:$B,SL_Budget!$C:$C,"'"&amp;TEXT(DATE(B90,A90,1),"YYYY-MM"))</f>
        <v>5053</v>
      </c>
      <c r="BQ90" s="32">
        <f>MAX(BP90, IFERROR(SUMIFS(ShadowLedger!D:D, 
  ShadowLedger!C:C, "&gt;="&amp;DATE(B90,A90,1), 
  ShadowLedger!C:C, "&lt;"&amp;EOMONTH(DATE(B90,A90,1),0)+1), 0))
</f>
        <v>5053</v>
      </c>
      <c r="BR90" s="32">
        <f t="shared" si="42"/>
        <v>938276.5076</v>
      </c>
      <c r="BS90" s="32">
        <f t="shared" si="43"/>
        <v>2594.7074</v>
      </c>
      <c r="BT90" s="32">
        <f>IF(AS90&gt;0,-MAX(0,21550-MAX(0,MAX(0,(AM90-AP90-BE90-BO90-BQ90)-Assumptions!$B$93))-MIN(MAX(0,21550-MAX(0,MAX(0,(AM90-AP90-BE90-BO90-BQ90)-Assumptions!$B$93))),MAX(0,BY89-Assumptions!$B$91))),IF(BY89&gt;=Assumptions!$B$92,MAX(0,(AM90-AP90-BE90-BO90-BQ90)-Assumptions!$B$93),MAX(0,(AM90-AP90-BE90-BO90-BQ90)-Assumptions!$B$93)*Assumptions!$B$99))</f>
        <v>12055.8988</v>
      </c>
      <c r="BU90" s="32">
        <f>(BR90+BS90+MAX(0,BT90))*(Assumptions!$B$43-1)</f>
        <v>6497.057062</v>
      </c>
      <c r="BV90" s="32">
        <f t="shared" si="13"/>
        <v>959424.1709</v>
      </c>
      <c r="BW90" s="32">
        <f t="shared" si="44"/>
        <v>18713.47572</v>
      </c>
      <c r="BX90" s="32">
        <f>IF(AS90&gt;0,-MIN(MAX(0,21550-MAX(0,MAX(0,(AM90-AP90-BE90-BO90-BQ90)-Assumptions!$B$93))),MAX(0,BY89-Assumptions!$B$91)),IF(BY89&lt;Assumptions!$B$92,MAX(0,(AM90-AP90-BE90-BO90-BQ90)-Assumptions!$B$93)*Assumptions!$B$98,0))</f>
        <v>0</v>
      </c>
      <c r="BY90" s="32">
        <f t="shared" si="14"/>
        <v>18713.47572</v>
      </c>
      <c r="BZ90" s="32">
        <f t="shared" si="45"/>
        <v>26580</v>
      </c>
      <c r="CA90" s="32">
        <f t="shared" si="15"/>
        <v>6645</v>
      </c>
      <c r="CB90" s="32">
        <f t="shared" si="16"/>
        <v>33225</v>
      </c>
      <c r="CC90" s="55">
        <f>CC89+(G90+J90)/(Salary_Schedule!E90*12/208)</f>
        <v>1800.68845</v>
      </c>
      <c r="CD90" s="55">
        <f>CD89+(O90+R90)/(Salary_Schedule!G90*12/208)</f>
        <v>129.4031648</v>
      </c>
      <c r="CE90" s="32">
        <f t="shared" si="17"/>
        <v>959424.1709</v>
      </c>
      <c r="CF90" s="32">
        <f>Assumptions!$B$55*(1+Assumptions!$B$56)^((B90-2025)+(A90-1)/12)</f>
        <v>588690.5022</v>
      </c>
      <c r="CG90" s="32">
        <f t="shared" si="18"/>
        <v>-145332.2576</v>
      </c>
      <c r="CH90" s="32">
        <f t="shared" si="19"/>
        <v>-11082.74</v>
      </c>
      <c r="CI90" s="32">
        <f>CC90*(Salary_Schedule!E90/173.33)*(1-Assumptions!$B$28)+CD90*(Salary_Schedule!G90/173.33)*(1-Assumptions!$B$28)</f>
        <v>73819.02196</v>
      </c>
      <c r="CJ90" s="32">
        <f t="shared" si="20"/>
        <v>1465518.697</v>
      </c>
    </row>
    <row r="91" ht="15.0" customHeight="1">
      <c r="A91" s="1">
        <v>6.0</v>
      </c>
      <c r="B91" s="1">
        <v>2033.0</v>
      </c>
      <c r="C91" s="1" t="s">
        <v>760</v>
      </c>
      <c r="D91" s="1" t="str">
        <f t="shared" si="21"/>
        <v>05/2033</v>
      </c>
      <c r="E91" s="1" t="str">
        <f t="shared" si="2"/>
        <v>LEAN</v>
      </c>
      <c r="F91" s="32">
        <f>Salary_Schedule!E91</f>
        <v>10365.29</v>
      </c>
      <c r="G91" s="32">
        <f>Assumptions!$B$8</f>
        <v>200</v>
      </c>
      <c r="H91" s="32">
        <f>F91*Assumptions!$B$58</f>
        <v>1036.529</v>
      </c>
      <c r="I91" s="32">
        <f>Salary_Schedule!F91</f>
        <v>0</v>
      </c>
      <c r="J91" s="32">
        <f>I91*Assumptions!$B$9</f>
        <v>0</v>
      </c>
      <c r="K91" s="54">
        <f t="shared" si="3"/>
        <v>9128.761</v>
      </c>
      <c r="L91" s="32">
        <f>IF(COUNTIFS(SL_Income_Log!$B:$B,TEXT(B91,"0000")&amp;"-"&amp;TEXT(A91,"00"),SL_Income_Log!$C:$C,"salary",SL_Income_Log!$E:$E,"H")&gt;0,SUMIFS(SL_Income_Log!$D:$D,SL_Income_Log!$B:$B,TEXT(B91,"0000")&amp;"-"&amp;TEXT(A91,"00"),SL_Income_Log!$C:$C,"salary",SL_Income_Log!$E:$E,"H"),K91*(1-Assumptions!$B$102)-Z91-Y91)</f>
        <v>5184.7166</v>
      </c>
      <c r="M91" s="32">
        <f>RSU_Schedule!H90</f>
        <v>0</v>
      </c>
      <c r="N91" s="32">
        <f>Salary_Schedule!G91</f>
        <v>7882.62</v>
      </c>
      <c r="O91" s="32">
        <f>Assumptions!$B$19</f>
        <v>200</v>
      </c>
      <c r="P91" s="32">
        <f>N91*Assumptions!$B$59</f>
        <v>788.262</v>
      </c>
      <c r="Q91" s="32">
        <f>Salary_Schedule!H91</f>
        <v>0</v>
      </c>
      <c r="R91" s="32">
        <f>Q91*Assumptions!$B$20</f>
        <v>0</v>
      </c>
      <c r="S91" s="54">
        <f t="shared" si="4"/>
        <v>6894.358</v>
      </c>
      <c r="T91" s="32">
        <f>IF(COUNTIFS(SL_Income_Log!$B:$B,TEXT(B91,"0000")&amp;"-"&amp;TEXT(A91,"00"),SL_Income_Log!$C:$C,"salary",SL_Income_Log!$E:$E,"W")&gt;0,SUMIFS(SL_Income_Log!$D:$D,SL_Income_Log!$B:$B,TEXT(B91,"0000")&amp;"-"&amp;TEXT(A91,"00"),SL_Income_Log!$C:$C,"salary",SL_Income_Log!$E:$E,"W"),S91*(1-Assumptions!$B$102)-AC91-AB91)
</f>
        <v>3844.0748</v>
      </c>
      <c r="U91" s="32">
        <f>RSU_Schedule!M90</f>
        <v>0</v>
      </c>
      <c r="V91" s="32">
        <f>H91*(1+Assumptions!$B$60)+Assumptions!$B$61</f>
        <v>1471.1406</v>
      </c>
      <c r="W91" s="32">
        <f>P91*(1+Assumptions!$B$60)+Assumptions!$B$61</f>
        <v>1123.5668</v>
      </c>
      <c r="X91" s="32">
        <f t="shared" si="5"/>
        <v>2594.7074</v>
      </c>
      <c r="Y91" s="32">
        <f t="shared" si="22"/>
        <v>0.87</v>
      </c>
      <c r="Z91" s="32">
        <v>291.67</v>
      </c>
      <c r="AA91" s="32">
        <f t="shared" si="23"/>
        <v>0</v>
      </c>
      <c r="AB91" s="32">
        <f t="shared" si="24"/>
        <v>0.87</v>
      </c>
      <c r="AC91" s="32">
        <v>291.67</v>
      </c>
      <c r="AD91" s="32">
        <f t="shared" si="25"/>
        <v>0</v>
      </c>
      <c r="AE91" s="32">
        <f t="shared" ref="AE91:AF91" si="132">Z91+AC91</f>
        <v>583.34</v>
      </c>
      <c r="AF91" s="32">
        <f t="shared" si="132"/>
        <v>0</v>
      </c>
      <c r="AG91" s="32">
        <f>IF(COUNTIFS(SL_Income_Log!$B:$B,TEXT(B91,"0000")&amp;"-"&amp;TEXT(A91,"00"),SL_Income_Log!$C:$C,"youtube")&gt;0,SUMIFS(SL_Income_Log!$D:$D,SL_Income_Log!$B:$B,TEXT(B91,"0000")&amp;"-"&amp;TEXT(A91,"00"),SL_Income_Log!$C:$C,"youtube"),MIN(Assumptions!$B$49+FLOOR((ROW()-2)/6,1)*Assumptions!$B$50,Assumptions!$B$51))
</f>
        <v>15000</v>
      </c>
      <c r="AH91" s="32">
        <f>AG91*Assumptions!$B$104</f>
        <v>6645</v>
      </c>
      <c r="AI91" s="32">
        <f t="shared" si="7"/>
        <v>8355</v>
      </c>
      <c r="AJ91" s="32">
        <f>SUMIFS(SL_Income_Log!$D:$D,SL_Income_Log!$B:$B,TEXT(B91,"0000")&amp;"-"&amp;TEXT(A91,"00"),SL_Income_Log!$C:$C,"other")</f>
        <v>0</v>
      </c>
      <c r="AK91" s="32">
        <f t="shared" si="27"/>
        <v>10000</v>
      </c>
      <c r="AL91" s="32">
        <f>L91+M91+T91+U91+AI91+AJ91-Y91-Z91-AB91-AC91+IF((Debt_Register!$C$2+Debt_Register!$C$6+Debt_Register!$C$7+Debt_Register!$C$8+Debt_Register!$C$9)&gt;5,X91,0)</f>
        <v>19393.4188</v>
      </c>
      <c r="AM91" s="32">
        <f t="shared" si="8"/>
        <v>29393.4188</v>
      </c>
      <c r="AN91" s="32">
        <f>MAX(Assumptions!$B$94,MIN(Assumptions!$B$93,AM91-AP91-BE91-BO91-BQ91))</f>
        <v>10000</v>
      </c>
      <c r="AO91" s="32">
        <f t="shared" si="28"/>
        <v>145332.2576</v>
      </c>
      <c r="AP91" s="32">
        <f>IF(AO91&gt;0,Assumptions!$B$33,0)</f>
        <v>2281</v>
      </c>
      <c r="AQ91" s="32">
        <f>AO91*Assumptions!$B$32/12</f>
        <v>471.1187352</v>
      </c>
      <c r="AR91" s="32">
        <f t="shared" si="9"/>
        <v>1809.881265</v>
      </c>
      <c r="AS91" s="32">
        <v>0.0</v>
      </c>
      <c r="AT91" s="32">
        <f t="shared" si="10"/>
        <v>143522.3764</v>
      </c>
      <c r="AU91" s="32">
        <f t="shared" si="30"/>
        <v>0</v>
      </c>
      <c r="AV91" s="32">
        <f t="shared" si="31"/>
        <v>0</v>
      </c>
      <c r="AW91" s="32">
        <f t="shared" si="32"/>
        <v>0</v>
      </c>
      <c r="AX91" s="32">
        <f t="shared" si="33"/>
        <v>0</v>
      </c>
      <c r="AY91" s="32">
        <f t="shared" si="34"/>
        <v>0</v>
      </c>
      <c r="AZ91" s="32">
        <f t="shared" si="35"/>
        <v>0</v>
      </c>
      <c r="BA91" s="32">
        <f t="shared" si="36"/>
        <v>0</v>
      </c>
      <c r="BB91" s="32">
        <f t="shared" si="37"/>
        <v>0</v>
      </c>
      <c r="BC91" s="32">
        <f t="shared" si="38"/>
        <v>0</v>
      </c>
      <c r="BD91" s="32">
        <f t="shared" si="39"/>
        <v>0</v>
      </c>
      <c r="BE91" s="32">
        <f t="shared" si="11"/>
        <v>0</v>
      </c>
      <c r="BF91" s="32">
        <v>0.0</v>
      </c>
      <c r="BG91" s="32">
        <f t="shared" si="40"/>
        <v>5500</v>
      </c>
      <c r="BH91" s="32">
        <v>0.0</v>
      </c>
      <c r="BI91" s="32">
        <f t="shared" si="41"/>
        <v>5000</v>
      </c>
      <c r="BJ91" s="32">
        <f>IF(OR(B91&lt;Assumptions!$B$111,AND(B91=Assumptions!$B$111,A91&lt;=Assumptions!$B$112)),Assumptions!$B$110,0)</f>
        <v>0</v>
      </c>
      <c r="BK91" s="32">
        <f>IF(B91&lt;2027,Assumptions!$B$116+IF(OR(A91=4,A91=10),Assumptions!$B$117,0),IF(AND(B91=2027,A91&lt;=4),IF(A91=4,MIN(950,Assumptions!$B$116+Assumptions!$B$117),Assumptions!$B$116),0))</f>
        <v>0</v>
      </c>
      <c r="BL91" s="32">
        <f>IF(OR(B91&lt;2030,AND(B91=2030,A91&lt;8)),Assumptions!$B$118,IF(AND(B91=2030,A91=8),MOD(11000,200),0))</f>
        <v>0</v>
      </c>
      <c r="BM91" s="32">
        <f>IF(OR(B91&lt;Assumptions!$B$120,AND(B91=Assumptions!$B$120,A91&lt;=Assumptions!$B$121)),Assumptions!$B$119,0)</f>
        <v>0</v>
      </c>
      <c r="BN91" s="32">
        <f>IF(AND(B91&lt;=Assumptions!$B$123,A91&lt;=Assumptions!$B$124),Assumptions!$B$122,0)</f>
        <v>0</v>
      </c>
      <c r="BO91" s="32">
        <f t="shared" si="12"/>
        <v>0</v>
      </c>
      <c r="BP91" s="32">
        <f>SUMIFS(SL_Budget!$B:$B,SL_Budget!$C:$C,"'"&amp;TEXT(DATE(B91,A91,1),"YYYY-MM"))</f>
        <v>5053</v>
      </c>
      <c r="BQ91" s="32">
        <f>MAX(BP91, IFERROR(SUMIFS(ShadowLedger!D:D, 
  ShadowLedger!C:C, "&gt;="&amp;DATE(B91,A91,1), 
  ShadowLedger!C:C, "&lt;"&amp;EOMONTH(DATE(B91,A91,1),0)+1), 0))
</f>
        <v>5053</v>
      </c>
      <c r="BR91" s="32">
        <f t="shared" si="42"/>
        <v>959424.1709</v>
      </c>
      <c r="BS91" s="32">
        <f t="shared" si="43"/>
        <v>2594.7074</v>
      </c>
      <c r="BT91" s="32">
        <f>IF(AS91&gt;0,-MAX(0,21550-MAX(0,MAX(0,(AM91-AP91-BE91-BO91-BQ91)-Assumptions!$B$93))-MIN(MAX(0,21550-MAX(0,MAX(0,(AM91-AP91-BE91-BO91-BQ91)-Assumptions!$B$93))),MAX(0,BY90-Assumptions!$B$91))),IF(BY90&gt;=Assumptions!$B$92,MAX(0,(AM91-AP91-BE91-BO91-BQ91)-Assumptions!$B$93),MAX(0,(AM91-AP91-BE91-BO91-BQ91)-Assumptions!$B$93)*Assumptions!$B$99))</f>
        <v>12059.4188</v>
      </c>
      <c r="BU91" s="32">
        <f>(BR91+BS91+MAX(0,BT91))*(Assumptions!$B$43-1)</f>
        <v>6641.26583</v>
      </c>
      <c r="BV91" s="32">
        <f t="shared" si="13"/>
        <v>980719.5629</v>
      </c>
      <c r="BW91" s="32">
        <f t="shared" si="44"/>
        <v>18713.47572</v>
      </c>
      <c r="BX91" s="32">
        <f>IF(AS91&gt;0,-MIN(MAX(0,21550-MAX(0,MAX(0,(AM91-AP91-BE91-BO91-BQ91)-Assumptions!$B$93))),MAX(0,BY90-Assumptions!$B$91)),IF(BY90&lt;Assumptions!$B$92,MAX(0,(AM91-AP91-BE91-BO91-BQ91)-Assumptions!$B$93)*Assumptions!$B$98,0))</f>
        <v>0</v>
      </c>
      <c r="BY91" s="32">
        <f t="shared" si="14"/>
        <v>18713.47572</v>
      </c>
      <c r="BZ91" s="32">
        <f t="shared" si="45"/>
        <v>33225</v>
      </c>
      <c r="CA91" s="32">
        <f t="shared" si="15"/>
        <v>6645</v>
      </c>
      <c r="CB91" s="32">
        <f t="shared" si="16"/>
        <v>39870</v>
      </c>
      <c r="CC91" s="55">
        <f>CC90+(G91+J91)/(Salary_Schedule!E91*12/208)</f>
        <v>1801.0229</v>
      </c>
      <c r="CD91" s="55">
        <f>CD90+(O91+R91)/(Salary_Schedule!G91*12/208)</f>
        <v>129.8429509</v>
      </c>
      <c r="CE91" s="32">
        <f t="shared" si="17"/>
        <v>980719.5629</v>
      </c>
      <c r="CF91" s="32">
        <f>Assumptions!$B$55*(1+Assumptions!$B$56)^((B91-2025)+(A91-1)/12)</f>
        <v>589421.3542</v>
      </c>
      <c r="CG91" s="32">
        <f t="shared" si="18"/>
        <v>-143522.3764</v>
      </c>
      <c r="CH91" s="32">
        <f t="shared" si="19"/>
        <v>-10500</v>
      </c>
      <c r="CI91" s="32">
        <f>CC91*(Salary_Schedule!E91/173.33)*(1-Assumptions!$B$28)+CD91*(Salary_Schedule!G91/173.33)*(1-Assumptions!$B$28)</f>
        <v>73845.02246</v>
      </c>
      <c r="CJ91" s="32">
        <f t="shared" si="20"/>
        <v>1489963.563</v>
      </c>
    </row>
    <row r="92" ht="15.0" customHeight="1">
      <c r="A92" s="1">
        <v>7.0</v>
      </c>
      <c r="B92" s="1">
        <v>2033.0</v>
      </c>
      <c r="C92" s="1" t="s">
        <v>761</v>
      </c>
      <c r="D92" s="1" t="str">
        <f t="shared" si="21"/>
        <v>06/2033</v>
      </c>
      <c r="E92" s="1" t="str">
        <f t="shared" si="2"/>
        <v>FAT_RSU</v>
      </c>
      <c r="F92" s="32">
        <f>Salary_Schedule!E92</f>
        <v>10365.29</v>
      </c>
      <c r="G92" s="32">
        <f>Assumptions!$B$8</f>
        <v>200</v>
      </c>
      <c r="H92" s="32">
        <f>F92*Assumptions!$B$58</f>
        <v>1036.529</v>
      </c>
      <c r="I92" s="32">
        <f>Salary_Schedule!F92</f>
        <v>0</v>
      </c>
      <c r="J92" s="32">
        <f>I92*Assumptions!$B$9</f>
        <v>0</v>
      </c>
      <c r="K92" s="54">
        <f t="shared" si="3"/>
        <v>9128.761</v>
      </c>
      <c r="L92" s="32">
        <f>IF(COUNTIFS(SL_Income_Log!$B:$B,TEXT(B92,"0000")&amp;"-"&amp;TEXT(A92,"00"),SL_Income_Log!$C:$C,"salary",SL_Income_Log!$E:$E,"H")&gt;0,SUMIFS(SL_Income_Log!$D:$D,SL_Income_Log!$B:$B,TEXT(B92,"0000")&amp;"-"&amp;TEXT(A92,"00"),SL_Income_Log!$C:$C,"salary",SL_Income_Log!$E:$E,"H"),K92*(1-Assumptions!$B$102)-Z92-Y92)</f>
        <v>5477.2566</v>
      </c>
      <c r="M92" s="32">
        <f>RSU_Schedule!H91</f>
        <v>2784.99</v>
      </c>
      <c r="N92" s="32">
        <f>Salary_Schedule!G92</f>
        <v>7882.62</v>
      </c>
      <c r="O92" s="32">
        <f>Assumptions!$B$19</f>
        <v>200</v>
      </c>
      <c r="P92" s="32">
        <f>N92*Assumptions!$B$59</f>
        <v>788.262</v>
      </c>
      <c r="Q92" s="32">
        <f>Salary_Schedule!H92</f>
        <v>0</v>
      </c>
      <c r="R92" s="32">
        <f>Q92*Assumptions!$B$20</f>
        <v>0</v>
      </c>
      <c r="S92" s="54">
        <f t="shared" si="4"/>
        <v>6894.358</v>
      </c>
      <c r="T92" s="32">
        <f>IF(COUNTIFS(SL_Income_Log!$B:$B,TEXT(B92,"0000")&amp;"-"&amp;TEXT(A92,"00"),SL_Income_Log!$C:$C,"salary",SL_Income_Log!$E:$E,"W")&gt;0,SUMIFS(SL_Income_Log!$D:$D,SL_Income_Log!$B:$B,TEXT(B92,"0000")&amp;"-"&amp;TEXT(A92,"00"),SL_Income_Log!$C:$C,"salary",SL_Income_Log!$E:$E,"W"),S92*(1-Assumptions!$B$102)-AC92-AB92)
</f>
        <v>4136.6148</v>
      </c>
      <c r="U92" s="32">
        <f>RSU_Schedule!M91</f>
        <v>1392.51</v>
      </c>
      <c r="V92" s="32">
        <f>H92*(1+Assumptions!$B$60)+Assumptions!$B$61</f>
        <v>1471.1406</v>
      </c>
      <c r="W92" s="32">
        <f>P92*(1+Assumptions!$B$60)+Assumptions!$B$61</f>
        <v>1123.5668</v>
      </c>
      <c r="X92" s="32">
        <f t="shared" si="5"/>
        <v>2594.7074</v>
      </c>
      <c r="Y92" s="32">
        <v>0.0</v>
      </c>
      <c r="Z92" s="32">
        <v>0.0</v>
      </c>
      <c r="AA92" s="32">
        <v>0.0</v>
      </c>
      <c r="AB92" s="32">
        <v>0.0</v>
      </c>
      <c r="AC92" s="32">
        <v>0.0</v>
      </c>
      <c r="AD92" s="32">
        <v>0.0</v>
      </c>
      <c r="AE92" s="32">
        <f t="shared" ref="AE92:AF92" si="133">Z92+AC92</f>
        <v>0</v>
      </c>
      <c r="AF92" s="32">
        <f t="shared" si="133"/>
        <v>0</v>
      </c>
      <c r="AG92" s="32">
        <f>IF(COUNTIFS(SL_Income_Log!$B:$B,TEXT(B92,"0000")&amp;"-"&amp;TEXT(A92,"00"),SL_Income_Log!$C:$C,"youtube")&gt;0,SUMIFS(SL_Income_Log!$D:$D,SL_Income_Log!$B:$B,TEXT(B92,"0000")&amp;"-"&amp;TEXT(A92,"00"),SL_Income_Log!$C:$C,"youtube"),MIN(Assumptions!$B$49+FLOOR((ROW()-2)/6,1)*Assumptions!$B$50,Assumptions!$B$51))
</f>
        <v>16000</v>
      </c>
      <c r="AH92" s="32">
        <f>AG92*Assumptions!$B$104</f>
        <v>7088</v>
      </c>
      <c r="AI92" s="32">
        <f t="shared" si="7"/>
        <v>8912</v>
      </c>
      <c r="AJ92" s="32">
        <f>SUMIFS(SL_Income_Log!$D:$D,SL_Income_Log!$B:$B,TEXT(B92,"0000")&amp;"-"&amp;TEXT(A92,"00"),SL_Income_Log!$C:$C,"other")</f>
        <v>0</v>
      </c>
      <c r="AK92" s="32">
        <f t="shared" si="27"/>
        <v>10000</v>
      </c>
      <c r="AL92" s="32">
        <f>L92+M92+T92+U92+AI92+AJ92-Y92-Z92-AB92-AC92+IF((Debt_Register!$C$2+Debt_Register!$C$6+Debt_Register!$C$7+Debt_Register!$C$8+Debt_Register!$C$9)&gt;5,X92,0)</f>
        <v>25298.0788</v>
      </c>
      <c r="AM92" s="32">
        <f t="shared" si="8"/>
        <v>35298.0788</v>
      </c>
      <c r="AN92" s="32">
        <f>MAX(Assumptions!$B$94,MIN(Assumptions!$B$93,AM92-AP92-BE92-BO92-BQ92))</f>
        <v>10000</v>
      </c>
      <c r="AO92" s="32">
        <f t="shared" si="28"/>
        <v>143522.3764</v>
      </c>
      <c r="AP92" s="32">
        <v>0.0</v>
      </c>
      <c r="AQ92" s="32">
        <v>0.0</v>
      </c>
      <c r="AR92" s="32">
        <v>0.0</v>
      </c>
      <c r="AS92" s="32">
        <f>AO92</f>
        <v>143522.3764</v>
      </c>
      <c r="AT92" s="32">
        <f>MAX(0,AO92-AP92-AR92-AS92)</f>
        <v>0</v>
      </c>
      <c r="AU92" s="32">
        <f t="shared" si="30"/>
        <v>0</v>
      </c>
      <c r="AV92" s="32">
        <f t="shared" si="31"/>
        <v>0</v>
      </c>
      <c r="AW92" s="32">
        <f t="shared" si="32"/>
        <v>0</v>
      </c>
      <c r="AX92" s="32">
        <f t="shared" si="33"/>
        <v>0</v>
      </c>
      <c r="AY92" s="32">
        <f t="shared" si="34"/>
        <v>0</v>
      </c>
      <c r="AZ92" s="32">
        <f t="shared" si="35"/>
        <v>0</v>
      </c>
      <c r="BA92" s="32">
        <f t="shared" si="36"/>
        <v>0</v>
      </c>
      <c r="BB92" s="32">
        <f t="shared" si="37"/>
        <v>0</v>
      </c>
      <c r="BC92" s="32">
        <f t="shared" si="38"/>
        <v>0</v>
      </c>
      <c r="BD92" s="32">
        <f t="shared" si="39"/>
        <v>0</v>
      </c>
      <c r="BE92" s="32">
        <f t="shared" si="11"/>
        <v>0</v>
      </c>
      <c r="BF92" s="32">
        <v>0.0</v>
      </c>
      <c r="BG92" s="32">
        <f t="shared" si="40"/>
        <v>5500</v>
      </c>
      <c r="BH92" s="32">
        <v>0.0</v>
      </c>
      <c r="BI92" s="32">
        <f t="shared" si="41"/>
        <v>5000</v>
      </c>
      <c r="BJ92" s="32">
        <f>IF(OR(B92&lt;Assumptions!$B$111,AND(B92=Assumptions!$B$111,A92&lt;=Assumptions!$B$112)),Assumptions!$B$110,0)</f>
        <v>0</v>
      </c>
      <c r="BK92" s="32">
        <f>IF(B92&lt;2027,Assumptions!$B$116+IF(OR(A92=4,A92=10),Assumptions!$B$117,0),IF(AND(B92=2027,A92&lt;=4),IF(A92=4,MIN(950,Assumptions!$B$116+Assumptions!$B$117),Assumptions!$B$116),0))</f>
        <v>0</v>
      </c>
      <c r="BL92" s="32">
        <f>IF(OR(B92&lt;2030,AND(B92=2030,A92&lt;8)),Assumptions!$B$118,IF(AND(B92=2030,A92=8),MOD(11000,200),0))</f>
        <v>0</v>
      </c>
      <c r="BM92" s="32">
        <f>IF(OR(B92&lt;Assumptions!$B$120,AND(B92=Assumptions!$B$120,A92&lt;=Assumptions!$B$121)),Assumptions!$B$119,0)</f>
        <v>0</v>
      </c>
      <c r="BN92" s="32">
        <f>IF(AND(B92&lt;=Assumptions!$B$123,A92&lt;=Assumptions!$B$124),Assumptions!$B$122,0)</f>
        <v>0</v>
      </c>
      <c r="BO92" s="32">
        <f t="shared" si="12"/>
        <v>0</v>
      </c>
      <c r="BP92" s="32">
        <f>SUMIFS(SL_Budget!$B:$B,SL_Budget!$C:$C,"'"&amp;TEXT(DATE(B92,A92,1),"YYYY-MM"))</f>
        <v>5053</v>
      </c>
      <c r="BQ92" s="32">
        <f>MAX(BP92, IFERROR(SUMIFS(ShadowLedger!D:D, 
  ShadowLedger!C:C, "&gt;="&amp;DATE(B92,A92,1), 
  ShadowLedger!C:C, "&lt;"&amp;EOMONTH(DATE(B92,A92,1),0)+1), 0))
</f>
        <v>5053</v>
      </c>
      <c r="BR92" s="32">
        <f t="shared" si="42"/>
        <v>980719.5629</v>
      </c>
      <c r="BS92" s="32">
        <f t="shared" si="43"/>
        <v>2594.7074</v>
      </c>
      <c r="BT92" s="32">
        <f>-MAX(0,AS92-MAX(0,(AM92-AP92-BE92-BO92-BQ92)-Assumptions!$B$93)-MAX(0,BY91-Assumptions!$B$91))</f>
        <v>-109563.8218</v>
      </c>
      <c r="BU92" s="32">
        <f>(BR92+BS92+MAX(0,BT92))*(Assumptions!$B$43-1)</f>
        <v>6704.236695</v>
      </c>
      <c r="BV92" s="32">
        <f t="shared" si="13"/>
        <v>880454.6852</v>
      </c>
      <c r="BW92" s="32">
        <f t="shared" si="44"/>
        <v>18713.47572</v>
      </c>
      <c r="BX92" s="32">
        <f>-MIN(MAX(0,AS92-MAX(0,(AM92-AP92-BE92-BO92-BQ92)-Assumptions!$B$93)),MAX(0,BW92-Assumptions!$B$91))</f>
        <v>-13713.47572</v>
      </c>
      <c r="BY92" s="32">
        <f t="shared" si="14"/>
        <v>5000</v>
      </c>
      <c r="BZ92" s="32">
        <f t="shared" si="45"/>
        <v>39870</v>
      </c>
      <c r="CA92" s="32">
        <f t="shared" si="15"/>
        <v>7088</v>
      </c>
      <c r="CB92" s="32">
        <f t="shared" si="16"/>
        <v>46958</v>
      </c>
      <c r="CC92" s="55">
        <f>CC91+(G92+J92)/(Salary_Schedule!E92*12/208)</f>
        <v>1801.35735</v>
      </c>
      <c r="CD92" s="55">
        <f>CD91+(O92+R92)/(Salary_Schedule!G92*12/208)</f>
        <v>130.282737</v>
      </c>
      <c r="CE92" s="32">
        <f t="shared" si="17"/>
        <v>880454.6852</v>
      </c>
      <c r="CF92" s="32">
        <f>Assumptions!$B$55*(1+Assumptions!$B$56)^((B92-2025)+(A92-1)/12)</f>
        <v>590153.1136</v>
      </c>
      <c r="CG92" s="32">
        <f t="shared" si="18"/>
        <v>0</v>
      </c>
      <c r="CH92" s="32">
        <f t="shared" si="19"/>
        <v>-10500</v>
      </c>
      <c r="CI92" s="32">
        <f>CC92*(Salary_Schedule!E92/173.33)*(1-Assumptions!$B$28)+CD92*(Salary_Schedule!G92/173.33)*(1-Assumptions!$B$28)</f>
        <v>73871.02296</v>
      </c>
      <c r="CJ92" s="32">
        <f t="shared" si="20"/>
        <v>1533978.822</v>
      </c>
    </row>
    <row r="93" ht="15.0" customHeight="1">
      <c r="A93" s="1">
        <v>8.0</v>
      </c>
      <c r="B93" s="1">
        <v>2033.0</v>
      </c>
      <c r="C93" s="1" t="s">
        <v>762</v>
      </c>
      <c r="D93" s="1" t="str">
        <f t="shared" si="21"/>
        <v>07/2033</v>
      </c>
      <c r="E93" s="1" t="str">
        <f t="shared" si="2"/>
        <v>LEAN</v>
      </c>
      <c r="F93" s="32">
        <f>Salary_Schedule!E93</f>
        <v>10365.29</v>
      </c>
      <c r="G93" s="32">
        <f>Assumptions!$B$8</f>
        <v>200</v>
      </c>
      <c r="H93" s="32">
        <f>F93*Assumptions!$B$58</f>
        <v>1036.529</v>
      </c>
      <c r="I93" s="32">
        <f>Salary_Schedule!F93</f>
        <v>0</v>
      </c>
      <c r="J93" s="32">
        <f>I93*Assumptions!$B$9</f>
        <v>0</v>
      </c>
      <c r="K93" s="54">
        <f t="shared" si="3"/>
        <v>9128.761</v>
      </c>
      <c r="L93" s="32">
        <f>IF(COUNTIFS(SL_Income_Log!$B:$B,TEXT(B93,"0000")&amp;"-"&amp;TEXT(A93,"00"),SL_Income_Log!$C:$C,"salary",SL_Income_Log!$E:$E,"H")&gt;0,SUMIFS(SL_Income_Log!$D:$D,SL_Income_Log!$B:$B,TEXT(B93,"0000")&amp;"-"&amp;TEXT(A93,"00"),SL_Income_Log!$C:$C,"salary",SL_Income_Log!$E:$E,"H"),K93*(1-Assumptions!$B$102)-Z93-Y93)</f>
        <v>5477.2566</v>
      </c>
      <c r="M93" s="32">
        <f>RSU_Schedule!H92</f>
        <v>0</v>
      </c>
      <c r="N93" s="32">
        <f>Salary_Schedule!G93</f>
        <v>7882.62</v>
      </c>
      <c r="O93" s="32">
        <f>Assumptions!$B$19</f>
        <v>200</v>
      </c>
      <c r="P93" s="32">
        <f>N93*Assumptions!$B$59</f>
        <v>788.262</v>
      </c>
      <c r="Q93" s="32">
        <f>Salary_Schedule!H93</f>
        <v>0</v>
      </c>
      <c r="R93" s="32">
        <f>Q93*Assumptions!$B$20</f>
        <v>0</v>
      </c>
      <c r="S93" s="54">
        <f t="shared" si="4"/>
        <v>6894.358</v>
      </c>
      <c r="T93" s="32">
        <f>IF(COUNTIFS(SL_Income_Log!$B:$B,TEXT(B93,"0000")&amp;"-"&amp;TEXT(A93,"00"),SL_Income_Log!$C:$C,"salary",SL_Income_Log!$E:$E,"W")&gt;0,SUMIFS(SL_Income_Log!$D:$D,SL_Income_Log!$B:$B,TEXT(B93,"0000")&amp;"-"&amp;TEXT(A93,"00"),SL_Income_Log!$C:$C,"salary",SL_Income_Log!$E:$E,"W"),S93*(1-Assumptions!$B$102)-AC93-AB93)
</f>
        <v>4136.6148</v>
      </c>
      <c r="U93" s="32">
        <f>RSU_Schedule!M92</f>
        <v>0</v>
      </c>
      <c r="V93" s="32">
        <f>H93*(1+Assumptions!$B$60)+Assumptions!$B$61</f>
        <v>1471.1406</v>
      </c>
      <c r="W93" s="32">
        <f>P93*(1+Assumptions!$B$60)+Assumptions!$B$61</f>
        <v>1123.5668</v>
      </c>
      <c r="X93" s="32">
        <f t="shared" si="5"/>
        <v>2594.7074</v>
      </c>
      <c r="Y93" s="32">
        <v>0.0</v>
      </c>
      <c r="Z93" s="32">
        <v>0.0</v>
      </c>
      <c r="AA93" s="32">
        <v>0.0</v>
      </c>
      <c r="AB93" s="32">
        <v>0.0</v>
      </c>
      <c r="AC93" s="32">
        <v>0.0</v>
      </c>
      <c r="AD93" s="32">
        <v>0.0</v>
      </c>
      <c r="AE93" s="32">
        <f t="shared" ref="AE93:AF93" si="134">Z93+AC93</f>
        <v>0</v>
      </c>
      <c r="AF93" s="32">
        <f t="shared" si="134"/>
        <v>0</v>
      </c>
      <c r="AG93" s="32">
        <f>IF(COUNTIFS(SL_Income_Log!$B:$B,TEXT(B93,"0000")&amp;"-"&amp;TEXT(A93,"00"),SL_Income_Log!$C:$C,"youtube")&gt;0,SUMIFS(SL_Income_Log!$D:$D,SL_Income_Log!$B:$B,TEXT(B93,"0000")&amp;"-"&amp;TEXT(A93,"00"),SL_Income_Log!$C:$C,"youtube"),MIN(Assumptions!$B$49+FLOOR((ROW()-2)/6,1)*Assumptions!$B$50,Assumptions!$B$51))
</f>
        <v>16000</v>
      </c>
      <c r="AH93" s="32">
        <f>AG93*Assumptions!$B$104</f>
        <v>7088</v>
      </c>
      <c r="AI93" s="32">
        <f t="shared" si="7"/>
        <v>8912</v>
      </c>
      <c r="AJ93" s="32">
        <f>SUMIFS(SL_Income_Log!$D:$D,SL_Income_Log!$B:$B,TEXT(B93,"0000")&amp;"-"&amp;TEXT(A93,"00"),SL_Income_Log!$C:$C,"other")</f>
        <v>0</v>
      </c>
      <c r="AK93" s="32">
        <f t="shared" si="27"/>
        <v>10000</v>
      </c>
      <c r="AL93" s="32">
        <f>L93+M93+T93+U93+AI93+AJ93-Y93-Z93-AB93-AC93+IF((Debt_Register!$C$2+Debt_Register!$C$6+Debt_Register!$C$7+Debt_Register!$C$8+Debt_Register!$C$9)&gt;5,X93,0)</f>
        <v>21120.5788</v>
      </c>
      <c r="AM93" s="32">
        <f t="shared" si="8"/>
        <v>31120.5788</v>
      </c>
      <c r="AN93" s="32">
        <f>MAX(Assumptions!$B$94,MIN(Assumptions!$B$93,AM93-AP93-BE93-BO93-BQ93))</f>
        <v>10000</v>
      </c>
      <c r="AO93" s="32">
        <v>0.0</v>
      </c>
      <c r="AP93" s="32">
        <v>0.0</v>
      </c>
      <c r="AQ93" s="32">
        <v>0.0</v>
      </c>
      <c r="AR93" s="32">
        <v>0.0</v>
      </c>
      <c r="AS93" s="32">
        <v>0.0</v>
      </c>
      <c r="AT93" s="32">
        <v>0.0</v>
      </c>
      <c r="AU93" s="32">
        <f t="shared" si="30"/>
        <v>0</v>
      </c>
      <c r="AV93" s="32">
        <f t="shared" si="31"/>
        <v>0</v>
      </c>
      <c r="AW93" s="32">
        <f t="shared" si="32"/>
        <v>0</v>
      </c>
      <c r="AX93" s="32">
        <f t="shared" si="33"/>
        <v>0</v>
      </c>
      <c r="AY93" s="32">
        <f t="shared" si="34"/>
        <v>0</v>
      </c>
      <c r="AZ93" s="32">
        <f t="shared" si="35"/>
        <v>0</v>
      </c>
      <c r="BA93" s="32">
        <f t="shared" si="36"/>
        <v>0</v>
      </c>
      <c r="BB93" s="32">
        <f t="shared" si="37"/>
        <v>0</v>
      </c>
      <c r="BC93" s="32">
        <f t="shared" si="38"/>
        <v>0</v>
      </c>
      <c r="BD93" s="32">
        <f t="shared" si="39"/>
        <v>0</v>
      </c>
      <c r="BE93" s="32">
        <f t="shared" si="11"/>
        <v>0</v>
      </c>
      <c r="BF93" s="32">
        <v>0.0</v>
      </c>
      <c r="BG93" s="32">
        <f t="shared" si="40"/>
        <v>5500</v>
      </c>
      <c r="BH93" s="32">
        <v>0.0</v>
      </c>
      <c r="BI93" s="32">
        <f t="shared" si="41"/>
        <v>5000</v>
      </c>
      <c r="BJ93" s="32">
        <f>IF(OR(B93&lt;Assumptions!$B$111,AND(B93=Assumptions!$B$111,A93&lt;=Assumptions!$B$112)),Assumptions!$B$110,0)</f>
        <v>0</v>
      </c>
      <c r="BK93" s="32">
        <f>IF(B93&lt;2027,Assumptions!$B$116+IF(OR(A93=4,A93=10),Assumptions!$B$117,0),IF(AND(B93=2027,A93&lt;=4),IF(A93=4,MIN(950,Assumptions!$B$116+Assumptions!$B$117),Assumptions!$B$116),0))</f>
        <v>0</v>
      </c>
      <c r="BL93" s="32">
        <f>IF(OR(B93&lt;2030,AND(B93=2030,A93&lt;8)),Assumptions!$B$118,IF(AND(B93=2030,A93=8),MOD(11000,200),0))</f>
        <v>0</v>
      </c>
      <c r="BM93" s="32">
        <f>IF(OR(B93&lt;Assumptions!$B$120,AND(B93=Assumptions!$B$120,A93&lt;=Assumptions!$B$121)),Assumptions!$B$119,0)</f>
        <v>0</v>
      </c>
      <c r="BN93" s="32">
        <f>IF(AND(B93&lt;=Assumptions!$B$123,A93&lt;=Assumptions!$B$124),Assumptions!$B$122,0)</f>
        <v>0</v>
      </c>
      <c r="BO93" s="32">
        <f t="shared" si="12"/>
        <v>0</v>
      </c>
      <c r="BP93" s="32">
        <f>SUMIFS(SL_Budget!$B:$B,SL_Budget!$C:$C,"'"&amp;TEXT(DATE(B93,A93,1),"YYYY-MM"))</f>
        <v>5053</v>
      </c>
      <c r="BQ93" s="32">
        <f>MAX(BP93, IFERROR(SUMIFS(ShadowLedger!D:D, 
  ShadowLedger!C:C, "&gt;="&amp;DATE(B93,A93,1), 
  ShadowLedger!C:C, "&lt;"&amp;EOMONTH(DATE(B93,A93,1),0)+1), 0))
</f>
        <v>5053</v>
      </c>
      <c r="BR93" s="32">
        <f t="shared" si="42"/>
        <v>880454.6852</v>
      </c>
      <c r="BS93" s="32">
        <f t="shared" si="43"/>
        <v>2594.7074</v>
      </c>
      <c r="BT93" s="32">
        <f>IF(BY92&gt;=Assumptions!$B$92,MAX(0,(AM93-BE93-BO93-BQ93)-Assumptions!$B$93),MAX(0,(AM93-BE93-BO93-BQ93)-Assumptions!$B$93)*Assumptions!$B$99)</f>
        <v>12854.06304</v>
      </c>
      <c r="BU93" s="32">
        <f>(BR93+BS93+MAX(0,BT93))*(Assumptions!$B$43-1)</f>
        <v>6108.26976</v>
      </c>
      <c r="BV93" s="32">
        <f t="shared" si="13"/>
        <v>902011.7254</v>
      </c>
      <c r="BW93" s="32">
        <f t="shared" si="44"/>
        <v>5000</v>
      </c>
      <c r="BX93" s="32">
        <f>IF(BY92&lt;Assumptions!$B$92,MAX(0,(AM93-BE93-BO93-BQ93)-Assumptions!$B$93)*Assumptions!$B$98,0)</f>
        <v>3213.51576</v>
      </c>
      <c r="BY93" s="32">
        <f t="shared" si="14"/>
        <v>8213.51576</v>
      </c>
      <c r="BZ93" s="32">
        <f t="shared" si="45"/>
        <v>46958</v>
      </c>
      <c r="CA93" s="32">
        <f t="shared" si="15"/>
        <v>7088</v>
      </c>
      <c r="CB93" s="32">
        <f t="shared" si="16"/>
        <v>54046</v>
      </c>
      <c r="CC93" s="55">
        <f>CC92+(G93+J93)/(Salary_Schedule!E93*12/208)</f>
        <v>1801.691799</v>
      </c>
      <c r="CD93" s="55">
        <f>CD92+(O93+R93)/(Salary_Schedule!G93*12/208)</f>
        <v>130.7225231</v>
      </c>
      <c r="CE93" s="32">
        <f t="shared" si="17"/>
        <v>902011.7254</v>
      </c>
      <c r="CF93" s="32">
        <f>Assumptions!$B$55*(1+Assumptions!$B$56)^((B93-2025)+(A93-1)/12)</f>
        <v>590885.7814</v>
      </c>
      <c r="CG93" s="32">
        <f t="shared" si="18"/>
        <v>0</v>
      </c>
      <c r="CH93" s="32">
        <f t="shared" si="19"/>
        <v>-10500</v>
      </c>
      <c r="CI93" s="32">
        <f>CC93*(Salary_Schedule!E93/173.33)*(1-Assumptions!$B$28)+CD93*(Salary_Schedule!G93/173.33)*(1-Assumptions!$B$28)</f>
        <v>73897.02346</v>
      </c>
      <c r="CJ93" s="32">
        <f t="shared" si="20"/>
        <v>1556294.53</v>
      </c>
    </row>
    <row r="94" ht="15.0" customHeight="1">
      <c r="A94" s="1">
        <v>9.0</v>
      </c>
      <c r="B94" s="1">
        <v>2033.0</v>
      </c>
      <c r="C94" s="1" t="s">
        <v>763</v>
      </c>
      <c r="D94" s="1" t="str">
        <f t="shared" si="21"/>
        <v>08/2033</v>
      </c>
      <c r="E94" s="1" t="str">
        <f t="shared" si="2"/>
        <v>LEAN</v>
      </c>
      <c r="F94" s="32">
        <f>Salary_Schedule!E94</f>
        <v>10365.29</v>
      </c>
      <c r="G94" s="32">
        <f>Assumptions!$B$8</f>
        <v>200</v>
      </c>
      <c r="H94" s="32">
        <f>F94*Assumptions!$B$58</f>
        <v>1036.529</v>
      </c>
      <c r="I94" s="32">
        <f>Salary_Schedule!F94</f>
        <v>0</v>
      </c>
      <c r="J94" s="32">
        <f>I94*Assumptions!$B$9</f>
        <v>0</v>
      </c>
      <c r="K94" s="54">
        <f t="shared" si="3"/>
        <v>9128.761</v>
      </c>
      <c r="L94" s="32">
        <f>IF(COUNTIFS(SL_Income_Log!$B:$B,TEXT(B94,"0000")&amp;"-"&amp;TEXT(A94,"00"),SL_Income_Log!$C:$C,"salary",SL_Income_Log!$E:$E,"H")&gt;0,SUMIFS(SL_Income_Log!$D:$D,SL_Income_Log!$B:$B,TEXT(B94,"0000")&amp;"-"&amp;TEXT(A94,"00"),SL_Income_Log!$C:$C,"salary",SL_Income_Log!$E:$E,"H"),K94*(1-Assumptions!$B$102)-Z94-Y94)</f>
        <v>5477.2566</v>
      </c>
      <c r="M94" s="32">
        <f>RSU_Schedule!H93</f>
        <v>0</v>
      </c>
      <c r="N94" s="32">
        <f>Salary_Schedule!G94</f>
        <v>7882.62</v>
      </c>
      <c r="O94" s="32">
        <f>Assumptions!$B$19</f>
        <v>200</v>
      </c>
      <c r="P94" s="32">
        <f>N94*Assumptions!$B$59</f>
        <v>788.262</v>
      </c>
      <c r="Q94" s="32">
        <f>Salary_Schedule!H94</f>
        <v>0</v>
      </c>
      <c r="R94" s="32">
        <f>Q94*Assumptions!$B$20</f>
        <v>0</v>
      </c>
      <c r="S94" s="54">
        <f t="shared" si="4"/>
        <v>6894.358</v>
      </c>
      <c r="T94" s="32">
        <f>IF(COUNTIFS(SL_Income_Log!$B:$B,TEXT(B94,"0000")&amp;"-"&amp;TEXT(A94,"00"),SL_Income_Log!$C:$C,"salary",SL_Income_Log!$E:$E,"W")&gt;0,SUMIFS(SL_Income_Log!$D:$D,SL_Income_Log!$B:$B,TEXT(B94,"0000")&amp;"-"&amp;TEXT(A94,"00"),SL_Income_Log!$C:$C,"salary",SL_Income_Log!$E:$E,"W"),S94*(1-Assumptions!$B$102)-AC94-AB94)
</f>
        <v>4136.6148</v>
      </c>
      <c r="U94" s="32">
        <f>RSU_Schedule!M93</f>
        <v>0</v>
      </c>
      <c r="V94" s="32">
        <f>H94*(1+Assumptions!$B$60)+Assumptions!$B$61</f>
        <v>1471.1406</v>
      </c>
      <c r="W94" s="32">
        <f>P94*(1+Assumptions!$B$60)+Assumptions!$B$61</f>
        <v>1123.5668</v>
      </c>
      <c r="X94" s="32">
        <f t="shared" si="5"/>
        <v>2594.7074</v>
      </c>
      <c r="Y94" s="32">
        <v>0.0</v>
      </c>
      <c r="Z94" s="32">
        <v>0.0</v>
      </c>
      <c r="AA94" s="32">
        <v>0.0</v>
      </c>
      <c r="AB94" s="32">
        <v>0.0</v>
      </c>
      <c r="AC94" s="32">
        <v>0.0</v>
      </c>
      <c r="AD94" s="32">
        <v>0.0</v>
      </c>
      <c r="AE94" s="32">
        <f t="shared" ref="AE94:AF94" si="135">Z94+AC94</f>
        <v>0</v>
      </c>
      <c r="AF94" s="32">
        <f t="shared" si="135"/>
        <v>0</v>
      </c>
      <c r="AG94" s="32">
        <f>IF(COUNTIFS(SL_Income_Log!$B:$B,TEXT(B94,"0000")&amp;"-"&amp;TEXT(A94,"00"),SL_Income_Log!$C:$C,"youtube")&gt;0,SUMIFS(SL_Income_Log!$D:$D,SL_Income_Log!$B:$B,TEXT(B94,"0000")&amp;"-"&amp;TEXT(A94,"00"),SL_Income_Log!$C:$C,"youtube"),MIN(Assumptions!$B$49+FLOOR((ROW()-2)/6,1)*Assumptions!$B$50,Assumptions!$B$51))
</f>
        <v>16000</v>
      </c>
      <c r="AH94" s="32">
        <f>AG94*Assumptions!$B$104</f>
        <v>7088</v>
      </c>
      <c r="AI94" s="32">
        <f t="shared" si="7"/>
        <v>8912</v>
      </c>
      <c r="AJ94" s="32">
        <f>SUMIFS(SL_Income_Log!$D:$D,SL_Income_Log!$B:$B,TEXT(B94,"0000")&amp;"-"&amp;TEXT(A94,"00"),SL_Income_Log!$C:$C,"other")</f>
        <v>0</v>
      </c>
      <c r="AK94" s="32">
        <f t="shared" si="27"/>
        <v>10000</v>
      </c>
      <c r="AL94" s="32">
        <f>L94+M94+T94+U94+AI94+AJ94-Y94-Z94-AB94-AC94+IF((Debt_Register!$C$2+Debt_Register!$C$6+Debt_Register!$C$7+Debt_Register!$C$8+Debt_Register!$C$9)&gt;5,X94,0)</f>
        <v>21120.5788</v>
      </c>
      <c r="AM94" s="32">
        <f t="shared" si="8"/>
        <v>31120.5788</v>
      </c>
      <c r="AN94" s="32">
        <f>MAX(Assumptions!$B$94,MIN(Assumptions!$B$93,AM94-AP94-BE94-BO94-BQ94))</f>
        <v>10000</v>
      </c>
      <c r="AO94" s="32">
        <v>0.0</v>
      </c>
      <c r="AP94" s="32">
        <v>0.0</v>
      </c>
      <c r="AQ94" s="32">
        <v>0.0</v>
      </c>
      <c r="AR94" s="32">
        <v>0.0</v>
      </c>
      <c r="AS94" s="32">
        <v>0.0</v>
      </c>
      <c r="AT94" s="32">
        <v>0.0</v>
      </c>
      <c r="AU94" s="32">
        <f t="shared" si="30"/>
        <v>0</v>
      </c>
      <c r="AV94" s="32">
        <f t="shared" si="31"/>
        <v>0</v>
      </c>
      <c r="AW94" s="32">
        <f t="shared" si="32"/>
        <v>0</v>
      </c>
      <c r="AX94" s="32">
        <f t="shared" si="33"/>
        <v>0</v>
      </c>
      <c r="AY94" s="32">
        <f t="shared" si="34"/>
        <v>0</v>
      </c>
      <c r="AZ94" s="32">
        <f t="shared" si="35"/>
        <v>0</v>
      </c>
      <c r="BA94" s="32">
        <f t="shared" si="36"/>
        <v>0</v>
      </c>
      <c r="BB94" s="32">
        <f t="shared" si="37"/>
        <v>0</v>
      </c>
      <c r="BC94" s="32">
        <f t="shared" si="38"/>
        <v>0</v>
      </c>
      <c r="BD94" s="32">
        <f t="shared" si="39"/>
        <v>0</v>
      </c>
      <c r="BE94" s="32">
        <f t="shared" si="11"/>
        <v>0</v>
      </c>
      <c r="BF94" s="32">
        <v>0.0</v>
      </c>
      <c r="BG94" s="32">
        <f t="shared" si="40"/>
        <v>5500</v>
      </c>
      <c r="BH94" s="32">
        <v>0.0</v>
      </c>
      <c r="BI94" s="32">
        <f t="shared" si="41"/>
        <v>5000</v>
      </c>
      <c r="BJ94" s="32">
        <f>IF(OR(B94&lt;Assumptions!$B$111,AND(B94=Assumptions!$B$111,A94&lt;=Assumptions!$B$112)),Assumptions!$B$110,0)</f>
        <v>0</v>
      </c>
      <c r="BK94" s="32">
        <f>IF(B94&lt;2027,Assumptions!$B$116+IF(OR(A94=4,A94=10),Assumptions!$B$117,0),IF(AND(B94=2027,A94&lt;=4),IF(A94=4,MIN(950,Assumptions!$B$116+Assumptions!$B$117),Assumptions!$B$116),0))</f>
        <v>0</v>
      </c>
      <c r="BL94" s="32">
        <f>IF(OR(B94&lt;2030,AND(B94=2030,A94&lt;8)),Assumptions!$B$118,IF(AND(B94=2030,A94=8),MOD(11000,200),0))</f>
        <v>0</v>
      </c>
      <c r="BM94" s="32">
        <f>IF(OR(B94&lt;Assumptions!$B$120,AND(B94=Assumptions!$B$120,A94&lt;=Assumptions!$B$121)),Assumptions!$B$119,0)</f>
        <v>0</v>
      </c>
      <c r="BN94" s="32">
        <f>IF(AND(B94&lt;=Assumptions!$B$123,A94&lt;=Assumptions!$B$124),Assumptions!$B$122,0)</f>
        <v>0</v>
      </c>
      <c r="BO94" s="32">
        <f t="shared" si="12"/>
        <v>0</v>
      </c>
      <c r="BP94" s="32">
        <f>SUMIFS(SL_Budget!$B:$B,SL_Budget!$C:$C,"'"&amp;TEXT(DATE(B94,A94,1),"YYYY-MM"))</f>
        <v>5053</v>
      </c>
      <c r="BQ94" s="32">
        <f>MAX(BP94, IFERROR(SUMIFS(ShadowLedger!D:D, 
  ShadowLedger!C:C, "&gt;="&amp;DATE(B94,A94,1), 
  ShadowLedger!C:C, "&lt;"&amp;EOMONTH(DATE(B94,A94,1),0)+1), 0))
</f>
        <v>5053</v>
      </c>
      <c r="BR94" s="32">
        <f t="shared" si="42"/>
        <v>902011.7254</v>
      </c>
      <c r="BS94" s="32">
        <f t="shared" si="43"/>
        <v>2594.7074</v>
      </c>
      <c r="BT94" s="32">
        <f>IF(BY93&gt;=Assumptions!$B$92,MAX(0,(AM94-BE94-BO94-BQ94)-Assumptions!$B$93),MAX(0,(AM94-BE94-BO94-BQ94)-Assumptions!$B$93)*Assumptions!$B$99)</f>
        <v>12854.06304</v>
      </c>
      <c r="BU94" s="32">
        <f>(BR94+BS94+MAX(0,BT94))*(Assumptions!$B$43-1)</f>
        <v>6255.245661</v>
      </c>
      <c r="BV94" s="32">
        <f t="shared" si="13"/>
        <v>923715.7415</v>
      </c>
      <c r="BW94" s="32">
        <f t="shared" si="44"/>
        <v>8213.51576</v>
      </c>
      <c r="BX94" s="32">
        <f>IF(BY93&lt;Assumptions!$B$92,MAX(0,(AM94-BE94-BO94-BQ94)-Assumptions!$B$93)*Assumptions!$B$98,0)</f>
        <v>3213.51576</v>
      </c>
      <c r="BY94" s="32">
        <f t="shared" si="14"/>
        <v>11427.03152</v>
      </c>
      <c r="BZ94" s="32">
        <f t="shared" si="45"/>
        <v>54046</v>
      </c>
      <c r="CA94" s="32">
        <f t="shared" si="15"/>
        <v>7088</v>
      </c>
      <c r="CB94" s="32">
        <f t="shared" si="16"/>
        <v>61134</v>
      </c>
      <c r="CC94" s="55">
        <f>CC93+(G94+J94)/(Salary_Schedule!E94*12/208)</f>
        <v>1802.026249</v>
      </c>
      <c r="CD94" s="55">
        <f>CD93+(O94+R94)/(Salary_Schedule!G94*12/208)</f>
        <v>131.1623092</v>
      </c>
      <c r="CE94" s="32">
        <f t="shared" si="17"/>
        <v>923715.7415</v>
      </c>
      <c r="CF94" s="32">
        <f>Assumptions!$B$55*(1+Assumptions!$B$56)^((B94-2025)+(A94-1)/12)</f>
        <v>591619.3589</v>
      </c>
      <c r="CG94" s="32">
        <f t="shared" si="18"/>
        <v>0</v>
      </c>
      <c r="CH94" s="32">
        <f t="shared" si="19"/>
        <v>-10500</v>
      </c>
      <c r="CI94" s="32">
        <f>CC94*(Salary_Schedule!E94/173.33)*(1-Assumptions!$B$28)+CD94*(Salary_Schedule!G94/173.33)*(1-Assumptions!$B$28)</f>
        <v>73923.02396</v>
      </c>
      <c r="CJ94" s="32">
        <f t="shared" si="20"/>
        <v>1578758.124</v>
      </c>
    </row>
    <row r="95" ht="15.0" customHeight="1">
      <c r="A95" s="1">
        <v>10.0</v>
      </c>
      <c r="B95" s="1">
        <v>2033.0</v>
      </c>
      <c r="C95" s="1" t="s">
        <v>764</v>
      </c>
      <c r="D95" s="1" t="str">
        <f t="shared" si="21"/>
        <v>09/2033</v>
      </c>
      <c r="E95" s="1" t="str">
        <f t="shared" si="2"/>
        <v>FAT_RSU</v>
      </c>
      <c r="F95" s="32">
        <f>Salary_Schedule!E95</f>
        <v>10365.29</v>
      </c>
      <c r="G95" s="32">
        <f>Assumptions!$B$8</f>
        <v>200</v>
      </c>
      <c r="H95" s="32">
        <f>F95*Assumptions!$B$58</f>
        <v>1036.529</v>
      </c>
      <c r="I95" s="32">
        <f>Salary_Schedule!F95</f>
        <v>0</v>
      </c>
      <c r="J95" s="32">
        <f>I95*Assumptions!$B$9</f>
        <v>0</v>
      </c>
      <c r="K95" s="54">
        <f t="shared" si="3"/>
        <v>9128.761</v>
      </c>
      <c r="L95" s="32">
        <f>IF(COUNTIFS(SL_Income_Log!$B:$B,TEXT(B95,"0000")&amp;"-"&amp;TEXT(A95,"00"),SL_Income_Log!$C:$C,"salary",SL_Income_Log!$E:$E,"H")&gt;0,SUMIFS(SL_Income_Log!$D:$D,SL_Income_Log!$B:$B,TEXT(B95,"0000")&amp;"-"&amp;TEXT(A95,"00"),SL_Income_Log!$C:$C,"salary",SL_Income_Log!$E:$E,"H"),K95*(1-Assumptions!$B$102)-Z95-Y95)</f>
        <v>5477.2566</v>
      </c>
      <c r="M95" s="32">
        <f>RSU_Schedule!H94</f>
        <v>2784.99</v>
      </c>
      <c r="N95" s="32">
        <f>Salary_Schedule!G95</f>
        <v>7882.62</v>
      </c>
      <c r="O95" s="32">
        <f>Assumptions!$B$19</f>
        <v>200</v>
      </c>
      <c r="P95" s="32">
        <f>N95*Assumptions!$B$59</f>
        <v>788.262</v>
      </c>
      <c r="Q95" s="32">
        <f>Salary_Schedule!H95</f>
        <v>0</v>
      </c>
      <c r="R95" s="32">
        <f>Q95*Assumptions!$B$20</f>
        <v>0</v>
      </c>
      <c r="S95" s="54">
        <f t="shared" si="4"/>
        <v>6894.358</v>
      </c>
      <c r="T95" s="32">
        <f>IF(COUNTIFS(SL_Income_Log!$B:$B,TEXT(B95,"0000")&amp;"-"&amp;TEXT(A95,"00"),SL_Income_Log!$C:$C,"salary",SL_Income_Log!$E:$E,"W")&gt;0,SUMIFS(SL_Income_Log!$D:$D,SL_Income_Log!$B:$B,TEXT(B95,"0000")&amp;"-"&amp;TEXT(A95,"00"),SL_Income_Log!$C:$C,"salary",SL_Income_Log!$E:$E,"W"),S95*(1-Assumptions!$B$102)-AC95-AB95)
</f>
        <v>4136.6148</v>
      </c>
      <c r="U95" s="32">
        <f>RSU_Schedule!M94</f>
        <v>1392.51</v>
      </c>
      <c r="V95" s="32">
        <f>H95*(1+Assumptions!$B$60)+Assumptions!$B$61</f>
        <v>1471.1406</v>
      </c>
      <c r="W95" s="32">
        <f>P95*(1+Assumptions!$B$60)+Assumptions!$B$61</f>
        <v>1123.5668</v>
      </c>
      <c r="X95" s="32">
        <f t="shared" si="5"/>
        <v>2594.7074</v>
      </c>
      <c r="Y95" s="32">
        <v>0.0</v>
      </c>
      <c r="Z95" s="32">
        <v>0.0</v>
      </c>
      <c r="AA95" s="32">
        <v>0.0</v>
      </c>
      <c r="AB95" s="32">
        <v>0.0</v>
      </c>
      <c r="AC95" s="32">
        <v>0.0</v>
      </c>
      <c r="AD95" s="32">
        <v>0.0</v>
      </c>
      <c r="AE95" s="32">
        <f t="shared" ref="AE95:AF95" si="136">Z95+AC95</f>
        <v>0</v>
      </c>
      <c r="AF95" s="32">
        <f t="shared" si="136"/>
        <v>0</v>
      </c>
      <c r="AG95" s="32">
        <f>IF(COUNTIFS(SL_Income_Log!$B:$B,TEXT(B95,"0000")&amp;"-"&amp;TEXT(A95,"00"),SL_Income_Log!$C:$C,"youtube")&gt;0,SUMIFS(SL_Income_Log!$D:$D,SL_Income_Log!$B:$B,TEXT(B95,"0000")&amp;"-"&amp;TEXT(A95,"00"),SL_Income_Log!$C:$C,"youtube"),MIN(Assumptions!$B$49+FLOOR((ROW()-2)/6,1)*Assumptions!$B$50,Assumptions!$B$51))
</f>
        <v>16000</v>
      </c>
      <c r="AH95" s="32">
        <f>AG95*Assumptions!$B$104</f>
        <v>7088</v>
      </c>
      <c r="AI95" s="32">
        <f t="shared" si="7"/>
        <v>8912</v>
      </c>
      <c r="AJ95" s="32">
        <f>SUMIFS(SL_Income_Log!$D:$D,SL_Income_Log!$B:$B,TEXT(B95,"0000")&amp;"-"&amp;TEXT(A95,"00"),SL_Income_Log!$C:$C,"other")</f>
        <v>0</v>
      </c>
      <c r="AK95" s="32">
        <f t="shared" si="27"/>
        <v>10000</v>
      </c>
      <c r="AL95" s="32">
        <f>L95+M95+T95+U95+AI95+AJ95-Y95-Z95-AB95-AC95+IF((Debt_Register!$C$2+Debt_Register!$C$6+Debt_Register!$C$7+Debt_Register!$C$8+Debt_Register!$C$9)&gt;5,X95,0)</f>
        <v>25298.0788</v>
      </c>
      <c r="AM95" s="32">
        <f t="shared" si="8"/>
        <v>35298.0788</v>
      </c>
      <c r="AN95" s="32">
        <f>MAX(Assumptions!$B$94,MIN(Assumptions!$B$93,AM95-AP95-BE95-BO95-BQ95))</f>
        <v>10000</v>
      </c>
      <c r="AO95" s="32">
        <v>0.0</v>
      </c>
      <c r="AP95" s="32">
        <v>0.0</v>
      </c>
      <c r="AQ95" s="32">
        <v>0.0</v>
      </c>
      <c r="AR95" s="32">
        <v>0.0</v>
      </c>
      <c r="AS95" s="32">
        <v>0.0</v>
      </c>
      <c r="AT95" s="32">
        <v>0.0</v>
      </c>
      <c r="AU95" s="32">
        <f t="shared" si="30"/>
        <v>0</v>
      </c>
      <c r="AV95" s="32">
        <f t="shared" si="31"/>
        <v>0</v>
      </c>
      <c r="AW95" s="32">
        <f t="shared" si="32"/>
        <v>0</v>
      </c>
      <c r="AX95" s="32">
        <f t="shared" si="33"/>
        <v>0</v>
      </c>
      <c r="AY95" s="32">
        <f t="shared" si="34"/>
        <v>0</v>
      </c>
      <c r="AZ95" s="32">
        <f t="shared" si="35"/>
        <v>0</v>
      </c>
      <c r="BA95" s="32">
        <f t="shared" si="36"/>
        <v>0</v>
      </c>
      <c r="BB95" s="32">
        <f t="shared" si="37"/>
        <v>0</v>
      </c>
      <c r="BC95" s="32">
        <f t="shared" si="38"/>
        <v>0</v>
      </c>
      <c r="BD95" s="32">
        <f t="shared" si="39"/>
        <v>0</v>
      </c>
      <c r="BE95" s="32">
        <f t="shared" si="11"/>
        <v>0</v>
      </c>
      <c r="BF95" s="32">
        <v>0.0</v>
      </c>
      <c r="BG95" s="32">
        <f t="shared" si="40"/>
        <v>5500</v>
      </c>
      <c r="BH95" s="32">
        <v>0.0</v>
      </c>
      <c r="BI95" s="32">
        <f t="shared" si="41"/>
        <v>5000</v>
      </c>
      <c r="BJ95" s="32">
        <f>IF(OR(B95&lt;Assumptions!$B$111,AND(B95=Assumptions!$B$111,A95&lt;=Assumptions!$B$112)),Assumptions!$B$110,0)</f>
        <v>0</v>
      </c>
      <c r="BK95" s="32">
        <f>IF(B95&lt;2027,Assumptions!$B$116+IF(OR(A95=4,A95=10),Assumptions!$B$117,0),IF(AND(B95=2027,A95&lt;=4),IF(A95=4,MIN(950,Assumptions!$B$116+Assumptions!$B$117),Assumptions!$B$116),0))</f>
        <v>0</v>
      </c>
      <c r="BL95" s="32">
        <f>IF(OR(B95&lt;2030,AND(B95=2030,A95&lt;8)),Assumptions!$B$118,IF(AND(B95=2030,A95=8),MOD(11000,200),0))</f>
        <v>0</v>
      </c>
      <c r="BM95" s="32">
        <f>IF(OR(B95&lt;Assumptions!$B$120,AND(B95=Assumptions!$B$120,A95&lt;=Assumptions!$B$121)),Assumptions!$B$119,0)</f>
        <v>0</v>
      </c>
      <c r="BN95" s="32">
        <f>IF(AND(B95&lt;=Assumptions!$B$123,A95&lt;=Assumptions!$B$124),Assumptions!$B$122,0)</f>
        <v>0</v>
      </c>
      <c r="BO95" s="32">
        <f t="shared" si="12"/>
        <v>0</v>
      </c>
      <c r="BP95" s="32">
        <f>SUMIFS(SL_Budget!$B:$B,SL_Budget!$C:$C,"'"&amp;TEXT(DATE(B95,A95,1),"YYYY-MM"))</f>
        <v>5053</v>
      </c>
      <c r="BQ95" s="32">
        <f>MAX(BP95, IFERROR(SUMIFS(ShadowLedger!D:D, 
  ShadowLedger!C:C, "&gt;="&amp;DATE(B95,A95,1), 
  ShadowLedger!C:C, "&lt;"&amp;EOMONTH(DATE(B95,A95,1),0)+1), 0))
</f>
        <v>5053</v>
      </c>
      <c r="BR95" s="32">
        <f t="shared" si="42"/>
        <v>923715.7415</v>
      </c>
      <c r="BS95" s="32">
        <f t="shared" si="43"/>
        <v>2594.7074</v>
      </c>
      <c r="BT95" s="32">
        <f>IF(BY94&gt;=Assumptions!$B$92,MAX(0,(AM95-BE95-BO95-BQ95)-Assumptions!$B$93),MAX(0,(AM95-BE95-BO95-BQ95)-Assumptions!$B$93)*Assumptions!$B$99)</f>
        <v>16196.06304</v>
      </c>
      <c r="BU95" s="32">
        <f>(BR95+BS95+MAX(0,BT95))*(Assumptions!$B$43-1)</f>
        <v>6426.009398</v>
      </c>
      <c r="BV95" s="32">
        <f t="shared" si="13"/>
        <v>948932.5213</v>
      </c>
      <c r="BW95" s="32">
        <f t="shared" si="44"/>
        <v>11427.03152</v>
      </c>
      <c r="BX95" s="32">
        <f>IF(BY94&lt;Assumptions!$B$92,MAX(0,(AM95-BE95-BO95-BQ95)-Assumptions!$B$93)*Assumptions!$B$98,0)</f>
        <v>4049.01576</v>
      </c>
      <c r="BY95" s="32">
        <f t="shared" si="14"/>
        <v>15476.04728</v>
      </c>
      <c r="BZ95" s="32">
        <f t="shared" si="45"/>
        <v>61134</v>
      </c>
      <c r="CA95" s="32">
        <f t="shared" si="15"/>
        <v>7088</v>
      </c>
      <c r="CB95" s="32">
        <f t="shared" si="16"/>
        <v>68222</v>
      </c>
      <c r="CC95" s="55">
        <f>CC94+(G95+J95)/(Salary_Schedule!E95*12/208)</f>
        <v>1802.360698</v>
      </c>
      <c r="CD95" s="55">
        <f>CD94+(O95+R95)/(Salary_Schedule!G95*12/208)</f>
        <v>131.6020953</v>
      </c>
      <c r="CE95" s="32">
        <f t="shared" si="17"/>
        <v>948932.5213</v>
      </c>
      <c r="CF95" s="32">
        <f>Assumptions!$B$55*(1+Assumptions!$B$56)^((B95-2025)+(A95-1)/12)</f>
        <v>592353.847</v>
      </c>
      <c r="CG95" s="32">
        <f t="shared" si="18"/>
        <v>0</v>
      </c>
      <c r="CH95" s="32">
        <f t="shared" si="19"/>
        <v>-10500</v>
      </c>
      <c r="CI95" s="32">
        <f>CC95*(Salary_Schedule!E95/173.33)*(1-Assumptions!$B$28)+CD95*(Salary_Schedule!G95/173.33)*(1-Assumptions!$B$28)</f>
        <v>73949.02446</v>
      </c>
      <c r="CJ95" s="32">
        <f t="shared" si="20"/>
        <v>1604735.393</v>
      </c>
    </row>
    <row r="96" ht="15.0" customHeight="1">
      <c r="A96" s="1">
        <v>11.0</v>
      </c>
      <c r="B96" s="1">
        <v>2033.0</v>
      </c>
      <c r="C96" s="1" t="s">
        <v>765</v>
      </c>
      <c r="D96" s="1" t="str">
        <f t="shared" si="21"/>
        <v>10/2033</v>
      </c>
      <c r="E96" s="1" t="str">
        <f t="shared" si="2"/>
        <v>LEAN</v>
      </c>
      <c r="F96" s="32">
        <f>Salary_Schedule!E96</f>
        <v>10365.29</v>
      </c>
      <c r="G96" s="32">
        <f>Assumptions!$B$8</f>
        <v>200</v>
      </c>
      <c r="H96" s="32">
        <f>F96*Assumptions!$B$58</f>
        <v>1036.529</v>
      </c>
      <c r="I96" s="32">
        <f>Salary_Schedule!F96</f>
        <v>0</v>
      </c>
      <c r="J96" s="32">
        <f>I96*Assumptions!$B$9</f>
        <v>0</v>
      </c>
      <c r="K96" s="54">
        <f t="shared" si="3"/>
        <v>9128.761</v>
      </c>
      <c r="L96" s="32">
        <f>IF(COUNTIFS(SL_Income_Log!$B:$B,TEXT(B96,"0000")&amp;"-"&amp;TEXT(A96,"00"),SL_Income_Log!$C:$C,"salary",SL_Income_Log!$E:$E,"H")&gt;0,SUMIFS(SL_Income_Log!$D:$D,SL_Income_Log!$B:$B,TEXT(B96,"0000")&amp;"-"&amp;TEXT(A96,"00"),SL_Income_Log!$C:$C,"salary",SL_Income_Log!$E:$E,"H"),K96*(1-Assumptions!$B$102)-Z96-Y96)</f>
        <v>5477.2566</v>
      </c>
      <c r="M96" s="32">
        <f>RSU_Schedule!H95</f>
        <v>0</v>
      </c>
      <c r="N96" s="32">
        <f>Salary_Schedule!G96</f>
        <v>7882.62</v>
      </c>
      <c r="O96" s="32">
        <f>Assumptions!$B$19</f>
        <v>200</v>
      </c>
      <c r="P96" s="32">
        <f>N96*Assumptions!$B$59</f>
        <v>788.262</v>
      </c>
      <c r="Q96" s="32">
        <f>Salary_Schedule!H96</f>
        <v>0</v>
      </c>
      <c r="R96" s="32">
        <f>Q96*Assumptions!$B$20</f>
        <v>0</v>
      </c>
      <c r="S96" s="54">
        <f t="shared" si="4"/>
        <v>6894.358</v>
      </c>
      <c r="T96" s="32">
        <f>IF(COUNTIFS(SL_Income_Log!$B:$B,TEXT(B96,"0000")&amp;"-"&amp;TEXT(A96,"00"),SL_Income_Log!$C:$C,"salary",SL_Income_Log!$E:$E,"W")&gt;0,SUMIFS(SL_Income_Log!$D:$D,SL_Income_Log!$B:$B,TEXT(B96,"0000")&amp;"-"&amp;TEXT(A96,"00"),SL_Income_Log!$C:$C,"salary",SL_Income_Log!$E:$E,"W"),S96*(1-Assumptions!$B$102)-AC96-AB96)
</f>
        <v>4136.6148</v>
      </c>
      <c r="U96" s="32">
        <f>RSU_Schedule!M95</f>
        <v>0</v>
      </c>
      <c r="V96" s="32">
        <f>H96*(1+Assumptions!$B$60)+Assumptions!$B$61</f>
        <v>1471.1406</v>
      </c>
      <c r="W96" s="32">
        <f>P96*(1+Assumptions!$B$60)+Assumptions!$B$61</f>
        <v>1123.5668</v>
      </c>
      <c r="X96" s="32">
        <f t="shared" si="5"/>
        <v>2594.7074</v>
      </c>
      <c r="Y96" s="32">
        <v>0.0</v>
      </c>
      <c r="Z96" s="32">
        <v>0.0</v>
      </c>
      <c r="AA96" s="32">
        <v>0.0</v>
      </c>
      <c r="AB96" s="32">
        <v>0.0</v>
      </c>
      <c r="AC96" s="32">
        <v>0.0</v>
      </c>
      <c r="AD96" s="32">
        <v>0.0</v>
      </c>
      <c r="AE96" s="32">
        <f t="shared" ref="AE96:AF96" si="137">Z96+AC96</f>
        <v>0</v>
      </c>
      <c r="AF96" s="32">
        <f t="shared" si="137"/>
        <v>0</v>
      </c>
      <c r="AG96" s="32">
        <f>IF(COUNTIFS(SL_Income_Log!$B:$B,TEXT(B96,"0000")&amp;"-"&amp;TEXT(A96,"00"),SL_Income_Log!$C:$C,"youtube")&gt;0,SUMIFS(SL_Income_Log!$D:$D,SL_Income_Log!$B:$B,TEXT(B96,"0000")&amp;"-"&amp;TEXT(A96,"00"),SL_Income_Log!$C:$C,"youtube"),MIN(Assumptions!$B$49+FLOOR((ROW()-2)/6,1)*Assumptions!$B$50,Assumptions!$B$51))
</f>
        <v>16000</v>
      </c>
      <c r="AH96" s="32">
        <f>AG96*Assumptions!$B$104</f>
        <v>7088</v>
      </c>
      <c r="AI96" s="32">
        <f t="shared" si="7"/>
        <v>8912</v>
      </c>
      <c r="AJ96" s="32">
        <f>SUMIFS(SL_Income_Log!$D:$D,SL_Income_Log!$B:$B,TEXT(B96,"0000")&amp;"-"&amp;TEXT(A96,"00"),SL_Income_Log!$C:$C,"other")</f>
        <v>0</v>
      </c>
      <c r="AK96" s="32">
        <f t="shared" si="27"/>
        <v>10000</v>
      </c>
      <c r="AL96" s="32">
        <f>L96+M96+T96+U96+AI96+AJ96-Y96-Z96-AB96-AC96+IF((Debt_Register!$C$2+Debt_Register!$C$6+Debt_Register!$C$7+Debt_Register!$C$8+Debt_Register!$C$9)&gt;5,X96,0)</f>
        <v>21120.5788</v>
      </c>
      <c r="AM96" s="32">
        <f t="shared" si="8"/>
        <v>31120.5788</v>
      </c>
      <c r="AN96" s="32">
        <f>MAX(Assumptions!$B$94,MIN(Assumptions!$B$93,AM96-AP96-BE96-BO96-BQ96))</f>
        <v>10000</v>
      </c>
      <c r="AO96" s="32">
        <v>0.0</v>
      </c>
      <c r="AP96" s="32">
        <v>0.0</v>
      </c>
      <c r="AQ96" s="32">
        <v>0.0</v>
      </c>
      <c r="AR96" s="32">
        <v>0.0</v>
      </c>
      <c r="AS96" s="32">
        <v>0.0</v>
      </c>
      <c r="AT96" s="32">
        <v>0.0</v>
      </c>
      <c r="AU96" s="32">
        <f t="shared" si="30"/>
        <v>0</v>
      </c>
      <c r="AV96" s="32">
        <f t="shared" si="31"/>
        <v>0</v>
      </c>
      <c r="AW96" s="32">
        <f t="shared" si="32"/>
        <v>0</v>
      </c>
      <c r="AX96" s="32">
        <f t="shared" si="33"/>
        <v>0</v>
      </c>
      <c r="AY96" s="32">
        <f t="shared" si="34"/>
        <v>0</v>
      </c>
      <c r="AZ96" s="32">
        <f t="shared" si="35"/>
        <v>0</v>
      </c>
      <c r="BA96" s="32">
        <f t="shared" si="36"/>
        <v>0</v>
      </c>
      <c r="BB96" s="32">
        <f t="shared" si="37"/>
        <v>0</v>
      </c>
      <c r="BC96" s="32">
        <f t="shared" si="38"/>
        <v>0</v>
      </c>
      <c r="BD96" s="32">
        <f t="shared" si="39"/>
        <v>0</v>
      </c>
      <c r="BE96" s="32">
        <f t="shared" si="11"/>
        <v>0</v>
      </c>
      <c r="BF96" s="32">
        <v>0.0</v>
      </c>
      <c r="BG96" s="32">
        <f t="shared" si="40"/>
        <v>5500</v>
      </c>
      <c r="BH96" s="32">
        <v>0.0</v>
      </c>
      <c r="BI96" s="32">
        <f t="shared" si="41"/>
        <v>5000</v>
      </c>
      <c r="BJ96" s="32">
        <f>IF(OR(B96&lt;Assumptions!$B$111,AND(B96=Assumptions!$B$111,A96&lt;=Assumptions!$B$112)),Assumptions!$B$110,0)</f>
        <v>0</v>
      </c>
      <c r="BK96" s="32">
        <f>IF(B96&lt;2027,Assumptions!$B$116+IF(OR(A96=4,A96=10),Assumptions!$B$117,0),IF(AND(B96=2027,A96&lt;=4),IF(A96=4,MIN(950,Assumptions!$B$116+Assumptions!$B$117),Assumptions!$B$116),0))</f>
        <v>0</v>
      </c>
      <c r="BL96" s="32">
        <f>IF(OR(B96&lt;2030,AND(B96=2030,A96&lt;8)),Assumptions!$B$118,IF(AND(B96=2030,A96=8),MOD(11000,200),0))</f>
        <v>0</v>
      </c>
      <c r="BM96" s="32">
        <f>IF(OR(B96&lt;Assumptions!$B$120,AND(B96=Assumptions!$B$120,A96&lt;=Assumptions!$B$121)),Assumptions!$B$119,0)</f>
        <v>0</v>
      </c>
      <c r="BN96" s="32">
        <f>IF(AND(B96&lt;=Assumptions!$B$123,A96&lt;=Assumptions!$B$124),Assumptions!$B$122,0)</f>
        <v>0</v>
      </c>
      <c r="BO96" s="32">
        <f t="shared" si="12"/>
        <v>0</v>
      </c>
      <c r="BP96" s="32">
        <f>SUMIFS(SL_Budget!$B:$B,SL_Budget!$C:$C,"'"&amp;TEXT(DATE(B96,A96,1),"YYYY-MM"))</f>
        <v>5053</v>
      </c>
      <c r="BQ96" s="32">
        <f>MAX(BP96, IFERROR(SUMIFS(ShadowLedger!D:D, 
  ShadowLedger!C:C, "&gt;="&amp;DATE(B96,A96,1), 
  ShadowLedger!C:C, "&lt;"&amp;EOMONTH(DATE(B96,A96,1),0)+1), 0))
</f>
        <v>5053</v>
      </c>
      <c r="BR96" s="32">
        <f t="shared" si="42"/>
        <v>948932.5213</v>
      </c>
      <c r="BS96" s="32">
        <f t="shared" si="43"/>
        <v>2594.7074</v>
      </c>
      <c r="BT96" s="32">
        <f>IF(BY95&gt;=Assumptions!$B$92,MAX(0,(AM96-BE96-BO96-BQ96)-Assumptions!$B$93),MAX(0,(AM96-BE96-BO96-BQ96)-Assumptions!$B$93)*Assumptions!$B$99)</f>
        <v>16067.5788</v>
      </c>
      <c r="BU96" s="32">
        <f>(BR96+BS96+MAX(0,BT96))*(Assumptions!$B$43-1)</f>
        <v>6597.061398</v>
      </c>
      <c r="BV96" s="32">
        <f t="shared" si="13"/>
        <v>974191.8689</v>
      </c>
      <c r="BW96" s="32">
        <f t="shared" si="44"/>
        <v>15476.04728</v>
      </c>
      <c r="BX96" s="32">
        <f>IF(BY95&lt;Assumptions!$B$92,MAX(0,(AM96-BE96-BO96-BQ96)-Assumptions!$B$93)*Assumptions!$B$98,0)</f>
        <v>0</v>
      </c>
      <c r="BY96" s="32">
        <f t="shared" si="14"/>
        <v>15476.04728</v>
      </c>
      <c r="BZ96" s="32">
        <f t="shared" si="45"/>
        <v>68222</v>
      </c>
      <c r="CA96" s="32">
        <f t="shared" si="15"/>
        <v>7088</v>
      </c>
      <c r="CB96" s="32">
        <f t="shared" si="16"/>
        <v>75310</v>
      </c>
      <c r="CC96" s="55">
        <f>CC95+(G96+J96)/(Salary_Schedule!E96*12/208)</f>
        <v>1802.695148</v>
      </c>
      <c r="CD96" s="55">
        <f>CD95+(O96+R96)/(Salary_Schedule!G96*12/208)</f>
        <v>132.0418814</v>
      </c>
      <c r="CE96" s="32">
        <f t="shared" si="17"/>
        <v>974191.8689</v>
      </c>
      <c r="CF96" s="32">
        <f>Assumptions!$B$55*(1+Assumptions!$B$56)^((B96-2025)+(A96-1)/12)</f>
        <v>593089.2471</v>
      </c>
      <c r="CG96" s="32">
        <f t="shared" si="18"/>
        <v>0</v>
      </c>
      <c r="CH96" s="32">
        <f t="shared" si="19"/>
        <v>-10500</v>
      </c>
      <c r="CI96" s="32">
        <f>CC96*(Salary_Schedule!E96/173.33)*(1-Assumptions!$B$28)+CD96*(Salary_Schedule!G96/173.33)*(1-Assumptions!$B$28)</f>
        <v>73975.02496</v>
      </c>
      <c r="CJ96" s="32">
        <f t="shared" si="20"/>
        <v>1630756.141</v>
      </c>
    </row>
    <row r="97" ht="15.0" customHeight="1">
      <c r="A97" s="1">
        <v>12.0</v>
      </c>
      <c r="B97" s="1">
        <v>2033.0</v>
      </c>
      <c r="C97" s="1" t="s">
        <v>766</v>
      </c>
      <c r="D97" s="1" t="str">
        <f t="shared" si="21"/>
        <v>11/2033</v>
      </c>
      <c r="E97" s="1" t="str">
        <f t="shared" si="2"/>
        <v>LEAN</v>
      </c>
      <c r="F97" s="32">
        <f>Salary_Schedule!E97</f>
        <v>10365.29</v>
      </c>
      <c r="G97" s="32">
        <f>Assumptions!$B$8</f>
        <v>200</v>
      </c>
      <c r="H97" s="32">
        <f>F97*Assumptions!$B$58</f>
        <v>1036.529</v>
      </c>
      <c r="I97" s="32">
        <f>Salary_Schedule!F97</f>
        <v>0</v>
      </c>
      <c r="J97" s="32">
        <f>I97*Assumptions!$B$9</f>
        <v>0</v>
      </c>
      <c r="K97" s="54">
        <f t="shared" si="3"/>
        <v>9128.761</v>
      </c>
      <c r="L97" s="32">
        <f>IF(COUNTIFS(SL_Income_Log!$B:$B,TEXT(B97,"0000")&amp;"-"&amp;TEXT(A97,"00"),SL_Income_Log!$C:$C,"salary",SL_Income_Log!$E:$E,"H")&gt;0,SUMIFS(SL_Income_Log!$D:$D,SL_Income_Log!$B:$B,TEXT(B97,"0000")&amp;"-"&amp;TEXT(A97,"00"),SL_Income_Log!$C:$C,"salary",SL_Income_Log!$E:$E,"H"),K97*(1-Assumptions!$B$102)-Z97-Y97)</f>
        <v>5477.2566</v>
      </c>
      <c r="M97" s="32">
        <f>RSU_Schedule!H96</f>
        <v>0</v>
      </c>
      <c r="N97" s="32">
        <f>Salary_Schedule!G97</f>
        <v>7882.62</v>
      </c>
      <c r="O97" s="32">
        <f>Assumptions!$B$19</f>
        <v>200</v>
      </c>
      <c r="P97" s="32">
        <f>N97*Assumptions!$B$59</f>
        <v>788.262</v>
      </c>
      <c r="Q97" s="32">
        <f>Salary_Schedule!H97</f>
        <v>0</v>
      </c>
      <c r="R97" s="32">
        <f>Q97*Assumptions!$B$20</f>
        <v>0</v>
      </c>
      <c r="S97" s="54">
        <f t="shared" si="4"/>
        <v>6894.358</v>
      </c>
      <c r="T97" s="32">
        <f>IF(COUNTIFS(SL_Income_Log!$B:$B,TEXT(B97,"0000")&amp;"-"&amp;TEXT(A97,"00"),SL_Income_Log!$C:$C,"salary",SL_Income_Log!$E:$E,"W")&gt;0,SUMIFS(SL_Income_Log!$D:$D,SL_Income_Log!$B:$B,TEXT(B97,"0000")&amp;"-"&amp;TEXT(A97,"00"),SL_Income_Log!$C:$C,"salary",SL_Income_Log!$E:$E,"W"),S97*(1-Assumptions!$B$102)-AC97-AB97)
</f>
        <v>4136.6148</v>
      </c>
      <c r="U97" s="32">
        <f>RSU_Schedule!M96</f>
        <v>0</v>
      </c>
      <c r="V97" s="32">
        <f>H97*(1+Assumptions!$B$60)+Assumptions!$B$61</f>
        <v>1471.1406</v>
      </c>
      <c r="W97" s="32">
        <f>P97*(1+Assumptions!$B$60)+Assumptions!$B$61</f>
        <v>1123.5668</v>
      </c>
      <c r="X97" s="32">
        <f t="shared" si="5"/>
        <v>2594.7074</v>
      </c>
      <c r="Y97" s="32">
        <v>0.0</v>
      </c>
      <c r="Z97" s="32">
        <v>0.0</v>
      </c>
      <c r="AA97" s="32">
        <v>0.0</v>
      </c>
      <c r="AB97" s="32">
        <v>0.0</v>
      </c>
      <c r="AC97" s="32">
        <v>0.0</v>
      </c>
      <c r="AD97" s="32">
        <v>0.0</v>
      </c>
      <c r="AE97" s="32">
        <f t="shared" ref="AE97:AF97" si="138">Z97+AC97</f>
        <v>0</v>
      </c>
      <c r="AF97" s="32">
        <f t="shared" si="138"/>
        <v>0</v>
      </c>
      <c r="AG97" s="32">
        <f>IF(COUNTIFS(SL_Income_Log!$B:$B,TEXT(B97,"0000")&amp;"-"&amp;TEXT(A97,"00"),SL_Income_Log!$C:$C,"youtube")&gt;0,SUMIFS(SL_Income_Log!$D:$D,SL_Income_Log!$B:$B,TEXT(B97,"0000")&amp;"-"&amp;TEXT(A97,"00"),SL_Income_Log!$C:$C,"youtube"),MIN(Assumptions!$B$49+FLOOR((ROW()-2)/6,1)*Assumptions!$B$50,Assumptions!$B$51))
</f>
        <v>16000</v>
      </c>
      <c r="AH97" s="32">
        <f>AG97*Assumptions!$B$104</f>
        <v>7088</v>
      </c>
      <c r="AI97" s="32">
        <f t="shared" si="7"/>
        <v>8912</v>
      </c>
      <c r="AJ97" s="32">
        <f>SUMIFS(SL_Income_Log!$D:$D,SL_Income_Log!$B:$B,TEXT(B97,"0000")&amp;"-"&amp;TEXT(A97,"00"),SL_Income_Log!$C:$C,"other")</f>
        <v>0</v>
      </c>
      <c r="AK97" s="32">
        <f t="shared" si="27"/>
        <v>10000</v>
      </c>
      <c r="AL97" s="32">
        <f>L97+M97+T97+U97+AI97+AJ97-Y97-Z97-AB97-AC97+IF((Debt_Register!$C$2+Debt_Register!$C$6+Debt_Register!$C$7+Debt_Register!$C$8+Debt_Register!$C$9)&gt;5,X97,0)</f>
        <v>21120.5788</v>
      </c>
      <c r="AM97" s="32">
        <f t="shared" si="8"/>
        <v>31120.5788</v>
      </c>
      <c r="AN97" s="32">
        <f>MAX(Assumptions!$B$94,MIN(Assumptions!$B$93,AM97-AP97-BE97-BO97-BQ97))</f>
        <v>10000</v>
      </c>
      <c r="AO97" s="32">
        <v>0.0</v>
      </c>
      <c r="AP97" s="32">
        <v>0.0</v>
      </c>
      <c r="AQ97" s="32">
        <v>0.0</v>
      </c>
      <c r="AR97" s="32">
        <v>0.0</v>
      </c>
      <c r="AS97" s="32">
        <v>0.0</v>
      </c>
      <c r="AT97" s="32">
        <v>0.0</v>
      </c>
      <c r="AU97" s="32">
        <f t="shared" si="30"/>
        <v>0</v>
      </c>
      <c r="AV97" s="32">
        <f t="shared" si="31"/>
        <v>0</v>
      </c>
      <c r="AW97" s="32">
        <f t="shared" si="32"/>
        <v>0</v>
      </c>
      <c r="AX97" s="32">
        <f t="shared" si="33"/>
        <v>0</v>
      </c>
      <c r="AY97" s="32">
        <f t="shared" si="34"/>
        <v>0</v>
      </c>
      <c r="AZ97" s="32">
        <f t="shared" si="35"/>
        <v>0</v>
      </c>
      <c r="BA97" s="32">
        <f t="shared" si="36"/>
        <v>0</v>
      </c>
      <c r="BB97" s="32">
        <f t="shared" si="37"/>
        <v>0</v>
      </c>
      <c r="BC97" s="32">
        <f t="shared" si="38"/>
        <v>0</v>
      </c>
      <c r="BD97" s="32">
        <f t="shared" si="39"/>
        <v>0</v>
      </c>
      <c r="BE97" s="32">
        <f t="shared" si="11"/>
        <v>0</v>
      </c>
      <c r="BF97" s="32">
        <v>0.0</v>
      </c>
      <c r="BG97" s="32">
        <f t="shared" si="40"/>
        <v>5500</v>
      </c>
      <c r="BH97" s="32">
        <v>0.0</v>
      </c>
      <c r="BI97" s="32">
        <f t="shared" si="41"/>
        <v>5000</v>
      </c>
      <c r="BJ97" s="32">
        <f>IF(OR(B97&lt;Assumptions!$B$111,AND(B97=Assumptions!$B$111,A97&lt;=Assumptions!$B$112)),Assumptions!$B$110,0)</f>
        <v>0</v>
      </c>
      <c r="BK97" s="32">
        <f>IF(B97&lt;2027,Assumptions!$B$116+IF(OR(A97=4,A97=10),Assumptions!$B$117,0),IF(AND(B97=2027,A97&lt;=4),IF(A97=4,MIN(950,Assumptions!$B$116+Assumptions!$B$117),Assumptions!$B$116),0))</f>
        <v>0</v>
      </c>
      <c r="BL97" s="32">
        <f>IF(OR(B97&lt;2030,AND(B97=2030,A97&lt;8)),Assumptions!$B$118,IF(AND(B97=2030,A97=8),MOD(11000,200),0))</f>
        <v>0</v>
      </c>
      <c r="BM97" s="32">
        <f>IF(OR(B97&lt;Assumptions!$B$120,AND(B97=Assumptions!$B$120,A97&lt;=Assumptions!$B$121)),Assumptions!$B$119,0)</f>
        <v>0</v>
      </c>
      <c r="BN97" s="32">
        <f>IF(AND(B97&lt;=Assumptions!$B$123,A97&lt;=Assumptions!$B$124),Assumptions!$B$122,0)</f>
        <v>0</v>
      </c>
      <c r="BO97" s="32">
        <f t="shared" si="12"/>
        <v>0</v>
      </c>
      <c r="BP97" s="32">
        <f>SUMIFS(SL_Budget!$B:$B,SL_Budget!$C:$C,"'"&amp;TEXT(DATE(B97,A97,1),"YYYY-MM"))</f>
        <v>5053</v>
      </c>
      <c r="BQ97" s="32">
        <f>MAX(BP97, IFERROR(SUMIFS(ShadowLedger!D:D, 
  ShadowLedger!C:C, "&gt;="&amp;DATE(B97,A97,1), 
  ShadowLedger!C:C, "&lt;"&amp;EOMONTH(DATE(B97,A97,1),0)+1), 0))
</f>
        <v>5053</v>
      </c>
      <c r="BR97" s="32">
        <f t="shared" si="42"/>
        <v>974191.8689</v>
      </c>
      <c r="BS97" s="32">
        <f t="shared" si="43"/>
        <v>2594.7074</v>
      </c>
      <c r="BT97" s="32">
        <f>IF(BY96&gt;=Assumptions!$B$92,MAX(0,(AM97-BE97-BO97-BQ97)-Assumptions!$B$93),MAX(0,(AM97-BE97-BO97-BQ97)-Assumptions!$B$93)*Assumptions!$B$99)</f>
        <v>16067.5788</v>
      </c>
      <c r="BU97" s="32">
        <f>(BR97+BS97+MAX(0,BT97))*(Assumptions!$B$43-1)</f>
        <v>6769.27963</v>
      </c>
      <c r="BV97" s="32">
        <f t="shared" si="13"/>
        <v>999623.4347</v>
      </c>
      <c r="BW97" s="32">
        <f t="shared" si="44"/>
        <v>15476.04728</v>
      </c>
      <c r="BX97" s="32">
        <f>IF(BY96&lt;Assumptions!$B$92,MAX(0,(AM97-BE97-BO97-BQ97)-Assumptions!$B$93)*Assumptions!$B$98,0)</f>
        <v>0</v>
      </c>
      <c r="BY97" s="32">
        <f t="shared" si="14"/>
        <v>15476.04728</v>
      </c>
      <c r="BZ97" s="32">
        <f t="shared" si="45"/>
        <v>75310</v>
      </c>
      <c r="CA97" s="32">
        <f t="shared" si="15"/>
        <v>7088</v>
      </c>
      <c r="CB97" s="32">
        <f t="shared" si="16"/>
        <v>82398</v>
      </c>
      <c r="CC97" s="55">
        <f>CC96+(G97+J97)/(Salary_Schedule!E97*12/208)</f>
        <v>1803.029597</v>
      </c>
      <c r="CD97" s="55">
        <f>CD96+(O97+R97)/(Salary_Schedule!G97*12/208)</f>
        <v>132.4816675</v>
      </c>
      <c r="CE97" s="32">
        <f t="shared" si="17"/>
        <v>999623.4347</v>
      </c>
      <c r="CF97" s="32">
        <f>Assumptions!$B$55*(1+Assumptions!$B$56)^((B97-2025)+(A97-1)/12)</f>
        <v>593825.5601</v>
      </c>
      <c r="CG97" s="32">
        <f t="shared" si="18"/>
        <v>0</v>
      </c>
      <c r="CH97" s="32">
        <f t="shared" si="19"/>
        <v>-10500</v>
      </c>
      <c r="CI97" s="32">
        <f>CC97*(Salary_Schedule!E97/173.33)*(1-Assumptions!$B$28)+CD97*(Salary_Schedule!G97/173.33)*(1-Assumptions!$B$28)</f>
        <v>74001.02546</v>
      </c>
      <c r="CJ97" s="32">
        <f t="shared" si="20"/>
        <v>1656950.02</v>
      </c>
    </row>
    <row r="98" ht="15.0" customHeight="1">
      <c r="A98" s="1">
        <v>1.0</v>
      </c>
      <c r="B98" s="1">
        <v>2034.0</v>
      </c>
      <c r="C98" s="1" t="s">
        <v>767</v>
      </c>
      <c r="D98" s="1" t="str">
        <f t="shared" si="21"/>
        <v>12/2033</v>
      </c>
      <c r="E98" s="1" t="str">
        <f t="shared" si="2"/>
        <v>FAT_RSU</v>
      </c>
      <c r="F98" s="32">
        <f>Salary_Schedule!E98</f>
        <v>10883.55</v>
      </c>
      <c r="G98" s="32">
        <f>Assumptions!$B$8</f>
        <v>200</v>
      </c>
      <c r="H98" s="32">
        <f>F98*Assumptions!$B$58</f>
        <v>1088.355</v>
      </c>
      <c r="I98" s="32">
        <f>Salary_Schedule!F98</f>
        <v>0</v>
      </c>
      <c r="J98" s="32">
        <f>I98*Assumptions!$B$9</f>
        <v>0</v>
      </c>
      <c r="K98" s="54">
        <f t="shared" si="3"/>
        <v>9595.195</v>
      </c>
      <c r="L98" s="32">
        <f>IF(COUNTIFS(SL_Income_Log!$B:$B,TEXT(B98,"0000")&amp;"-"&amp;TEXT(A98,"00"),SL_Income_Log!$C:$C,"salary",SL_Income_Log!$E:$E,"H")&gt;0,SUMIFS(SL_Income_Log!$D:$D,SL_Income_Log!$B:$B,TEXT(B98,"0000")&amp;"-"&amp;TEXT(A98,"00"),SL_Income_Log!$C:$C,"salary",SL_Income_Log!$E:$E,"H"),K98*(1-Assumptions!$B$102)-Z98-Y98)</f>
        <v>5757.117</v>
      </c>
      <c r="M98" s="32">
        <f>RSU_Schedule!H97</f>
        <v>2784.99</v>
      </c>
      <c r="N98" s="32">
        <f>Salary_Schedule!G98</f>
        <v>8158.51</v>
      </c>
      <c r="O98" s="32">
        <f>Assumptions!$B$19</f>
        <v>200</v>
      </c>
      <c r="P98" s="32">
        <f>N98*Assumptions!$B$59</f>
        <v>815.851</v>
      </c>
      <c r="Q98" s="32">
        <f>Salary_Schedule!H98</f>
        <v>0</v>
      </c>
      <c r="R98" s="32">
        <f>Q98*Assumptions!$B$20</f>
        <v>0</v>
      </c>
      <c r="S98" s="54">
        <f t="shared" si="4"/>
        <v>7142.659</v>
      </c>
      <c r="T98" s="32">
        <f>IF(COUNTIFS(SL_Income_Log!$B:$B,TEXT(B98,"0000")&amp;"-"&amp;TEXT(A98,"00"),SL_Income_Log!$C:$C,"salary",SL_Income_Log!$E:$E,"W")&gt;0,SUMIFS(SL_Income_Log!$D:$D,SL_Income_Log!$B:$B,TEXT(B98,"0000")&amp;"-"&amp;TEXT(A98,"00"),SL_Income_Log!$C:$C,"salary",SL_Income_Log!$E:$E,"W"),S98*(1-Assumptions!$B$102)-AC98-AB98)
</f>
        <v>4285.5954</v>
      </c>
      <c r="U98" s="32">
        <f>RSU_Schedule!M97</f>
        <v>1392.51</v>
      </c>
      <c r="V98" s="32">
        <f>H98*(1+Assumptions!$B$60)+Assumptions!$B$61</f>
        <v>1543.697</v>
      </c>
      <c r="W98" s="32">
        <f>P98*(1+Assumptions!$B$60)+Assumptions!$B$61</f>
        <v>1162.1914</v>
      </c>
      <c r="X98" s="32">
        <f t="shared" si="5"/>
        <v>2705.8884</v>
      </c>
      <c r="Y98" s="32">
        <v>0.0</v>
      </c>
      <c r="Z98" s="32">
        <v>0.0</v>
      </c>
      <c r="AA98" s="32">
        <v>0.0</v>
      </c>
      <c r="AB98" s="32">
        <v>0.0</v>
      </c>
      <c r="AC98" s="32">
        <v>0.0</v>
      </c>
      <c r="AD98" s="32">
        <v>0.0</v>
      </c>
      <c r="AE98" s="32">
        <f t="shared" ref="AE98:AF98" si="139">Z98+AC98</f>
        <v>0</v>
      </c>
      <c r="AF98" s="32">
        <f t="shared" si="139"/>
        <v>0</v>
      </c>
      <c r="AG98" s="32">
        <f>IF(COUNTIFS(SL_Income_Log!$B:$B,TEXT(B98,"0000")&amp;"-"&amp;TEXT(A98,"00"),SL_Income_Log!$C:$C,"youtube")&gt;0,SUMIFS(SL_Income_Log!$D:$D,SL_Income_Log!$B:$B,TEXT(B98,"0000")&amp;"-"&amp;TEXT(A98,"00"),SL_Income_Log!$C:$C,"youtube"),MIN(Assumptions!$B$49+FLOOR((ROW()-2)/6,1)*Assumptions!$B$50,Assumptions!$B$51))
</f>
        <v>17000</v>
      </c>
      <c r="AH98" s="32">
        <f>AG98*Assumptions!$B$104</f>
        <v>7531</v>
      </c>
      <c r="AI98" s="32">
        <f t="shared" si="7"/>
        <v>9469</v>
      </c>
      <c r="AJ98" s="32">
        <f>SUMIFS(SL_Income_Log!$D:$D,SL_Income_Log!$B:$B,TEXT(B98,"0000")&amp;"-"&amp;TEXT(A98,"00"),SL_Income_Log!$C:$C,"other")</f>
        <v>0</v>
      </c>
      <c r="AK98" s="32">
        <f t="shared" si="27"/>
        <v>10000</v>
      </c>
      <c r="AL98" s="32">
        <f>L98+M98+T98+U98+AI98+AJ98-Y98-Z98-AB98-AC98+IF((Debt_Register!$C$2+Debt_Register!$C$6+Debt_Register!$C$7+Debt_Register!$C$8+Debt_Register!$C$9)&gt;5,X98,0)</f>
        <v>26395.1008</v>
      </c>
      <c r="AM98" s="32">
        <f t="shared" si="8"/>
        <v>36395.1008</v>
      </c>
      <c r="AN98" s="32">
        <f>MAX(Assumptions!$B$94,MIN(Assumptions!$B$93,AM98-AP98-BE98-BO98-BQ98))</f>
        <v>10000</v>
      </c>
      <c r="AO98" s="32">
        <v>0.0</v>
      </c>
      <c r="AP98" s="32">
        <v>0.0</v>
      </c>
      <c r="AQ98" s="32">
        <v>0.0</v>
      </c>
      <c r="AR98" s="32">
        <v>0.0</v>
      </c>
      <c r="AS98" s="32">
        <v>0.0</v>
      </c>
      <c r="AT98" s="32">
        <v>0.0</v>
      </c>
      <c r="AU98" s="32">
        <f t="shared" si="30"/>
        <v>0</v>
      </c>
      <c r="AV98" s="32">
        <f t="shared" si="31"/>
        <v>0</v>
      </c>
      <c r="AW98" s="32">
        <f t="shared" si="32"/>
        <v>0</v>
      </c>
      <c r="AX98" s="32">
        <f t="shared" si="33"/>
        <v>0</v>
      </c>
      <c r="AY98" s="32">
        <f t="shared" si="34"/>
        <v>0</v>
      </c>
      <c r="AZ98" s="32">
        <f t="shared" si="35"/>
        <v>0</v>
      </c>
      <c r="BA98" s="32">
        <f t="shared" si="36"/>
        <v>0</v>
      </c>
      <c r="BB98" s="32">
        <f t="shared" si="37"/>
        <v>0</v>
      </c>
      <c r="BC98" s="32">
        <f t="shared" si="38"/>
        <v>0</v>
      </c>
      <c r="BD98" s="32">
        <f t="shared" si="39"/>
        <v>0</v>
      </c>
      <c r="BE98" s="32">
        <f t="shared" si="11"/>
        <v>0</v>
      </c>
      <c r="BF98" s="32">
        <v>0.0</v>
      </c>
      <c r="BG98" s="32">
        <f t="shared" si="40"/>
        <v>5500</v>
      </c>
      <c r="BH98" s="32">
        <v>0.0</v>
      </c>
      <c r="BI98" s="32">
        <f t="shared" si="41"/>
        <v>5000</v>
      </c>
      <c r="BJ98" s="32">
        <f>IF(OR(B98&lt;Assumptions!$B$111,AND(B98=Assumptions!$B$111,A98&lt;=Assumptions!$B$112)),Assumptions!$B$110,0)</f>
        <v>0</v>
      </c>
      <c r="BK98" s="32">
        <f>IF(B98&lt;2027,Assumptions!$B$116+IF(OR(A98=4,A98=10),Assumptions!$B$117,0),IF(AND(B98=2027,A98&lt;=4),IF(A98=4,MIN(950,Assumptions!$B$116+Assumptions!$B$117),Assumptions!$B$116),0))</f>
        <v>0</v>
      </c>
      <c r="BL98" s="32">
        <f>IF(OR(B98&lt;2030,AND(B98=2030,A98&lt;8)),Assumptions!$B$118,IF(AND(B98=2030,A98=8),MOD(11000,200),0))</f>
        <v>0</v>
      </c>
      <c r="BM98" s="32">
        <f>IF(OR(B98&lt;Assumptions!$B$120,AND(B98=Assumptions!$B$120,A98&lt;=Assumptions!$B$121)),Assumptions!$B$119,0)</f>
        <v>0</v>
      </c>
      <c r="BN98" s="32">
        <f>IF(AND(B98&lt;=Assumptions!$B$123,A98&lt;=Assumptions!$B$124),Assumptions!$B$122,0)</f>
        <v>0</v>
      </c>
      <c r="BO98" s="32">
        <f t="shared" si="12"/>
        <v>0</v>
      </c>
      <c r="BP98" s="32">
        <f>SUMIFS(SL_Budget!$B:$B,SL_Budget!$C:$C,"'"&amp;TEXT(DATE(B98,A98,1),"YYYY-MM"))</f>
        <v>5205</v>
      </c>
      <c r="BQ98" s="32">
        <f>MAX(BP98, IFERROR(SUMIFS(ShadowLedger!D:D, 
  ShadowLedger!C:C, "&gt;="&amp;DATE(B98,A98,1), 
  ShadowLedger!C:C, "&lt;"&amp;EOMONTH(DATE(B98,A98,1),0)+1), 0))
</f>
        <v>5205</v>
      </c>
      <c r="BR98" s="32">
        <f t="shared" si="42"/>
        <v>999623.4347</v>
      </c>
      <c r="BS98" s="32">
        <f t="shared" si="43"/>
        <v>2705.8884</v>
      </c>
      <c r="BT98" s="32">
        <f>IF(BY97&gt;=Assumptions!$B$92,MAX(0,(AM98-BE98-BO98-BQ98)-Assumptions!$B$93),MAX(0,(AM98-BE98-BO98-BQ98)-Assumptions!$B$93)*Assumptions!$B$99)</f>
        <v>21190.1008</v>
      </c>
      <c r="BU98" s="32">
        <f>(BR98+BS98+MAX(0,BT98))*(Assumptions!$B$43-1)</f>
        <v>6978.355432</v>
      </c>
      <c r="BV98" s="32">
        <f t="shared" si="13"/>
        <v>1030497.779</v>
      </c>
      <c r="BW98" s="32">
        <f t="shared" si="44"/>
        <v>15476.04728</v>
      </c>
      <c r="BX98" s="32">
        <f>IF(BY97&lt;Assumptions!$B$92,MAX(0,(AM98-BE98-BO98-BQ98)-Assumptions!$B$93)*Assumptions!$B$98,0)</f>
        <v>0</v>
      </c>
      <c r="BY98" s="32">
        <f t="shared" si="14"/>
        <v>15476.04728</v>
      </c>
      <c r="BZ98" s="32">
        <f t="shared" si="45"/>
        <v>0</v>
      </c>
      <c r="CA98" s="32">
        <f t="shared" si="15"/>
        <v>7531</v>
      </c>
      <c r="CB98" s="32">
        <f t="shared" si="16"/>
        <v>7531</v>
      </c>
      <c r="CC98" s="55">
        <f>CC97+(G98+J98)/(Salary_Schedule!E98*12/208)</f>
        <v>1803.348121</v>
      </c>
      <c r="CD98" s="55">
        <f>CD97+(O98+R98)/(Salary_Schedule!G98*12/208)</f>
        <v>132.9065817</v>
      </c>
      <c r="CE98" s="32">
        <f t="shared" si="17"/>
        <v>1030497.779</v>
      </c>
      <c r="CF98" s="32">
        <f>Assumptions!$B$55*(1+Assumptions!$B$56)^((B98-2025)+(A98-1)/12)</f>
        <v>594562.7872</v>
      </c>
      <c r="CG98" s="32">
        <f t="shared" si="18"/>
        <v>0</v>
      </c>
      <c r="CH98" s="32">
        <f t="shared" si="19"/>
        <v>-10500</v>
      </c>
      <c r="CI98" s="32">
        <f>CC98*(Salary_Schedule!E98/173.33)*(1-Assumptions!$B$28)+CD98*(Salary_Schedule!G98/173.33)*(1-Assumptions!$B$28)</f>
        <v>77668.30281</v>
      </c>
      <c r="CJ98" s="32">
        <f t="shared" si="20"/>
        <v>1692228.869</v>
      </c>
    </row>
    <row r="99" ht="15.0" customHeight="1">
      <c r="A99" s="1">
        <v>2.0</v>
      </c>
      <c r="B99" s="1">
        <v>2034.0</v>
      </c>
      <c r="C99" s="1" t="s">
        <v>768</v>
      </c>
      <c r="D99" s="1" t="str">
        <f t="shared" si="21"/>
        <v>01/2034</v>
      </c>
      <c r="E99" s="1" t="str">
        <f t="shared" si="2"/>
        <v>LEAN</v>
      </c>
      <c r="F99" s="32">
        <f>Salary_Schedule!E99</f>
        <v>10883.55</v>
      </c>
      <c r="G99" s="32">
        <f>Assumptions!$B$8</f>
        <v>200</v>
      </c>
      <c r="H99" s="32">
        <f>F99*Assumptions!$B$58</f>
        <v>1088.355</v>
      </c>
      <c r="I99" s="32">
        <f>Salary_Schedule!F99</f>
        <v>0</v>
      </c>
      <c r="J99" s="32">
        <f>I99*Assumptions!$B$9</f>
        <v>0</v>
      </c>
      <c r="K99" s="54">
        <f t="shared" si="3"/>
        <v>9595.195</v>
      </c>
      <c r="L99" s="32">
        <f>IF(COUNTIFS(SL_Income_Log!$B:$B,TEXT(B99,"0000")&amp;"-"&amp;TEXT(A99,"00"),SL_Income_Log!$C:$C,"salary",SL_Income_Log!$E:$E,"H")&gt;0,SUMIFS(SL_Income_Log!$D:$D,SL_Income_Log!$B:$B,TEXT(B99,"0000")&amp;"-"&amp;TEXT(A99,"00"),SL_Income_Log!$C:$C,"salary",SL_Income_Log!$E:$E,"H"),K99*(1-Assumptions!$B$102)-Z99-Y99)</f>
        <v>5757.117</v>
      </c>
      <c r="M99" s="32">
        <f>RSU_Schedule!H98</f>
        <v>0</v>
      </c>
      <c r="N99" s="32">
        <f>Salary_Schedule!G99</f>
        <v>8158.51</v>
      </c>
      <c r="O99" s="32">
        <f>Assumptions!$B$19</f>
        <v>200</v>
      </c>
      <c r="P99" s="32">
        <f>N99*Assumptions!$B$59</f>
        <v>815.851</v>
      </c>
      <c r="Q99" s="32">
        <f>Salary_Schedule!H99</f>
        <v>0</v>
      </c>
      <c r="R99" s="32">
        <f>Q99*Assumptions!$B$20</f>
        <v>0</v>
      </c>
      <c r="S99" s="54">
        <f t="shared" si="4"/>
        <v>7142.659</v>
      </c>
      <c r="T99" s="32">
        <f>IF(COUNTIFS(SL_Income_Log!$B:$B,TEXT(B99,"0000")&amp;"-"&amp;TEXT(A99,"00"),SL_Income_Log!$C:$C,"salary",SL_Income_Log!$E:$E,"W")&gt;0,SUMIFS(SL_Income_Log!$D:$D,SL_Income_Log!$B:$B,TEXT(B99,"0000")&amp;"-"&amp;TEXT(A99,"00"),SL_Income_Log!$C:$C,"salary",SL_Income_Log!$E:$E,"W"),S99*(1-Assumptions!$B$102)-AC99-AB99)
</f>
        <v>4285.5954</v>
      </c>
      <c r="U99" s="32">
        <f>RSU_Schedule!M98</f>
        <v>0</v>
      </c>
      <c r="V99" s="32">
        <f>H99*(1+Assumptions!$B$60)+Assumptions!$B$61</f>
        <v>1543.697</v>
      </c>
      <c r="W99" s="32">
        <f>P99*(1+Assumptions!$B$60)+Assumptions!$B$61</f>
        <v>1162.1914</v>
      </c>
      <c r="X99" s="32">
        <f t="shared" si="5"/>
        <v>2705.8884</v>
      </c>
      <c r="Y99" s="32">
        <v>0.0</v>
      </c>
      <c r="Z99" s="32">
        <v>0.0</v>
      </c>
      <c r="AA99" s="32">
        <v>0.0</v>
      </c>
      <c r="AB99" s="32">
        <v>0.0</v>
      </c>
      <c r="AC99" s="32">
        <v>0.0</v>
      </c>
      <c r="AD99" s="32">
        <v>0.0</v>
      </c>
      <c r="AE99" s="32">
        <f t="shared" ref="AE99:AF99" si="140">Z99+AC99</f>
        <v>0</v>
      </c>
      <c r="AF99" s="32">
        <f t="shared" si="140"/>
        <v>0</v>
      </c>
      <c r="AG99" s="32">
        <f>IF(COUNTIFS(SL_Income_Log!$B:$B,TEXT(B99,"0000")&amp;"-"&amp;TEXT(A99,"00"),SL_Income_Log!$C:$C,"youtube")&gt;0,SUMIFS(SL_Income_Log!$D:$D,SL_Income_Log!$B:$B,TEXT(B99,"0000")&amp;"-"&amp;TEXT(A99,"00"),SL_Income_Log!$C:$C,"youtube"),MIN(Assumptions!$B$49+FLOOR((ROW()-2)/6,1)*Assumptions!$B$50,Assumptions!$B$51))
</f>
        <v>17000</v>
      </c>
      <c r="AH99" s="32">
        <f>AG99*Assumptions!$B$104</f>
        <v>7531</v>
      </c>
      <c r="AI99" s="32">
        <f t="shared" si="7"/>
        <v>9469</v>
      </c>
      <c r="AJ99" s="32">
        <f>SUMIFS(SL_Income_Log!$D:$D,SL_Income_Log!$B:$B,TEXT(B99,"0000")&amp;"-"&amp;TEXT(A99,"00"),SL_Income_Log!$C:$C,"other")</f>
        <v>0</v>
      </c>
      <c r="AK99" s="32">
        <f t="shared" si="27"/>
        <v>10000</v>
      </c>
      <c r="AL99" s="32">
        <f>L99+M99+T99+U99+AI99+AJ99-Y99-Z99-AB99-AC99+IF((Debt_Register!$C$2+Debt_Register!$C$6+Debt_Register!$C$7+Debt_Register!$C$8+Debt_Register!$C$9)&gt;5,X99,0)</f>
        <v>22217.6008</v>
      </c>
      <c r="AM99" s="32">
        <f t="shared" si="8"/>
        <v>32217.6008</v>
      </c>
      <c r="AN99" s="32">
        <f>MAX(Assumptions!$B$94,MIN(Assumptions!$B$93,AM99-AP99-BE99-BO99-BQ99))</f>
        <v>10000</v>
      </c>
      <c r="AO99" s="32">
        <v>0.0</v>
      </c>
      <c r="AP99" s="32">
        <v>0.0</v>
      </c>
      <c r="AQ99" s="32">
        <v>0.0</v>
      </c>
      <c r="AR99" s="32">
        <v>0.0</v>
      </c>
      <c r="AS99" s="32">
        <v>0.0</v>
      </c>
      <c r="AT99" s="32">
        <v>0.0</v>
      </c>
      <c r="AU99" s="32">
        <f t="shared" si="30"/>
        <v>0</v>
      </c>
      <c r="AV99" s="32">
        <f t="shared" si="31"/>
        <v>0</v>
      </c>
      <c r="AW99" s="32">
        <f t="shared" si="32"/>
        <v>0</v>
      </c>
      <c r="AX99" s="32">
        <f t="shared" si="33"/>
        <v>0</v>
      </c>
      <c r="AY99" s="32">
        <f t="shared" si="34"/>
        <v>0</v>
      </c>
      <c r="AZ99" s="32">
        <f t="shared" si="35"/>
        <v>0</v>
      </c>
      <c r="BA99" s="32">
        <f t="shared" si="36"/>
        <v>0</v>
      </c>
      <c r="BB99" s="32">
        <f t="shared" si="37"/>
        <v>0</v>
      </c>
      <c r="BC99" s="32">
        <f t="shared" si="38"/>
        <v>0</v>
      </c>
      <c r="BD99" s="32">
        <f t="shared" si="39"/>
        <v>0</v>
      </c>
      <c r="BE99" s="32">
        <f t="shared" si="11"/>
        <v>0</v>
      </c>
      <c r="BF99" s="32">
        <v>0.0</v>
      </c>
      <c r="BG99" s="32">
        <f t="shared" si="40"/>
        <v>5500</v>
      </c>
      <c r="BH99" s="32">
        <v>0.0</v>
      </c>
      <c r="BI99" s="32">
        <f t="shared" si="41"/>
        <v>5000</v>
      </c>
      <c r="BJ99" s="32">
        <f>IF(OR(B99&lt;Assumptions!$B$111,AND(B99=Assumptions!$B$111,A99&lt;=Assumptions!$B$112)),Assumptions!$B$110,0)</f>
        <v>0</v>
      </c>
      <c r="BK99" s="32">
        <f>IF(B99&lt;2027,Assumptions!$B$116+IF(OR(A99=4,A99=10),Assumptions!$B$117,0),IF(AND(B99=2027,A99&lt;=4),IF(A99=4,MIN(950,Assumptions!$B$116+Assumptions!$B$117),Assumptions!$B$116),0))</f>
        <v>0</v>
      </c>
      <c r="BL99" s="32">
        <f>IF(OR(B99&lt;2030,AND(B99=2030,A99&lt;8)),Assumptions!$B$118,IF(AND(B99=2030,A99=8),MOD(11000,200),0))</f>
        <v>0</v>
      </c>
      <c r="BM99" s="32">
        <f>IF(OR(B99&lt;Assumptions!$B$120,AND(B99=Assumptions!$B$120,A99&lt;=Assumptions!$B$121)),Assumptions!$B$119,0)</f>
        <v>0</v>
      </c>
      <c r="BN99" s="32">
        <f>IF(AND(B99&lt;=Assumptions!$B$123,A99&lt;=Assumptions!$B$124),Assumptions!$B$122,0)</f>
        <v>0</v>
      </c>
      <c r="BO99" s="32">
        <f t="shared" si="12"/>
        <v>0</v>
      </c>
      <c r="BP99" s="32">
        <f>SUMIFS(SL_Budget!$B:$B,SL_Budget!$C:$C,"'"&amp;TEXT(DATE(B99,A99,1),"YYYY-MM"))</f>
        <v>5205</v>
      </c>
      <c r="BQ99" s="32">
        <f>MAX(BP99, IFERROR(SUMIFS(ShadowLedger!D:D, 
  ShadowLedger!C:C, "&gt;="&amp;DATE(B99,A99,1), 
  ShadowLedger!C:C, "&lt;"&amp;EOMONTH(DATE(B99,A99,1),0)+1), 0))
</f>
        <v>5205</v>
      </c>
      <c r="BR99" s="32">
        <f t="shared" si="42"/>
        <v>1030497.779</v>
      </c>
      <c r="BS99" s="32">
        <f t="shared" si="43"/>
        <v>2705.8884</v>
      </c>
      <c r="BT99" s="32">
        <f>IF(BY98&gt;=Assumptions!$B$92,MAX(0,(AM99-BE99-BO99-BQ99)-Assumptions!$B$93),MAX(0,(AM99-BE99-BO99-BQ99)-Assumptions!$B$93)*Assumptions!$B$99)</f>
        <v>17012.6008</v>
      </c>
      <c r="BU99" s="32">
        <f>(BR99+BS99+MAX(0,BT99))*(Assumptions!$B$43-1)</f>
        <v>7160.374519</v>
      </c>
      <c r="BV99" s="32">
        <f t="shared" si="13"/>
        <v>1057376.643</v>
      </c>
      <c r="BW99" s="32">
        <f t="shared" si="44"/>
        <v>15476.04728</v>
      </c>
      <c r="BX99" s="32">
        <f>IF(BY98&lt;Assumptions!$B$92,MAX(0,(AM99-BE99-BO99-BQ99)-Assumptions!$B$93)*Assumptions!$B$98,0)</f>
        <v>0</v>
      </c>
      <c r="BY99" s="32">
        <f t="shared" si="14"/>
        <v>15476.04728</v>
      </c>
      <c r="BZ99" s="32">
        <f t="shared" si="45"/>
        <v>7531</v>
      </c>
      <c r="CA99" s="32">
        <f t="shared" si="15"/>
        <v>7531</v>
      </c>
      <c r="CB99" s="32">
        <f t="shared" si="16"/>
        <v>15062</v>
      </c>
      <c r="CC99" s="55">
        <f>CC98+(G99+J99)/(Salary_Schedule!E99*12/208)</f>
        <v>1803.666644</v>
      </c>
      <c r="CD99" s="55">
        <f>CD98+(O99+R99)/(Salary_Schedule!G99*12/208)</f>
        <v>133.3314959</v>
      </c>
      <c r="CE99" s="32">
        <f t="shared" si="17"/>
        <v>1057376.643</v>
      </c>
      <c r="CF99" s="32">
        <f>Assumptions!$B$55*(1+Assumptions!$B$56)^((B99-2025)+(A99-1)/12)</f>
        <v>595300.9296</v>
      </c>
      <c r="CG99" s="32">
        <f t="shared" si="18"/>
        <v>0</v>
      </c>
      <c r="CH99" s="32">
        <f t="shared" si="19"/>
        <v>-10500</v>
      </c>
      <c r="CI99" s="32">
        <f>CC99*(Salary_Schedule!E99/173.33)*(1-Assumptions!$B$28)+CD99*(Salary_Schedule!G99/173.33)*(1-Assumptions!$B$28)</f>
        <v>77694.30331</v>
      </c>
      <c r="CJ99" s="32">
        <f t="shared" si="20"/>
        <v>1719871.876</v>
      </c>
    </row>
    <row r="100" ht="15.0" customHeight="1">
      <c r="A100" s="1">
        <v>3.0</v>
      </c>
      <c r="B100" s="1">
        <v>2034.0</v>
      </c>
      <c r="C100" s="1" t="s">
        <v>769</v>
      </c>
      <c r="D100" s="1" t="str">
        <f t="shared" si="21"/>
        <v>02/2034</v>
      </c>
      <c r="E100" s="1" t="str">
        <f t="shared" si="2"/>
        <v>LEAN</v>
      </c>
      <c r="F100" s="32">
        <f>Salary_Schedule!E100</f>
        <v>10883.55</v>
      </c>
      <c r="G100" s="32">
        <f>Assumptions!$B$8</f>
        <v>200</v>
      </c>
      <c r="H100" s="32">
        <f>F100*Assumptions!$B$58</f>
        <v>1088.355</v>
      </c>
      <c r="I100" s="32">
        <f>Salary_Schedule!F100</f>
        <v>0</v>
      </c>
      <c r="J100" s="32">
        <f>I100*Assumptions!$B$9</f>
        <v>0</v>
      </c>
      <c r="K100" s="54">
        <f t="shared" si="3"/>
        <v>9595.195</v>
      </c>
      <c r="L100" s="32">
        <f>IF(COUNTIFS(SL_Income_Log!$B:$B,TEXT(B100,"0000")&amp;"-"&amp;TEXT(A100,"00"),SL_Income_Log!$C:$C,"salary",SL_Income_Log!$E:$E,"H")&gt;0,SUMIFS(SL_Income_Log!$D:$D,SL_Income_Log!$B:$B,TEXT(B100,"0000")&amp;"-"&amp;TEXT(A100,"00"),SL_Income_Log!$C:$C,"salary",SL_Income_Log!$E:$E,"H"),K100*(1-Assumptions!$B$102)-Z100-Y100)</f>
        <v>5757.117</v>
      </c>
      <c r="M100" s="32">
        <f>RSU_Schedule!H99</f>
        <v>0</v>
      </c>
      <c r="N100" s="32">
        <f>Salary_Schedule!G100</f>
        <v>8158.51</v>
      </c>
      <c r="O100" s="32">
        <f>Assumptions!$B$19</f>
        <v>200</v>
      </c>
      <c r="P100" s="32">
        <f>N100*Assumptions!$B$59</f>
        <v>815.851</v>
      </c>
      <c r="Q100" s="32">
        <f>Salary_Schedule!H100</f>
        <v>0</v>
      </c>
      <c r="R100" s="32">
        <f>Q100*Assumptions!$B$20</f>
        <v>0</v>
      </c>
      <c r="S100" s="54">
        <f t="shared" si="4"/>
        <v>7142.659</v>
      </c>
      <c r="T100" s="32">
        <f>IF(COUNTIFS(SL_Income_Log!$B:$B,TEXT(B100,"0000")&amp;"-"&amp;TEXT(A100,"00"),SL_Income_Log!$C:$C,"salary",SL_Income_Log!$E:$E,"W")&gt;0,SUMIFS(SL_Income_Log!$D:$D,SL_Income_Log!$B:$B,TEXT(B100,"0000")&amp;"-"&amp;TEXT(A100,"00"),SL_Income_Log!$C:$C,"salary",SL_Income_Log!$E:$E,"W"),S100*(1-Assumptions!$B$102)-AC100-AB100)
</f>
        <v>4285.5954</v>
      </c>
      <c r="U100" s="32">
        <f>RSU_Schedule!M99</f>
        <v>0</v>
      </c>
      <c r="V100" s="32">
        <f>H100*(1+Assumptions!$B$60)+Assumptions!$B$61</f>
        <v>1543.697</v>
      </c>
      <c r="W100" s="32">
        <f>P100*(1+Assumptions!$B$60)+Assumptions!$B$61</f>
        <v>1162.1914</v>
      </c>
      <c r="X100" s="32">
        <f t="shared" si="5"/>
        <v>2705.8884</v>
      </c>
      <c r="Y100" s="32">
        <v>0.0</v>
      </c>
      <c r="Z100" s="32">
        <v>0.0</v>
      </c>
      <c r="AA100" s="32">
        <v>0.0</v>
      </c>
      <c r="AB100" s="32">
        <v>0.0</v>
      </c>
      <c r="AC100" s="32">
        <v>0.0</v>
      </c>
      <c r="AD100" s="32">
        <v>0.0</v>
      </c>
      <c r="AE100" s="32">
        <f t="shared" ref="AE100:AF100" si="141">Z100+AC100</f>
        <v>0</v>
      </c>
      <c r="AF100" s="32">
        <f t="shared" si="141"/>
        <v>0</v>
      </c>
      <c r="AG100" s="32">
        <f>IF(COUNTIFS(SL_Income_Log!$B:$B,TEXT(B100,"0000")&amp;"-"&amp;TEXT(A100,"00"),SL_Income_Log!$C:$C,"youtube")&gt;0,SUMIFS(SL_Income_Log!$D:$D,SL_Income_Log!$B:$B,TEXT(B100,"0000")&amp;"-"&amp;TEXT(A100,"00"),SL_Income_Log!$C:$C,"youtube"),MIN(Assumptions!$B$49+FLOOR((ROW()-2)/6,1)*Assumptions!$B$50,Assumptions!$B$51))
</f>
        <v>17000</v>
      </c>
      <c r="AH100" s="32">
        <f>AG100*Assumptions!$B$104</f>
        <v>7531</v>
      </c>
      <c r="AI100" s="32">
        <f t="shared" si="7"/>
        <v>9469</v>
      </c>
      <c r="AJ100" s="32">
        <f>SUMIFS(SL_Income_Log!$D:$D,SL_Income_Log!$B:$B,TEXT(B100,"0000")&amp;"-"&amp;TEXT(A100,"00"),SL_Income_Log!$C:$C,"other")</f>
        <v>0</v>
      </c>
      <c r="AK100" s="32">
        <f t="shared" si="27"/>
        <v>10000</v>
      </c>
      <c r="AL100" s="32">
        <f>L100+M100+T100+U100+AI100+AJ100-Y100-Z100-AB100-AC100+IF((Debt_Register!$C$2+Debt_Register!$C$6+Debt_Register!$C$7+Debt_Register!$C$8+Debt_Register!$C$9)&gt;5,X100,0)</f>
        <v>22217.6008</v>
      </c>
      <c r="AM100" s="32">
        <f t="shared" si="8"/>
        <v>32217.6008</v>
      </c>
      <c r="AN100" s="32">
        <f>MAX(Assumptions!$B$94,MIN(Assumptions!$B$93,AM100-AP100-BE100-BO100-BQ100))</f>
        <v>10000</v>
      </c>
      <c r="AO100" s="32">
        <v>0.0</v>
      </c>
      <c r="AP100" s="32">
        <v>0.0</v>
      </c>
      <c r="AQ100" s="32">
        <v>0.0</v>
      </c>
      <c r="AR100" s="32">
        <v>0.0</v>
      </c>
      <c r="AS100" s="32">
        <v>0.0</v>
      </c>
      <c r="AT100" s="32">
        <v>0.0</v>
      </c>
      <c r="AU100" s="32">
        <f t="shared" si="30"/>
        <v>0</v>
      </c>
      <c r="AV100" s="32">
        <f t="shared" si="31"/>
        <v>0</v>
      </c>
      <c r="AW100" s="32">
        <f t="shared" si="32"/>
        <v>0</v>
      </c>
      <c r="AX100" s="32">
        <f t="shared" si="33"/>
        <v>0</v>
      </c>
      <c r="AY100" s="32">
        <f t="shared" si="34"/>
        <v>0</v>
      </c>
      <c r="AZ100" s="32">
        <f t="shared" si="35"/>
        <v>0</v>
      </c>
      <c r="BA100" s="32">
        <f t="shared" si="36"/>
        <v>0</v>
      </c>
      <c r="BB100" s="32">
        <f t="shared" si="37"/>
        <v>0</v>
      </c>
      <c r="BC100" s="32">
        <f t="shared" si="38"/>
        <v>0</v>
      </c>
      <c r="BD100" s="32">
        <f t="shared" si="39"/>
        <v>0</v>
      </c>
      <c r="BE100" s="32">
        <f t="shared" si="11"/>
        <v>0</v>
      </c>
      <c r="BF100" s="32">
        <v>0.0</v>
      </c>
      <c r="BG100" s="32">
        <f t="shared" si="40"/>
        <v>5500</v>
      </c>
      <c r="BH100" s="32">
        <v>0.0</v>
      </c>
      <c r="BI100" s="32">
        <f t="shared" si="41"/>
        <v>5000</v>
      </c>
      <c r="BJ100" s="32">
        <f>IF(OR(B100&lt;Assumptions!$B$111,AND(B100=Assumptions!$B$111,A100&lt;=Assumptions!$B$112)),Assumptions!$B$110,0)</f>
        <v>0</v>
      </c>
      <c r="BK100" s="32">
        <f>IF(B100&lt;2027,Assumptions!$B$116+IF(OR(A100=4,A100=10),Assumptions!$B$117,0),IF(AND(B100=2027,A100&lt;=4),IF(A100=4,MIN(950,Assumptions!$B$116+Assumptions!$B$117),Assumptions!$B$116),0))</f>
        <v>0</v>
      </c>
      <c r="BL100" s="32">
        <f>IF(OR(B100&lt;2030,AND(B100=2030,A100&lt;8)),Assumptions!$B$118,IF(AND(B100=2030,A100=8),MOD(11000,200),0))</f>
        <v>0</v>
      </c>
      <c r="BM100" s="32">
        <f>IF(OR(B100&lt;Assumptions!$B$120,AND(B100=Assumptions!$B$120,A100&lt;=Assumptions!$B$121)),Assumptions!$B$119,0)</f>
        <v>0</v>
      </c>
      <c r="BN100" s="32">
        <f>IF(AND(B100&lt;=Assumptions!$B$123,A100&lt;=Assumptions!$B$124),Assumptions!$B$122,0)</f>
        <v>0</v>
      </c>
      <c r="BO100" s="32">
        <f t="shared" si="12"/>
        <v>0</v>
      </c>
      <c r="BP100" s="32">
        <f>SUMIFS(SL_Budget!$B:$B,SL_Budget!$C:$C,"'"&amp;TEXT(DATE(B100,A100,1),"YYYY-MM"))</f>
        <v>5205</v>
      </c>
      <c r="BQ100" s="32">
        <f>MAX(BP100, IFERROR(SUMIFS(ShadowLedger!D:D, 
  ShadowLedger!C:C, "&gt;="&amp;DATE(B100,A100,1), 
  ShadowLedger!C:C, "&lt;"&amp;EOMONTH(DATE(B100,A100,1),0)+1), 0))
</f>
        <v>5205</v>
      </c>
      <c r="BR100" s="32">
        <f t="shared" si="42"/>
        <v>1057376.643</v>
      </c>
      <c r="BS100" s="32">
        <f t="shared" si="43"/>
        <v>2705.8884</v>
      </c>
      <c r="BT100" s="32">
        <f>IF(BY99&gt;=Assumptions!$B$92,MAX(0,(AM100-BE100-BO100-BQ100)-Assumptions!$B$93),MAX(0,(AM100-BE100-BO100-BQ100)-Assumptions!$B$93)*Assumptions!$B$99)</f>
        <v>17012.6008</v>
      </c>
      <c r="BU100" s="32">
        <f>(BR100+BS100+MAX(0,BT100))*(Assumptions!$B$43-1)</f>
        <v>7343.634612</v>
      </c>
      <c r="BV100" s="32">
        <f t="shared" si="13"/>
        <v>1084438.767</v>
      </c>
      <c r="BW100" s="32">
        <f t="shared" si="44"/>
        <v>15476.04728</v>
      </c>
      <c r="BX100" s="32">
        <f>IF(BY99&lt;Assumptions!$B$92,MAX(0,(AM100-BE100-BO100-BQ100)-Assumptions!$B$93)*Assumptions!$B$98,0)</f>
        <v>0</v>
      </c>
      <c r="BY100" s="32">
        <f t="shared" si="14"/>
        <v>15476.04728</v>
      </c>
      <c r="BZ100" s="32">
        <f t="shared" si="45"/>
        <v>15062</v>
      </c>
      <c r="CA100" s="32">
        <f t="shared" si="15"/>
        <v>7531</v>
      </c>
      <c r="CB100" s="32">
        <f t="shared" si="16"/>
        <v>22593</v>
      </c>
      <c r="CC100" s="55">
        <f>CC99+(G100+J100)/(Salary_Schedule!E100*12/208)</f>
        <v>1803.985168</v>
      </c>
      <c r="CD100" s="55">
        <f>CD99+(O100+R100)/(Salary_Schedule!G100*12/208)</f>
        <v>133.75641</v>
      </c>
      <c r="CE100" s="32">
        <f t="shared" si="17"/>
        <v>1084438.767</v>
      </c>
      <c r="CF100" s="32">
        <f>Assumptions!$B$55*(1+Assumptions!$B$56)^((B100-2025)+(A100-1)/12)</f>
        <v>596039.9884</v>
      </c>
      <c r="CG100" s="32">
        <f t="shared" si="18"/>
        <v>0</v>
      </c>
      <c r="CH100" s="32">
        <f t="shared" si="19"/>
        <v>-10500</v>
      </c>
      <c r="CI100" s="32">
        <f>CC100*(Salary_Schedule!E100/173.33)*(1-Assumptions!$B$28)+CD100*(Salary_Schedule!G100/173.33)*(1-Assumptions!$B$28)</f>
        <v>77720.30381</v>
      </c>
      <c r="CJ100" s="32">
        <f t="shared" si="20"/>
        <v>1747699.059</v>
      </c>
    </row>
    <row r="101" ht="15.0" customHeight="1">
      <c r="A101" s="1">
        <v>4.0</v>
      </c>
      <c r="B101" s="1">
        <v>2034.0</v>
      </c>
      <c r="C101" s="1" t="s">
        <v>770</v>
      </c>
      <c r="D101" s="1" t="str">
        <f t="shared" si="21"/>
        <v>03/2034</v>
      </c>
      <c r="E101" s="1" t="str">
        <f t="shared" si="2"/>
        <v>FAT_BONUS</v>
      </c>
      <c r="F101" s="32">
        <f>Salary_Schedule!E101</f>
        <v>10883.55</v>
      </c>
      <c r="G101" s="32">
        <f>Assumptions!$B$8</f>
        <v>200</v>
      </c>
      <c r="H101" s="32">
        <f>F101*Assumptions!$B$58</f>
        <v>1088.355</v>
      </c>
      <c r="I101" s="32">
        <f>Salary_Schedule!F101</f>
        <v>14510.09</v>
      </c>
      <c r="J101" s="32">
        <f>I101*Assumptions!$B$9</f>
        <v>5078.5315</v>
      </c>
      <c r="K101" s="54">
        <f t="shared" si="3"/>
        <v>19026.7535</v>
      </c>
      <c r="L101" s="32">
        <f>IF(COUNTIFS(SL_Income_Log!$B:$B,TEXT(B101,"0000")&amp;"-"&amp;TEXT(A101,"00"),SL_Income_Log!$C:$C,"salary",SL_Income_Log!$E:$E,"H")&gt;0,SUMIFS(SL_Income_Log!$D:$D,SL_Income_Log!$B:$B,TEXT(B101,"0000")&amp;"-"&amp;TEXT(A101,"00"),SL_Income_Log!$C:$C,"salary",SL_Income_Log!$E:$E,"H"),K101*(1-Assumptions!$B$102)-Z101-Y101)</f>
        <v>11416.0521</v>
      </c>
      <c r="M101" s="32">
        <f>RSU_Schedule!H100</f>
        <v>2784.99</v>
      </c>
      <c r="N101" s="32">
        <f>Salary_Schedule!G101</f>
        <v>8158.51</v>
      </c>
      <c r="O101" s="32">
        <f>Assumptions!$B$19</f>
        <v>200</v>
      </c>
      <c r="P101" s="32">
        <f>N101*Assumptions!$B$59</f>
        <v>815.851</v>
      </c>
      <c r="Q101" s="32">
        <f>Salary_Schedule!H101</f>
        <v>10878.16</v>
      </c>
      <c r="R101" s="32">
        <f>Q101*Assumptions!$B$20</f>
        <v>3807.356</v>
      </c>
      <c r="S101" s="54">
        <f t="shared" si="4"/>
        <v>14213.463</v>
      </c>
      <c r="T101" s="32">
        <f>IF(COUNTIFS(SL_Income_Log!$B:$B,TEXT(B101,"0000")&amp;"-"&amp;TEXT(A101,"00"),SL_Income_Log!$C:$C,"salary",SL_Income_Log!$E:$E,"W")&gt;0,SUMIFS(SL_Income_Log!$D:$D,SL_Income_Log!$B:$B,TEXT(B101,"0000")&amp;"-"&amp;TEXT(A101,"00"),SL_Income_Log!$C:$C,"salary",SL_Income_Log!$E:$E,"W"),S101*(1-Assumptions!$B$102)-AC101-AB101)
</f>
        <v>8528.0778</v>
      </c>
      <c r="U101" s="32">
        <f>RSU_Schedule!M100</f>
        <v>1392.51</v>
      </c>
      <c r="V101" s="32">
        <f>H101*(1+Assumptions!$B$60)+Assumptions!$B$61</f>
        <v>1543.697</v>
      </c>
      <c r="W101" s="32">
        <f>P101*(1+Assumptions!$B$60)+Assumptions!$B$61</f>
        <v>1162.1914</v>
      </c>
      <c r="X101" s="32">
        <f t="shared" si="5"/>
        <v>2705.8884</v>
      </c>
      <c r="Y101" s="32">
        <v>0.0</v>
      </c>
      <c r="Z101" s="32">
        <v>0.0</v>
      </c>
      <c r="AA101" s="32">
        <v>0.0</v>
      </c>
      <c r="AB101" s="32">
        <v>0.0</v>
      </c>
      <c r="AC101" s="32">
        <v>0.0</v>
      </c>
      <c r="AD101" s="32">
        <v>0.0</v>
      </c>
      <c r="AE101" s="32">
        <f t="shared" ref="AE101:AF101" si="142">Z101+AC101</f>
        <v>0</v>
      </c>
      <c r="AF101" s="32">
        <f t="shared" si="142"/>
        <v>0</v>
      </c>
      <c r="AG101" s="32">
        <f>IF(COUNTIFS(SL_Income_Log!$B:$B,TEXT(B101,"0000")&amp;"-"&amp;TEXT(A101,"00"),SL_Income_Log!$C:$C,"youtube")&gt;0,SUMIFS(SL_Income_Log!$D:$D,SL_Income_Log!$B:$B,TEXT(B101,"0000")&amp;"-"&amp;TEXT(A101,"00"),SL_Income_Log!$C:$C,"youtube"),MIN(Assumptions!$B$49+FLOOR((ROW()-2)/6,1)*Assumptions!$B$50,Assumptions!$B$51))
</f>
        <v>17000</v>
      </c>
      <c r="AH101" s="32">
        <f>AG101*Assumptions!$B$104</f>
        <v>7531</v>
      </c>
      <c r="AI101" s="32">
        <f t="shared" si="7"/>
        <v>9469</v>
      </c>
      <c r="AJ101" s="32">
        <f>SUMIFS(SL_Income_Log!$D:$D,SL_Income_Log!$B:$B,TEXT(B101,"0000")&amp;"-"&amp;TEXT(A101,"00"),SL_Income_Log!$C:$C,"other")</f>
        <v>0</v>
      </c>
      <c r="AK101" s="32">
        <f t="shared" si="27"/>
        <v>10000</v>
      </c>
      <c r="AL101" s="32">
        <f>L101+M101+T101+U101+AI101+AJ101-Y101-Z101-AB101-AC101+IF((Debt_Register!$C$2+Debt_Register!$C$6+Debt_Register!$C$7+Debt_Register!$C$8+Debt_Register!$C$9)&gt;5,X101,0)</f>
        <v>36296.5183</v>
      </c>
      <c r="AM101" s="32">
        <f t="shared" si="8"/>
        <v>46296.5183</v>
      </c>
      <c r="AN101" s="32">
        <f>MAX(Assumptions!$B$94,MIN(Assumptions!$B$93,AM101-AP101-BE101-BO101-BQ101))</f>
        <v>10000</v>
      </c>
      <c r="AO101" s="32">
        <v>0.0</v>
      </c>
      <c r="AP101" s="32">
        <v>0.0</v>
      </c>
      <c r="AQ101" s="32">
        <v>0.0</v>
      </c>
      <c r="AR101" s="32">
        <v>0.0</v>
      </c>
      <c r="AS101" s="32">
        <v>0.0</v>
      </c>
      <c r="AT101" s="32">
        <v>0.0</v>
      </c>
      <c r="AU101" s="32">
        <f t="shared" si="30"/>
        <v>0</v>
      </c>
      <c r="AV101" s="32">
        <f t="shared" si="31"/>
        <v>0</v>
      </c>
      <c r="AW101" s="32">
        <f t="shared" si="32"/>
        <v>0</v>
      </c>
      <c r="AX101" s="32">
        <f t="shared" si="33"/>
        <v>0</v>
      </c>
      <c r="AY101" s="32">
        <f t="shared" si="34"/>
        <v>0</v>
      </c>
      <c r="AZ101" s="32">
        <f t="shared" si="35"/>
        <v>0</v>
      </c>
      <c r="BA101" s="32">
        <f t="shared" si="36"/>
        <v>0</v>
      </c>
      <c r="BB101" s="32">
        <f t="shared" si="37"/>
        <v>0</v>
      </c>
      <c r="BC101" s="32">
        <f t="shared" si="38"/>
        <v>0</v>
      </c>
      <c r="BD101" s="32">
        <f t="shared" si="39"/>
        <v>0</v>
      </c>
      <c r="BE101" s="32">
        <f t="shared" si="11"/>
        <v>0</v>
      </c>
      <c r="BF101" s="32">
        <v>0.0</v>
      </c>
      <c r="BG101" s="32">
        <f t="shared" si="40"/>
        <v>5500</v>
      </c>
      <c r="BH101" s="32">
        <v>0.0</v>
      </c>
      <c r="BI101" s="32">
        <f t="shared" si="41"/>
        <v>5000</v>
      </c>
      <c r="BJ101" s="32">
        <f>IF(OR(B101&lt;Assumptions!$B$111,AND(B101=Assumptions!$B$111,A101&lt;=Assumptions!$B$112)),Assumptions!$B$110,0)</f>
        <v>0</v>
      </c>
      <c r="BK101" s="32">
        <f>IF(B101&lt;2027,Assumptions!$B$116+IF(OR(A101=4,A101=10),Assumptions!$B$117,0),IF(AND(B101=2027,A101&lt;=4),IF(A101=4,MIN(950,Assumptions!$B$116+Assumptions!$B$117),Assumptions!$B$116),0))</f>
        <v>0</v>
      </c>
      <c r="BL101" s="32">
        <f>IF(OR(B101&lt;2030,AND(B101=2030,A101&lt;8)),Assumptions!$B$118,IF(AND(B101=2030,A101=8),MOD(11000,200),0))</f>
        <v>0</v>
      </c>
      <c r="BM101" s="32">
        <f>IF(OR(B101&lt;Assumptions!$B$120,AND(B101=Assumptions!$B$120,A101&lt;=Assumptions!$B$121)),Assumptions!$B$119,0)</f>
        <v>0</v>
      </c>
      <c r="BN101" s="32">
        <f>IF(AND(B101&lt;=Assumptions!$B$123,A101&lt;=Assumptions!$B$124),Assumptions!$B$122,0)</f>
        <v>0</v>
      </c>
      <c r="BO101" s="32">
        <f t="shared" si="12"/>
        <v>0</v>
      </c>
      <c r="BP101" s="32">
        <f>SUMIFS(SL_Budget!$B:$B,SL_Budget!$C:$C,"'"&amp;TEXT(DATE(B101,A101,1),"YYYY-MM"))</f>
        <v>5205</v>
      </c>
      <c r="BQ101" s="32">
        <f>MAX(BP101, IFERROR(SUMIFS(ShadowLedger!D:D, 
  ShadowLedger!C:C, "&gt;="&amp;DATE(B101,A101,1), 
  ShadowLedger!C:C, "&lt;"&amp;EOMONTH(DATE(B101,A101,1),0)+1), 0))
</f>
        <v>5205</v>
      </c>
      <c r="BR101" s="32">
        <f t="shared" si="42"/>
        <v>1084438.767</v>
      </c>
      <c r="BS101" s="32">
        <f t="shared" si="43"/>
        <v>2705.8884</v>
      </c>
      <c r="BT101" s="32">
        <f>IF(BY100&gt;=Assumptions!$B$92,MAX(0,(AM101-BE101-BO101-BQ101)-Assumptions!$B$93),MAX(0,(AM101-BE101-BO101-BQ101)-Assumptions!$B$93)*Assumptions!$B$99)</f>
        <v>31091.5183</v>
      </c>
      <c r="BU101" s="32">
        <f>(BR101+BS101+MAX(0,BT101))*(Assumptions!$B$43-1)</f>
        <v>7624.134232</v>
      </c>
      <c r="BV101" s="32">
        <f t="shared" si="13"/>
        <v>1125860.308</v>
      </c>
      <c r="BW101" s="32">
        <f t="shared" si="44"/>
        <v>15476.04728</v>
      </c>
      <c r="BX101" s="32">
        <f>IF(BY100&lt;Assumptions!$B$92,MAX(0,(AM101-BE101-BO101-BQ101)-Assumptions!$B$93)*Assumptions!$B$98,0)</f>
        <v>0</v>
      </c>
      <c r="BY101" s="32">
        <f t="shared" si="14"/>
        <v>15476.04728</v>
      </c>
      <c r="BZ101" s="32">
        <f t="shared" si="45"/>
        <v>22593</v>
      </c>
      <c r="CA101" s="32">
        <f t="shared" si="15"/>
        <v>7531</v>
      </c>
      <c r="CB101" s="32">
        <f t="shared" si="16"/>
        <v>30124</v>
      </c>
      <c r="CC101" s="55">
        <f>CC100+(G101+J101)/(Salary_Schedule!E101*12/208)</f>
        <v>1812.39185</v>
      </c>
      <c r="CD101" s="55">
        <f>CD100+(O101+R101)/(Salary_Schedule!G101*12/208)</f>
        <v>142.2703222</v>
      </c>
      <c r="CE101" s="32">
        <f t="shared" si="17"/>
        <v>1125860.308</v>
      </c>
      <c r="CF101" s="32">
        <f>Assumptions!$B$55*(1+Assumptions!$B$56)^((B101-2025)+(A101-1)/12)</f>
        <v>596779.9647</v>
      </c>
      <c r="CG101" s="32">
        <f t="shared" si="18"/>
        <v>0</v>
      </c>
      <c r="CH101" s="32">
        <f t="shared" si="19"/>
        <v>-10500</v>
      </c>
      <c r="CI101" s="32">
        <f>CC101*(Salary_Schedule!E101/173.33)*(1-Assumptions!$B$28)+CD101*(Salary_Schedule!G101/173.33)*(1-Assumptions!$B$28)</f>
        <v>78323.8981</v>
      </c>
      <c r="CJ101" s="32">
        <f t="shared" si="20"/>
        <v>1790464.171</v>
      </c>
    </row>
    <row r="102" ht="15.0" customHeight="1">
      <c r="A102" s="1">
        <v>5.0</v>
      </c>
      <c r="B102" s="1">
        <v>2034.0</v>
      </c>
      <c r="C102" s="1" t="s">
        <v>771</v>
      </c>
      <c r="D102" s="1" t="str">
        <f t="shared" si="21"/>
        <v>04/2034</v>
      </c>
      <c r="E102" s="1" t="str">
        <f t="shared" si="2"/>
        <v>LEAN</v>
      </c>
      <c r="F102" s="32">
        <f>Salary_Schedule!E102</f>
        <v>10883.55</v>
      </c>
      <c r="G102" s="32">
        <f>Assumptions!$B$8</f>
        <v>200</v>
      </c>
      <c r="H102" s="32">
        <f>F102*Assumptions!$B$58</f>
        <v>1088.355</v>
      </c>
      <c r="I102" s="32">
        <f>Salary_Schedule!F102</f>
        <v>0</v>
      </c>
      <c r="J102" s="32">
        <f>I102*Assumptions!$B$9</f>
        <v>0</v>
      </c>
      <c r="K102" s="54">
        <f t="shared" si="3"/>
        <v>9595.195</v>
      </c>
      <c r="L102" s="32">
        <f>IF(COUNTIFS(SL_Income_Log!$B:$B,TEXT(B102,"0000")&amp;"-"&amp;TEXT(A102,"00"),SL_Income_Log!$C:$C,"salary",SL_Income_Log!$E:$E,"H")&gt;0,SUMIFS(SL_Income_Log!$D:$D,SL_Income_Log!$B:$B,TEXT(B102,"0000")&amp;"-"&amp;TEXT(A102,"00"),SL_Income_Log!$C:$C,"salary",SL_Income_Log!$E:$E,"H"),K102*(1-Assumptions!$B$102)-Z102-Y102)</f>
        <v>5757.117</v>
      </c>
      <c r="M102" s="32">
        <f>RSU_Schedule!H101</f>
        <v>0</v>
      </c>
      <c r="N102" s="32">
        <f>Salary_Schedule!G102</f>
        <v>8158.51</v>
      </c>
      <c r="O102" s="32">
        <f>Assumptions!$B$19</f>
        <v>200</v>
      </c>
      <c r="P102" s="32">
        <f>N102*Assumptions!$B$59</f>
        <v>815.851</v>
      </c>
      <c r="Q102" s="32">
        <f>Salary_Schedule!H102</f>
        <v>0</v>
      </c>
      <c r="R102" s="32">
        <f>Q102*Assumptions!$B$20</f>
        <v>0</v>
      </c>
      <c r="S102" s="54">
        <f t="shared" si="4"/>
        <v>7142.659</v>
      </c>
      <c r="T102" s="32">
        <f>IF(COUNTIFS(SL_Income_Log!$B:$B,TEXT(B102,"0000")&amp;"-"&amp;TEXT(A102,"00"),SL_Income_Log!$C:$C,"salary",SL_Income_Log!$E:$E,"W")&gt;0,SUMIFS(SL_Income_Log!$D:$D,SL_Income_Log!$B:$B,TEXT(B102,"0000")&amp;"-"&amp;TEXT(A102,"00"),SL_Income_Log!$C:$C,"salary",SL_Income_Log!$E:$E,"W"),S102*(1-Assumptions!$B$102)-AC102-AB102)
</f>
        <v>4285.5954</v>
      </c>
      <c r="U102" s="32">
        <f>RSU_Schedule!M101</f>
        <v>0</v>
      </c>
      <c r="V102" s="32">
        <f>H102*(1+Assumptions!$B$60)+Assumptions!$B$61</f>
        <v>1543.697</v>
      </c>
      <c r="W102" s="32">
        <f>P102*(1+Assumptions!$B$60)+Assumptions!$B$61</f>
        <v>1162.1914</v>
      </c>
      <c r="X102" s="32">
        <f t="shared" si="5"/>
        <v>2705.8884</v>
      </c>
      <c r="Y102" s="32">
        <v>0.0</v>
      </c>
      <c r="Z102" s="32">
        <v>0.0</v>
      </c>
      <c r="AA102" s="32">
        <v>0.0</v>
      </c>
      <c r="AB102" s="32">
        <v>0.0</v>
      </c>
      <c r="AC102" s="32">
        <v>0.0</v>
      </c>
      <c r="AD102" s="32">
        <v>0.0</v>
      </c>
      <c r="AE102" s="32">
        <f t="shared" ref="AE102:AF102" si="143">Z102+AC102</f>
        <v>0</v>
      </c>
      <c r="AF102" s="32">
        <f t="shared" si="143"/>
        <v>0</v>
      </c>
      <c r="AG102" s="32">
        <f>IF(COUNTIFS(SL_Income_Log!$B:$B,TEXT(B102,"0000")&amp;"-"&amp;TEXT(A102,"00"),SL_Income_Log!$C:$C,"youtube")&gt;0,SUMIFS(SL_Income_Log!$D:$D,SL_Income_Log!$B:$B,TEXT(B102,"0000")&amp;"-"&amp;TEXT(A102,"00"),SL_Income_Log!$C:$C,"youtube"),MIN(Assumptions!$B$49+FLOOR((ROW()-2)/6,1)*Assumptions!$B$50,Assumptions!$B$51))
</f>
        <v>17000</v>
      </c>
      <c r="AH102" s="32">
        <f>AG102*Assumptions!$B$104</f>
        <v>7531</v>
      </c>
      <c r="AI102" s="32">
        <f t="shared" si="7"/>
        <v>9469</v>
      </c>
      <c r="AJ102" s="32">
        <f>SUMIFS(SL_Income_Log!$D:$D,SL_Income_Log!$B:$B,TEXT(B102,"0000")&amp;"-"&amp;TEXT(A102,"00"),SL_Income_Log!$C:$C,"other")</f>
        <v>0</v>
      </c>
      <c r="AK102" s="32">
        <f t="shared" si="27"/>
        <v>10000</v>
      </c>
      <c r="AL102" s="32">
        <f>L102+M102+T102+U102+AI102+AJ102-Y102-Z102-AB102-AC102+IF((Debt_Register!$C$2+Debt_Register!$C$6+Debt_Register!$C$7+Debt_Register!$C$8+Debt_Register!$C$9)&gt;5,X102,0)</f>
        <v>22217.6008</v>
      </c>
      <c r="AM102" s="32">
        <f t="shared" si="8"/>
        <v>32217.6008</v>
      </c>
      <c r="AN102" s="32">
        <f>MAX(Assumptions!$B$94,MIN(Assumptions!$B$93,AM102-AP102-BE102-BO102-BQ102))</f>
        <v>10000</v>
      </c>
      <c r="AO102" s="32">
        <v>0.0</v>
      </c>
      <c r="AP102" s="32">
        <v>0.0</v>
      </c>
      <c r="AQ102" s="32">
        <v>0.0</v>
      </c>
      <c r="AR102" s="32">
        <v>0.0</v>
      </c>
      <c r="AS102" s="32">
        <v>0.0</v>
      </c>
      <c r="AT102" s="32">
        <v>0.0</v>
      </c>
      <c r="AU102" s="32">
        <f t="shared" si="30"/>
        <v>0</v>
      </c>
      <c r="AV102" s="32">
        <f t="shared" si="31"/>
        <v>0</v>
      </c>
      <c r="AW102" s="32">
        <f t="shared" si="32"/>
        <v>0</v>
      </c>
      <c r="AX102" s="32">
        <f t="shared" si="33"/>
        <v>0</v>
      </c>
      <c r="AY102" s="32">
        <f t="shared" si="34"/>
        <v>0</v>
      </c>
      <c r="AZ102" s="32">
        <f t="shared" si="35"/>
        <v>0</v>
      </c>
      <c r="BA102" s="32">
        <f t="shared" si="36"/>
        <v>0</v>
      </c>
      <c r="BB102" s="32">
        <f t="shared" si="37"/>
        <v>0</v>
      </c>
      <c r="BC102" s="32">
        <f t="shared" si="38"/>
        <v>0</v>
      </c>
      <c r="BD102" s="32">
        <f t="shared" si="39"/>
        <v>0</v>
      </c>
      <c r="BE102" s="32">
        <f t="shared" si="11"/>
        <v>0</v>
      </c>
      <c r="BF102" s="32">
        <v>0.0</v>
      </c>
      <c r="BG102" s="32">
        <f t="shared" si="40"/>
        <v>5500</v>
      </c>
      <c r="BH102" s="32">
        <v>0.0</v>
      </c>
      <c r="BI102" s="32">
        <f t="shared" si="41"/>
        <v>5000</v>
      </c>
      <c r="BJ102" s="32">
        <f>IF(OR(B102&lt;Assumptions!$B$111,AND(B102=Assumptions!$B$111,A102&lt;=Assumptions!$B$112)),Assumptions!$B$110,0)</f>
        <v>0</v>
      </c>
      <c r="BK102" s="32">
        <f>IF(B102&lt;2027,Assumptions!$B$116+IF(OR(A102=4,A102=10),Assumptions!$B$117,0),IF(AND(B102=2027,A102&lt;=4),IF(A102=4,MIN(950,Assumptions!$B$116+Assumptions!$B$117),Assumptions!$B$116),0))</f>
        <v>0</v>
      </c>
      <c r="BL102" s="32">
        <f>IF(OR(B102&lt;2030,AND(B102=2030,A102&lt;8)),Assumptions!$B$118,IF(AND(B102=2030,A102=8),MOD(11000,200),0))</f>
        <v>0</v>
      </c>
      <c r="BM102" s="32">
        <f>IF(OR(B102&lt;Assumptions!$B$120,AND(B102=Assumptions!$B$120,A102&lt;=Assumptions!$B$121)),Assumptions!$B$119,0)</f>
        <v>0</v>
      </c>
      <c r="BN102" s="32">
        <f>IF(AND(B102&lt;=Assumptions!$B$123,A102&lt;=Assumptions!$B$124),Assumptions!$B$122,0)</f>
        <v>0</v>
      </c>
      <c r="BO102" s="32">
        <f t="shared" si="12"/>
        <v>0</v>
      </c>
      <c r="BP102" s="32">
        <f>SUMIFS(SL_Budget!$B:$B,SL_Budget!$C:$C,"'"&amp;TEXT(DATE(B102,A102,1),"YYYY-MM"))</f>
        <v>5205</v>
      </c>
      <c r="BQ102" s="32">
        <f>MAX(BP102, IFERROR(SUMIFS(ShadowLedger!D:D, 
  ShadowLedger!C:C, "&gt;="&amp;DATE(B102,A102,1), 
  ShadowLedger!C:C, "&lt;"&amp;EOMONTH(DATE(B102,A102,1),0)+1), 0))
</f>
        <v>5205</v>
      </c>
      <c r="BR102" s="32">
        <f t="shared" si="42"/>
        <v>1125860.308</v>
      </c>
      <c r="BS102" s="32">
        <f t="shared" si="43"/>
        <v>2705.8884</v>
      </c>
      <c r="BT102" s="32">
        <f>IF(BY101&gt;=Assumptions!$B$92,MAX(0,(AM102-BE102-BO102-BQ102)-Assumptions!$B$93),MAX(0,(AM102-BE102-BO102-BQ102)-Assumptions!$B$93)*Assumptions!$B$99)</f>
        <v>17012.6008</v>
      </c>
      <c r="BU102" s="32">
        <f>(BR102+BS102+MAX(0,BT102))*(Assumptions!$B$43-1)</f>
        <v>7810.556238</v>
      </c>
      <c r="BV102" s="32">
        <f t="shared" si="13"/>
        <v>1153389.353</v>
      </c>
      <c r="BW102" s="32">
        <f t="shared" si="44"/>
        <v>15476.04728</v>
      </c>
      <c r="BX102" s="32">
        <f>IF(BY101&lt;Assumptions!$B$92,MAX(0,(AM102-BE102-BO102-BQ102)-Assumptions!$B$93)*Assumptions!$B$98,0)</f>
        <v>0</v>
      </c>
      <c r="BY102" s="32">
        <f t="shared" si="14"/>
        <v>15476.04728</v>
      </c>
      <c r="BZ102" s="32">
        <f t="shared" si="45"/>
        <v>30124</v>
      </c>
      <c r="CA102" s="32">
        <f t="shared" si="15"/>
        <v>7531</v>
      </c>
      <c r="CB102" s="32">
        <f t="shared" si="16"/>
        <v>37655</v>
      </c>
      <c r="CC102" s="55">
        <f>CC101+(G102+J102)/(Salary_Schedule!E102*12/208)</f>
        <v>1812.710374</v>
      </c>
      <c r="CD102" s="55">
        <f>CD101+(O102+R102)/(Salary_Schedule!G102*12/208)</f>
        <v>142.6952364</v>
      </c>
      <c r="CE102" s="32">
        <f t="shared" si="17"/>
        <v>1153389.353</v>
      </c>
      <c r="CF102" s="32">
        <f>Assumptions!$B$55*(1+Assumptions!$B$56)^((B102-2025)+(A102-1)/12)</f>
        <v>597520.8597</v>
      </c>
      <c r="CG102" s="32">
        <f t="shared" si="18"/>
        <v>0</v>
      </c>
      <c r="CH102" s="32">
        <f t="shared" si="19"/>
        <v>-10500</v>
      </c>
      <c r="CI102" s="32">
        <f>CC102*(Salary_Schedule!E102/173.33)*(1-Assumptions!$B$28)+CD102*(Salary_Schedule!G102/173.33)*(1-Assumptions!$B$28)</f>
        <v>78349.8986</v>
      </c>
      <c r="CJ102" s="32">
        <f t="shared" si="20"/>
        <v>1818760.112</v>
      </c>
    </row>
    <row r="103" ht="15.0" customHeight="1">
      <c r="A103" s="1">
        <v>6.0</v>
      </c>
      <c r="B103" s="1">
        <v>2034.0</v>
      </c>
      <c r="C103" s="1" t="s">
        <v>772</v>
      </c>
      <c r="D103" s="1" t="str">
        <f t="shared" si="21"/>
        <v>05/2034</v>
      </c>
      <c r="E103" s="1" t="str">
        <f t="shared" si="2"/>
        <v>LEAN</v>
      </c>
      <c r="F103" s="32">
        <f>Salary_Schedule!E103</f>
        <v>10883.55</v>
      </c>
      <c r="G103" s="32">
        <f>Assumptions!$B$8</f>
        <v>200</v>
      </c>
      <c r="H103" s="32">
        <f>F103*Assumptions!$B$58</f>
        <v>1088.355</v>
      </c>
      <c r="I103" s="32">
        <f>Salary_Schedule!F103</f>
        <v>0</v>
      </c>
      <c r="J103" s="32">
        <f>I103*Assumptions!$B$9</f>
        <v>0</v>
      </c>
      <c r="K103" s="54">
        <f t="shared" si="3"/>
        <v>9595.195</v>
      </c>
      <c r="L103" s="32">
        <f>IF(COUNTIFS(SL_Income_Log!$B:$B,TEXT(B103,"0000")&amp;"-"&amp;TEXT(A103,"00"),SL_Income_Log!$C:$C,"salary",SL_Income_Log!$E:$E,"H")&gt;0,SUMIFS(SL_Income_Log!$D:$D,SL_Income_Log!$B:$B,TEXT(B103,"0000")&amp;"-"&amp;TEXT(A103,"00"),SL_Income_Log!$C:$C,"salary",SL_Income_Log!$E:$E,"H"),K103*(1-Assumptions!$B$102)-Z103-Y103)</f>
        <v>5757.117</v>
      </c>
      <c r="M103" s="32">
        <f>RSU_Schedule!H102</f>
        <v>0</v>
      </c>
      <c r="N103" s="32">
        <f>Salary_Schedule!G103</f>
        <v>8158.51</v>
      </c>
      <c r="O103" s="32">
        <f>Assumptions!$B$19</f>
        <v>200</v>
      </c>
      <c r="P103" s="32">
        <f>N103*Assumptions!$B$59</f>
        <v>815.851</v>
      </c>
      <c r="Q103" s="32">
        <f>Salary_Schedule!H103</f>
        <v>0</v>
      </c>
      <c r="R103" s="32">
        <f>Q103*Assumptions!$B$20</f>
        <v>0</v>
      </c>
      <c r="S103" s="54">
        <f t="shared" si="4"/>
        <v>7142.659</v>
      </c>
      <c r="T103" s="32">
        <f>IF(COUNTIFS(SL_Income_Log!$B:$B,TEXT(B103,"0000")&amp;"-"&amp;TEXT(A103,"00"),SL_Income_Log!$C:$C,"salary",SL_Income_Log!$E:$E,"W")&gt;0,SUMIFS(SL_Income_Log!$D:$D,SL_Income_Log!$B:$B,TEXT(B103,"0000")&amp;"-"&amp;TEXT(A103,"00"),SL_Income_Log!$C:$C,"salary",SL_Income_Log!$E:$E,"W"),S103*(1-Assumptions!$B$102)-AC103-AB103)
</f>
        <v>4285.5954</v>
      </c>
      <c r="U103" s="32">
        <f>RSU_Schedule!M102</f>
        <v>0</v>
      </c>
      <c r="V103" s="32">
        <f>H103*(1+Assumptions!$B$60)+Assumptions!$B$61</f>
        <v>1543.697</v>
      </c>
      <c r="W103" s="32">
        <f>P103*(1+Assumptions!$B$60)+Assumptions!$B$61</f>
        <v>1162.1914</v>
      </c>
      <c r="X103" s="32">
        <f t="shared" si="5"/>
        <v>2705.8884</v>
      </c>
      <c r="Y103" s="32">
        <v>0.0</v>
      </c>
      <c r="Z103" s="32">
        <v>0.0</v>
      </c>
      <c r="AA103" s="32">
        <v>0.0</v>
      </c>
      <c r="AB103" s="32">
        <v>0.0</v>
      </c>
      <c r="AC103" s="32">
        <v>0.0</v>
      </c>
      <c r="AD103" s="32">
        <v>0.0</v>
      </c>
      <c r="AE103" s="32">
        <f t="shared" ref="AE103:AF103" si="144">Z103+AC103</f>
        <v>0</v>
      </c>
      <c r="AF103" s="32">
        <f t="shared" si="144"/>
        <v>0</v>
      </c>
      <c r="AG103" s="32">
        <f>IF(COUNTIFS(SL_Income_Log!$B:$B,TEXT(B103,"0000")&amp;"-"&amp;TEXT(A103,"00"),SL_Income_Log!$C:$C,"youtube")&gt;0,SUMIFS(SL_Income_Log!$D:$D,SL_Income_Log!$B:$B,TEXT(B103,"0000")&amp;"-"&amp;TEXT(A103,"00"),SL_Income_Log!$C:$C,"youtube"),MIN(Assumptions!$B$49+FLOOR((ROW()-2)/6,1)*Assumptions!$B$50,Assumptions!$B$51))
</f>
        <v>17000</v>
      </c>
      <c r="AH103" s="32">
        <f>AG103*Assumptions!$B$104</f>
        <v>7531</v>
      </c>
      <c r="AI103" s="32">
        <f t="shared" si="7"/>
        <v>9469</v>
      </c>
      <c r="AJ103" s="32">
        <f>SUMIFS(SL_Income_Log!$D:$D,SL_Income_Log!$B:$B,TEXT(B103,"0000")&amp;"-"&amp;TEXT(A103,"00"),SL_Income_Log!$C:$C,"other")</f>
        <v>0</v>
      </c>
      <c r="AK103" s="32">
        <f t="shared" si="27"/>
        <v>10000</v>
      </c>
      <c r="AL103" s="32">
        <f>L103+M103+T103+U103+AI103+AJ103-Y103-Z103-AB103-AC103+IF((Debt_Register!$C$2+Debt_Register!$C$6+Debt_Register!$C$7+Debt_Register!$C$8+Debt_Register!$C$9)&gt;5,X103,0)</f>
        <v>22217.6008</v>
      </c>
      <c r="AM103" s="32">
        <f t="shared" si="8"/>
        <v>32217.6008</v>
      </c>
      <c r="AN103" s="32">
        <f>MAX(Assumptions!$B$94,MIN(Assumptions!$B$93,AM103-AP103-BE103-BO103-BQ103))</f>
        <v>10000</v>
      </c>
      <c r="AO103" s="32">
        <v>0.0</v>
      </c>
      <c r="AP103" s="32">
        <v>0.0</v>
      </c>
      <c r="AQ103" s="32">
        <v>0.0</v>
      </c>
      <c r="AR103" s="32">
        <v>0.0</v>
      </c>
      <c r="AS103" s="32">
        <v>0.0</v>
      </c>
      <c r="AT103" s="32">
        <v>0.0</v>
      </c>
      <c r="AU103" s="32">
        <f t="shared" si="30"/>
        <v>0</v>
      </c>
      <c r="AV103" s="32">
        <f t="shared" si="31"/>
        <v>0</v>
      </c>
      <c r="AW103" s="32">
        <f t="shared" si="32"/>
        <v>0</v>
      </c>
      <c r="AX103" s="32">
        <f t="shared" si="33"/>
        <v>0</v>
      </c>
      <c r="AY103" s="32">
        <f t="shared" si="34"/>
        <v>0</v>
      </c>
      <c r="AZ103" s="32">
        <f t="shared" si="35"/>
        <v>0</v>
      </c>
      <c r="BA103" s="32">
        <f t="shared" si="36"/>
        <v>0</v>
      </c>
      <c r="BB103" s="32">
        <f t="shared" si="37"/>
        <v>0</v>
      </c>
      <c r="BC103" s="32">
        <f t="shared" si="38"/>
        <v>0</v>
      </c>
      <c r="BD103" s="32">
        <f t="shared" si="39"/>
        <v>0</v>
      </c>
      <c r="BE103" s="32">
        <f t="shared" si="11"/>
        <v>0</v>
      </c>
      <c r="BF103" s="32">
        <v>0.0</v>
      </c>
      <c r="BG103" s="32">
        <f t="shared" si="40"/>
        <v>5500</v>
      </c>
      <c r="BH103" s="32">
        <v>0.0</v>
      </c>
      <c r="BI103" s="32">
        <f t="shared" si="41"/>
        <v>5000</v>
      </c>
      <c r="BJ103" s="32">
        <f>IF(OR(B103&lt;Assumptions!$B$111,AND(B103=Assumptions!$B$111,A103&lt;=Assumptions!$B$112)),Assumptions!$B$110,0)</f>
        <v>0</v>
      </c>
      <c r="BK103" s="32">
        <f>IF(B103&lt;2027,Assumptions!$B$116+IF(OR(A103=4,A103=10),Assumptions!$B$117,0),IF(AND(B103=2027,A103&lt;=4),IF(A103=4,MIN(950,Assumptions!$B$116+Assumptions!$B$117),Assumptions!$B$116),0))</f>
        <v>0</v>
      </c>
      <c r="BL103" s="32">
        <f>IF(OR(B103&lt;2030,AND(B103=2030,A103&lt;8)),Assumptions!$B$118,IF(AND(B103=2030,A103=8),MOD(11000,200),0))</f>
        <v>0</v>
      </c>
      <c r="BM103" s="32">
        <f>IF(OR(B103&lt;Assumptions!$B$120,AND(B103=Assumptions!$B$120,A103&lt;=Assumptions!$B$121)),Assumptions!$B$119,0)</f>
        <v>0</v>
      </c>
      <c r="BN103" s="32">
        <f>IF(AND(B103&lt;=Assumptions!$B$123,A103&lt;=Assumptions!$B$124),Assumptions!$B$122,0)</f>
        <v>0</v>
      </c>
      <c r="BO103" s="32">
        <f t="shared" si="12"/>
        <v>0</v>
      </c>
      <c r="BP103" s="32">
        <f>SUMIFS(SL_Budget!$B:$B,SL_Budget!$C:$C,"'"&amp;TEXT(DATE(B103,A103,1),"YYYY-MM"))</f>
        <v>5205</v>
      </c>
      <c r="BQ103" s="32">
        <f>MAX(BP103, IFERROR(SUMIFS(ShadowLedger!D:D, 
  ShadowLedger!C:C, "&gt;="&amp;DATE(B103,A103,1), 
  ShadowLedger!C:C, "&lt;"&amp;EOMONTH(DATE(B103,A103,1),0)+1), 0))
</f>
        <v>5205</v>
      </c>
      <c r="BR103" s="32">
        <f t="shared" si="42"/>
        <v>1153389.353</v>
      </c>
      <c r="BS103" s="32">
        <f t="shared" si="43"/>
        <v>2705.8884</v>
      </c>
      <c r="BT103" s="32">
        <f>IF(BY102&gt;=Assumptions!$B$92,MAX(0,(AM103-BE103-BO103-BQ103)-Assumptions!$B$93),MAX(0,(AM103-BE103-BO103-BQ103)-Assumptions!$B$93)*Assumptions!$B$99)</f>
        <v>17012.6008</v>
      </c>
      <c r="BU103" s="32">
        <f>(BR103+BS103+MAX(0,BT103))*(Assumptions!$B$43-1)</f>
        <v>7998.24927</v>
      </c>
      <c r="BV103" s="32">
        <f t="shared" si="13"/>
        <v>1181106.092</v>
      </c>
      <c r="BW103" s="32">
        <f t="shared" si="44"/>
        <v>15476.04728</v>
      </c>
      <c r="BX103" s="32">
        <f>IF(BY102&lt;Assumptions!$B$92,MAX(0,(AM103-BE103-BO103-BQ103)-Assumptions!$B$93)*Assumptions!$B$98,0)</f>
        <v>0</v>
      </c>
      <c r="BY103" s="32">
        <f t="shared" si="14"/>
        <v>15476.04728</v>
      </c>
      <c r="BZ103" s="32">
        <f t="shared" si="45"/>
        <v>37655</v>
      </c>
      <c r="CA103" s="32">
        <f t="shared" si="15"/>
        <v>7531</v>
      </c>
      <c r="CB103" s="32">
        <f t="shared" si="16"/>
        <v>45186</v>
      </c>
      <c r="CC103" s="55">
        <f>CC102+(G103+J103)/(Salary_Schedule!E103*12/208)</f>
        <v>1813.028897</v>
      </c>
      <c r="CD103" s="55">
        <f>CD102+(O103+R103)/(Salary_Schedule!G103*12/208)</f>
        <v>143.1201506</v>
      </c>
      <c r="CE103" s="32">
        <f t="shared" si="17"/>
        <v>1181106.092</v>
      </c>
      <c r="CF103" s="32">
        <f>Assumptions!$B$55*(1+Assumptions!$B$56)^((B103-2025)+(A103-1)/12)</f>
        <v>598262.6745</v>
      </c>
      <c r="CG103" s="32">
        <f t="shared" si="18"/>
        <v>0</v>
      </c>
      <c r="CH103" s="32">
        <f t="shared" si="19"/>
        <v>-10500</v>
      </c>
      <c r="CI103" s="32">
        <f>CC103*(Salary_Schedule!E103/173.33)*(1-Assumptions!$B$28)+CD103*(Salary_Schedule!G103/173.33)*(1-Assumptions!$B$28)</f>
        <v>78375.8991</v>
      </c>
      <c r="CJ103" s="32">
        <f t="shared" si="20"/>
        <v>1847244.665</v>
      </c>
    </row>
    <row r="104" ht="15.0" customHeight="1">
      <c r="A104" s="1">
        <v>7.0</v>
      </c>
      <c r="B104" s="1">
        <v>2034.0</v>
      </c>
      <c r="C104" s="1" t="s">
        <v>773</v>
      </c>
      <c r="D104" s="1" t="str">
        <f t="shared" si="21"/>
        <v>06/2034</v>
      </c>
      <c r="E104" s="1" t="str">
        <f t="shared" si="2"/>
        <v>FAT_RSU</v>
      </c>
      <c r="F104" s="32">
        <f>Salary_Schedule!E104</f>
        <v>10883.55</v>
      </c>
      <c r="G104" s="32">
        <f>Assumptions!$B$8</f>
        <v>200</v>
      </c>
      <c r="H104" s="32">
        <f>F104*Assumptions!$B$58</f>
        <v>1088.355</v>
      </c>
      <c r="I104" s="32">
        <f>Salary_Schedule!F104</f>
        <v>0</v>
      </c>
      <c r="J104" s="32">
        <f>I104*Assumptions!$B$9</f>
        <v>0</v>
      </c>
      <c r="K104" s="54">
        <f t="shared" si="3"/>
        <v>9595.195</v>
      </c>
      <c r="L104" s="32">
        <f>IF(COUNTIFS(SL_Income_Log!$B:$B,TEXT(B104,"0000")&amp;"-"&amp;TEXT(A104,"00"),SL_Income_Log!$C:$C,"salary",SL_Income_Log!$E:$E,"H")&gt;0,SUMIFS(SL_Income_Log!$D:$D,SL_Income_Log!$B:$B,TEXT(B104,"0000")&amp;"-"&amp;TEXT(A104,"00"),SL_Income_Log!$C:$C,"salary",SL_Income_Log!$E:$E,"H"),K104*(1-Assumptions!$B$102)-Z104-Y104)</f>
        <v>5757.117</v>
      </c>
      <c r="M104" s="32">
        <f>RSU_Schedule!H103</f>
        <v>2784.99</v>
      </c>
      <c r="N104" s="32">
        <f>Salary_Schedule!G104</f>
        <v>8158.51</v>
      </c>
      <c r="O104" s="32">
        <f>Assumptions!$B$19</f>
        <v>200</v>
      </c>
      <c r="P104" s="32">
        <f>N104*Assumptions!$B$59</f>
        <v>815.851</v>
      </c>
      <c r="Q104" s="32">
        <f>Salary_Schedule!H104</f>
        <v>0</v>
      </c>
      <c r="R104" s="32">
        <f>Q104*Assumptions!$B$20</f>
        <v>0</v>
      </c>
      <c r="S104" s="54">
        <f t="shared" si="4"/>
        <v>7142.659</v>
      </c>
      <c r="T104" s="32">
        <f>IF(COUNTIFS(SL_Income_Log!$B:$B,TEXT(B104,"0000")&amp;"-"&amp;TEXT(A104,"00"),SL_Income_Log!$C:$C,"salary",SL_Income_Log!$E:$E,"W")&gt;0,SUMIFS(SL_Income_Log!$D:$D,SL_Income_Log!$B:$B,TEXT(B104,"0000")&amp;"-"&amp;TEXT(A104,"00"),SL_Income_Log!$C:$C,"salary",SL_Income_Log!$E:$E,"W"),S104*(1-Assumptions!$B$102)-AC104-AB104)
</f>
        <v>4285.5954</v>
      </c>
      <c r="U104" s="32">
        <f>RSU_Schedule!M103</f>
        <v>1392.51</v>
      </c>
      <c r="V104" s="32">
        <f>H104*(1+Assumptions!$B$60)+Assumptions!$B$61</f>
        <v>1543.697</v>
      </c>
      <c r="W104" s="32">
        <f>P104*(1+Assumptions!$B$60)+Assumptions!$B$61</f>
        <v>1162.1914</v>
      </c>
      <c r="X104" s="32">
        <f t="shared" si="5"/>
        <v>2705.8884</v>
      </c>
      <c r="Y104" s="32">
        <v>0.0</v>
      </c>
      <c r="Z104" s="32">
        <v>0.0</v>
      </c>
      <c r="AA104" s="32">
        <v>0.0</v>
      </c>
      <c r="AB104" s="32">
        <v>0.0</v>
      </c>
      <c r="AC104" s="32">
        <v>0.0</v>
      </c>
      <c r="AD104" s="32">
        <v>0.0</v>
      </c>
      <c r="AE104" s="32">
        <f t="shared" ref="AE104:AF104" si="145">Z104+AC104</f>
        <v>0</v>
      </c>
      <c r="AF104" s="32">
        <f t="shared" si="145"/>
        <v>0</v>
      </c>
      <c r="AG104" s="32">
        <f>IF(COUNTIFS(SL_Income_Log!$B:$B,TEXT(B104,"0000")&amp;"-"&amp;TEXT(A104,"00"),SL_Income_Log!$C:$C,"youtube")&gt;0,SUMIFS(SL_Income_Log!$D:$D,SL_Income_Log!$B:$B,TEXT(B104,"0000")&amp;"-"&amp;TEXT(A104,"00"),SL_Income_Log!$C:$C,"youtube"),MIN(Assumptions!$B$49+FLOOR((ROW()-2)/6,1)*Assumptions!$B$50,Assumptions!$B$51))
</f>
        <v>18000</v>
      </c>
      <c r="AH104" s="32">
        <f>AG104*Assumptions!$B$104</f>
        <v>7974</v>
      </c>
      <c r="AI104" s="32">
        <f t="shared" si="7"/>
        <v>10026</v>
      </c>
      <c r="AJ104" s="32">
        <f>SUMIFS(SL_Income_Log!$D:$D,SL_Income_Log!$B:$B,TEXT(B104,"0000")&amp;"-"&amp;TEXT(A104,"00"),SL_Income_Log!$C:$C,"other")</f>
        <v>0</v>
      </c>
      <c r="AK104" s="32">
        <f t="shared" si="27"/>
        <v>10000</v>
      </c>
      <c r="AL104" s="32">
        <f>L104+M104+T104+U104+AI104+AJ104-Y104-Z104-AB104-AC104+IF((Debt_Register!$C$2+Debt_Register!$C$6+Debt_Register!$C$7+Debt_Register!$C$8+Debt_Register!$C$9)&gt;5,X104,0)</f>
        <v>26952.1008</v>
      </c>
      <c r="AM104" s="32">
        <f t="shared" si="8"/>
        <v>36952.1008</v>
      </c>
      <c r="AN104" s="32">
        <f>MAX(Assumptions!$B$94,MIN(Assumptions!$B$93,AM104-AP104-BE104-BO104-BQ104))</f>
        <v>10000</v>
      </c>
      <c r="AO104" s="32">
        <v>0.0</v>
      </c>
      <c r="AP104" s="32">
        <v>0.0</v>
      </c>
      <c r="AQ104" s="32">
        <v>0.0</v>
      </c>
      <c r="AR104" s="32">
        <v>0.0</v>
      </c>
      <c r="AS104" s="32">
        <v>0.0</v>
      </c>
      <c r="AT104" s="32">
        <v>0.0</v>
      </c>
      <c r="AU104" s="32">
        <f t="shared" si="30"/>
        <v>0</v>
      </c>
      <c r="AV104" s="32">
        <f t="shared" si="31"/>
        <v>0</v>
      </c>
      <c r="AW104" s="32">
        <f t="shared" si="32"/>
        <v>0</v>
      </c>
      <c r="AX104" s="32">
        <f t="shared" si="33"/>
        <v>0</v>
      </c>
      <c r="AY104" s="32">
        <f t="shared" si="34"/>
        <v>0</v>
      </c>
      <c r="AZ104" s="32">
        <f t="shared" si="35"/>
        <v>0</v>
      </c>
      <c r="BA104" s="32">
        <f t="shared" si="36"/>
        <v>0</v>
      </c>
      <c r="BB104" s="32">
        <f t="shared" si="37"/>
        <v>0</v>
      </c>
      <c r="BC104" s="32">
        <f t="shared" si="38"/>
        <v>0</v>
      </c>
      <c r="BD104" s="32">
        <f t="shared" si="39"/>
        <v>0</v>
      </c>
      <c r="BE104" s="32">
        <f t="shared" si="11"/>
        <v>0</v>
      </c>
      <c r="BF104" s="32">
        <v>0.0</v>
      </c>
      <c r="BG104" s="32">
        <f t="shared" si="40"/>
        <v>5500</v>
      </c>
      <c r="BH104" s="32">
        <v>0.0</v>
      </c>
      <c r="BI104" s="32">
        <f t="shared" si="41"/>
        <v>5000</v>
      </c>
      <c r="BJ104" s="32">
        <f>IF(OR(B104&lt;Assumptions!$B$111,AND(B104=Assumptions!$B$111,A104&lt;=Assumptions!$B$112)),Assumptions!$B$110,0)</f>
        <v>0</v>
      </c>
      <c r="BK104" s="32">
        <f>IF(B104&lt;2027,Assumptions!$B$116+IF(OR(A104=4,A104=10),Assumptions!$B$117,0),IF(AND(B104=2027,A104&lt;=4),IF(A104=4,MIN(950,Assumptions!$B$116+Assumptions!$B$117),Assumptions!$B$116),0))</f>
        <v>0</v>
      </c>
      <c r="BL104" s="32">
        <f>IF(OR(B104&lt;2030,AND(B104=2030,A104&lt;8)),Assumptions!$B$118,IF(AND(B104=2030,A104=8),MOD(11000,200),0))</f>
        <v>0</v>
      </c>
      <c r="BM104" s="32">
        <f>IF(OR(B104&lt;Assumptions!$B$120,AND(B104=Assumptions!$B$120,A104&lt;=Assumptions!$B$121)),Assumptions!$B$119,0)</f>
        <v>0</v>
      </c>
      <c r="BN104" s="32">
        <f>IF(AND(B104&lt;=Assumptions!$B$123,A104&lt;=Assumptions!$B$124),Assumptions!$B$122,0)</f>
        <v>0</v>
      </c>
      <c r="BO104" s="32">
        <f t="shared" si="12"/>
        <v>0</v>
      </c>
      <c r="BP104" s="32">
        <f>SUMIFS(SL_Budget!$B:$B,SL_Budget!$C:$C,"'"&amp;TEXT(DATE(B104,A104,1),"YYYY-MM"))</f>
        <v>5205</v>
      </c>
      <c r="BQ104" s="32">
        <f>MAX(BP104, IFERROR(SUMIFS(ShadowLedger!D:D, 
  ShadowLedger!C:C, "&gt;="&amp;DATE(B104,A104,1), 
  ShadowLedger!C:C, "&lt;"&amp;EOMONTH(DATE(B104,A104,1),0)+1), 0))
</f>
        <v>5205</v>
      </c>
      <c r="BR104" s="32">
        <f t="shared" si="42"/>
        <v>1181106.092</v>
      </c>
      <c r="BS104" s="32">
        <f t="shared" si="43"/>
        <v>2705.8884</v>
      </c>
      <c r="BT104" s="32">
        <f>IF(BY103&gt;=Assumptions!$B$92,MAX(0,(AM104-BE104-BO104-BQ104)-Assumptions!$B$93),MAX(0,(AM104-BE104-BO104-BQ104)-Assumptions!$B$93)*Assumptions!$B$99)</f>
        <v>21747.1008</v>
      </c>
      <c r="BU104" s="32">
        <f>(BR104+BS104+MAX(0,BT104))*(Assumptions!$B$43-1)</f>
        <v>8219.501814</v>
      </c>
      <c r="BV104" s="32">
        <f t="shared" si="13"/>
        <v>1213778.583</v>
      </c>
      <c r="BW104" s="32">
        <f t="shared" si="44"/>
        <v>15476.04728</v>
      </c>
      <c r="BX104" s="32">
        <f>IF(BY103&lt;Assumptions!$B$92,MAX(0,(AM104-BE104-BO104-BQ104)-Assumptions!$B$93)*Assumptions!$B$98,0)</f>
        <v>0</v>
      </c>
      <c r="BY104" s="32">
        <f t="shared" si="14"/>
        <v>15476.04728</v>
      </c>
      <c r="BZ104" s="32">
        <f t="shared" si="45"/>
        <v>45186</v>
      </c>
      <c r="CA104" s="32">
        <f t="shared" si="15"/>
        <v>7974</v>
      </c>
      <c r="CB104" s="32">
        <f t="shared" si="16"/>
        <v>53160</v>
      </c>
      <c r="CC104" s="55">
        <f>CC103+(G104+J104)/(Salary_Schedule!E104*12/208)</f>
        <v>1813.347421</v>
      </c>
      <c r="CD104" s="55">
        <f>CD103+(O104+R104)/(Salary_Schedule!G104*12/208)</f>
        <v>143.5450648</v>
      </c>
      <c r="CE104" s="32">
        <f t="shared" si="17"/>
        <v>1213778.583</v>
      </c>
      <c r="CF104" s="32">
        <f>Assumptions!$B$55*(1+Assumptions!$B$56)^((B104-2025)+(A104-1)/12)</f>
        <v>599005.4103</v>
      </c>
      <c r="CG104" s="32">
        <f t="shared" si="18"/>
        <v>0</v>
      </c>
      <c r="CH104" s="32">
        <f t="shared" si="19"/>
        <v>-10500</v>
      </c>
      <c r="CI104" s="32">
        <f>CC104*(Salary_Schedule!E104/173.33)*(1-Assumptions!$B$28)+CD104*(Salary_Schedule!G104/173.33)*(1-Assumptions!$B$28)</f>
        <v>78401.8996</v>
      </c>
      <c r="CJ104" s="32">
        <f t="shared" si="20"/>
        <v>1880685.893</v>
      </c>
    </row>
    <row r="105" ht="15.0" customHeight="1">
      <c r="A105" s="1">
        <v>8.0</v>
      </c>
      <c r="B105" s="1">
        <v>2034.0</v>
      </c>
      <c r="C105" s="1" t="s">
        <v>774</v>
      </c>
      <c r="D105" s="1" t="str">
        <f t="shared" si="21"/>
        <v>07/2034</v>
      </c>
      <c r="E105" s="1" t="str">
        <f t="shared" si="2"/>
        <v>LEAN</v>
      </c>
      <c r="F105" s="32">
        <f>Salary_Schedule!E105</f>
        <v>10883.55</v>
      </c>
      <c r="G105" s="32">
        <f>Assumptions!$B$8</f>
        <v>200</v>
      </c>
      <c r="H105" s="32">
        <f>F105*Assumptions!$B$58</f>
        <v>1088.355</v>
      </c>
      <c r="I105" s="32">
        <f>Salary_Schedule!F105</f>
        <v>0</v>
      </c>
      <c r="J105" s="32">
        <f>I105*Assumptions!$B$9</f>
        <v>0</v>
      </c>
      <c r="K105" s="54">
        <f t="shared" si="3"/>
        <v>9595.195</v>
      </c>
      <c r="L105" s="32">
        <f>IF(COUNTIFS(SL_Income_Log!$B:$B,TEXT(B105,"0000")&amp;"-"&amp;TEXT(A105,"00"),SL_Income_Log!$C:$C,"salary",SL_Income_Log!$E:$E,"H")&gt;0,SUMIFS(SL_Income_Log!$D:$D,SL_Income_Log!$B:$B,TEXT(B105,"0000")&amp;"-"&amp;TEXT(A105,"00"),SL_Income_Log!$C:$C,"salary",SL_Income_Log!$E:$E,"H"),K105*(1-Assumptions!$B$102)-Z105-Y105)</f>
        <v>5757.117</v>
      </c>
      <c r="M105" s="32">
        <f>RSU_Schedule!H104</f>
        <v>0</v>
      </c>
      <c r="N105" s="32">
        <f>Salary_Schedule!G105</f>
        <v>8158.51</v>
      </c>
      <c r="O105" s="32">
        <f>Assumptions!$B$19</f>
        <v>200</v>
      </c>
      <c r="P105" s="32">
        <f>N105*Assumptions!$B$59</f>
        <v>815.851</v>
      </c>
      <c r="Q105" s="32">
        <f>Salary_Schedule!H105</f>
        <v>0</v>
      </c>
      <c r="R105" s="32">
        <f>Q105*Assumptions!$B$20</f>
        <v>0</v>
      </c>
      <c r="S105" s="54">
        <f t="shared" si="4"/>
        <v>7142.659</v>
      </c>
      <c r="T105" s="32">
        <f>IF(COUNTIFS(SL_Income_Log!$B:$B,TEXT(B105,"0000")&amp;"-"&amp;TEXT(A105,"00"),SL_Income_Log!$C:$C,"salary",SL_Income_Log!$E:$E,"W")&gt;0,SUMIFS(SL_Income_Log!$D:$D,SL_Income_Log!$B:$B,TEXT(B105,"0000")&amp;"-"&amp;TEXT(A105,"00"),SL_Income_Log!$C:$C,"salary",SL_Income_Log!$E:$E,"W"),S105*(1-Assumptions!$B$102)-AC105-AB105)
</f>
        <v>4285.5954</v>
      </c>
      <c r="U105" s="32">
        <f>RSU_Schedule!M104</f>
        <v>0</v>
      </c>
      <c r="V105" s="32">
        <f>H105*(1+Assumptions!$B$60)+Assumptions!$B$61</f>
        <v>1543.697</v>
      </c>
      <c r="W105" s="32">
        <f>P105*(1+Assumptions!$B$60)+Assumptions!$B$61</f>
        <v>1162.1914</v>
      </c>
      <c r="X105" s="32">
        <f t="shared" si="5"/>
        <v>2705.8884</v>
      </c>
      <c r="Y105" s="32">
        <v>0.0</v>
      </c>
      <c r="Z105" s="32">
        <v>0.0</v>
      </c>
      <c r="AA105" s="32">
        <v>0.0</v>
      </c>
      <c r="AB105" s="32">
        <v>0.0</v>
      </c>
      <c r="AC105" s="32">
        <v>0.0</v>
      </c>
      <c r="AD105" s="32">
        <v>0.0</v>
      </c>
      <c r="AE105" s="32">
        <f t="shared" ref="AE105:AF105" si="146">Z105+AC105</f>
        <v>0</v>
      </c>
      <c r="AF105" s="32">
        <f t="shared" si="146"/>
        <v>0</v>
      </c>
      <c r="AG105" s="32">
        <f>IF(COUNTIFS(SL_Income_Log!$B:$B,TEXT(B105,"0000")&amp;"-"&amp;TEXT(A105,"00"),SL_Income_Log!$C:$C,"youtube")&gt;0,SUMIFS(SL_Income_Log!$D:$D,SL_Income_Log!$B:$B,TEXT(B105,"0000")&amp;"-"&amp;TEXT(A105,"00"),SL_Income_Log!$C:$C,"youtube"),MIN(Assumptions!$B$49+FLOOR((ROW()-2)/6,1)*Assumptions!$B$50,Assumptions!$B$51))
</f>
        <v>18000</v>
      </c>
      <c r="AH105" s="32">
        <f>AG105*Assumptions!$B$104</f>
        <v>7974</v>
      </c>
      <c r="AI105" s="32">
        <f t="shared" si="7"/>
        <v>10026</v>
      </c>
      <c r="AJ105" s="32">
        <f>SUMIFS(SL_Income_Log!$D:$D,SL_Income_Log!$B:$B,TEXT(B105,"0000")&amp;"-"&amp;TEXT(A105,"00"),SL_Income_Log!$C:$C,"other")</f>
        <v>0</v>
      </c>
      <c r="AK105" s="32">
        <f t="shared" si="27"/>
        <v>10000</v>
      </c>
      <c r="AL105" s="32">
        <f>L105+M105+T105+U105+AI105+AJ105-Y105-Z105-AB105-AC105+IF((Debt_Register!$C$2+Debt_Register!$C$6+Debt_Register!$C$7+Debt_Register!$C$8+Debt_Register!$C$9)&gt;5,X105,0)</f>
        <v>22774.6008</v>
      </c>
      <c r="AM105" s="32">
        <f t="shared" si="8"/>
        <v>32774.6008</v>
      </c>
      <c r="AN105" s="32">
        <f>MAX(Assumptions!$B$94,MIN(Assumptions!$B$93,AM105-AP105-BE105-BO105-BQ105))</f>
        <v>10000</v>
      </c>
      <c r="AO105" s="32">
        <v>0.0</v>
      </c>
      <c r="AP105" s="32">
        <v>0.0</v>
      </c>
      <c r="AQ105" s="32">
        <v>0.0</v>
      </c>
      <c r="AR105" s="32">
        <v>0.0</v>
      </c>
      <c r="AS105" s="32">
        <v>0.0</v>
      </c>
      <c r="AT105" s="32">
        <v>0.0</v>
      </c>
      <c r="AU105" s="32">
        <f t="shared" si="30"/>
        <v>0</v>
      </c>
      <c r="AV105" s="32">
        <f t="shared" si="31"/>
        <v>0</v>
      </c>
      <c r="AW105" s="32">
        <f t="shared" si="32"/>
        <v>0</v>
      </c>
      <c r="AX105" s="32">
        <f t="shared" si="33"/>
        <v>0</v>
      </c>
      <c r="AY105" s="32">
        <f t="shared" si="34"/>
        <v>0</v>
      </c>
      <c r="AZ105" s="32">
        <f t="shared" si="35"/>
        <v>0</v>
      </c>
      <c r="BA105" s="32">
        <f t="shared" si="36"/>
        <v>0</v>
      </c>
      <c r="BB105" s="32">
        <f t="shared" si="37"/>
        <v>0</v>
      </c>
      <c r="BC105" s="32">
        <f t="shared" si="38"/>
        <v>0</v>
      </c>
      <c r="BD105" s="32">
        <f t="shared" si="39"/>
        <v>0</v>
      </c>
      <c r="BE105" s="32">
        <f t="shared" si="11"/>
        <v>0</v>
      </c>
      <c r="BF105" s="32">
        <v>0.0</v>
      </c>
      <c r="BG105" s="32">
        <f t="shared" si="40"/>
        <v>5500</v>
      </c>
      <c r="BH105" s="32">
        <v>0.0</v>
      </c>
      <c r="BI105" s="32">
        <f t="shared" si="41"/>
        <v>5000</v>
      </c>
      <c r="BJ105" s="32">
        <f>IF(OR(B105&lt;Assumptions!$B$111,AND(B105=Assumptions!$B$111,A105&lt;=Assumptions!$B$112)),Assumptions!$B$110,0)</f>
        <v>0</v>
      </c>
      <c r="BK105" s="32">
        <f>IF(B105&lt;2027,Assumptions!$B$116+IF(OR(A105=4,A105=10),Assumptions!$B$117,0),IF(AND(B105=2027,A105&lt;=4),IF(A105=4,MIN(950,Assumptions!$B$116+Assumptions!$B$117),Assumptions!$B$116),0))</f>
        <v>0</v>
      </c>
      <c r="BL105" s="32">
        <f>IF(OR(B105&lt;2030,AND(B105=2030,A105&lt;8)),Assumptions!$B$118,IF(AND(B105=2030,A105=8),MOD(11000,200),0))</f>
        <v>0</v>
      </c>
      <c r="BM105" s="32">
        <f>IF(OR(B105&lt;Assumptions!$B$120,AND(B105=Assumptions!$B$120,A105&lt;=Assumptions!$B$121)),Assumptions!$B$119,0)</f>
        <v>0</v>
      </c>
      <c r="BN105" s="32">
        <f>IF(AND(B105&lt;=Assumptions!$B$123,A105&lt;=Assumptions!$B$124),Assumptions!$B$122,0)</f>
        <v>0</v>
      </c>
      <c r="BO105" s="32">
        <f t="shared" si="12"/>
        <v>0</v>
      </c>
      <c r="BP105" s="32">
        <f>SUMIFS(SL_Budget!$B:$B,SL_Budget!$C:$C,"'"&amp;TEXT(DATE(B105,A105,1),"YYYY-MM"))</f>
        <v>5205</v>
      </c>
      <c r="BQ105" s="32">
        <f>MAX(BP105, IFERROR(SUMIFS(ShadowLedger!D:D, 
  ShadowLedger!C:C, "&gt;="&amp;DATE(B105,A105,1), 
  ShadowLedger!C:C, "&lt;"&amp;EOMONTH(DATE(B105,A105,1),0)+1), 0))
</f>
        <v>5205</v>
      </c>
      <c r="BR105" s="32">
        <f t="shared" si="42"/>
        <v>1213778.583</v>
      </c>
      <c r="BS105" s="32">
        <f t="shared" si="43"/>
        <v>2705.8884</v>
      </c>
      <c r="BT105" s="32">
        <f>IF(BY104&gt;=Assumptions!$B$92,MAX(0,(AM105-BE105-BO105-BQ105)-Assumptions!$B$93),MAX(0,(AM105-BE105-BO105-BQ105)-Assumptions!$B$93)*Assumptions!$B$99)</f>
        <v>17569.6008</v>
      </c>
      <c r="BU105" s="32">
        <f>(BR105+BS105+MAX(0,BT105))*(Assumptions!$B$43-1)</f>
        <v>8413.780663</v>
      </c>
      <c r="BV105" s="32">
        <f t="shared" si="13"/>
        <v>1242467.853</v>
      </c>
      <c r="BW105" s="32">
        <f t="shared" si="44"/>
        <v>15476.04728</v>
      </c>
      <c r="BX105" s="32">
        <f>IF(BY104&lt;Assumptions!$B$92,MAX(0,(AM105-BE105-BO105-BQ105)-Assumptions!$B$93)*Assumptions!$B$98,0)</f>
        <v>0</v>
      </c>
      <c r="BY105" s="32">
        <f t="shared" si="14"/>
        <v>15476.04728</v>
      </c>
      <c r="BZ105" s="32">
        <f t="shared" si="45"/>
        <v>53160</v>
      </c>
      <c r="CA105" s="32">
        <f t="shared" si="15"/>
        <v>7974</v>
      </c>
      <c r="CB105" s="32">
        <f t="shared" si="16"/>
        <v>61134</v>
      </c>
      <c r="CC105" s="55">
        <f>CC104+(G105+J105)/(Salary_Schedule!E105*12/208)</f>
        <v>1813.665944</v>
      </c>
      <c r="CD105" s="55">
        <f>CD104+(O105+R105)/(Salary_Schedule!G105*12/208)</f>
        <v>143.9699789</v>
      </c>
      <c r="CE105" s="32">
        <f t="shared" si="17"/>
        <v>1242467.853</v>
      </c>
      <c r="CF105" s="32">
        <f>Assumptions!$B$55*(1+Assumptions!$B$56)^((B105-2025)+(A105-1)/12)</f>
        <v>599749.0681</v>
      </c>
      <c r="CG105" s="32">
        <f t="shared" si="18"/>
        <v>0</v>
      </c>
      <c r="CH105" s="32">
        <f t="shared" si="19"/>
        <v>-10500</v>
      </c>
      <c r="CI105" s="32">
        <f>CC105*(Salary_Schedule!E105/173.33)*(1-Assumptions!$B$28)+CD105*(Salary_Schedule!G105/173.33)*(1-Assumptions!$B$28)</f>
        <v>78427.9001</v>
      </c>
      <c r="CJ105" s="32">
        <f t="shared" si="20"/>
        <v>1910144.821</v>
      </c>
    </row>
    <row r="106" ht="15.0" customHeight="1">
      <c r="A106" s="1">
        <v>9.0</v>
      </c>
      <c r="B106" s="1">
        <v>2034.0</v>
      </c>
      <c r="C106" s="1" t="s">
        <v>775</v>
      </c>
      <c r="D106" s="1" t="str">
        <f t="shared" si="21"/>
        <v>08/2034</v>
      </c>
      <c r="E106" s="1" t="str">
        <f t="shared" si="2"/>
        <v>LEAN</v>
      </c>
      <c r="F106" s="32">
        <f>Salary_Schedule!E106</f>
        <v>10883.55</v>
      </c>
      <c r="G106" s="32">
        <f>Assumptions!$B$8</f>
        <v>200</v>
      </c>
      <c r="H106" s="32">
        <f>F106*Assumptions!$B$58</f>
        <v>1088.355</v>
      </c>
      <c r="I106" s="32">
        <f>Salary_Schedule!F106</f>
        <v>0</v>
      </c>
      <c r="J106" s="32">
        <f>I106*Assumptions!$B$9</f>
        <v>0</v>
      </c>
      <c r="K106" s="54">
        <f t="shared" si="3"/>
        <v>9595.195</v>
      </c>
      <c r="L106" s="32">
        <f>IF(COUNTIFS(SL_Income_Log!$B:$B,TEXT(B106,"0000")&amp;"-"&amp;TEXT(A106,"00"),SL_Income_Log!$C:$C,"salary",SL_Income_Log!$E:$E,"H")&gt;0,SUMIFS(SL_Income_Log!$D:$D,SL_Income_Log!$B:$B,TEXT(B106,"0000")&amp;"-"&amp;TEXT(A106,"00"),SL_Income_Log!$C:$C,"salary",SL_Income_Log!$E:$E,"H"),K106*(1-Assumptions!$B$102)-Z106-Y106)</f>
        <v>5757.117</v>
      </c>
      <c r="M106" s="32">
        <f>RSU_Schedule!H105</f>
        <v>0</v>
      </c>
      <c r="N106" s="32">
        <f>Salary_Schedule!G106</f>
        <v>8158.51</v>
      </c>
      <c r="O106" s="32">
        <f>Assumptions!$B$19</f>
        <v>200</v>
      </c>
      <c r="P106" s="32">
        <f>N106*Assumptions!$B$59</f>
        <v>815.851</v>
      </c>
      <c r="Q106" s="32">
        <f>Salary_Schedule!H106</f>
        <v>0</v>
      </c>
      <c r="R106" s="32">
        <f>Q106*Assumptions!$B$20</f>
        <v>0</v>
      </c>
      <c r="S106" s="54">
        <f t="shared" si="4"/>
        <v>7142.659</v>
      </c>
      <c r="T106" s="32">
        <f>IF(COUNTIFS(SL_Income_Log!$B:$B,TEXT(B106,"0000")&amp;"-"&amp;TEXT(A106,"00"),SL_Income_Log!$C:$C,"salary",SL_Income_Log!$E:$E,"W")&gt;0,SUMIFS(SL_Income_Log!$D:$D,SL_Income_Log!$B:$B,TEXT(B106,"0000")&amp;"-"&amp;TEXT(A106,"00"),SL_Income_Log!$C:$C,"salary",SL_Income_Log!$E:$E,"W"),S106*(1-Assumptions!$B$102)-AC106-AB106)
</f>
        <v>4285.5954</v>
      </c>
      <c r="U106" s="32">
        <f>RSU_Schedule!M105</f>
        <v>0</v>
      </c>
      <c r="V106" s="32">
        <f>H106*(1+Assumptions!$B$60)+Assumptions!$B$61</f>
        <v>1543.697</v>
      </c>
      <c r="W106" s="32">
        <f>P106*(1+Assumptions!$B$60)+Assumptions!$B$61</f>
        <v>1162.1914</v>
      </c>
      <c r="X106" s="32">
        <f t="shared" si="5"/>
        <v>2705.8884</v>
      </c>
      <c r="Y106" s="32">
        <v>0.0</v>
      </c>
      <c r="Z106" s="32">
        <v>0.0</v>
      </c>
      <c r="AA106" s="32">
        <v>0.0</v>
      </c>
      <c r="AB106" s="32">
        <v>0.0</v>
      </c>
      <c r="AC106" s="32">
        <v>0.0</v>
      </c>
      <c r="AD106" s="32">
        <v>0.0</v>
      </c>
      <c r="AE106" s="32">
        <f t="shared" ref="AE106:AF106" si="147">Z106+AC106</f>
        <v>0</v>
      </c>
      <c r="AF106" s="32">
        <f t="shared" si="147"/>
        <v>0</v>
      </c>
      <c r="AG106" s="32">
        <f>IF(COUNTIFS(SL_Income_Log!$B:$B,TEXT(B106,"0000")&amp;"-"&amp;TEXT(A106,"00"),SL_Income_Log!$C:$C,"youtube")&gt;0,SUMIFS(SL_Income_Log!$D:$D,SL_Income_Log!$B:$B,TEXT(B106,"0000")&amp;"-"&amp;TEXT(A106,"00"),SL_Income_Log!$C:$C,"youtube"),MIN(Assumptions!$B$49+FLOOR((ROW()-2)/6,1)*Assumptions!$B$50,Assumptions!$B$51))
</f>
        <v>18000</v>
      </c>
      <c r="AH106" s="32">
        <f>AG106*Assumptions!$B$104</f>
        <v>7974</v>
      </c>
      <c r="AI106" s="32">
        <f t="shared" si="7"/>
        <v>10026</v>
      </c>
      <c r="AJ106" s="32">
        <f>SUMIFS(SL_Income_Log!$D:$D,SL_Income_Log!$B:$B,TEXT(B106,"0000")&amp;"-"&amp;TEXT(A106,"00"),SL_Income_Log!$C:$C,"other")</f>
        <v>0</v>
      </c>
      <c r="AK106" s="32">
        <f t="shared" si="27"/>
        <v>10000</v>
      </c>
      <c r="AL106" s="32">
        <f>L106+M106+T106+U106+AI106+AJ106-Y106-Z106-AB106-AC106+IF((Debt_Register!$C$2+Debt_Register!$C$6+Debt_Register!$C$7+Debt_Register!$C$8+Debt_Register!$C$9)&gt;5,X106,0)</f>
        <v>22774.6008</v>
      </c>
      <c r="AM106" s="32">
        <f t="shared" si="8"/>
        <v>32774.6008</v>
      </c>
      <c r="AN106" s="32">
        <f>MAX(Assumptions!$B$94,MIN(Assumptions!$B$93,AM106-AP106-BE106-BO106-BQ106))</f>
        <v>10000</v>
      </c>
      <c r="AO106" s="32">
        <v>0.0</v>
      </c>
      <c r="AP106" s="32">
        <v>0.0</v>
      </c>
      <c r="AQ106" s="32">
        <v>0.0</v>
      </c>
      <c r="AR106" s="32">
        <v>0.0</v>
      </c>
      <c r="AS106" s="32">
        <v>0.0</v>
      </c>
      <c r="AT106" s="32">
        <v>0.0</v>
      </c>
      <c r="AU106" s="32">
        <f t="shared" si="30"/>
        <v>0</v>
      </c>
      <c r="AV106" s="32">
        <f t="shared" si="31"/>
        <v>0</v>
      </c>
      <c r="AW106" s="32">
        <f t="shared" si="32"/>
        <v>0</v>
      </c>
      <c r="AX106" s="32">
        <f t="shared" si="33"/>
        <v>0</v>
      </c>
      <c r="AY106" s="32">
        <f t="shared" si="34"/>
        <v>0</v>
      </c>
      <c r="AZ106" s="32">
        <f t="shared" si="35"/>
        <v>0</v>
      </c>
      <c r="BA106" s="32">
        <f t="shared" si="36"/>
        <v>0</v>
      </c>
      <c r="BB106" s="32">
        <f t="shared" si="37"/>
        <v>0</v>
      </c>
      <c r="BC106" s="32">
        <f t="shared" si="38"/>
        <v>0</v>
      </c>
      <c r="BD106" s="32">
        <f t="shared" si="39"/>
        <v>0</v>
      </c>
      <c r="BE106" s="32">
        <f t="shared" si="11"/>
        <v>0</v>
      </c>
      <c r="BF106" s="32">
        <v>0.0</v>
      </c>
      <c r="BG106" s="32">
        <f t="shared" si="40"/>
        <v>5500</v>
      </c>
      <c r="BH106" s="32">
        <v>0.0</v>
      </c>
      <c r="BI106" s="32">
        <f t="shared" si="41"/>
        <v>5000</v>
      </c>
      <c r="BJ106" s="32">
        <f>IF(OR(B106&lt;Assumptions!$B$111,AND(B106=Assumptions!$B$111,A106&lt;=Assumptions!$B$112)),Assumptions!$B$110,0)</f>
        <v>0</v>
      </c>
      <c r="BK106" s="32">
        <f>IF(B106&lt;2027,Assumptions!$B$116+IF(OR(A106=4,A106=10),Assumptions!$B$117,0),IF(AND(B106=2027,A106&lt;=4),IF(A106=4,MIN(950,Assumptions!$B$116+Assumptions!$B$117),Assumptions!$B$116),0))</f>
        <v>0</v>
      </c>
      <c r="BL106" s="32">
        <f>IF(OR(B106&lt;2030,AND(B106=2030,A106&lt;8)),Assumptions!$B$118,IF(AND(B106=2030,A106=8),MOD(11000,200),0))</f>
        <v>0</v>
      </c>
      <c r="BM106" s="32">
        <f>IF(OR(B106&lt;Assumptions!$B$120,AND(B106=Assumptions!$B$120,A106&lt;=Assumptions!$B$121)),Assumptions!$B$119,0)</f>
        <v>0</v>
      </c>
      <c r="BN106" s="32">
        <f>IF(AND(B106&lt;=Assumptions!$B$123,A106&lt;=Assumptions!$B$124),Assumptions!$B$122,0)</f>
        <v>0</v>
      </c>
      <c r="BO106" s="32">
        <f t="shared" si="12"/>
        <v>0</v>
      </c>
      <c r="BP106" s="32">
        <f>SUMIFS(SL_Budget!$B:$B,SL_Budget!$C:$C,"'"&amp;TEXT(DATE(B106,A106,1),"YYYY-MM"))</f>
        <v>5205</v>
      </c>
      <c r="BQ106" s="32">
        <f>MAX(BP106, IFERROR(SUMIFS(ShadowLedger!D:D, 
  ShadowLedger!C:C, "&gt;="&amp;DATE(B106,A106,1), 
  ShadowLedger!C:C, "&lt;"&amp;EOMONTH(DATE(B106,A106,1),0)+1), 0))
</f>
        <v>5205</v>
      </c>
      <c r="BR106" s="32">
        <f t="shared" si="42"/>
        <v>1242467.853</v>
      </c>
      <c r="BS106" s="32">
        <f t="shared" si="43"/>
        <v>2705.8884</v>
      </c>
      <c r="BT106" s="32">
        <f>IF(BY105&gt;=Assumptions!$B$92,MAX(0,(AM106-BE106-BO106-BQ106)-Assumptions!$B$93),MAX(0,(AM106-BE106-BO106-BQ106)-Assumptions!$B$93)*Assumptions!$B$99)</f>
        <v>17569.6008</v>
      </c>
      <c r="BU106" s="32">
        <f>(BR106+BS106+MAX(0,BT106))*(Assumptions!$B$43-1)</f>
        <v>8609.384105</v>
      </c>
      <c r="BV106" s="32">
        <f t="shared" si="13"/>
        <v>1271352.726</v>
      </c>
      <c r="BW106" s="32">
        <f t="shared" si="44"/>
        <v>15476.04728</v>
      </c>
      <c r="BX106" s="32">
        <f>IF(BY105&lt;Assumptions!$B$92,MAX(0,(AM106-BE106-BO106-BQ106)-Assumptions!$B$93)*Assumptions!$B$98,0)</f>
        <v>0</v>
      </c>
      <c r="BY106" s="32">
        <f t="shared" si="14"/>
        <v>15476.04728</v>
      </c>
      <c r="BZ106" s="32">
        <f t="shared" si="45"/>
        <v>61134</v>
      </c>
      <c r="CA106" s="32">
        <f t="shared" si="15"/>
        <v>7974</v>
      </c>
      <c r="CB106" s="32">
        <f t="shared" si="16"/>
        <v>69108</v>
      </c>
      <c r="CC106" s="55">
        <f>CC105+(G106+J106)/(Salary_Schedule!E106*12/208)</f>
        <v>1813.984468</v>
      </c>
      <c r="CD106" s="55">
        <f>CD105+(O106+R106)/(Salary_Schedule!G106*12/208)</f>
        <v>144.3948931</v>
      </c>
      <c r="CE106" s="32">
        <f t="shared" si="17"/>
        <v>1271352.726</v>
      </c>
      <c r="CF106" s="32">
        <f>Assumptions!$B$55*(1+Assumptions!$B$56)^((B106-2025)+(A106-1)/12)</f>
        <v>600493.6492</v>
      </c>
      <c r="CG106" s="32">
        <f t="shared" si="18"/>
        <v>0</v>
      </c>
      <c r="CH106" s="32">
        <f t="shared" si="19"/>
        <v>-10500</v>
      </c>
      <c r="CI106" s="32">
        <f>CC106*(Salary_Schedule!E106/173.33)*(1-Assumptions!$B$28)+CD106*(Salary_Schedule!G106/173.33)*(1-Assumptions!$B$28)</f>
        <v>78453.9006</v>
      </c>
      <c r="CJ106" s="32">
        <f t="shared" si="20"/>
        <v>1939800.276</v>
      </c>
    </row>
    <row r="107" ht="15.0" customHeight="1">
      <c r="A107" s="1">
        <v>10.0</v>
      </c>
      <c r="B107" s="1">
        <v>2034.0</v>
      </c>
      <c r="C107" s="1" t="s">
        <v>776</v>
      </c>
      <c r="D107" s="1" t="str">
        <f t="shared" si="21"/>
        <v>09/2034</v>
      </c>
      <c r="E107" s="1" t="str">
        <f t="shared" si="2"/>
        <v>FAT_RSU</v>
      </c>
      <c r="F107" s="32">
        <f>Salary_Schedule!E107</f>
        <v>10883.55</v>
      </c>
      <c r="G107" s="32">
        <f>Assumptions!$B$8</f>
        <v>200</v>
      </c>
      <c r="H107" s="32">
        <f>F107*Assumptions!$B$58</f>
        <v>1088.355</v>
      </c>
      <c r="I107" s="32">
        <f>Salary_Schedule!F107</f>
        <v>0</v>
      </c>
      <c r="J107" s="32">
        <f>I107*Assumptions!$B$9</f>
        <v>0</v>
      </c>
      <c r="K107" s="54">
        <f t="shared" si="3"/>
        <v>9595.195</v>
      </c>
      <c r="L107" s="32">
        <f>IF(COUNTIFS(SL_Income_Log!$B:$B,TEXT(B107,"0000")&amp;"-"&amp;TEXT(A107,"00"),SL_Income_Log!$C:$C,"salary",SL_Income_Log!$E:$E,"H")&gt;0,SUMIFS(SL_Income_Log!$D:$D,SL_Income_Log!$B:$B,TEXT(B107,"0000")&amp;"-"&amp;TEXT(A107,"00"),SL_Income_Log!$C:$C,"salary",SL_Income_Log!$E:$E,"H"),K107*(1-Assumptions!$B$102)-Z107-Y107)</f>
        <v>5757.117</v>
      </c>
      <c r="M107" s="32">
        <f>RSU_Schedule!H106</f>
        <v>2784.99</v>
      </c>
      <c r="N107" s="32">
        <f>Salary_Schedule!G107</f>
        <v>8158.51</v>
      </c>
      <c r="O107" s="32">
        <f>Assumptions!$B$19</f>
        <v>200</v>
      </c>
      <c r="P107" s="32">
        <f>N107*Assumptions!$B$59</f>
        <v>815.851</v>
      </c>
      <c r="Q107" s="32">
        <f>Salary_Schedule!H107</f>
        <v>0</v>
      </c>
      <c r="R107" s="32">
        <f>Q107*Assumptions!$B$20</f>
        <v>0</v>
      </c>
      <c r="S107" s="54">
        <f t="shared" si="4"/>
        <v>7142.659</v>
      </c>
      <c r="T107" s="32">
        <f>IF(COUNTIFS(SL_Income_Log!$B:$B,TEXT(B107,"0000")&amp;"-"&amp;TEXT(A107,"00"),SL_Income_Log!$C:$C,"salary",SL_Income_Log!$E:$E,"W")&gt;0,SUMIFS(SL_Income_Log!$D:$D,SL_Income_Log!$B:$B,TEXT(B107,"0000")&amp;"-"&amp;TEXT(A107,"00"),SL_Income_Log!$C:$C,"salary",SL_Income_Log!$E:$E,"W"),S107*(1-Assumptions!$B$102)-AC107-AB107)
</f>
        <v>4285.5954</v>
      </c>
      <c r="U107" s="32">
        <f>RSU_Schedule!M106</f>
        <v>1392.51</v>
      </c>
      <c r="V107" s="32">
        <f>H107*(1+Assumptions!$B$60)+Assumptions!$B$61</f>
        <v>1543.697</v>
      </c>
      <c r="W107" s="32">
        <f>P107*(1+Assumptions!$B$60)+Assumptions!$B$61</f>
        <v>1162.1914</v>
      </c>
      <c r="X107" s="32">
        <f t="shared" si="5"/>
        <v>2705.8884</v>
      </c>
      <c r="Y107" s="32">
        <v>0.0</v>
      </c>
      <c r="Z107" s="32">
        <v>0.0</v>
      </c>
      <c r="AA107" s="32">
        <v>0.0</v>
      </c>
      <c r="AB107" s="32">
        <v>0.0</v>
      </c>
      <c r="AC107" s="32">
        <v>0.0</v>
      </c>
      <c r="AD107" s="32">
        <v>0.0</v>
      </c>
      <c r="AE107" s="32">
        <f t="shared" ref="AE107:AF107" si="148">Z107+AC107</f>
        <v>0</v>
      </c>
      <c r="AF107" s="32">
        <f t="shared" si="148"/>
        <v>0</v>
      </c>
      <c r="AG107" s="32">
        <f>IF(COUNTIFS(SL_Income_Log!$B:$B,TEXT(B107,"0000")&amp;"-"&amp;TEXT(A107,"00"),SL_Income_Log!$C:$C,"youtube")&gt;0,SUMIFS(SL_Income_Log!$D:$D,SL_Income_Log!$B:$B,TEXT(B107,"0000")&amp;"-"&amp;TEXT(A107,"00"),SL_Income_Log!$C:$C,"youtube"),MIN(Assumptions!$B$49+FLOOR((ROW()-2)/6,1)*Assumptions!$B$50,Assumptions!$B$51))
</f>
        <v>18000</v>
      </c>
      <c r="AH107" s="32">
        <f>AG107*Assumptions!$B$104</f>
        <v>7974</v>
      </c>
      <c r="AI107" s="32">
        <f t="shared" si="7"/>
        <v>10026</v>
      </c>
      <c r="AJ107" s="32">
        <f>SUMIFS(SL_Income_Log!$D:$D,SL_Income_Log!$B:$B,TEXT(B107,"0000")&amp;"-"&amp;TEXT(A107,"00"),SL_Income_Log!$C:$C,"other")</f>
        <v>0</v>
      </c>
      <c r="AK107" s="32">
        <f t="shared" si="27"/>
        <v>10000</v>
      </c>
      <c r="AL107" s="32">
        <f>L107+M107+T107+U107+AI107+AJ107-Y107-Z107-AB107-AC107+IF((Debt_Register!$C$2+Debt_Register!$C$6+Debt_Register!$C$7+Debt_Register!$C$8+Debt_Register!$C$9)&gt;5,X107,0)</f>
        <v>26952.1008</v>
      </c>
      <c r="AM107" s="32">
        <f t="shared" si="8"/>
        <v>36952.1008</v>
      </c>
      <c r="AN107" s="32">
        <f>MAX(Assumptions!$B$94,MIN(Assumptions!$B$93,AM107-AP107-BE107-BO107-BQ107))</f>
        <v>10000</v>
      </c>
      <c r="AO107" s="32">
        <v>0.0</v>
      </c>
      <c r="AP107" s="32">
        <v>0.0</v>
      </c>
      <c r="AQ107" s="32">
        <v>0.0</v>
      </c>
      <c r="AR107" s="32">
        <v>0.0</v>
      </c>
      <c r="AS107" s="32">
        <v>0.0</v>
      </c>
      <c r="AT107" s="32">
        <v>0.0</v>
      </c>
      <c r="AU107" s="32">
        <f t="shared" si="30"/>
        <v>0</v>
      </c>
      <c r="AV107" s="32">
        <f t="shared" si="31"/>
        <v>0</v>
      </c>
      <c r="AW107" s="32">
        <f t="shared" si="32"/>
        <v>0</v>
      </c>
      <c r="AX107" s="32">
        <f t="shared" si="33"/>
        <v>0</v>
      </c>
      <c r="AY107" s="32">
        <f t="shared" si="34"/>
        <v>0</v>
      </c>
      <c r="AZ107" s="32">
        <f t="shared" si="35"/>
        <v>0</v>
      </c>
      <c r="BA107" s="32">
        <f t="shared" si="36"/>
        <v>0</v>
      </c>
      <c r="BB107" s="32">
        <f t="shared" si="37"/>
        <v>0</v>
      </c>
      <c r="BC107" s="32">
        <f t="shared" si="38"/>
        <v>0</v>
      </c>
      <c r="BD107" s="32">
        <f t="shared" si="39"/>
        <v>0</v>
      </c>
      <c r="BE107" s="32">
        <f t="shared" si="11"/>
        <v>0</v>
      </c>
      <c r="BF107" s="32">
        <v>0.0</v>
      </c>
      <c r="BG107" s="32">
        <f t="shared" si="40"/>
        <v>5500</v>
      </c>
      <c r="BH107" s="32">
        <v>0.0</v>
      </c>
      <c r="BI107" s="32">
        <f t="shared" si="41"/>
        <v>5000</v>
      </c>
      <c r="BJ107" s="32">
        <f>IF(OR(B107&lt;Assumptions!$B$111,AND(B107=Assumptions!$B$111,A107&lt;=Assumptions!$B$112)),Assumptions!$B$110,0)</f>
        <v>0</v>
      </c>
      <c r="BK107" s="32">
        <f>IF(B107&lt;2027,Assumptions!$B$116+IF(OR(A107=4,A107=10),Assumptions!$B$117,0),IF(AND(B107=2027,A107&lt;=4),IF(A107=4,MIN(950,Assumptions!$B$116+Assumptions!$B$117),Assumptions!$B$116),0))</f>
        <v>0</v>
      </c>
      <c r="BL107" s="32">
        <f>IF(OR(B107&lt;2030,AND(B107=2030,A107&lt;8)),Assumptions!$B$118,IF(AND(B107=2030,A107=8),MOD(11000,200),0))</f>
        <v>0</v>
      </c>
      <c r="BM107" s="32">
        <f>IF(OR(B107&lt;Assumptions!$B$120,AND(B107=Assumptions!$B$120,A107&lt;=Assumptions!$B$121)),Assumptions!$B$119,0)</f>
        <v>0</v>
      </c>
      <c r="BN107" s="32">
        <f>IF(AND(B107&lt;=Assumptions!$B$123,A107&lt;=Assumptions!$B$124),Assumptions!$B$122,0)</f>
        <v>0</v>
      </c>
      <c r="BO107" s="32">
        <f t="shared" si="12"/>
        <v>0</v>
      </c>
      <c r="BP107" s="32">
        <f>SUMIFS(SL_Budget!$B:$B,SL_Budget!$C:$C,"'"&amp;TEXT(DATE(B107,A107,1),"YYYY-MM"))</f>
        <v>5205</v>
      </c>
      <c r="BQ107" s="32">
        <f>MAX(BP107, IFERROR(SUMIFS(ShadowLedger!D:D, 
  ShadowLedger!C:C, "&gt;="&amp;DATE(B107,A107,1), 
  ShadowLedger!C:C, "&lt;"&amp;EOMONTH(DATE(B107,A107,1),0)+1), 0))
</f>
        <v>5205</v>
      </c>
      <c r="BR107" s="32">
        <f t="shared" si="42"/>
        <v>1271352.726</v>
      </c>
      <c r="BS107" s="32">
        <f t="shared" si="43"/>
        <v>2705.8884</v>
      </c>
      <c r="BT107" s="32">
        <f>IF(BY106&gt;=Assumptions!$B$92,MAX(0,(AM107-BE107-BO107-BQ107)-Assumptions!$B$93),MAX(0,(AM107-BE107-BO107-BQ107)-Assumptions!$B$93)*Assumptions!$B$99)</f>
        <v>21747.1008</v>
      </c>
      <c r="BU107" s="32">
        <f>(BR107+BS107+MAX(0,BT107))*(Assumptions!$B$43-1)</f>
        <v>8834.803366</v>
      </c>
      <c r="BV107" s="32">
        <f t="shared" si="13"/>
        <v>1304640.518</v>
      </c>
      <c r="BW107" s="32">
        <f t="shared" si="44"/>
        <v>15476.04728</v>
      </c>
      <c r="BX107" s="32">
        <f>IF(BY106&lt;Assumptions!$B$92,MAX(0,(AM107-BE107-BO107-BQ107)-Assumptions!$B$93)*Assumptions!$B$98,0)</f>
        <v>0</v>
      </c>
      <c r="BY107" s="32">
        <f t="shared" si="14"/>
        <v>15476.04728</v>
      </c>
      <c r="BZ107" s="32">
        <f t="shared" si="45"/>
        <v>69108</v>
      </c>
      <c r="CA107" s="32">
        <f t="shared" si="15"/>
        <v>7974</v>
      </c>
      <c r="CB107" s="32">
        <f t="shared" si="16"/>
        <v>77082</v>
      </c>
      <c r="CC107" s="55">
        <f>CC106+(G107+J107)/(Salary_Schedule!E107*12/208)</f>
        <v>1814.302991</v>
      </c>
      <c r="CD107" s="55">
        <f>CD106+(O107+R107)/(Salary_Schedule!G107*12/208)</f>
        <v>144.8198073</v>
      </c>
      <c r="CE107" s="32">
        <f t="shared" si="17"/>
        <v>1304640.518</v>
      </c>
      <c r="CF107" s="32">
        <f>Assumptions!$B$55*(1+Assumptions!$B$56)^((B107-2025)+(A107-1)/12)</f>
        <v>601239.1547</v>
      </c>
      <c r="CG107" s="32">
        <f t="shared" si="18"/>
        <v>0</v>
      </c>
      <c r="CH107" s="32">
        <f t="shared" si="19"/>
        <v>-10500</v>
      </c>
      <c r="CI107" s="32">
        <f>CC107*(Salary_Schedule!E107/173.33)*(1-Assumptions!$B$28)+CD107*(Salary_Schedule!G107/173.33)*(1-Assumptions!$B$28)</f>
        <v>78479.9011</v>
      </c>
      <c r="CJ107" s="32">
        <f t="shared" si="20"/>
        <v>1973859.574</v>
      </c>
    </row>
    <row r="108" ht="15.0" customHeight="1">
      <c r="A108" s="1">
        <v>11.0</v>
      </c>
      <c r="B108" s="1">
        <v>2034.0</v>
      </c>
      <c r="C108" s="1" t="s">
        <v>777</v>
      </c>
      <c r="D108" s="1" t="str">
        <f t="shared" si="21"/>
        <v>10/2034</v>
      </c>
      <c r="E108" s="1" t="str">
        <f t="shared" si="2"/>
        <v>LEAN</v>
      </c>
      <c r="F108" s="32">
        <f>Salary_Schedule!E108</f>
        <v>10883.55</v>
      </c>
      <c r="G108" s="32">
        <f>Assumptions!$B$8</f>
        <v>200</v>
      </c>
      <c r="H108" s="32">
        <f>F108*Assumptions!$B$58</f>
        <v>1088.355</v>
      </c>
      <c r="I108" s="32">
        <f>Salary_Schedule!F108</f>
        <v>0</v>
      </c>
      <c r="J108" s="32">
        <f>I108*Assumptions!$B$9</f>
        <v>0</v>
      </c>
      <c r="K108" s="54">
        <f t="shared" si="3"/>
        <v>9595.195</v>
      </c>
      <c r="L108" s="32">
        <f>IF(COUNTIFS(SL_Income_Log!$B:$B,TEXT(B108,"0000")&amp;"-"&amp;TEXT(A108,"00"),SL_Income_Log!$C:$C,"salary",SL_Income_Log!$E:$E,"H")&gt;0,SUMIFS(SL_Income_Log!$D:$D,SL_Income_Log!$B:$B,TEXT(B108,"0000")&amp;"-"&amp;TEXT(A108,"00"),SL_Income_Log!$C:$C,"salary",SL_Income_Log!$E:$E,"H"),K108*(1-Assumptions!$B$102)-Z108-Y108)</f>
        <v>5757.117</v>
      </c>
      <c r="M108" s="32">
        <f>RSU_Schedule!H107</f>
        <v>0</v>
      </c>
      <c r="N108" s="32">
        <f>Salary_Schedule!G108</f>
        <v>8158.51</v>
      </c>
      <c r="O108" s="32">
        <f>Assumptions!$B$19</f>
        <v>200</v>
      </c>
      <c r="P108" s="32">
        <f>N108*Assumptions!$B$59</f>
        <v>815.851</v>
      </c>
      <c r="Q108" s="32">
        <f>Salary_Schedule!H108</f>
        <v>0</v>
      </c>
      <c r="R108" s="32">
        <f>Q108*Assumptions!$B$20</f>
        <v>0</v>
      </c>
      <c r="S108" s="54">
        <f t="shared" si="4"/>
        <v>7142.659</v>
      </c>
      <c r="T108" s="32">
        <f>IF(COUNTIFS(SL_Income_Log!$B:$B,TEXT(B108,"0000")&amp;"-"&amp;TEXT(A108,"00"),SL_Income_Log!$C:$C,"salary",SL_Income_Log!$E:$E,"W")&gt;0,SUMIFS(SL_Income_Log!$D:$D,SL_Income_Log!$B:$B,TEXT(B108,"0000")&amp;"-"&amp;TEXT(A108,"00"),SL_Income_Log!$C:$C,"salary",SL_Income_Log!$E:$E,"W"),S108*(1-Assumptions!$B$102)-AC108-AB108)
</f>
        <v>4285.5954</v>
      </c>
      <c r="U108" s="32">
        <f>RSU_Schedule!M107</f>
        <v>0</v>
      </c>
      <c r="V108" s="32">
        <f>H108*(1+Assumptions!$B$60)+Assumptions!$B$61</f>
        <v>1543.697</v>
      </c>
      <c r="W108" s="32">
        <f>P108*(1+Assumptions!$B$60)+Assumptions!$B$61</f>
        <v>1162.1914</v>
      </c>
      <c r="X108" s="32">
        <f t="shared" si="5"/>
        <v>2705.8884</v>
      </c>
      <c r="Y108" s="32">
        <v>0.0</v>
      </c>
      <c r="Z108" s="32">
        <v>0.0</v>
      </c>
      <c r="AA108" s="32">
        <v>0.0</v>
      </c>
      <c r="AB108" s="32">
        <v>0.0</v>
      </c>
      <c r="AC108" s="32">
        <v>0.0</v>
      </c>
      <c r="AD108" s="32">
        <v>0.0</v>
      </c>
      <c r="AE108" s="32">
        <f t="shared" ref="AE108:AF108" si="149">Z108+AC108</f>
        <v>0</v>
      </c>
      <c r="AF108" s="32">
        <f t="shared" si="149"/>
        <v>0</v>
      </c>
      <c r="AG108" s="32">
        <f>IF(COUNTIFS(SL_Income_Log!$B:$B,TEXT(B108,"0000")&amp;"-"&amp;TEXT(A108,"00"),SL_Income_Log!$C:$C,"youtube")&gt;0,SUMIFS(SL_Income_Log!$D:$D,SL_Income_Log!$B:$B,TEXT(B108,"0000")&amp;"-"&amp;TEXT(A108,"00"),SL_Income_Log!$C:$C,"youtube"),MIN(Assumptions!$B$49+FLOOR((ROW()-2)/6,1)*Assumptions!$B$50,Assumptions!$B$51))
</f>
        <v>18000</v>
      </c>
      <c r="AH108" s="32">
        <f>AG108*Assumptions!$B$104</f>
        <v>7974</v>
      </c>
      <c r="AI108" s="32">
        <f t="shared" si="7"/>
        <v>10026</v>
      </c>
      <c r="AJ108" s="32">
        <f>SUMIFS(SL_Income_Log!$D:$D,SL_Income_Log!$B:$B,TEXT(B108,"0000")&amp;"-"&amp;TEXT(A108,"00"),SL_Income_Log!$C:$C,"other")</f>
        <v>0</v>
      </c>
      <c r="AK108" s="32">
        <f t="shared" si="27"/>
        <v>10000</v>
      </c>
      <c r="AL108" s="32">
        <f>L108+M108+T108+U108+AI108+AJ108-Y108-Z108-AB108-AC108+IF((Debt_Register!$C$2+Debt_Register!$C$6+Debt_Register!$C$7+Debt_Register!$C$8+Debt_Register!$C$9)&gt;5,X108,0)</f>
        <v>22774.6008</v>
      </c>
      <c r="AM108" s="32">
        <f t="shared" si="8"/>
        <v>32774.6008</v>
      </c>
      <c r="AN108" s="32">
        <f>MAX(Assumptions!$B$94,MIN(Assumptions!$B$93,AM108-AP108-BE108-BO108-BQ108))</f>
        <v>10000</v>
      </c>
      <c r="AO108" s="32">
        <v>0.0</v>
      </c>
      <c r="AP108" s="32">
        <v>0.0</v>
      </c>
      <c r="AQ108" s="32">
        <v>0.0</v>
      </c>
      <c r="AR108" s="32">
        <v>0.0</v>
      </c>
      <c r="AS108" s="32">
        <v>0.0</v>
      </c>
      <c r="AT108" s="32">
        <v>0.0</v>
      </c>
      <c r="AU108" s="32">
        <f t="shared" si="30"/>
        <v>0</v>
      </c>
      <c r="AV108" s="32">
        <f t="shared" si="31"/>
        <v>0</v>
      </c>
      <c r="AW108" s="32">
        <f t="shared" si="32"/>
        <v>0</v>
      </c>
      <c r="AX108" s="32">
        <f t="shared" si="33"/>
        <v>0</v>
      </c>
      <c r="AY108" s="32">
        <f t="shared" si="34"/>
        <v>0</v>
      </c>
      <c r="AZ108" s="32">
        <f t="shared" si="35"/>
        <v>0</v>
      </c>
      <c r="BA108" s="32">
        <f t="shared" si="36"/>
        <v>0</v>
      </c>
      <c r="BB108" s="32">
        <f t="shared" si="37"/>
        <v>0</v>
      </c>
      <c r="BC108" s="32">
        <f t="shared" si="38"/>
        <v>0</v>
      </c>
      <c r="BD108" s="32">
        <f t="shared" si="39"/>
        <v>0</v>
      </c>
      <c r="BE108" s="32">
        <f t="shared" si="11"/>
        <v>0</v>
      </c>
      <c r="BF108" s="32">
        <v>0.0</v>
      </c>
      <c r="BG108" s="32">
        <f t="shared" si="40"/>
        <v>5500</v>
      </c>
      <c r="BH108" s="32">
        <v>0.0</v>
      </c>
      <c r="BI108" s="32">
        <f t="shared" si="41"/>
        <v>5000</v>
      </c>
      <c r="BJ108" s="32">
        <f>IF(OR(B108&lt;Assumptions!$B$111,AND(B108=Assumptions!$B$111,A108&lt;=Assumptions!$B$112)),Assumptions!$B$110,0)</f>
        <v>0</v>
      </c>
      <c r="BK108" s="32">
        <f>IF(B108&lt;2027,Assumptions!$B$116+IF(OR(A108=4,A108=10),Assumptions!$B$117,0),IF(AND(B108=2027,A108&lt;=4),IF(A108=4,MIN(950,Assumptions!$B$116+Assumptions!$B$117),Assumptions!$B$116),0))</f>
        <v>0</v>
      </c>
      <c r="BL108" s="32">
        <f>IF(OR(B108&lt;2030,AND(B108=2030,A108&lt;8)),Assumptions!$B$118,IF(AND(B108=2030,A108=8),MOD(11000,200),0))</f>
        <v>0</v>
      </c>
      <c r="BM108" s="32">
        <f>IF(OR(B108&lt;Assumptions!$B$120,AND(B108=Assumptions!$B$120,A108&lt;=Assumptions!$B$121)),Assumptions!$B$119,0)</f>
        <v>0</v>
      </c>
      <c r="BN108" s="32">
        <f>IF(AND(B108&lt;=Assumptions!$B$123,A108&lt;=Assumptions!$B$124),Assumptions!$B$122,0)</f>
        <v>0</v>
      </c>
      <c r="BO108" s="32">
        <f t="shared" si="12"/>
        <v>0</v>
      </c>
      <c r="BP108" s="32">
        <f>SUMIFS(SL_Budget!$B:$B,SL_Budget!$C:$C,"'"&amp;TEXT(DATE(B108,A108,1),"YYYY-MM"))</f>
        <v>5205</v>
      </c>
      <c r="BQ108" s="32">
        <f>MAX(BP108, IFERROR(SUMIFS(ShadowLedger!D:D, 
  ShadowLedger!C:C, "&gt;="&amp;DATE(B108,A108,1), 
  ShadowLedger!C:C, "&lt;"&amp;EOMONTH(DATE(B108,A108,1),0)+1), 0))
</f>
        <v>5205</v>
      </c>
      <c r="BR108" s="32">
        <f t="shared" si="42"/>
        <v>1304640.518</v>
      </c>
      <c r="BS108" s="32">
        <f t="shared" si="43"/>
        <v>2705.8884</v>
      </c>
      <c r="BT108" s="32">
        <f>IF(BY107&gt;=Assumptions!$B$92,MAX(0,(AM108-BE108-BO108-BQ108)-Assumptions!$B$93),MAX(0,(AM108-BE108-BO108-BQ108)-Assumptions!$B$93)*Assumptions!$B$99)</f>
        <v>17569.6008</v>
      </c>
      <c r="BU108" s="32">
        <f>(BR108+BS108+MAX(0,BT108))*(Assumptions!$B$43-1)</f>
        <v>9033.27734</v>
      </c>
      <c r="BV108" s="32">
        <f t="shared" si="13"/>
        <v>1333949.285</v>
      </c>
      <c r="BW108" s="32">
        <f t="shared" si="44"/>
        <v>15476.04728</v>
      </c>
      <c r="BX108" s="32">
        <f>IF(BY107&lt;Assumptions!$B$92,MAX(0,(AM108-BE108-BO108-BQ108)-Assumptions!$B$93)*Assumptions!$B$98,0)</f>
        <v>0</v>
      </c>
      <c r="BY108" s="32">
        <f t="shared" si="14"/>
        <v>15476.04728</v>
      </c>
      <c r="BZ108" s="32">
        <f t="shared" si="45"/>
        <v>77082</v>
      </c>
      <c r="CA108" s="32">
        <f t="shared" si="15"/>
        <v>7974</v>
      </c>
      <c r="CB108" s="32">
        <f t="shared" si="16"/>
        <v>85056</v>
      </c>
      <c r="CC108" s="55">
        <f>CC107+(G108+J108)/(Salary_Schedule!E108*12/208)</f>
        <v>1814.621515</v>
      </c>
      <c r="CD108" s="55">
        <f>CD107+(O108+R108)/(Salary_Schedule!G108*12/208)</f>
        <v>145.2447215</v>
      </c>
      <c r="CE108" s="32">
        <f t="shared" si="17"/>
        <v>1333949.285</v>
      </c>
      <c r="CF108" s="32">
        <f>Assumptions!$B$55*(1+Assumptions!$B$56)^((B108-2025)+(A108-1)/12)</f>
        <v>601985.5858</v>
      </c>
      <c r="CG108" s="32">
        <f t="shared" si="18"/>
        <v>0</v>
      </c>
      <c r="CH108" s="32">
        <f t="shared" si="19"/>
        <v>-10500</v>
      </c>
      <c r="CI108" s="32">
        <f>CC108*(Salary_Schedule!E108/173.33)*(1-Assumptions!$B$28)+CD108*(Salary_Schedule!G108/173.33)*(1-Assumptions!$B$28)</f>
        <v>78505.9016</v>
      </c>
      <c r="CJ108" s="32">
        <f t="shared" si="20"/>
        <v>2003940.772</v>
      </c>
    </row>
    <row r="109" ht="15.0" customHeight="1">
      <c r="A109" s="1">
        <v>12.0</v>
      </c>
      <c r="B109" s="1">
        <v>2034.0</v>
      </c>
      <c r="C109" s="1" t="s">
        <v>778</v>
      </c>
      <c r="D109" s="1" t="str">
        <f t="shared" si="21"/>
        <v>11/2034</v>
      </c>
      <c r="E109" s="1" t="str">
        <f t="shared" si="2"/>
        <v>LEAN</v>
      </c>
      <c r="F109" s="32">
        <f>Salary_Schedule!E109</f>
        <v>10883.55</v>
      </c>
      <c r="G109" s="32">
        <f>Assumptions!$B$8</f>
        <v>200</v>
      </c>
      <c r="H109" s="32">
        <f>F109*Assumptions!$B$58</f>
        <v>1088.355</v>
      </c>
      <c r="I109" s="32">
        <f>Salary_Schedule!F109</f>
        <v>0</v>
      </c>
      <c r="J109" s="32">
        <f>I109*Assumptions!$B$9</f>
        <v>0</v>
      </c>
      <c r="K109" s="54">
        <f t="shared" si="3"/>
        <v>9595.195</v>
      </c>
      <c r="L109" s="32">
        <f>IF(COUNTIFS(SL_Income_Log!$B:$B,TEXT(B109,"0000")&amp;"-"&amp;TEXT(A109,"00"),SL_Income_Log!$C:$C,"salary",SL_Income_Log!$E:$E,"H")&gt;0,SUMIFS(SL_Income_Log!$D:$D,SL_Income_Log!$B:$B,TEXT(B109,"0000")&amp;"-"&amp;TEXT(A109,"00"),SL_Income_Log!$C:$C,"salary",SL_Income_Log!$E:$E,"H"),K109*(1-Assumptions!$B$102)-Z109-Y109)</f>
        <v>5757.117</v>
      </c>
      <c r="M109" s="32">
        <f>RSU_Schedule!H108</f>
        <v>0</v>
      </c>
      <c r="N109" s="32">
        <f>Salary_Schedule!G109</f>
        <v>8158.51</v>
      </c>
      <c r="O109" s="32">
        <f>Assumptions!$B$19</f>
        <v>200</v>
      </c>
      <c r="P109" s="32">
        <f>N109*Assumptions!$B$59</f>
        <v>815.851</v>
      </c>
      <c r="Q109" s="32">
        <f>Salary_Schedule!H109</f>
        <v>0</v>
      </c>
      <c r="R109" s="32">
        <f>Q109*Assumptions!$B$20</f>
        <v>0</v>
      </c>
      <c r="S109" s="54">
        <f t="shared" si="4"/>
        <v>7142.659</v>
      </c>
      <c r="T109" s="32">
        <f>IF(COUNTIFS(SL_Income_Log!$B:$B,TEXT(B109,"0000")&amp;"-"&amp;TEXT(A109,"00"),SL_Income_Log!$C:$C,"salary",SL_Income_Log!$E:$E,"W")&gt;0,SUMIFS(SL_Income_Log!$D:$D,SL_Income_Log!$B:$B,TEXT(B109,"0000")&amp;"-"&amp;TEXT(A109,"00"),SL_Income_Log!$C:$C,"salary",SL_Income_Log!$E:$E,"W"),S109*(1-Assumptions!$B$102)-AC109-AB109)
</f>
        <v>4285.5954</v>
      </c>
      <c r="U109" s="32">
        <f>RSU_Schedule!M108</f>
        <v>0</v>
      </c>
      <c r="V109" s="32">
        <f>H109*(1+Assumptions!$B$60)+Assumptions!$B$61</f>
        <v>1543.697</v>
      </c>
      <c r="W109" s="32">
        <f>P109*(1+Assumptions!$B$60)+Assumptions!$B$61</f>
        <v>1162.1914</v>
      </c>
      <c r="X109" s="32">
        <f t="shared" si="5"/>
        <v>2705.8884</v>
      </c>
      <c r="Y109" s="32">
        <v>0.0</v>
      </c>
      <c r="Z109" s="32">
        <v>0.0</v>
      </c>
      <c r="AA109" s="32">
        <v>0.0</v>
      </c>
      <c r="AB109" s="32">
        <v>0.0</v>
      </c>
      <c r="AC109" s="32">
        <v>0.0</v>
      </c>
      <c r="AD109" s="32">
        <v>0.0</v>
      </c>
      <c r="AE109" s="32">
        <f t="shared" ref="AE109:AF109" si="150">Z109+AC109</f>
        <v>0</v>
      </c>
      <c r="AF109" s="32">
        <f t="shared" si="150"/>
        <v>0</v>
      </c>
      <c r="AG109" s="32">
        <f>IF(COUNTIFS(SL_Income_Log!$B:$B,TEXT(B109,"0000")&amp;"-"&amp;TEXT(A109,"00"),SL_Income_Log!$C:$C,"youtube")&gt;0,SUMIFS(SL_Income_Log!$D:$D,SL_Income_Log!$B:$B,TEXT(B109,"0000")&amp;"-"&amp;TEXT(A109,"00"),SL_Income_Log!$C:$C,"youtube"),MIN(Assumptions!$B$49+FLOOR((ROW()-2)/6,1)*Assumptions!$B$50,Assumptions!$B$51))
</f>
        <v>18000</v>
      </c>
      <c r="AH109" s="32">
        <f>AG109*Assumptions!$B$104</f>
        <v>7974</v>
      </c>
      <c r="AI109" s="32">
        <f t="shared" si="7"/>
        <v>10026</v>
      </c>
      <c r="AJ109" s="32">
        <f>SUMIFS(SL_Income_Log!$D:$D,SL_Income_Log!$B:$B,TEXT(B109,"0000")&amp;"-"&amp;TEXT(A109,"00"),SL_Income_Log!$C:$C,"other")</f>
        <v>0</v>
      </c>
      <c r="AK109" s="32">
        <f t="shared" si="27"/>
        <v>10000</v>
      </c>
      <c r="AL109" s="32">
        <f>L109+M109+T109+U109+AI109+AJ109-Y109-Z109-AB109-AC109+IF((Debt_Register!$C$2+Debt_Register!$C$6+Debt_Register!$C$7+Debt_Register!$C$8+Debt_Register!$C$9)&gt;5,X109,0)</f>
        <v>22774.6008</v>
      </c>
      <c r="AM109" s="32">
        <f t="shared" si="8"/>
        <v>32774.6008</v>
      </c>
      <c r="AN109" s="32">
        <f>MAX(Assumptions!$B$94,MIN(Assumptions!$B$93,AM109-AP109-BE109-BO109-BQ109))</f>
        <v>10000</v>
      </c>
      <c r="AO109" s="32">
        <v>0.0</v>
      </c>
      <c r="AP109" s="32">
        <v>0.0</v>
      </c>
      <c r="AQ109" s="32">
        <v>0.0</v>
      </c>
      <c r="AR109" s="32">
        <v>0.0</v>
      </c>
      <c r="AS109" s="32">
        <v>0.0</v>
      </c>
      <c r="AT109" s="32">
        <v>0.0</v>
      </c>
      <c r="AU109" s="32">
        <f t="shared" si="30"/>
        <v>0</v>
      </c>
      <c r="AV109" s="32">
        <f t="shared" si="31"/>
        <v>0</v>
      </c>
      <c r="AW109" s="32">
        <f t="shared" si="32"/>
        <v>0</v>
      </c>
      <c r="AX109" s="32">
        <f t="shared" si="33"/>
        <v>0</v>
      </c>
      <c r="AY109" s="32">
        <f t="shared" si="34"/>
        <v>0</v>
      </c>
      <c r="AZ109" s="32">
        <f t="shared" si="35"/>
        <v>0</v>
      </c>
      <c r="BA109" s="32">
        <f t="shared" si="36"/>
        <v>0</v>
      </c>
      <c r="BB109" s="32">
        <f t="shared" si="37"/>
        <v>0</v>
      </c>
      <c r="BC109" s="32">
        <f t="shared" si="38"/>
        <v>0</v>
      </c>
      <c r="BD109" s="32">
        <f t="shared" si="39"/>
        <v>0</v>
      </c>
      <c r="BE109" s="32">
        <f t="shared" si="11"/>
        <v>0</v>
      </c>
      <c r="BF109" s="32">
        <v>0.0</v>
      </c>
      <c r="BG109" s="32">
        <f t="shared" si="40"/>
        <v>5500</v>
      </c>
      <c r="BH109" s="32">
        <v>0.0</v>
      </c>
      <c r="BI109" s="32">
        <f t="shared" si="41"/>
        <v>5000</v>
      </c>
      <c r="BJ109" s="32">
        <f>IF(OR(B109&lt;Assumptions!$B$111,AND(B109=Assumptions!$B$111,A109&lt;=Assumptions!$B$112)),Assumptions!$B$110,0)</f>
        <v>0</v>
      </c>
      <c r="BK109" s="32">
        <f>IF(B109&lt;2027,Assumptions!$B$116+IF(OR(A109=4,A109=10),Assumptions!$B$117,0),IF(AND(B109=2027,A109&lt;=4),IF(A109=4,MIN(950,Assumptions!$B$116+Assumptions!$B$117),Assumptions!$B$116),0))</f>
        <v>0</v>
      </c>
      <c r="BL109" s="32">
        <f>IF(OR(B109&lt;2030,AND(B109=2030,A109&lt;8)),Assumptions!$B$118,IF(AND(B109=2030,A109=8),MOD(11000,200),0))</f>
        <v>0</v>
      </c>
      <c r="BM109" s="32">
        <f>IF(OR(B109&lt;Assumptions!$B$120,AND(B109=Assumptions!$B$120,A109&lt;=Assumptions!$B$121)),Assumptions!$B$119,0)</f>
        <v>0</v>
      </c>
      <c r="BN109" s="32">
        <f>IF(AND(B109&lt;=Assumptions!$B$123,A109&lt;=Assumptions!$B$124),Assumptions!$B$122,0)</f>
        <v>0</v>
      </c>
      <c r="BO109" s="32">
        <f t="shared" si="12"/>
        <v>0</v>
      </c>
      <c r="BP109" s="32">
        <f>SUMIFS(SL_Budget!$B:$B,SL_Budget!$C:$C,"'"&amp;TEXT(DATE(B109,A109,1),"YYYY-MM"))</f>
        <v>5205</v>
      </c>
      <c r="BQ109" s="32">
        <f>MAX(BP109, IFERROR(SUMIFS(ShadowLedger!D:D, 
  ShadowLedger!C:C, "&gt;="&amp;DATE(B109,A109,1), 
  ShadowLedger!C:C, "&lt;"&amp;EOMONTH(DATE(B109,A109,1),0)+1), 0))
</f>
        <v>5205</v>
      </c>
      <c r="BR109" s="32">
        <f t="shared" si="42"/>
        <v>1333949.285</v>
      </c>
      <c r="BS109" s="32">
        <f t="shared" si="43"/>
        <v>2705.8884</v>
      </c>
      <c r="BT109" s="32">
        <f>IF(BY108&gt;=Assumptions!$B$92,MAX(0,(AM109-BE109-BO109-BQ109)-Assumptions!$B$93),MAX(0,(AM109-BE109-BO109-BQ109)-Assumptions!$B$93)*Assumptions!$B$99)</f>
        <v>17569.6008</v>
      </c>
      <c r="BU109" s="32">
        <f>(BR109+BS109+MAX(0,BT109))*(Assumptions!$B$43-1)</f>
        <v>9233.104511</v>
      </c>
      <c r="BV109" s="32">
        <f t="shared" si="13"/>
        <v>1363457.879</v>
      </c>
      <c r="BW109" s="32">
        <f t="shared" si="44"/>
        <v>15476.04728</v>
      </c>
      <c r="BX109" s="32">
        <f>IF(BY108&lt;Assumptions!$B$92,MAX(0,(AM109-BE109-BO109-BQ109)-Assumptions!$B$93)*Assumptions!$B$98,0)</f>
        <v>0</v>
      </c>
      <c r="BY109" s="32">
        <f t="shared" si="14"/>
        <v>15476.04728</v>
      </c>
      <c r="BZ109" s="32">
        <f t="shared" si="45"/>
        <v>85056</v>
      </c>
      <c r="CA109" s="32">
        <f t="shared" si="15"/>
        <v>7974</v>
      </c>
      <c r="CB109" s="32">
        <f t="shared" si="16"/>
        <v>93030</v>
      </c>
      <c r="CC109" s="55">
        <f>CC108+(G109+J109)/(Salary_Schedule!E109*12/208)</f>
        <v>1814.940038</v>
      </c>
      <c r="CD109" s="55">
        <f>CD108+(O109+R109)/(Salary_Schedule!G109*12/208)</f>
        <v>145.6696357</v>
      </c>
      <c r="CE109" s="32">
        <f t="shared" si="17"/>
        <v>1363457.879</v>
      </c>
      <c r="CF109" s="32">
        <f>Assumptions!$B$55*(1+Assumptions!$B$56)^((B109-2025)+(A109-1)/12)</f>
        <v>602732.9435</v>
      </c>
      <c r="CG109" s="32">
        <f t="shared" si="18"/>
        <v>0</v>
      </c>
      <c r="CH109" s="32">
        <f t="shared" si="19"/>
        <v>-10500</v>
      </c>
      <c r="CI109" s="32">
        <f>CC109*(Salary_Schedule!E109/173.33)*(1-Assumptions!$B$28)+CD109*(Salary_Schedule!G109/173.33)*(1-Assumptions!$B$28)</f>
        <v>78531.9021</v>
      </c>
      <c r="CJ109" s="32">
        <f t="shared" si="20"/>
        <v>2034222.724</v>
      </c>
    </row>
    <row r="110" ht="15.0" customHeight="1">
      <c r="A110" s="1">
        <v>1.0</v>
      </c>
      <c r="B110" s="1">
        <v>2035.0</v>
      </c>
      <c r="C110" s="1" t="s">
        <v>779</v>
      </c>
      <c r="D110" s="1" t="str">
        <f t="shared" si="21"/>
        <v>12/2034</v>
      </c>
      <c r="E110" s="1" t="str">
        <f t="shared" si="2"/>
        <v>FAT_RSU</v>
      </c>
      <c r="F110" s="32">
        <f>Salary_Schedule!E110</f>
        <v>11427.73</v>
      </c>
      <c r="G110" s="32">
        <f>Assumptions!$B$8</f>
        <v>200</v>
      </c>
      <c r="H110" s="32">
        <f>F110*Assumptions!$B$58</f>
        <v>1142.773</v>
      </c>
      <c r="I110" s="32">
        <f>Salary_Schedule!F110</f>
        <v>0</v>
      </c>
      <c r="J110" s="32">
        <f>I110*Assumptions!$B$9</f>
        <v>0</v>
      </c>
      <c r="K110" s="54">
        <f t="shared" si="3"/>
        <v>10084.957</v>
      </c>
      <c r="L110" s="32">
        <f>IF(COUNTIFS(SL_Income_Log!$B:$B,TEXT(B110,"0000")&amp;"-"&amp;TEXT(A110,"00"),SL_Income_Log!$C:$C,"salary",SL_Income_Log!$E:$E,"H")&gt;0,SUMIFS(SL_Income_Log!$D:$D,SL_Income_Log!$B:$B,TEXT(B110,"0000")&amp;"-"&amp;TEXT(A110,"00"),SL_Income_Log!$C:$C,"salary",SL_Income_Log!$E:$E,"H"),K110*(1-Assumptions!$B$102)-Z110-Y110)</f>
        <v>6050.9742</v>
      </c>
      <c r="M110" s="32">
        <f>RSU_Schedule!H109</f>
        <v>2784.99</v>
      </c>
      <c r="N110" s="32">
        <f>Salary_Schedule!G110</f>
        <v>8444.06</v>
      </c>
      <c r="O110" s="32">
        <f>Assumptions!$B$19</f>
        <v>200</v>
      </c>
      <c r="P110" s="32">
        <f>N110*Assumptions!$B$59</f>
        <v>844.406</v>
      </c>
      <c r="Q110" s="32">
        <f>Salary_Schedule!H110</f>
        <v>0</v>
      </c>
      <c r="R110" s="32">
        <f>Q110*Assumptions!$B$20</f>
        <v>0</v>
      </c>
      <c r="S110" s="54">
        <f t="shared" si="4"/>
        <v>7399.654</v>
      </c>
      <c r="T110" s="32">
        <f>IF(COUNTIFS(SL_Income_Log!$B:$B,TEXT(B110,"0000")&amp;"-"&amp;TEXT(A110,"00"),SL_Income_Log!$C:$C,"salary",SL_Income_Log!$E:$E,"W")&gt;0,SUMIFS(SL_Income_Log!$D:$D,SL_Income_Log!$B:$B,TEXT(B110,"0000")&amp;"-"&amp;TEXT(A110,"00"),SL_Income_Log!$C:$C,"salary",SL_Income_Log!$E:$E,"W"),S110*(1-Assumptions!$B$102)-AC110-AB110)
</f>
        <v>4439.7924</v>
      </c>
      <c r="U110" s="32">
        <f>RSU_Schedule!M109</f>
        <v>1392.51</v>
      </c>
      <c r="V110" s="32">
        <f>H110*(1+Assumptions!$B$60)+Assumptions!$B$61</f>
        <v>1619.8822</v>
      </c>
      <c r="W110" s="32">
        <f>P110*(1+Assumptions!$B$60)+Assumptions!$B$61</f>
        <v>1202.1684</v>
      </c>
      <c r="X110" s="32">
        <f t="shared" si="5"/>
        <v>2822.0506</v>
      </c>
      <c r="Y110" s="32">
        <v>0.0</v>
      </c>
      <c r="Z110" s="32">
        <v>0.0</v>
      </c>
      <c r="AA110" s="32">
        <v>0.0</v>
      </c>
      <c r="AB110" s="32">
        <v>0.0</v>
      </c>
      <c r="AC110" s="32">
        <v>0.0</v>
      </c>
      <c r="AD110" s="32">
        <v>0.0</v>
      </c>
      <c r="AE110" s="32">
        <f t="shared" ref="AE110:AF110" si="151">Z110+AC110</f>
        <v>0</v>
      </c>
      <c r="AF110" s="32">
        <f t="shared" si="151"/>
        <v>0</v>
      </c>
      <c r="AG110" s="32">
        <f>IF(COUNTIFS(SL_Income_Log!$B:$B,TEXT(B110,"0000")&amp;"-"&amp;TEXT(A110,"00"),SL_Income_Log!$C:$C,"youtube")&gt;0,SUMIFS(SL_Income_Log!$D:$D,SL_Income_Log!$B:$B,TEXT(B110,"0000")&amp;"-"&amp;TEXT(A110,"00"),SL_Income_Log!$C:$C,"youtube"),MIN(Assumptions!$B$49+FLOOR((ROW()-2)/6,1)*Assumptions!$B$50,Assumptions!$B$51))
</f>
        <v>19000</v>
      </c>
      <c r="AH110" s="32">
        <f>AG110*Assumptions!$B$104</f>
        <v>8417</v>
      </c>
      <c r="AI110" s="32">
        <f t="shared" si="7"/>
        <v>10583</v>
      </c>
      <c r="AJ110" s="32">
        <f>SUMIFS(SL_Income_Log!$D:$D,SL_Income_Log!$B:$B,TEXT(B110,"0000")&amp;"-"&amp;TEXT(A110,"00"),SL_Income_Log!$C:$C,"other")</f>
        <v>0</v>
      </c>
      <c r="AK110" s="32">
        <f t="shared" si="27"/>
        <v>10000</v>
      </c>
      <c r="AL110" s="32">
        <f>L110+M110+T110+U110+AI110+AJ110-Y110-Z110-AB110-AC110+IF((Debt_Register!$C$2+Debt_Register!$C$6+Debt_Register!$C$7+Debt_Register!$C$8+Debt_Register!$C$9)&gt;5,X110,0)</f>
        <v>28073.3172</v>
      </c>
      <c r="AM110" s="32">
        <f t="shared" si="8"/>
        <v>38073.3172</v>
      </c>
      <c r="AN110" s="32">
        <f>MAX(Assumptions!$B$94,MIN(Assumptions!$B$93,AM110-AP110-BE110-BO110-BQ110))</f>
        <v>10000</v>
      </c>
      <c r="AO110" s="32">
        <v>0.0</v>
      </c>
      <c r="AP110" s="32">
        <v>0.0</v>
      </c>
      <c r="AQ110" s="32">
        <v>0.0</v>
      </c>
      <c r="AR110" s="32">
        <v>0.0</v>
      </c>
      <c r="AS110" s="32">
        <v>0.0</v>
      </c>
      <c r="AT110" s="32">
        <v>0.0</v>
      </c>
      <c r="AU110" s="32">
        <f t="shared" si="30"/>
        <v>0</v>
      </c>
      <c r="AV110" s="32">
        <f t="shared" si="31"/>
        <v>0</v>
      </c>
      <c r="AW110" s="32">
        <f t="shared" si="32"/>
        <v>0</v>
      </c>
      <c r="AX110" s="32">
        <f t="shared" si="33"/>
        <v>0</v>
      </c>
      <c r="AY110" s="32">
        <f t="shared" si="34"/>
        <v>0</v>
      </c>
      <c r="AZ110" s="32">
        <f t="shared" si="35"/>
        <v>0</v>
      </c>
      <c r="BA110" s="32">
        <f t="shared" si="36"/>
        <v>0</v>
      </c>
      <c r="BB110" s="32">
        <f t="shared" si="37"/>
        <v>0</v>
      </c>
      <c r="BC110" s="32">
        <f t="shared" si="38"/>
        <v>0</v>
      </c>
      <c r="BD110" s="32">
        <f t="shared" si="39"/>
        <v>0</v>
      </c>
      <c r="BE110" s="32">
        <f t="shared" si="11"/>
        <v>0</v>
      </c>
      <c r="BF110" s="32">
        <v>0.0</v>
      </c>
      <c r="BG110" s="32">
        <f t="shared" si="40"/>
        <v>5500</v>
      </c>
      <c r="BH110" s="32">
        <v>0.0</v>
      </c>
      <c r="BI110" s="32">
        <f t="shared" si="41"/>
        <v>5000</v>
      </c>
      <c r="BJ110" s="32">
        <f>IF(OR(B110&lt;Assumptions!$B$111,AND(B110=Assumptions!$B$111,A110&lt;=Assumptions!$B$112)),Assumptions!$B$110,0)</f>
        <v>0</v>
      </c>
      <c r="BK110" s="32">
        <f>IF(B110&lt;2027,Assumptions!$B$116+IF(OR(A110=4,A110=10),Assumptions!$B$117,0),IF(AND(B110=2027,A110&lt;=4),IF(A110=4,MIN(950,Assumptions!$B$116+Assumptions!$B$117),Assumptions!$B$116),0))</f>
        <v>0</v>
      </c>
      <c r="BL110" s="32">
        <f>IF(OR(B110&lt;2030,AND(B110=2030,A110&lt;8)),Assumptions!$B$118,IF(AND(B110=2030,A110=8),MOD(11000,200),0))</f>
        <v>0</v>
      </c>
      <c r="BM110" s="32">
        <f>IF(OR(B110&lt;Assumptions!$B$120,AND(B110=Assumptions!$B$120,A110&lt;=Assumptions!$B$121)),Assumptions!$B$119,0)</f>
        <v>0</v>
      </c>
      <c r="BN110" s="32">
        <f>IF(AND(B110&lt;=Assumptions!$B$123,A110&lt;=Assumptions!$B$124),Assumptions!$B$122,0)</f>
        <v>0</v>
      </c>
      <c r="BO110" s="32">
        <f t="shared" si="12"/>
        <v>0</v>
      </c>
      <c r="BP110" s="32">
        <f>SUMIFS(SL_Budget!$B:$B,SL_Budget!$C:$C,"'"&amp;TEXT(DATE(B110,A110,1),"YYYY-MM"))</f>
        <v>5360</v>
      </c>
      <c r="BQ110" s="32">
        <f>MAX(BP110, IFERROR(SUMIFS(ShadowLedger!D:D, 
  ShadowLedger!C:C, "&gt;="&amp;DATE(B110,A110,1), 
  ShadowLedger!C:C, "&lt;"&amp;EOMONTH(DATE(B110,A110,1),0)+1), 0))
</f>
        <v>5360</v>
      </c>
      <c r="BR110" s="32">
        <f t="shared" si="42"/>
        <v>1363457.879</v>
      </c>
      <c r="BS110" s="32">
        <f t="shared" si="43"/>
        <v>2822.0506</v>
      </c>
      <c r="BT110" s="32">
        <f>IF(BY109&gt;=Assumptions!$B$92,MAX(0,(AM110-BE110-BO110-BQ110)-Assumptions!$B$93),MAX(0,(AM110-BE110-BO110-BQ110)-Assumptions!$B$93)*Assumptions!$B$99)</f>
        <v>22713.3172</v>
      </c>
      <c r="BU110" s="32">
        <f>(BR110+BS110+MAX(0,BT110))*(Assumptions!$B$43-1)</f>
        <v>9470.155955</v>
      </c>
      <c r="BV110" s="32">
        <f t="shared" si="13"/>
        <v>1398463.403</v>
      </c>
      <c r="BW110" s="32">
        <f t="shared" si="44"/>
        <v>15476.04728</v>
      </c>
      <c r="BX110" s="32">
        <f>IF(BY109&lt;Assumptions!$B$92,MAX(0,(AM110-BE110-BO110-BQ110)-Assumptions!$B$93)*Assumptions!$B$98,0)</f>
        <v>0</v>
      </c>
      <c r="BY110" s="32">
        <f t="shared" si="14"/>
        <v>15476.04728</v>
      </c>
      <c r="BZ110" s="32">
        <f t="shared" si="45"/>
        <v>0</v>
      </c>
      <c r="CA110" s="32">
        <f t="shared" si="15"/>
        <v>8417</v>
      </c>
      <c r="CB110" s="32">
        <f t="shared" si="16"/>
        <v>8417</v>
      </c>
      <c r="CC110" s="55">
        <f>CC109+(G110+J110)/(Salary_Schedule!E110*12/208)</f>
        <v>1815.243394</v>
      </c>
      <c r="CD110" s="55">
        <f>CD109+(O110+R110)/(Salary_Schedule!G110*12/208)</f>
        <v>146.0801807</v>
      </c>
      <c r="CE110" s="32">
        <f t="shared" si="17"/>
        <v>1398463.403</v>
      </c>
      <c r="CF110" s="32">
        <f>Assumptions!$B$55*(1+Assumptions!$B$56)^((B110-2025)+(A110-1)/12)</f>
        <v>603481.229</v>
      </c>
      <c r="CG110" s="32">
        <f t="shared" si="18"/>
        <v>0</v>
      </c>
      <c r="CH110" s="32">
        <f t="shared" si="19"/>
        <v>-10500</v>
      </c>
      <c r="CI110" s="32">
        <f>CC110*(Salary_Schedule!E110/173.33)*(1-Assumptions!$B$28)+CD110*(Salary_Schedule!G110/173.33)*(1-Assumptions!$B$28)</f>
        <v>82417.66446</v>
      </c>
      <c r="CJ110" s="32">
        <f t="shared" si="20"/>
        <v>2073862.296</v>
      </c>
    </row>
    <row r="111" ht="15.0" customHeight="1">
      <c r="A111" s="1">
        <v>2.0</v>
      </c>
      <c r="B111" s="1">
        <v>2035.0</v>
      </c>
      <c r="C111" s="1" t="s">
        <v>780</v>
      </c>
      <c r="D111" s="1" t="str">
        <f t="shared" si="21"/>
        <v>01/2035</v>
      </c>
      <c r="E111" s="1" t="str">
        <f t="shared" si="2"/>
        <v>LEAN</v>
      </c>
      <c r="F111" s="32">
        <f>Salary_Schedule!E111</f>
        <v>11427.73</v>
      </c>
      <c r="G111" s="32">
        <f>Assumptions!$B$8</f>
        <v>200</v>
      </c>
      <c r="H111" s="32">
        <f>F111*Assumptions!$B$58</f>
        <v>1142.773</v>
      </c>
      <c r="I111" s="32">
        <f>Salary_Schedule!F111</f>
        <v>0</v>
      </c>
      <c r="J111" s="32">
        <f>I111*Assumptions!$B$9</f>
        <v>0</v>
      </c>
      <c r="K111" s="54">
        <f t="shared" si="3"/>
        <v>10084.957</v>
      </c>
      <c r="L111" s="32">
        <f>IF(COUNTIFS(SL_Income_Log!$B:$B,TEXT(B111,"0000")&amp;"-"&amp;TEXT(A111,"00"),SL_Income_Log!$C:$C,"salary",SL_Income_Log!$E:$E,"H")&gt;0,SUMIFS(SL_Income_Log!$D:$D,SL_Income_Log!$B:$B,TEXT(B111,"0000")&amp;"-"&amp;TEXT(A111,"00"),SL_Income_Log!$C:$C,"salary",SL_Income_Log!$E:$E,"H"),K111*(1-Assumptions!$B$102)-Z111-Y111)</f>
        <v>6050.9742</v>
      </c>
      <c r="M111" s="32">
        <f>RSU_Schedule!H110</f>
        <v>0</v>
      </c>
      <c r="N111" s="32">
        <f>Salary_Schedule!G111</f>
        <v>8444.06</v>
      </c>
      <c r="O111" s="32">
        <f>Assumptions!$B$19</f>
        <v>200</v>
      </c>
      <c r="P111" s="32">
        <f>N111*Assumptions!$B$59</f>
        <v>844.406</v>
      </c>
      <c r="Q111" s="32">
        <f>Salary_Schedule!H111</f>
        <v>0</v>
      </c>
      <c r="R111" s="32">
        <f>Q111*Assumptions!$B$20</f>
        <v>0</v>
      </c>
      <c r="S111" s="54">
        <f t="shared" si="4"/>
        <v>7399.654</v>
      </c>
      <c r="T111" s="32">
        <f>IF(COUNTIFS(SL_Income_Log!$B:$B,TEXT(B111,"0000")&amp;"-"&amp;TEXT(A111,"00"),SL_Income_Log!$C:$C,"salary",SL_Income_Log!$E:$E,"W")&gt;0,SUMIFS(SL_Income_Log!$D:$D,SL_Income_Log!$B:$B,TEXT(B111,"0000")&amp;"-"&amp;TEXT(A111,"00"),SL_Income_Log!$C:$C,"salary",SL_Income_Log!$E:$E,"W"),S111*(1-Assumptions!$B$102)-AC111-AB111)
</f>
        <v>4439.7924</v>
      </c>
      <c r="U111" s="32">
        <f>RSU_Schedule!M110</f>
        <v>0</v>
      </c>
      <c r="V111" s="32">
        <f>H111*(1+Assumptions!$B$60)+Assumptions!$B$61</f>
        <v>1619.8822</v>
      </c>
      <c r="W111" s="32">
        <f>P111*(1+Assumptions!$B$60)+Assumptions!$B$61</f>
        <v>1202.1684</v>
      </c>
      <c r="X111" s="32">
        <f t="shared" si="5"/>
        <v>2822.0506</v>
      </c>
      <c r="Y111" s="32">
        <v>0.0</v>
      </c>
      <c r="Z111" s="32">
        <v>0.0</v>
      </c>
      <c r="AA111" s="32">
        <v>0.0</v>
      </c>
      <c r="AB111" s="32">
        <v>0.0</v>
      </c>
      <c r="AC111" s="32">
        <v>0.0</v>
      </c>
      <c r="AD111" s="32">
        <v>0.0</v>
      </c>
      <c r="AE111" s="32">
        <f t="shared" ref="AE111:AF111" si="152">Z111+AC111</f>
        <v>0</v>
      </c>
      <c r="AF111" s="32">
        <f t="shared" si="152"/>
        <v>0</v>
      </c>
      <c r="AG111" s="32">
        <f>IF(COUNTIFS(SL_Income_Log!$B:$B,TEXT(B111,"0000")&amp;"-"&amp;TEXT(A111,"00"),SL_Income_Log!$C:$C,"youtube")&gt;0,SUMIFS(SL_Income_Log!$D:$D,SL_Income_Log!$B:$B,TEXT(B111,"0000")&amp;"-"&amp;TEXT(A111,"00"),SL_Income_Log!$C:$C,"youtube"),MIN(Assumptions!$B$49+FLOOR((ROW()-2)/6,1)*Assumptions!$B$50,Assumptions!$B$51))
</f>
        <v>19000</v>
      </c>
      <c r="AH111" s="32">
        <f>AG111*Assumptions!$B$104</f>
        <v>8417</v>
      </c>
      <c r="AI111" s="32">
        <f t="shared" si="7"/>
        <v>10583</v>
      </c>
      <c r="AJ111" s="32">
        <f>SUMIFS(SL_Income_Log!$D:$D,SL_Income_Log!$B:$B,TEXT(B111,"0000")&amp;"-"&amp;TEXT(A111,"00"),SL_Income_Log!$C:$C,"other")</f>
        <v>0</v>
      </c>
      <c r="AK111" s="32">
        <f t="shared" si="27"/>
        <v>10000</v>
      </c>
      <c r="AL111" s="32">
        <f>L111+M111+T111+U111+AI111+AJ111-Y111-Z111-AB111-AC111+IF((Debt_Register!$C$2+Debt_Register!$C$6+Debt_Register!$C$7+Debt_Register!$C$8+Debt_Register!$C$9)&gt;5,X111,0)</f>
        <v>23895.8172</v>
      </c>
      <c r="AM111" s="32">
        <f t="shared" si="8"/>
        <v>33895.8172</v>
      </c>
      <c r="AN111" s="32">
        <f>MAX(Assumptions!$B$94,MIN(Assumptions!$B$93,AM111-AP111-BE111-BO111-BQ111))</f>
        <v>10000</v>
      </c>
      <c r="AO111" s="32">
        <v>0.0</v>
      </c>
      <c r="AP111" s="32">
        <v>0.0</v>
      </c>
      <c r="AQ111" s="32">
        <v>0.0</v>
      </c>
      <c r="AR111" s="32">
        <v>0.0</v>
      </c>
      <c r="AS111" s="32">
        <v>0.0</v>
      </c>
      <c r="AT111" s="32">
        <v>0.0</v>
      </c>
      <c r="AU111" s="32">
        <f t="shared" si="30"/>
        <v>0</v>
      </c>
      <c r="AV111" s="32">
        <f t="shared" si="31"/>
        <v>0</v>
      </c>
      <c r="AW111" s="32">
        <f t="shared" si="32"/>
        <v>0</v>
      </c>
      <c r="AX111" s="32">
        <f t="shared" si="33"/>
        <v>0</v>
      </c>
      <c r="AY111" s="32">
        <f t="shared" si="34"/>
        <v>0</v>
      </c>
      <c r="AZ111" s="32">
        <f t="shared" si="35"/>
        <v>0</v>
      </c>
      <c r="BA111" s="32">
        <f t="shared" si="36"/>
        <v>0</v>
      </c>
      <c r="BB111" s="32">
        <f t="shared" si="37"/>
        <v>0</v>
      </c>
      <c r="BC111" s="32">
        <f t="shared" si="38"/>
        <v>0</v>
      </c>
      <c r="BD111" s="32">
        <f t="shared" si="39"/>
        <v>0</v>
      </c>
      <c r="BE111" s="32">
        <f t="shared" si="11"/>
        <v>0</v>
      </c>
      <c r="BF111" s="32">
        <v>0.0</v>
      </c>
      <c r="BG111" s="32">
        <f t="shared" si="40"/>
        <v>5500</v>
      </c>
      <c r="BH111" s="32">
        <v>0.0</v>
      </c>
      <c r="BI111" s="32">
        <f t="shared" si="41"/>
        <v>5000</v>
      </c>
      <c r="BJ111" s="32">
        <f>IF(OR(B111&lt;Assumptions!$B$111,AND(B111=Assumptions!$B$111,A111&lt;=Assumptions!$B$112)),Assumptions!$B$110,0)</f>
        <v>0</v>
      </c>
      <c r="BK111" s="32">
        <f>IF(B111&lt;2027,Assumptions!$B$116+IF(OR(A111=4,A111=10),Assumptions!$B$117,0),IF(AND(B111=2027,A111&lt;=4),IF(A111=4,MIN(950,Assumptions!$B$116+Assumptions!$B$117),Assumptions!$B$116),0))</f>
        <v>0</v>
      </c>
      <c r="BL111" s="32">
        <f>IF(OR(B111&lt;2030,AND(B111=2030,A111&lt;8)),Assumptions!$B$118,IF(AND(B111=2030,A111=8),MOD(11000,200),0))</f>
        <v>0</v>
      </c>
      <c r="BM111" s="32">
        <f>IF(OR(B111&lt;Assumptions!$B$120,AND(B111=Assumptions!$B$120,A111&lt;=Assumptions!$B$121)),Assumptions!$B$119,0)</f>
        <v>0</v>
      </c>
      <c r="BN111" s="32">
        <f>IF(AND(B111&lt;=Assumptions!$B$123,A111&lt;=Assumptions!$B$124),Assumptions!$B$122,0)</f>
        <v>0</v>
      </c>
      <c r="BO111" s="32">
        <f t="shared" si="12"/>
        <v>0</v>
      </c>
      <c r="BP111" s="32">
        <f>SUMIFS(SL_Budget!$B:$B,SL_Budget!$C:$C,"'"&amp;TEXT(DATE(B111,A111,1),"YYYY-MM"))</f>
        <v>5360</v>
      </c>
      <c r="BQ111" s="32">
        <f>MAX(BP111, IFERROR(SUMIFS(ShadowLedger!D:D, 
  ShadowLedger!C:C, "&gt;="&amp;DATE(B111,A111,1), 
  ShadowLedger!C:C, "&lt;"&amp;EOMONTH(DATE(B111,A111,1),0)+1), 0))
</f>
        <v>5360</v>
      </c>
      <c r="BR111" s="32">
        <f t="shared" si="42"/>
        <v>1398463.403</v>
      </c>
      <c r="BS111" s="32">
        <f t="shared" si="43"/>
        <v>2822.0506</v>
      </c>
      <c r="BT111" s="32">
        <f>IF(BY110&gt;=Assumptions!$B$92,MAX(0,(AM111-BE111-BO111-BQ111)-Assumptions!$B$93),MAX(0,(AM111-BE111-BO111-BQ111)-Assumptions!$B$93)*Assumptions!$B$99)</f>
        <v>18535.8172</v>
      </c>
      <c r="BU111" s="32">
        <f>(BR111+BS111+MAX(0,BT111))*(Assumptions!$B$43-1)</f>
        <v>9680.341421</v>
      </c>
      <c r="BV111" s="32">
        <f t="shared" si="13"/>
        <v>1429501.612</v>
      </c>
      <c r="BW111" s="32">
        <f t="shared" si="44"/>
        <v>15476.04728</v>
      </c>
      <c r="BX111" s="32">
        <f>IF(BY110&lt;Assumptions!$B$92,MAX(0,(AM111-BE111-BO111-BQ111)-Assumptions!$B$93)*Assumptions!$B$98,0)</f>
        <v>0</v>
      </c>
      <c r="BY111" s="32">
        <f t="shared" si="14"/>
        <v>15476.04728</v>
      </c>
      <c r="BZ111" s="32">
        <f t="shared" si="45"/>
        <v>8417</v>
      </c>
      <c r="CA111" s="32">
        <f t="shared" si="15"/>
        <v>8417</v>
      </c>
      <c r="CB111" s="32">
        <f t="shared" si="16"/>
        <v>16834</v>
      </c>
      <c r="CC111" s="55">
        <f>CC110+(G111+J111)/(Salary_Schedule!E111*12/208)</f>
        <v>1815.54675</v>
      </c>
      <c r="CD111" s="55">
        <f>CD110+(O111+R111)/(Salary_Schedule!G111*12/208)</f>
        <v>146.4907257</v>
      </c>
      <c r="CE111" s="32">
        <f t="shared" si="17"/>
        <v>1429501.612</v>
      </c>
      <c r="CF111" s="32">
        <f>Assumptions!$B$55*(1+Assumptions!$B$56)^((B111-2025)+(A111-1)/12)</f>
        <v>604230.4435</v>
      </c>
      <c r="CG111" s="32">
        <f t="shared" si="18"/>
        <v>0</v>
      </c>
      <c r="CH111" s="32">
        <f t="shared" si="19"/>
        <v>-10500</v>
      </c>
      <c r="CI111" s="32">
        <f>CC111*(Salary_Schedule!E111/173.33)*(1-Assumptions!$B$28)+CD111*(Salary_Schedule!G111/173.33)*(1-Assumptions!$B$28)</f>
        <v>82443.66496</v>
      </c>
      <c r="CJ111" s="32">
        <f t="shared" si="20"/>
        <v>2105675.72</v>
      </c>
    </row>
    <row r="112" ht="15.0" customHeight="1">
      <c r="A112" s="1">
        <v>3.0</v>
      </c>
      <c r="B112" s="1">
        <v>2035.0</v>
      </c>
      <c r="C112" s="1" t="s">
        <v>781</v>
      </c>
      <c r="D112" s="1" t="str">
        <f t="shared" si="21"/>
        <v>02/2035</v>
      </c>
      <c r="E112" s="1" t="str">
        <f t="shared" si="2"/>
        <v>LEAN</v>
      </c>
      <c r="F112" s="32">
        <f>Salary_Schedule!E112</f>
        <v>11427.73</v>
      </c>
      <c r="G112" s="32">
        <f>Assumptions!$B$8</f>
        <v>200</v>
      </c>
      <c r="H112" s="32">
        <f>F112*Assumptions!$B$58</f>
        <v>1142.773</v>
      </c>
      <c r="I112" s="32">
        <f>Salary_Schedule!F112</f>
        <v>0</v>
      </c>
      <c r="J112" s="32">
        <f>I112*Assumptions!$B$9</f>
        <v>0</v>
      </c>
      <c r="K112" s="54">
        <f t="shared" si="3"/>
        <v>10084.957</v>
      </c>
      <c r="L112" s="32">
        <f>IF(COUNTIFS(SL_Income_Log!$B:$B,TEXT(B112,"0000")&amp;"-"&amp;TEXT(A112,"00"),SL_Income_Log!$C:$C,"salary",SL_Income_Log!$E:$E,"H")&gt;0,SUMIFS(SL_Income_Log!$D:$D,SL_Income_Log!$B:$B,TEXT(B112,"0000")&amp;"-"&amp;TEXT(A112,"00"),SL_Income_Log!$C:$C,"salary",SL_Income_Log!$E:$E,"H"),K112*(1-Assumptions!$B$102)-Z112-Y112)</f>
        <v>6050.9742</v>
      </c>
      <c r="M112" s="32">
        <f>RSU_Schedule!H111</f>
        <v>0</v>
      </c>
      <c r="N112" s="32">
        <f>Salary_Schedule!G112</f>
        <v>8444.06</v>
      </c>
      <c r="O112" s="32">
        <f>Assumptions!$B$19</f>
        <v>200</v>
      </c>
      <c r="P112" s="32">
        <f>N112*Assumptions!$B$59</f>
        <v>844.406</v>
      </c>
      <c r="Q112" s="32">
        <f>Salary_Schedule!H112</f>
        <v>0</v>
      </c>
      <c r="R112" s="32">
        <f>Q112*Assumptions!$B$20</f>
        <v>0</v>
      </c>
      <c r="S112" s="54">
        <f t="shared" si="4"/>
        <v>7399.654</v>
      </c>
      <c r="T112" s="32">
        <f>IF(COUNTIFS(SL_Income_Log!$B:$B,TEXT(B112,"0000")&amp;"-"&amp;TEXT(A112,"00"),SL_Income_Log!$C:$C,"salary",SL_Income_Log!$E:$E,"W")&gt;0,SUMIFS(SL_Income_Log!$D:$D,SL_Income_Log!$B:$B,TEXT(B112,"0000")&amp;"-"&amp;TEXT(A112,"00"),SL_Income_Log!$C:$C,"salary",SL_Income_Log!$E:$E,"W"),S112*(1-Assumptions!$B$102)-AC112-AB112)
</f>
        <v>4439.7924</v>
      </c>
      <c r="U112" s="32">
        <f>RSU_Schedule!M111</f>
        <v>0</v>
      </c>
      <c r="V112" s="32">
        <f>H112*(1+Assumptions!$B$60)+Assumptions!$B$61</f>
        <v>1619.8822</v>
      </c>
      <c r="W112" s="32">
        <f>P112*(1+Assumptions!$B$60)+Assumptions!$B$61</f>
        <v>1202.1684</v>
      </c>
      <c r="X112" s="32">
        <f t="shared" si="5"/>
        <v>2822.0506</v>
      </c>
      <c r="Y112" s="32">
        <v>0.0</v>
      </c>
      <c r="Z112" s="32">
        <v>0.0</v>
      </c>
      <c r="AA112" s="32">
        <v>0.0</v>
      </c>
      <c r="AB112" s="32">
        <v>0.0</v>
      </c>
      <c r="AC112" s="32">
        <v>0.0</v>
      </c>
      <c r="AD112" s="32">
        <v>0.0</v>
      </c>
      <c r="AE112" s="32">
        <f t="shared" ref="AE112:AF112" si="153">Z112+AC112</f>
        <v>0</v>
      </c>
      <c r="AF112" s="32">
        <f t="shared" si="153"/>
        <v>0</v>
      </c>
      <c r="AG112" s="32">
        <f>IF(COUNTIFS(SL_Income_Log!$B:$B,TEXT(B112,"0000")&amp;"-"&amp;TEXT(A112,"00"),SL_Income_Log!$C:$C,"youtube")&gt;0,SUMIFS(SL_Income_Log!$D:$D,SL_Income_Log!$B:$B,TEXT(B112,"0000")&amp;"-"&amp;TEXT(A112,"00"),SL_Income_Log!$C:$C,"youtube"),MIN(Assumptions!$B$49+FLOOR((ROW()-2)/6,1)*Assumptions!$B$50,Assumptions!$B$51))
</f>
        <v>19000</v>
      </c>
      <c r="AH112" s="32">
        <f>AG112*Assumptions!$B$104</f>
        <v>8417</v>
      </c>
      <c r="AI112" s="32">
        <f t="shared" si="7"/>
        <v>10583</v>
      </c>
      <c r="AJ112" s="32">
        <f>SUMIFS(SL_Income_Log!$D:$D,SL_Income_Log!$B:$B,TEXT(B112,"0000")&amp;"-"&amp;TEXT(A112,"00"),SL_Income_Log!$C:$C,"other")</f>
        <v>0</v>
      </c>
      <c r="AK112" s="32">
        <f t="shared" si="27"/>
        <v>10000</v>
      </c>
      <c r="AL112" s="32">
        <f>L112+M112+T112+U112+AI112+AJ112-Y112-Z112-AB112-AC112+IF((Debt_Register!$C$2+Debt_Register!$C$6+Debt_Register!$C$7+Debt_Register!$C$8+Debt_Register!$C$9)&gt;5,X112,0)</f>
        <v>23895.8172</v>
      </c>
      <c r="AM112" s="32">
        <f t="shared" si="8"/>
        <v>33895.8172</v>
      </c>
      <c r="AN112" s="32">
        <f>MAX(Assumptions!$B$94,MIN(Assumptions!$B$93,AM112-AP112-BE112-BO112-BQ112))</f>
        <v>10000</v>
      </c>
      <c r="AO112" s="32">
        <v>0.0</v>
      </c>
      <c r="AP112" s="32">
        <v>0.0</v>
      </c>
      <c r="AQ112" s="32">
        <v>0.0</v>
      </c>
      <c r="AR112" s="32">
        <v>0.0</v>
      </c>
      <c r="AS112" s="32">
        <v>0.0</v>
      </c>
      <c r="AT112" s="32">
        <v>0.0</v>
      </c>
      <c r="AU112" s="32">
        <f t="shared" si="30"/>
        <v>0</v>
      </c>
      <c r="AV112" s="32">
        <f t="shared" si="31"/>
        <v>0</v>
      </c>
      <c r="AW112" s="32">
        <f t="shared" si="32"/>
        <v>0</v>
      </c>
      <c r="AX112" s="32">
        <f t="shared" si="33"/>
        <v>0</v>
      </c>
      <c r="AY112" s="32">
        <f t="shared" si="34"/>
        <v>0</v>
      </c>
      <c r="AZ112" s="32">
        <f t="shared" si="35"/>
        <v>0</v>
      </c>
      <c r="BA112" s="32">
        <f t="shared" si="36"/>
        <v>0</v>
      </c>
      <c r="BB112" s="32">
        <f t="shared" si="37"/>
        <v>0</v>
      </c>
      <c r="BC112" s="32">
        <f t="shared" si="38"/>
        <v>0</v>
      </c>
      <c r="BD112" s="32">
        <f t="shared" si="39"/>
        <v>0</v>
      </c>
      <c r="BE112" s="32">
        <f t="shared" si="11"/>
        <v>0</v>
      </c>
      <c r="BF112" s="32">
        <v>0.0</v>
      </c>
      <c r="BG112" s="32">
        <f t="shared" si="40"/>
        <v>5500</v>
      </c>
      <c r="BH112" s="32">
        <v>0.0</v>
      </c>
      <c r="BI112" s="32">
        <f t="shared" si="41"/>
        <v>5000</v>
      </c>
      <c r="BJ112" s="32">
        <f>IF(OR(B112&lt;Assumptions!$B$111,AND(B112=Assumptions!$B$111,A112&lt;=Assumptions!$B$112)),Assumptions!$B$110,0)</f>
        <v>0</v>
      </c>
      <c r="BK112" s="32">
        <f>IF(B112&lt;2027,Assumptions!$B$116+IF(OR(A112=4,A112=10),Assumptions!$B$117,0),IF(AND(B112=2027,A112&lt;=4),IF(A112=4,MIN(950,Assumptions!$B$116+Assumptions!$B$117),Assumptions!$B$116),0))</f>
        <v>0</v>
      </c>
      <c r="BL112" s="32">
        <f>IF(OR(B112&lt;2030,AND(B112=2030,A112&lt;8)),Assumptions!$B$118,IF(AND(B112=2030,A112=8),MOD(11000,200),0))</f>
        <v>0</v>
      </c>
      <c r="BM112" s="32">
        <f>IF(OR(B112&lt;Assumptions!$B$120,AND(B112=Assumptions!$B$120,A112&lt;=Assumptions!$B$121)),Assumptions!$B$119,0)</f>
        <v>0</v>
      </c>
      <c r="BN112" s="32">
        <f>IF(AND(B112&lt;=Assumptions!$B$123,A112&lt;=Assumptions!$B$124),Assumptions!$B$122,0)</f>
        <v>0</v>
      </c>
      <c r="BO112" s="32">
        <f t="shared" si="12"/>
        <v>0</v>
      </c>
      <c r="BP112" s="32">
        <f>SUMIFS(SL_Budget!$B:$B,SL_Budget!$C:$C,"'"&amp;TEXT(DATE(B112,A112,1),"YYYY-MM"))</f>
        <v>5360</v>
      </c>
      <c r="BQ112" s="32">
        <f>MAX(BP112, IFERROR(SUMIFS(ShadowLedger!D:D, 
  ShadowLedger!C:C, "&gt;="&amp;DATE(B112,A112,1), 
  ShadowLedger!C:C, "&lt;"&amp;EOMONTH(DATE(B112,A112,1),0)+1), 0))
</f>
        <v>5360</v>
      </c>
      <c r="BR112" s="32">
        <f t="shared" si="42"/>
        <v>1429501.612</v>
      </c>
      <c r="BS112" s="32">
        <f t="shared" si="43"/>
        <v>2822.0506</v>
      </c>
      <c r="BT112" s="32">
        <f>IF(BY111&gt;=Assumptions!$B$92,MAX(0,(AM112-BE112-BO112-BQ112)-Assumptions!$B$93),MAX(0,(AM112-BE112-BO112-BQ112)-Assumptions!$B$93)*Assumptions!$B$99)</f>
        <v>18535.8172</v>
      </c>
      <c r="BU112" s="32">
        <f>(BR112+BS112+MAX(0,BT112))*(Assumptions!$B$43-1)</f>
        <v>9891.959931</v>
      </c>
      <c r="BV112" s="32">
        <f t="shared" si="13"/>
        <v>1460751.439</v>
      </c>
      <c r="BW112" s="32">
        <f t="shared" si="44"/>
        <v>15476.04728</v>
      </c>
      <c r="BX112" s="32">
        <f>IF(BY111&lt;Assumptions!$B$92,MAX(0,(AM112-BE112-BO112-BQ112)-Assumptions!$B$93)*Assumptions!$B$98,0)</f>
        <v>0</v>
      </c>
      <c r="BY112" s="32">
        <f t="shared" si="14"/>
        <v>15476.04728</v>
      </c>
      <c r="BZ112" s="32">
        <f t="shared" si="45"/>
        <v>16834</v>
      </c>
      <c r="CA112" s="32">
        <f t="shared" si="15"/>
        <v>8417</v>
      </c>
      <c r="CB112" s="32">
        <f t="shared" si="16"/>
        <v>25251</v>
      </c>
      <c r="CC112" s="55">
        <f>CC111+(G112+J112)/(Salary_Schedule!E112*12/208)</f>
        <v>1815.850105</v>
      </c>
      <c r="CD112" s="55">
        <f>CD111+(O112+R112)/(Salary_Schedule!G112*12/208)</f>
        <v>146.9012707</v>
      </c>
      <c r="CE112" s="32">
        <f t="shared" si="17"/>
        <v>1460751.439</v>
      </c>
      <c r="CF112" s="32">
        <f>Assumptions!$B$55*(1+Assumptions!$B$56)^((B112-2025)+(A112-1)/12)</f>
        <v>604980.5882</v>
      </c>
      <c r="CG112" s="32">
        <f t="shared" si="18"/>
        <v>0</v>
      </c>
      <c r="CH112" s="32">
        <f t="shared" si="19"/>
        <v>-10500</v>
      </c>
      <c r="CI112" s="32">
        <f>CC112*(Salary_Schedule!E112/173.33)*(1-Assumptions!$B$28)+CD112*(Salary_Schedule!G112/173.33)*(1-Assumptions!$B$28)</f>
        <v>82469.66546</v>
      </c>
      <c r="CJ112" s="32">
        <f t="shared" si="20"/>
        <v>2137701.693</v>
      </c>
    </row>
    <row r="113" ht="15.0" customHeight="1">
      <c r="A113" s="1">
        <v>4.0</v>
      </c>
      <c r="B113" s="1">
        <v>2035.0</v>
      </c>
      <c r="C113" s="1" t="s">
        <v>782</v>
      </c>
      <c r="D113" s="1" t="str">
        <f t="shared" si="21"/>
        <v>03/2035</v>
      </c>
      <c r="E113" s="1" t="str">
        <f t="shared" si="2"/>
        <v>FAT_BONUS</v>
      </c>
      <c r="F113" s="32">
        <f>Salary_Schedule!E113</f>
        <v>11427.73</v>
      </c>
      <c r="G113" s="32">
        <f>Assumptions!$B$8</f>
        <v>200</v>
      </c>
      <c r="H113" s="32">
        <f>F113*Assumptions!$B$58</f>
        <v>1142.773</v>
      </c>
      <c r="I113" s="32">
        <f>Salary_Schedule!F113</f>
        <v>15235.59</v>
      </c>
      <c r="J113" s="32">
        <f>I113*Assumptions!$B$9</f>
        <v>5332.4565</v>
      </c>
      <c r="K113" s="54">
        <f t="shared" si="3"/>
        <v>19988.0905</v>
      </c>
      <c r="L113" s="32">
        <f>IF(COUNTIFS(SL_Income_Log!$B:$B,TEXT(B113,"0000")&amp;"-"&amp;TEXT(A113,"00"),SL_Income_Log!$C:$C,"salary",SL_Income_Log!$E:$E,"H")&gt;0,SUMIFS(SL_Income_Log!$D:$D,SL_Income_Log!$B:$B,TEXT(B113,"0000")&amp;"-"&amp;TEXT(A113,"00"),SL_Income_Log!$C:$C,"salary",SL_Income_Log!$E:$E,"H"),K113*(1-Assumptions!$B$102)-Z113-Y113)</f>
        <v>11992.8543</v>
      </c>
      <c r="M113" s="32">
        <f>RSU_Schedule!H112</f>
        <v>2784.99</v>
      </c>
      <c r="N113" s="32">
        <f>Salary_Schedule!G113</f>
        <v>8444.06</v>
      </c>
      <c r="O113" s="32">
        <f>Assumptions!$B$19</f>
        <v>200</v>
      </c>
      <c r="P113" s="32">
        <f>N113*Assumptions!$B$59</f>
        <v>844.406</v>
      </c>
      <c r="Q113" s="32">
        <f>Salary_Schedule!H113</f>
        <v>11258.9</v>
      </c>
      <c r="R113" s="32">
        <f>Q113*Assumptions!$B$20</f>
        <v>3940.615</v>
      </c>
      <c r="S113" s="54">
        <f t="shared" si="4"/>
        <v>14717.939</v>
      </c>
      <c r="T113" s="32">
        <f>IF(COUNTIFS(SL_Income_Log!$B:$B,TEXT(B113,"0000")&amp;"-"&amp;TEXT(A113,"00"),SL_Income_Log!$C:$C,"salary",SL_Income_Log!$E:$E,"W")&gt;0,SUMIFS(SL_Income_Log!$D:$D,SL_Income_Log!$B:$B,TEXT(B113,"0000")&amp;"-"&amp;TEXT(A113,"00"),SL_Income_Log!$C:$C,"salary",SL_Income_Log!$E:$E,"W"),S113*(1-Assumptions!$B$102)-AC113-AB113)
</f>
        <v>8830.7634</v>
      </c>
      <c r="U113" s="32">
        <f>RSU_Schedule!M112</f>
        <v>1392.51</v>
      </c>
      <c r="V113" s="32">
        <f>H113*(1+Assumptions!$B$60)+Assumptions!$B$61</f>
        <v>1619.8822</v>
      </c>
      <c r="W113" s="32">
        <f>P113*(1+Assumptions!$B$60)+Assumptions!$B$61</f>
        <v>1202.1684</v>
      </c>
      <c r="X113" s="32">
        <f t="shared" si="5"/>
        <v>2822.0506</v>
      </c>
      <c r="Y113" s="32">
        <v>0.0</v>
      </c>
      <c r="Z113" s="32">
        <v>0.0</v>
      </c>
      <c r="AA113" s="32">
        <v>0.0</v>
      </c>
      <c r="AB113" s="32">
        <v>0.0</v>
      </c>
      <c r="AC113" s="32">
        <v>0.0</v>
      </c>
      <c r="AD113" s="32">
        <v>0.0</v>
      </c>
      <c r="AE113" s="32">
        <f t="shared" ref="AE113:AF113" si="154">Z113+AC113</f>
        <v>0</v>
      </c>
      <c r="AF113" s="32">
        <f t="shared" si="154"/>
        <v>0</v>
      </c>
      <c r="AG113" s="32">
        <f>IF(COUNTIFS(SL_Income_Log!$B:$B,TEXT(B113,"0000")&amp;"-"&amp;TEXT(A113,"00"),SL_Income_Log!$C:$C,"youtube")&gt;0,SUMIFS(SL_Income_Log!$D:$D,SL_Income_Log!$B:$B,TEXT(B113,"0000")&amp;"-"&amp;TEXT(A113,"00"),SL_Income_Log!$C:$C,"youtube"),MIN(Assumptions!$B$49+FLOOR((ROW()-2)/6,1)*Assumptions!$B$50,Assumptions!$B$51))
</f>
        <v>19000</v>
      </c>
      <c r="AH113" s="32">
        <f>AG113*Assumptions!$B$104</f>
        <v>8417</v>
      </c>
      <c r="AI113" s="32">
        <f t="shared" si="7"/>
        <v>10583</v>
      </c>
      <c r="AJ113" s="32">
        <f>SUMIFS(SL_Income_Log!$D:$D,SL_Income_Log!$B:$B,TEXT(B113,"0000")&amp;"-"&amp;TEXT(A113,"00"),SL_Income_Log!$C:$C,"other")</f>
        <v>0</v>
      </c>
      <c r="AK113" s="32">
        <f t="shared" si="27"/>
        <v>10000</v>
      </c>
      <c r="AL113" s="32">
        <f>L113+M113+T113+U113+AI113+AJ113-Y113-Z113-AB113-AC113+IF((Debt_Register!$C$2+Debt_Register!$C$6+Debt_Register!$C$7+Debt_Register!$C$8+Debt_Register!$C$9)&gt;5,X113,0)</f>
        <v>38406.1683</v>
      </c>
      <c r="AM113" s="32">
        <f t="shared" si="8"/>
        <v>48406.1683</v>
      </c>
      <c r="AN113" s="32">
        <f>MAX(Assumptions!$B$94,MIN(Assumptions!$B$93,AM113-AP113-BE113-BO113-BQ113))</f>
        <v>10000</v>
      </c>
      <c r="AO113" s="32">
        <v>0.0</v>
      </c>
      <c r="AP113" s="32">
        <v>0.0</v>
      </c>
      <c r="AQ113" s="32">
        <v>0.0</v>
      </c>
      <c r="AR113" s="32">
        <v>0.0</v>
      </c>
      <c r="AS113" s="32">
        <v>0.0</v>
      </c>
      <c r="AT113" s="32">
        <v>0.0</v>
      </c>
      <c r="AU113" s="32">
        <f t="shared" si="30"/>
        <v>0</v>
      </c>
      <c r="AV113" s="32">
        <f t="shared" si="31"/>
        <v>0</v>
      </c>
      <c r="AW113" s="32">
        <f t="shared" si="32"/>
        <v>0</v>
      </c>
      <c r="AX113" s="32">
        <f t="shared" si="33"/>
        <v>0</v>
      </c>
      <c r="AY113" s="32">
        <f t="shared" si="34"/>
        <v>0</v>
      </c>
      <c r="AZ113" s="32">
        <f t="shared" si="35"/>
        <v>0</v>
      </c>
      <c r="BA113" s="32">
        <f t="shared" si="36"/>
        <v>0</v>
      </c>
      <c r="BB113" s="32">
        <f t="shared" si="37"/>
        <v>0</v>
      </c>
      <c r="BC113" s="32">
        <f t="shared" si="38"/>
        <v>0</v>
      </c>
      <c r="BD113" s="32">
        <f t="shared" si="39"/>
        <v>0</v>
      </c>
      <c r="BE113" s="32">
        <f t="shared" si="11"/>
        <v>0</v>
      </c>
      <c r="BF113" s="32">
        <v>0.0</v>
      </c>
      <c r="BG113" s="32">
        <f t="shared" si="40"/>
        <v>5500</v>
      </c>
      <c r="BH113" s="32">
        <v>0.0</v>
      </c>
      <c r="BI113" s="32">
        <f t="shared" si="41"/>
        <v>5000</v>
      </c>
      <c r="BJ113" s="32">
        <f>IF(OR(B113&lt;Assumptions!$B$111,AND(B113=Assumptions!$B$111,A113&lt;=Assumptions!$B$112)),Assumptions!$B$110,0)</f>
        <v>0</v>
      </c>
      <c r="BK113" s="32">
        <f>IF(B113&lt;2027,Assumptions!$B$116+IF(OR(A113=4,A113=10),Assumptions!$B$117,0),IF(AND(B113=2027,A113&lt;=4),IF(A113=4,MIN(950,Assumptions!$B$116+Assumptions!$B$117),Assumptions!$B$116),0))</f>
        <v>0</v>
      </c>
      <c r="BL113" s="32">
        <f>IF(OR(B113&lt;2030,AND(B113=2030,A113&lt;8)),Assumptions!$B$118,IF(AND(B113=2030,A113=8),MOD(11000,200),0))</f>
        <v>0</v>
      </c>
      <c r="BM113" s="32">
        <f>IF(OR(B113&lt;Assumptions!$B$120,AND(B113=Assumptions!$B$120,A113&lt;=Assumptions!$B$121)),Assumptions!$B$119,0)</f>
        <v>0</v>
      </c>
      <c r="BN113" s="32">
        <f>IF(AND(B113&lt;=Assumptions!$B$123,A113&lt;=Assumptions!$B$124),Assumptions!$B$122,0)</f>
        <v>0</v>
      </c>
      <c r="BO113" s="32">
        <f t="shared" si="12"/>
        <v>0</v>
      </c>
      <c r="BP113" s="32">
        <f>SUMIFS(SL_Budget!$B:$B,SL_Budget!$C:$C,"'"&amp;TEXT(DATE(B113,A113,1),"YYYY-MM"))</f>
        <v>5360</v>
      </c>
      <c r="BQ113" s="32">
        <f>MAX(BP113, IFERROR(SUMIFS(ShadowLedger!D:D, 
  ShadowLedger!C:C, "&gt;="&amp;DATE(B113,A113,1), 
  ShadowLedger!C:C, "&lt;"&amp;EOMONTH(DATE(B113,A113,1),0)+1), 0))
</f>
        <v>5360</v>
      </c>
      <c r="BR113" s="32">
        <f t="shared" si="42"/>
        <v>1460751.439</v>
      </c>
      <c r="BS113" s="32">
        <f t="shared" si="43"/>
        <v>2822.0506</v>
      </c>
      <c r="BT113" s="32">
        <f>IF(BY112&gt;=Assumptions!$B$92,MAX(0,(AM113-BE113-BO113-BQ113)-Assumptions!$B$93),MAX(0,(AM113-BE113-BO113-BQ113)-Assumptions!$B$93)*Assumptions!$B$99)</f>
        <v>33046.1683</v>
      </c>
      <c r="BU113" s="32">
        <f>(BR113+BS113+MAX(0,BT113))*(Assumptions!$B$43-1)</f>
        <v>10203.95283</v>
      </c>
      <c r="BV113" s="32">
        <f t="shared" si="13"/>
        <v>1506823.611</v>
      </c>
      <c r="BW113" s="32">
        <f t="shared" si="44"/>
        <v>15476.04728</v>
      </c>
      <c r="BX113" s="32">
        <f>IF(BY112&lt;Assumptions!$B$92,MAX(0,(AM113-BE113-BO113-BQ113)-Assumptions!$B$93)*Assumptions!$B$98,0)</f>
        <v>0</v>
      </c>
      <c r="BY113" s="32">
        <f t="shared" si="14"/>
        <v>15476.04728</v>
      </c>
      <c r="BZ113" s="32">
        <f t="shared" si="45"/>
        <v>25251</v>
      </c>
      <c r="CA113" s="32">
        <f t="shared" si="15"/>
        <v>8417</v>
      </c>
      <c r="CB113" s="32">
        <f t="shared" si="16"/>
        <v>33668</v>
      </c>
      <c r="CC113" s="55">
        <f>CC112+(G113+J113)/(Salary_Schedule!E113*12/208)</f>
        <v>1824.241615</v>
      </c>
      <c r="CD113" s="55">
        <f>CD112+(O113+R113)/(Salary_Schedule!G113*12/208)</f>
        <v>155.4008148</v>
      </c>
      <c r="CE113" s="32">
        <f t="shared" si="17"/>
        <v>1506823.611</v>
      </c>
      <c r="CF113" s="32">
        <f>Assumptions!$B$55*(1+Assumptions!$B$56)^((B113-2025)+(A113-1)/12)</f>
        <v>605731.6642</v>
      </c>
      <c r="CG113" s="32">
        <f t="shared" si="18"/>
        <v>0</v>
      </c>
      <c r="CH113" s="32">
        <f t="shared" si="19"/>
        <v>-10500</v>
      </c>
      <c r="CI113" s="32">
        <f>CC113*(Salary_Schedule!E113/173.33)*(1-Assumptions!$B$28)+CD113*(Salary_Schedule!G113/173.33)*(1-Assumptions!$B$28)</f>
        <v>83098.4272</v>
      </c>
      <c r="CJ113" s="32">
        <f t="shared" si="20"/>
        <v>2185153.703</v>
      </c>
    </row>
    <row r="114" ht="15.0" customHeight="1">
      <c r="A114" s="1">
        <v>5.0</v>
      </c>
      <c r="B114" s="1">
        <v>2035.0</v>
      </c>
      <c r="C114" s="1" t="s">
        <v>783</v>
      </c>
      <c r="D114" s="1" t="str">
        <f t="shared" si="21"/>
        <v>04/2035</v>
      </c>
      <c r="E114" s="1" t="str">
        <f t="shared" si="2"/>
        <v>LEAN</v>
      </c>
      <c r="F114" s="32">
        <f>Salary_Schedule!E114</f>
        <v>11427.73</v>
      </c>
      <c r="G114" s="32">
        <f>Assumptions!$B$8</f>
        <v>200</v>
      </c>
      <c r="H114" s="32">
        <f>F114*Assumptions!$B$58</f>
        <v>1142.773</v>
      </c>
      <c r="I114" s="32">
        <f>Salary_Schedule!F114</f>
        <v>0</v>
      </c>
      <c r="J114" s="32">
        <f>I114*Assumptions!$B$9</f>
        <v>0</v>
      </c>
      <c r="K114" s="54">
        <f t="shared" si="3"/>
        <v>10084.957</v>
      </c>
      <c r="L114" s="32">
        <f>IF(COUNTIFS(SL_Income_Log!$B:$B,TEXT(B114,"0000")&amp;"-"&amp;TEXT(A114,"00"),SL_Income_Log!$C:$C,"salary",SL_Income_Log!$E:$E,"H")&gt;0,SUMIFS(SL_Income_Log!$D:$D,SL_Income_Log!$B:$B,TEXT(B114,"0000")&amp;"-"&amp;TEXT(A114,"00"),SL_Income_Log!$C:$C,"salary",SL_Income_Log!$E:$E,"H"),K114*(1-Assumptions!$B$102)-Z114-Y114)</f>
        <v>6050.9742</v>
      </c>
      <c r="M114" s="32">
        <f>RSU_Schedule!H113</f>
        <v>0</v>
      </c>
      <c r="N114" s="32">
        <f>Salary_Schedule!G114</f>
        <v>8444.06</v>
      </c>
      <c r="O114" s="32">
        <f>Assumptions!$B$19</f>
        <v>200</v>
      </c>
      <c r="P114" s="32">
        <f>N114*Assumptions!$B$59</f>
        <v>844.406</v>
      </c>
      <c r="Q114" s="32">
        <f>Salary_Schedule!H114</f>
        <v>0</v>
      </c>
      <c r="R114" s="32">
        <f>Q114*Assumptions!$B$20</f>
        <v>0</v>
      </c>
      <c r="S114" s="54">
        <f t="shared" si="4"/>
        <v>7399.654</v>
      </c>
      <c r="T114" s="32">
        <f>IF(COUNTIFS(SL_Income_Log!$B:$B,TEXT(B114,"0000")&amp;"-"&amp;TEXT(A114,"00"),SL_Income_Log!$C:$C,"salary",SL_Income_Log!$E:$E,"W")&gt;0,SUMIFS(SL_Income_Log!$D:$D,SL_Income_Log!$B:$B,TEXT(B114,"0000")&amp;"-"&amp;TEXT(A114,"00"),SL_Income_Log!$C:$C,"salary",SL_Income_Log!$E:$E,"W"),S114*(1-Assumptions!$B$102)-AC114-AB114)
</f>
        <v>4439.7924</v>
      </c>
      <c r="U114" s="32">
        <f>RSU_Schedule!M113</f>
        <v>0</v>
      </c>
      <c r="V114" s="32">
        <f>H114*(1+Assumptions!$B$60)+Assumptions!$B$61</f>
        <v>1619.8822</v>
      </c>
      <c r="W114" s="32">
        <f>P114*(1+Assumptions!$B$60)+Assumptions!$B$61</f>
        <v>1202.1684</v>
      </c>
      <c r="X114" s="32">
        <f t="shared" si="5"/>
        <v>2822.0506</v>
      </c>
      <c r="Y114" s="32">
        <v>0.0</v>
      </c>
      <c r="Z114" s="32">
        <v>0.0</v>
      </c>
      <c r="AA114" s="32">
        <v>0.0</v>
      </c>
      <c r="AB114" s="32">
        <v>0.0</v>
      </c>
      <c r="AC114" s="32">
        <v>0.0</v>
      </c>
      <c r="AD114" s="32">
        <v>0.0</v>
      </c>
      <c r="AE114" s="32">
        <f t="shared" ref="AE114:AF114" si="155">Z114+AC114</f>
        <v>0</v>
      </c>
      <c r="AF114" s="32">
        <f t="shared" si="155"/>
        <v>0</v>
      </c>
      <c r="AG114" s="32">
        <f>IF(COUNTIFS(SL_Income_Log!$B:$B,TEXT(B114,"0000")&amp;"-"&amp;TEXT(A114,"00"),SL_Income_Log!$C:$C,"youtube")&gt;0,SUMIFS(SL_Income_Log!$D:$D,SL_Income_Log!$B:$B,TEXT(B114,"0000")&amp;"-"&amp;TEXT(A114,"00"),SL_Income_Log!$C:$C,"youtube"),MIN(Assumptions!$B$49+FLOOR((ROW()-2)/6,1)*Assumptions!$B$50,Assumptions!$B$51))
</f>
        <v>19000</v>
      </c>
      <c r="AH114" s="32">
        <f>AG114*Assumptions!$B$104</f>
        <v>8417</v>
      </c>
      <c r="AI114" s="32">
        <f t="shared" si="7"/>
        <v>10583</v>
      </c>
      <c r="AJ114" s="32">
        <f>SUMIFS(SL_Income_Log!$D:$D,SL_Income_Log!$B:$B,TEXT(B114,"0000")&amp;"-"&amp;TEXT(A114,"00"),SL_Income_Log!$C:$C,"other")</f>
        <v>0</v>
      </c>
      <c r="AK114" s="32">
        <f t="shared" si="27"/>
        <v>10000</v>
      </c>
      <c r="AL114" s="32">
        <f>L114+M114+T114+U114+AI114+AJ114-Y114-Z114-AB114-AC114+IF((Debt_Register!$C$2+Debt_Register!$C$6+Debt_Register!$C$7+Debt_Register!$C$8+Debt_Register!$C$9)&gt;5,X114,0)</f>
        <v>23895.8172</v>
      </c>
      <c r="AM114" s="32">
        <f t="shared" si="8"/>
        <v>33895.8172</v>
      </c>
      <c r="AN114" s="32">
        <f>MAX(Assumptions!$B$94,MIN(Assumptions!$B$93,AM114-AP114-BE114-BO114-BQ114))</f>
        <v>10000</v>
      </c>
      <c r="AO114" s="32">
        <v>0.0</v>
      </c>
      <c r="AP114" s="32">
        <v>0.0</v>
      </c>
      <c r="AQ114" s="32">
        <v>0.0</v>
      </c>
      <c r="AR114" s="32">
        <v>0.0</v>
      </c>
      <c r="AS114" s="32">
        <v>0.0</v>
      </c>
      <c r="AT114" s="32">
        <v>0.0</v>
      </c>
      <c r="AU114" s="32">
        <f t="shared" si="30"/>
        <v>0</v>
      </c>
      <c r="AV114" s="32">
        <f t="shared" si="31"/>
        <v>0</v>
      </c>
      <c r="AW114" s="32">
        <f t="shared" si="32"/>
        <v>0</v>
      </c>
      <c r="AX114" s="32">
        <f t="shared" si="33"/>
        <v>0</v>
      </c>
      <c r="AY114" s="32">
        <f t="shared" si="34"/>
        <v>0</v>
      </c>
      <c r="AZ114" s="32">
        <f t="shared" si="35"/>
        <v>0</v>
      </c>
      <c r="BA114" s="32">
        <f t="shared" si="36"/>
        <v>0</v>
      </c>
      <c r="BB114" s="32">
        <f t="shared" si="37"/>
        <v>0</v>
      </c>
      <c r="BC114" s="32">
        <f t="shared" si="38"/>
        <v>0</v>
      </c>
      <c r="BD114" s="32">
        <f t="shared" si="39"/>
        <v>0</v>
      </c>
      <c r="BE114" s="32">
        <f t="shared" si="11"/>
        <v>0</v>
      </c>
      <c r="BF114" s="32">
        <v>0.0</v>
      </c>
      <c r="BG114" s="32">
        <f t="shared" si="40"/>
        <v>5500</v>
      </c>
      <c r="BH114" s="32">
        <v>0.0</v>
      </c>
      <c r="BI114" s="32">
        <f t="shared" si="41"/>
        <v>5000</v>
      </c>
      <c r="BJ114" s="32">
        <f>IF(OR(B114&lt;Assumptions!$B$111,AND(B114=Assumptions!$B$111,A114&lt;=Assumptions!$B$112)),Assumptions!$B$110,0)</f>
        <v>0</v>
      </c>
      <c r="BK114" s="32">
        <f>IF(B114&lt;2027,Assumptions!$B$116+IF(OR(A114=4,A114=10),Assumptions!$B$117,0),IF(AND(B114=2027,A114&lt;=4),IF(A114=4,MIN(950,Assumptions!$B$116+Assumptions!$B$117),Assumptions!$B$116),0))</f>
        <v>0</v>
      </c>
      <c r="BL114" s="32">
        <f>IF(OR(B114&lt;2030,AND(B114=2030,A114&lt;8)),Assumptions!$B$118,IF(AND(B114=2030,A114=8),MOD(11000,200),0))</f>
        <v>0</v>
      </c>
      <c r="BM114" s="32">
        <f>IF(OR(B114&lt;Assumptions!$B$120,AND(B114=Assumptions!$B$120,A114&lt;=Assumptions!$B$121)),Assumptions!$B$119,0)</f>
        <v>0</v>
      </c>
      <c r="BN114" s="32">
        <f>IF(AND(B114&lt;=Assumptions!$B$123,A114&lt;=Assumptions!$B$124),Assumptions!$B$122,0)</f>
        <v>0</v>
      </c>
      <c r="BO114" s="32">
        <f t="shared" si="12"/>
        <v>0</v>
      </c>
      <c r="BP114" s="32">
        <f>SUMIFS(SL_Budget!$B:$B,SL_Budget!$C:$C,"'"&amp;TEXT(DATE(B114,A114,1),"YYYY-MM"))</f>
        <v>5360</v>
      </c>
      <c r="BQ114" s="32">
        <f>MAX(BP114, IFERROR(SUMIFS(ShadowLedger!D:D, 
  ShadowLedger!C:C, "&gt;="&amp;DATE(B114,A114,1), 
  ShadowLedger!C:C, "&lt;"&amp;EOMONTH(DATE(B114,A114,1),0)+1), 0))
</f>
        <v>5360</v>
      </c>
      <c r="BR114" s="32">
        <f t="shared" si="42"/>
        <v>1506823.611</v>
      </c>
      <c r="BS114" s="32">
        <f t="shared" si="43"/>
        <v>2822.0506</v>
      </c>
      <c r="BT114" s="32">
        <f>IF(BY113&gt;=Assumptions!$B$92,MAX(0,(AM114-BE114-BO114-BQ114)-Assumptions!$B$93),MAX(0,(AM114-BE114-BO114-BQ114)-Assumptions!$B$93)*Assumptions!$B$99)</f>
        <v>18535.8172</v>
      </c>
      <c r="BU114" s="32">
        <f>(BR114+BS114+MAX(0,BT114))*(Assumptions!$B$43-1)</f>
        <v>10419.14132</v>
      </c>
      <c r="BV114" s="32">
        <f t="shared" si="13"/>
        <v>1538600.62</v>
      </c>
      <c r="BW114" s="32">
        <f t="shared" si="44"/>
        <v>15476.04728</v>
      </c>
      <c r="BX114" s="32">
        <f>IF(BY113&lt;Assumptions!$B$92,MAX(0,(AM114-BE114-BO114-BQ114)-Assumptions!$B$93)*Assumptions!$B$98,0)</f>
        <v>0</v>
      </c>
      <c r="BY114" s="32">
        <f t="shared" si="14"/>
        <v>15476.04728</v>
      </c>
      <c r="BZ114" s="32">
        <f t="shared" si="45"/>
        <v>33668</v>
      </c>
      <c r="CA114" s="32">
        <f t="shared" si="15"/>
        <v>8417</v>
      </c>
      <c r="CB114" s="32">
        <f t="shared" si="16"/>
        <v>42085</v>
      </c>
      <c r="CC114" s="55">
        <f>CC113+(G114+J114)/(Salary_Schedule!E114*12/208)</f>
        <v>1824.544971</v>
      </c>
      <c r="CD114" s="55">
        <f>CD113+(O114+R114)/(Salary_Schedule!G114*12/208)</f>
        <v>155.8113598</v>
      </c>
      <c r="CE114" s="32">
        <f t="shared" si="17"/>
        <v>1538600.62</v>
      </c>
      <c r="CF114" s="32">
        <f>Assumptions!$B$55*(1+Assumptions!$B$56)^((B114-2025)+(A114-1)/12)</f>
        <v>606483.6726</v>
      </c>
      <c r="CG114" s="32">
        <f t="shared" si="18"/>
        <v>0</v>
      </c>
      <c r="CH114" s="32">
        <f t="shared" si="19"/>
        <v>-10500</v>
      </c>
      <c r="CI114" s="32">
        <f>CC114*(Salary_Schedule!E114/173.33)*(1-Assumptions!$B$28)+CD114*(Salary_Schedule!G114/173.33)*(1-Assumptions!$B$28)</f>
        <v>83124.4277</v>
      </c>
      <c r="CJ114" s="32">
        <f t="shared" si="20"/>
        <v>2217708.721</v>
      </c>
    </row>
    <row r="115" ht="15.0" customHeight="1">
      <c r="A115" s="1">
        <v>6.0</v>
      </c>
      <c r="B115" s="1">
        <v>2035.0</v>
      </c>
      <c r="C115" s="1" t="s">
        <v>784</v>
      </c>
      <c r="D115" s="1" t="str">
        <f t="shared" si="21"/>
        <v>05/2035</v>
      </c>
      <c r="E115" s="1" t="str">
        <f t="shared" si="2"/>
        <v>LEAN</v>
      </c>
      <c r="F115" s="32">
        <f>Salary_Schedule!E115</f>
        <v>11427.73</v>
      </c>
      <c r="G115" s="32">
        <f>Assumptions!$B$8</f>
        <v>200</v>
      </c>
      <c r="H115" s="32">
        <f>F115*Assumptions!$B$58</f>
        <v>1142.773</v>
      </c>
      <c r="I115" s="32">
        <f>Salary_Schedule!F115</f>
        <v>0</v>
      </c>
      <c r="J115" s="32">
        <f>I115*Assumptions!$B$9</f>
        <v>0</v>
      </c>
      <c r="K115" s="54">
        <f t="shared" si="3"/>
        <v>10084.957</v>
      </c>
      <c r="L115" s="32">
        <f>IF(COUNTIFS(SL_Income_Log!$B:$B,TEXT(B115,"0000")&amp;"-"&amp;TEXT(A115,"00"),SL_Income_Log!$C:$C,"salary",SL_Income_Log!$E:$E,"H")&gt;0,SUMIFS(SL_Income_Log!$D:$D,SL_Income_Log!$B:$B,TEXT(B115,"0000")&amp;"-"&amp;TEXT(A115,"00"),SL_Income_Log!$C:$C,"salary",SL_Income_Log!$E:$E,"H"),K115*(1-Assumptions!$B$102)-Z115-Y115)</f>
        <v>6050.9742</v>
      </c>
      <c r="M115" s="32">
        <f>RSU_Schedule!H114</f>
        <v>0</v>
      </c>
      <c r="N115" s="32">
        <f>Salary_Schedule!G115</f>
        <v>8444.06</v>
      </c>
      <c r="O115" s="32">
        <f>Assumptions!$B$19</f>
        <v>200</v>
      </c>
      <c r="P115" s="32">
        <f>N115*Assumptions!$B$59</f>
        <v>844.406</v>
      </c>
      <c r="Q115" s="32">
        <f>Salary_Schedule!H115</f>
        <v>0</v>
      </c>
      <c r="R115" s="32">
        <f>Q115*Assumptions!$B$20</f>
        <v>0</v>
      </c>
      <c r="S115" s="54">
        <f t="shared" si="4"/>
        <v>7399.654</v>
      </c>
      <c r="T115" s="32">
        <f>IF(COUNTIFS(SL_Income_Log!$B:$B,TEXT(B115,"0000")&amp;"-"&amp;TEXT(A115,"00"),SL_Income_Log!$C:$C,"salary",SL_Income_Log!$E:$E,"W")&gt;0,SUMIFS(SL_Income_Log!$D:$D,SL_Income_Log!$B:$B,TEXT(B115,"0000")&amp;"-"&amp;TEXT(A115,"00"),SL_Income_Log!$C:$C,"salary",SL_Income_Log!$E:$E,"W"),S115*(1-Assumptions!$B$102)-AC115-AB115)
</f>
        <v>4439.7924</v>
      </c>
      <c r="U115" s="32">
        <f>RSU_Schedule!M114</f>
        <v>0</v>
      </c>
      <c r="V115" s="32">
        <f>H115*(1+Assumptions!$B$60)+Assumptions!$B$61</f>
        <v>1619.8822</v>
      </c>
      <c r="W115" s="32">
        <f>P115*(1+Assumptions!$B$60)+Assumptions!$B$61</f>
        <v>1202.1684</v>
      </c>
      <c r="X115" s="32">
        <f t="shared" si="5"/>
        <v>2822.0506</v>
      </c>
      <c r="Y115" s="32">
        <v>0.0</v>
      </c>
      <c r="Z115" s="32">
        <v>0.0</v>
      </c>
      <c r="AA115" s="32">
        <v>0.0</v>
      </c>
      <c r="AB115" s="32">
        <v>0.0</v>
      </c>
      <c r="AC115" s="32">
        <v>0.0</v>
      </c>
      <c r="AD115" s="32">
        <v>0.0</v>
      </c>
      <c r="AE115" s="32">
        <f t="shared" ref="AE115:AF115" si="156">Z115+AC115</f>
        <v>0</v>
      </c>
      <c r="AF115" s="32">
        <f t="shared" si="156"/>
        <v>0</v>
      </c>
      <c r="AG115" s="32">
        <f>IF(COUNTIFS(SL_Income_Log!$B:$B,TEXT(B115,"0000")&amp;"-"&amp;TEXT(A115,"00"),SL_Income_Log!$C:$C,"youtube")&gt;0,SUMIFS(SL_Income_Log!$D:$D,SL_Income_Log!$B:$B,TEXT(B115,"0000")&amp;"-"&amp;TEXT(A115,"00"),SL_Income_Log!$C:$C,"youtube"),MIN(Assumptions!$B$49+FLOOR((ROW()-2)/6,1)*Assumptions!$B$50,Assumptions!$B$51))
</f>
        <v>19000</v>
      </c>
      <c r="AH115" s="32">
        <f>AG115*Assumptions!$B$104</f>
        <v>8417</v>
      </c>
      <c r="AI115" s="32">
        <f t="shared" si="7"/>
        <v>10583</v>
      </c>
      <c r="AJ115" s="32">
        <f>SUMIFS(SL_Income_Log!$D:$D,SL_Income_Log!$B:$B,TEXT(B115,"0000")&amp;"-"&amp;TEXT(A115,"00"),SL_Income_Log!$C:$C,"other")</f>
        <v>0</v>
      </c>
      <c r="AK115" s="32">
        <f t="shared" si="27"/>
        <v>10000</v>
      </c>
      <c r="AL115" s="32">
        <f>L115+M115+T115+U115+AI115+AJ115-Y115-Z115-AB115-AC115+IF((Debt_Register!$C$2+Debt_Register!$C$6+Debt_Register!$C$7+Debt_Register!$C$8+Debt_Register!$C$9)&gt;5,X115,0)</f>
        <v>23895.8172</v>
      </c>
      <c r="AM115" s="32">
        <f t="shared" si="8"/>
        <v>33895.8172</v>
      </c>
      <c r="AN115" s="32">
        <f>MAX(Assumptions!$B$94,MIN(Assumptions!$B$93,AM115-AP115-BE115-BO115-BQ115))</f>
        <v>10000</v>
      </c>
      <c r="AO115" s="32">
        <v>0.0</v>
      </c>
      <c r="AP115" s="32">
        <v>0.0</v>
      </c>
      <c r="AQ115" s="32">
        <v>0.0</v>
      </c>
      <c r="AR115" s="32">
        <v>0.0</v>
      </c>
      <c r="AS115" s="32">
        <v>0.0</v>
      </c>
      <c r="AT115" s="32">
        <v>0.0</v>
      </c>
      <c r="AU115" s="32">
        <f t="shared" si="30"/>
        <v>0</v>
      </c>
      <c r="AV115" s="32">
        <f t="shared" si="31"/>
        <v>0</v>
      </c>
      <c r="AW115" s="32">
        <f t="shared" si="32"/>
        <v>0</v>
      </c>
      <c r="AX115" s="32">
        <f t="shared" si="33"/>
        <v>0</v>
      </c>
      <c r="AY115" s="32">
        <f t="shared" si="34"/>
        <v>0</v>
      </c>
      <c r="AZ115" s="32">
        <f t="shared" si="35"/>
        <v>0</v>
      </c>
      <c r="BA115" s="32">
        <f t="shared" si="36"/>
        <v>0</v>
      </c>
      <c r="BB115" s="32">
        <f t="shared" si="37"/>
        <v>0</v>
      </c>
      <c r="BC115" s="32">
        <f t="shared" si="38"/>
        <v>0</v>
      </c>
      <c r="BD115" s="32">
        <f t="shared" si="39"/>
        <v>0</v>
      </c>
      <c r="BE115" s="32">
        <f t="shared" si="11"/>
        <v>0</v>
      </c>
      <c r="BF115" s="32">
        <v>0.0</v>
      </c>
      <c r="BG115" s="32">
        <f t="shared" si="40"/>
        <v>5500</v>
      </c>
      <c r="BH115" s="32">
        <v>0.0</v>
      </c>
      <c r="BI115" s="32">
        <f t="shared" si="41"/>
        <v>5000</v>
      </c>
      <c r="BJ115" s="32">
        <f>IF(OR(B115&lt;Assumptions!$B$111,AND(B115=Assumptions!$B$111,A115&lt;=Assumptions!$B$112)),Assumptions!$B$110,0)</f>
        <v>0</v>
      </c>
      <c r="BK115" s="32">
        <f>IF(B115&lt;2027,Assumptions!$B$116+IF(OR(A115=4,A115=10),Assumptions!$B$117,0),IF(AND(B115=2027,A115&lt;=4),IF(A115=4,MIN(950,Assumptions!$B$116+Assumptions!$B$117),Assumptions!$B$116),0))</f>
        <v>0</v>
      </c>
      <c r="BL115" s="32">
        <f>IF(OR(B115&lt;2030,AND(B115=2030,A115&lt;8)),Assumptions!$B$118,IF(AND(B115=2030,A115=8),MOD(11000,200),0))</f>
        <v>0</v>
      </c>
      <c r="BM115" s="32">
        <f>IF(OR(B115&lt;Assumptions!$B$120,AND(B115=Assumptions!$B$120,A115&lt;=Assumptions!$B$121)),Assumptions!$B$119,0)</f>
        <v>0</v>
      </c>
      <c r="BN115" s="32">
        <f>IF(AND(B115&lt;=Assumptions!$B$123,A115&lt;=Assumptions!$B$124),Assumptions!$B$122,0)</f>
        <v>0</v>
      </c>
      <c r="BO115" s="32">
        <f t="shared" si="12"/>
        <v>0</v>
      </c>
      <c r="BP115" s="32">
        <f>SUMIFS(SL_Budget!$B:$B,SL_Budget!$C:$C,"'"&amp;TEXT(DATE(B115,A115,1),"YYYY-MM"))</f>
        <v>5360</v>
      </c>
      <c r="BQ115" s="32">
        <f>MAX(BP115, IFERROR(SUMIFS(ShadowLedger!D:D, 
  ShadowLedger!C:C, "&gt;="&amp;DATE(B115,A115,1), 
  ShadowLedger!C:C, "&lt;"&amp;EOMONTH(DATE(B115,A115,1),0)+1), 0))
</f>
        <v>5360</v>
      </c>
      <c r="BR115" s="32">
        <f t="shared" si="42"/>
        <v>1538600.62</v>
      </c>
      <c r="BS115" s="32">
        <f t="shared" si="43"/>
        <v>2822.0506</v>
      </c>
      <c r="BT115" s="32">
        <f>IF(BY114&gt;=Assumptions!$B$92,MAX(0,(AM115-BE115-BO115-BQ115)-Assumptions!$B$93),MAX(0,(AM115-BE115-BO115-BQ115)-Assumptions!$B$93)*Assumptions!$B$99)</f>
        <v>18535.8172</v>
      </c>
      <c r="BU115" s="32">
        <f>(BR115+BS115+MAX(0,BT115))*(Assumptions!$B$43-1)</f>
        <v>10635.79697</v>
      </c>
      <c r="BV115" s="32">
        <f t="shared" si="13"/>
        <v>1570594.285</v>
      </c>
      <c r="BW115" s="32">
        <f t="shared" si="44"/>
        <v>15476.04728</v>
      </c>
      <c r="BX115" s="32">
        <f>IF(BY114&lt;Assumptions!$B$92,MAX(0,(AM115-BE115-BO115-BQ115)-Assumptions!$B$93)*Assumptions!$B$98,0)</f>
        <v>0</v>
      </c>
      <c r="BY115" s="32">
        <f t="shared" si="14"/>
        <v>15476.04728</v>
      </c>
      <c r="BZ115" s="32">
        <f t="shared" si="45"/>
        <v>42085</v>
      </c>
      <c r="CA115" s="32">
        <f t="shared" si="15"/>
        <v>8417</v>
      </c>
      <c r="CB115" s="32">
        <f t="shared" si="16"/>
        <v>50502</v>
      </c>
      <c r="CC115" s="55">
        <f>CC114+(G115+J115)/(Salary_Schedule!E115*12/208)</f>
        <v>1824.848327</v>
      </c>
      <c r="CD115" s="55">
        <f>CD114+(O115+R115)/(Salary_Schedule!G115*12/208)</f>
        <v>156.2219048</v>
      </c>
      <c r="CE115" s="32">
        <f t="shared" si="17"/>
        <v>1570594.285</v>
      </c>
      <c r="CF115" s="32">
        <f>Assumptions!$B$55*(1+Assumptions!$B$56)^((B115-2025)+(A115-1)/12)</f>
        <v>607236.6146</v>
      </c>
      <c r="CG115" s="32">
        <f t="shared" si="18"/>
        <v>0</v>
      </c>
      <c r="CH115" s="32">
        <f t="shared" si="19"/>
        <v>-10500</v>
      </c>
      <c r="CI115" s="32">
        <f>CC115*(Salary_Schedule!E115/173.33)*(1-Assumptions!$B$28)+CD115*(Salary_Schedule!G115/173.33)*(1-Assumptions!$B$28)</f>
        <v>83150.4282</v>
      </c>
      <c r="CJ115" s="32">
        <f t="shared" si="20"/>
        <v>2250481.328</v>
      </c>
    </row>
    <row r="116" ht="15.0" customHeight="1">
      <c r="A116" s="1">
        <v>7.0</v>
      </c>
      <c r="B116" s="1">
        <v>2035.0</v>
      </c>
      <c r="C116" s="1" t="s">
        <v>785</v>
      </c>
      <c r="D116" s="1" t="str">
        <f t="shared" si="21"/>
        <v>06/2035</v>
      </c>
      <c r="E116" s="1" t="str">
        <f t="shared" si="2"/>
        <v>FAT_RSU</v>
      </c>
      <c r="F116" s="32">
        <f>Salary_Schedule!E116</f>
        <v>11427.73</v>
      </c>
      <c r="G116" s="32">
        <f>Assumptions!$B$8</f>
        <v>200</v>
      </c>
      <c r="H116" s="32">
        <f>F116*Assumptions!$B$58</f>
        <v>1142.773</v>
      </c>
      <c r="I116" s="32">
        <f>Salary_Schedule!F116</f>
        <v>0</v>
      </c>
      <c r="J116" s="32">
        <f>I116*Assumptions!$B$9</f>
        <v>0</v>
      </c>
      <c r="K116" s="54">
        <f t="shared" si="3"/>
        <v>10084.957</v>
      </c>
      <c r="L116" s="32">
        <f>IF(COUNTIFS(SL_Income_Log!$B:$B,TEXT(B116,"0000")&amp;"-"&amp;TEXT(A116,"00"),SL_Income_Log!$C:$C,"salary",SL_Income_Log!$E:$E,"H")&gt;0,SUMIFS(SL_Income_Log!$D:$D,SL_Income_Log!$B:$B,TEXT(B116,"0000")&amp;"-"&amp;TEXT(A116,"00"),SL_Income_Log!$C:$C,"salary",SL_Income_Log!$E:$E,"H"),K116*(1-Assumptions!$B$102)-Z116-Y116)</f>
        <v>6050.9742</v>
      </c>
      <c r="M116" s="32">
        <f>RSU_Schedule!H115</f>
        <v>2784.99</v>
      </c>
      <c r="N116" s="32">
        <f>Salary_Schedule!G116</f>
        <v>8444.06</v>
      </c>
      <c r="O116" s="32">
        <f>Assumptions!$B$19</f>
        <v>200</v>
      </c>
      <c r="P116" s="32">
        <f>N116*Assumptions!$B$59</f>
        <v>844.406</v>
      </c>
      <c r="Q116" s="32">
        <f>Salary_Schedule!H116</f>
        <v>0</v>
      </c>
      <c r="R116" s="32">
        <f>Q116*Assumptions!$B$20</f>
        <v>0</v>
      </c>
      <c r="S116" s="54">
        <f t="shared" si="4"/>
        <v>7399.654</v>
      </c>
      <c r="T116" s="32">
        <f>IF(COUNTIFS(SL_Income_Log!$B:$B,TEXT(B116,"0000")&amp;"-"&amp;TEXT(A116,"00"),SL_Income_Log!$C:$C,"salary",SL_Income_Log!$E:$E,"W")&gt;0,SUMIFS(SL_Income_Log!$D:$D,SL_Income_Log!$B:$B,TEXT(B116,"0000")&amp;"-"&amp;TEXT(A116,"00"),SL_Income_Log!$C:$C,"salary",SL_Income_Log!$E:$E,"W"),S116*(1-Assumptions!$B$102)-AC116-AB116)
</f>
        <v>4439.7924</v>
      </c>
      <c r="U116" s="32">
        <f>RSU_Schedule!M115</f>
        <v>1392.51</v>
      </c>
      <c r="V116" s="32">
        <f>H116*(1+Assumptions!$B$60)+Assumptions!$B$61</f>
        <v>1619.8822</v>
      </c>
      <c r="W116" s="32">
        <f>P116*(1+Assumptions!$B$60)+Assumptions!$B$61</f>
        <v>1202.1684</v>
      </c>
      <c r="X116" s="32">
        <f t="shared" si="5"/>
        <v>2822.0506</v>
      </c>
      <c r="Y116" s="32">
        <v>0.0</v>
      </c>
      <c r="Z116" s="32">
        <v>0.0</v>
      </c>
      <c r="AA116" s="32">
        <v>0.0</v>
      </c>
      <c r="AB116" s="32">
        <v>0.0</v>
      </c>
      <c r="AC116" s="32">
        <v>0.0</v>
      </c>
      <c r="AD116" s="32">
        <v>0.0</v>
      </c>
      <c r="AE116" s="32">
        <f t="shared" ref="AE116:AF116" si="157">Z116+AC116</f>
        <v>0</v>
      </c>
      <c r="AF116" s="32">
        <f t="shared" si="157"/>
        <v>0</v>
      </c>
      <c r="AG116" s="32">
        <f>IF(COUNTIFS(SL_Income_Log!$B:$B,TEXT(B116,"0000")&amp;"-"&amp;TEXT(A116,"00"),SL_Income_Log!$C:$C,"youtube")&gt;0,SUMIFS(SL_Income_Log!$D:$D,SL_Income_Log!$B:$B,TEXT(B116,"0000")&amp;"-"&amp;TEXT(A116,"00"),SL_Income_Log!$C:$C,"youtube"),MIN(Assumptions!$B$49+FLOOR((ROW()-2)/6,1)*Assumptions!$B$50,Assumptions!$B$51))
</f>
        <v>20000</v>
      </c>
      <c r="AH116" s="32">
        <f>AG116*Assumptions!$B$104</f>
        <v>8860</v>
      </c>
      <c r="AI116" s="32">
        <f t="shared" si="7"/>
        <v>11140</v>
      </c>
      <c r="AJ116" s="32">
        <f>SUMIFS(SL_Income_Log!$D:$D,SL_Income_Log!$B:$B,TEXT(B116,"0000")&amp;"-"&amp;TEXT(A116,"00"),SL_Income_Log!$C:$C,"other")</f>
        <v>0</v>
      </c>
      <c r="AK116" s="32">
        <f t="shared" si="27"/>
        <v>10000</v>
      </c>
      <c r="AL116" s="32">
        <f>L116+M116+T116+U116+AI116+AJ116-Y116-Z116-AB116-AC116+IF((Debt_Register!$C$2+Debt_Register!$C$6+Debt_Register!$C$7+Debt_Register!$C$8+Debt_Register!$C$9)&gt;5,X116,0)</f>
        <v>28630.3172</v>
      </c>
      <c r="AM116" s="32">
        <f t="shared" si="8"/>
        <v>38630.3172</v>
      </c>
      <c r="AN116" s="32">
        <f>MAX(Assumptions!$B$94,MIN(Assumptions!$B$93,AM116-AP116-BE116-BO116-BQ116))</f>
        <v>10000</v>
      </c>
      <c r="AO116" s="32">
        <v>0.0</v>
      </c>
      <c r="AP116" s="32">
        <v>0.0</v>
      </c>
      <c r="AQ116" s="32">
        <v>0.0</v>
      </c>
      <c r="AR116" s="32">
        <v>0.0</v>
      </c>
      <c r="AS116" s="32">
        <v>0.0</v>
      </c>
      <c r="AT116" s="32">
        <v>0.0</v>
      </c>
      <c r="AU116" s="32">
        <f t="shared" si="30"/>
        <v>0</v>
      </c>
      <c r="AV116" s="32">
        <f t="shared" si="31"/>
        <v>0</v>
      </c>
      <c r="AW116" s="32">
        <f t="shared" si="32"/>
        <v>0</v>
      </c>
      <c r="AX116" s="32">
        <f t="shared" si="33"/>
        <v>0</v>
      </c>
      <c r="AY116" s="32">
        <f t="shared" si="34"/>
        <v>0</v>
      </c>
      <c r="AZ116" s="32">
        <f t="shared" si="35"/>
        <v>0</v>
      </c>
      <c r="BA116" s="32">
        <f t="shared" si="36"/>
        <v>0</v>
      </c>
      <c r="BB116" s="32">
        <f t="shared" si="37"/>
        <v>0</v>
      </c>
      <c r="BC116" s="32">
        <f t="shared" si="38"/>
        <v>0</v>
      </c>
      <c r="BD116" s="32">
        <f t="shared" si="39"/>
        <v>0</v>
      </c>
      <c r="BE116" s="32">
        <f t="shared" si="11"/>
        <v>0</v>
      </c>
      <c r="BF116" s="32">
        <v>0.0</v>
      </c>
      <c r="BG116" s="32">
        <f t="shared" si="40"/>
        <v>5500</v>
      </c>
      <c r="BH116" s="32">
        <v>0.0</v>
      </c>
      <c r="BI116" s="32">
        <f t="shared" si="41"/>
        <v>5000</v>
      </c>
      <c r="BJ116" s="32">
        <f>IF(OR(B116&lt;Assumptions!$B$111,AND(B116=Assumptions!$B$111,A116&lt;=Assumptions!$B$112)),Assumptions!$B$110,0)</f>
        <v>0</v>
      </c>
      <c r="BK116" s="32">
        <f>IF(B116&lt;2027,Assumptions!$B$116+IF(OR(A116=4,A116=10),Assumptions!$B$117,0),IF(AND(B116=2027,A116&lt;=4),IF(A116=4,MIN(950,Assumptions!$B$116+Assumptions!$B$117),Assumptions!$B$116),0))</f>
        <v>0</v>
      </c>
      <c r="BL116" s="32">
        <f>IF(OR(B116&lt;2030,AND(B116=2030,A116&lt;8)),Assumptions!$B$118,IF(AND(B116=2030,A116=8),MOD(11000,200),0))</f>
        <v>0</v>
      </c>
      <c r="BM116" s="32">
        <f>IF(OR(B116&lt;Assumptions!$B$120,AND(B116=Assumptions!$B$120,A116&lt;=Assumptions!$B$121)),Assumptions!$B$119,0)</f>
        <v>0</v>
      </c>
      <c r="BN116" s="32">
        <f>IF(AND(B116&lt;=Assumptions!$B$123,A116&lt;=Assumptions!$B$124),Assumptions!$B$122,0)</f>
        <v>0</v>
      </c>
      <c r="BO116" s="32">
        <f t="shared" si="12"/>
        <v>0</v>
      </c>
      <c r="BP116" s="32">
        <f>SUMIFS(SL_Budget!$B:$B,SL_Budget!$C:$C,"'"&amp;TEXT(DATE(B116,A116,1),"YYYY-MM"))</f>
        <v>5360</v>
      </c>
      <c r="BQ116" s="32">
        <f>MAX(BP116, IFERROR(SUMIFS(ShadowLedger!D:D, 
  ShadowLedger!C:C, "&gt;="&amp;DATE(B116,A116,1), 
  ShadowLedger!C:C, "&lt;"&amp;EOMONTH(DATE(B116,A116,1),0)+1), 0))
</f>
        <v>5360</v>
      </c>
      <c r="BR116" s="32">
        <f t="shared" si="42"/>
        <v>1570594.285</v>
      </c>
      <c r="BS116" s="32">
        <f t="shared" si="43"/>
        <v>2822.0506</v>
      </c>
      <c r="BT116" s="32">
        <f>IF(BY115&gt;=Assumptions!$B$92,MAX(0,(AM116-BE116-BO116-BQ116)-Assumptions!$B$93),MAX(0,(AM116-BE116-BO116-BQ116)-Assumptions!$B$93)*Assumptions!$B$99)</f>
        <v>23270.3172</v>
      </c>
      <c r="BU116" s="32">
        <f>(BR116+BS116+MAX(0,BT116))*(Assumptions!$B$43-1)</f>
        <v>10886.2096</v>
      </c>
      <c r="BV116" s="32">
        <f t="shared" si="13"/>
        <v>1607572.862</v>
      </c>
      <c r="BW116" s="32">
        <f t="shared" si="44"/>
        <v>15476.04728</v>
      </c>
      <c r="BX116" s="32">
        <f>IF(BY115&lt;Assumptions!$B$92,MAX(0,(AM116-BE116-BO116-BQ116)-Assumptions!$B$93)*Assumptions!$B$98,0)</f>
        <v>0</v>
      </c>
      <c r="BY116" s="32">
        <f t="shared" si="14"/>
        <v>15476.04728</v>
      </c>
      <c r="BZ116" s="32">
        <f t="shared" si="45"/>
        <v>50502</v>
      </c>
      <c r="CA116" s="32">
        <f t="shared" si="15"/>
        <v>8860</v>
      </c>
      <c r="CB116" s="32">
        <f t="shared" si="16"/>
        <v>59362</v>
      </c>
      <c r="CC116" s="55">
        <f>CC115+(G116+J116)/(Salary_Schedule!E116*12/208)</f>
        <v>1825.151682</v>
      </c>
      <c r="CD116" s="55">
        <f>CD115+(O116+R116)/(Salary_Schedule!G116*12/208)</f>
        <v>156.6324498</v>
      </c>
      <c r="CE116" s="32">
        <f t="shared" si="17"/>
        <v>1607572.862</v>
      </c>
      <c r="CF116" s="32">
        <f>Assumptions!$B$55*(1+Assumptions!$B$56)^((B116-2025)+(A116-1)/12)</f>
        <v>607990.4914</v>
      </c>
      <c r="CG116" s="32">
        <f t="shared" si="18"/>
        <v>0</v>
      </c>
      <c r="CH116" s="32">
        <f t="shared" si="19"/>
        <v>-10500</v>
      </c>
      <c r="CI116" s="32">
        <f>CC116*(Salary_Schedule!E116/173.33)*(1-Assumptions!$B$28)+CD116*(Salary_Schedule!G116/173.33)*(1-Assumptions!$B$28)</f>
        <v>83176.4287</v>
      </c>
      <c r="CJ116" s="32">
        <f t="shared" si="20"/>
        <v>2288239.783</v>
      </c>
    </row>
    <row r="117" ht="15.0" customHeight="1">
      <c r="A117" s="1">
        <v>8.0</v>
      </c>
      <c r="B117" s="1">
        <v>2035.0</v>
      </c>
      <c r="C117" s="1" t="s">
        <v>786</v>
      </c>
      <c r="D117" s="1" t="str">
        <f t="shared" si="21"/>
        <v>07/2035</v>
      </c>
      <c r="E117" s="1" t="str">
        <f t="shared" si="2"/>
        <v>LEAN</v>
      </c>
      <c r="F117" s="32">
        <f>Salary_Schedule!E117</f>
        <v>11427.73</v>
      </c>
      <c r="G117" s="32">
        <f>Assumptions!$B$8</f>
        <v>200</v>
      </c>
      <c r="H117" s="32">
        <f>F117*Assumptions!$B$58</f>
        <v>1142.773</v>
      </c>
      <c r="I117" s="32">
        <f>Salary_Schedule!F117</f>
        <v>0</v>
      </c>
      <c r="J117" s="32">
        <f>I117*Assumptions!$B$9</f>
        <v>0</v>
      </c>
      <c r="K117" s="54">
        <f t="shared" si="3"/>
        <v>10084.957</v>
      </c>
      <c r="L117" s="32">
        <f>IF(COUNTIFS(SL_Income_Log!$B:$B,TEXT(B117,"0000")&amp;"-"&amp;TEXT(A117,"00"),SL_Income_Log!$C:$C,"salary",SL_Income_Log!$E:$E,"H")&gt;0,SUMIFS(SL_Income_Log!$D:$D,SL_Income_Log!$B:$B,TEXT(B117,"0000")&amp;"-"&amp;TEXT(A117,"00"),SL_Income_Log!$C:$C,"salary",SL_Income_Log!$E:$E,"H"),K117*(1-Assumptions!$B$102)-Z117-Y117)</f>
        <v>6050.9742</v>
      </c>
      <c r="M117" s="32">
        <f>RSU_Schedule!H116</f>
        <v>0</v>
      </c>
      <c r="N117" s="32">
        <f>Salary_Schedule!G117</f>
        <v>8444.06</v>
      </c>
      <c r="O117" s="32">
        <f>Assumptions!$B$19</f>
        <v>200</v>
      </c>
      <c r="P117" s="32">
        <f>N117*Assumptions!$B$59</f>
        <v>844.406</v>
      </c>
      <c r="Q117" s="32">
        <f>Salary_Schedule!H117</f>
        <v>0</v>
      </c>
      <c r="R117" s="32">
        <f>Q117*Assumptions!$B$20</f>
        <v>0</v>
      </c>
      <c r="S117" s="54">
        <f t="shared" si="4"/>
        <v>7399.654</v>
      </c>
      <c r="T117" s="32">
        <f>IF(COUNTIFS(SL_Income_Log!$B:$B,TEXT(B117,"0000")&amp;"-"&amp;TEXT(A117,"00"),SL_Income_Log!$C:$C,"salary",SL_Income_Log!$E:$E,"W")&gt;0,SUMIFS(SL_Income_Log!$D:$D,SL_Income_Log!$B:$B,TEXT(B117,"0000")&amp;"-"&amp;TEXT(A117,"00"),SL_Income_Log!$C:$C,"salary",SL_Income_Log!$E:$E,"W"),S117*(1-Assumptions!$B$102)-AC117-AB117)
</f>
        <v>4439.7924</v>
      </c>
      <c r="U117" s="32">
        <f>RSU_Schedule!M116</f>
        <v>0</v>
      </c>
      <c r="V117" s="32">
        <f>H117*(1+Assumptions!$B$60)+Assumptions!$B$61</f>
        <v>1619.8822</v>
      </c>
      <c r="W117" s="32">
        <f>P117*(1+Assumptions!$B$60)+Assumptions!$B$61</f>
        <v>1202.1684</v>
      </c>
      <c r="X117" s="32">
        <f t="shared" si="5"/>
        <v>2822.0506</v>
      </c>
      <c r="Y117" s="32">
        <v>0.0</v>
      </c>
      <c r="Z117" s="32">
        <v>0.0</v>
      </c>
      <c r="AA117" s="32">
        <v>0.0</v>
      </c>
      <c r="AB117" s="32">
        <v>0.0</v>
      </c>
      <c r="AC117" s="32">
        <v>0.0</v>
      </c>
      <c r="AD117" s="32">
        <v>0.0</v>
      </c>
      <c r="AE117" s="32">
        <f t="shared" ref="AE117:AF117" si="158">Z117+AC117</f>
        <v>0</v>
      </c>
      <c r="AF117" s="32">
        <f t="shared" si="158"/>
        <v>0</v>
      </c>
      <c r="AG117" s="32">
        <f>IF(COUNTIFS(SL_Income_Log!$B:$B,TEXT(B117,"0000")&amp;"-"&amp;TEXT(A117,"00"),SL_Income_Log!$C:$C,"youtube")&gt;0,SUMIFS(SL_Income_Log!$D:$D,SL_Income_Log!$B:$B,TEXT(B117,"0000")&amp;"-"&amp;TEXT(A117,"00"),SL_Income_Log!$C:$C,"youtube"),MIN(Assumptions!$B$49+FLOOR((ROW()-2)/6,1)*Assumptions!$B$50,Assumptions!$B$51))
</f>
        <v>20000</v>
      </c>
      <c r="AH117" s="32">
        <f>AG117*Assumptions!$B$104</f>
        <v>8860</v>
      </c>
      <c r="AI117" s="32">
        <f t="shared" si="7"/>
        <v>11140</v>
      </c>
      <c r="AJ117" s="32">
        <f>SUMIFS(SL_Income_Log!$D:$D,SL_Income_Log!$B:$B,TEXT(B117,"0000")&amp;"-"&amp;TEXT(A117,"00"),SL_Income_Log!$C:$C,"other")</f>
        <v>0</v>
      </c>
      <c r="AK117" s="32">
        <f t="shared" si="27"/>
        <v>10000</v>
      </c>
      <c r="AL117" s="32">
        <f>L117+M117+T117+U117+AI117+AJ117-Y117-Z117-AB117-AC117+IF((Debt_Register!$C$2+Debt_Register!$C$6+Debt_Register!$C$7+Debt_Register!$C$8+Debt_Register!$C$9)&gt;5,X117,0)</f>
        <v>24452.8172</v>
      </c>
      <c r="AM117" s="32">
        <f t="shared" si="8"/>
        <v>34452.8172</v>
      </c>
      <c r="AN117" s="32">
        <f>MAX(Assumptions!$B$94,MIN(Assumptions!$B$93,AM117-AP117-BE117-BO117-BQ117))</f>
        <v>10000</v>
      </c>
      <c r="AO117" s="32">
        <v>0.0</v>
      </c>
      <c r="AP117" s="32">
        <v>0.0</v>
      </c>
      <c r="AQ117" s="32">
        <v>0.0</v>
      </c>
      <c r="AR117" s="32">
        <v>0.0</v>
      </c>
      <c r="AS117" s="32">
        <v>0.0</v>
      </c>
      <c r="AT117" s="32">
        <v>0.0</v>
      </c>
      <c r="AU117" s="32">
        <f t="shared" si="30"/>
        <v>0</v>
      </c>
      <c r="AV117" s="32">
        <f t="shared" si="31"/>
        <v>0</v>
      </c>
      <c r="AW117" s="32">
        <f t="shared" si="32"/>
        <v>0</v>
      </c>
      <c r="AX117" s="32">
        <f t="shared" si="33"/>
        <v>0</v>
      </c>
      <c r="AY117" s="32">
        <f t="shared" si="34"/>
        <v>0</v>
      </c>
      <c r="AZ117" s="32">
        <f t="shared" si="35"/>
        <v>0</v>
      </c>
      <c r="BA117" s="32">
        <f t="shared" si="36"/>
        <v>0</v>
      </c>
      <c r="BB117" s="32">
        <f t="shared" si="37"/>
        <v>0</v>
      </c>
      <c r="BC117" s="32">
        <f t="shared" si="38"/>
        <v>0</v>
      </c>
      <c r="BD117" s="32">
        <f t="shared" si="39"/>
        <v>0</v>
      </c>
      <c r="BE117" s="32">
        <f t="shared" si="11"/>
        <v>0</v>
      </c>
      <c r="BF117" s="32">
        <v>0.0</v>
      </c>
      <c r="BG117" s="32">
        <f t="shared" si="40"/>
        <v>5500</v>
      </c>
      <c r="BH117" s="32">
        <v>0.0</v>
      </c>
      <c r="BI117" s="32">
        <f t="shared" si="41"/>
        <v>5000</v>
      </c>
      <c r="BJ117" s="32">
        <f>IF(OR(B117&lt;Assumptions!$B$111,AND(B117=Assumptions!$B$111,A117&lt;=Assumptions!$B$112)),Assumptions!$B$110,0)</f>
        <v>0</v>
      </c>
      <c r="BK117" s="32">
        <f>IF(B117&lt;2027,Assumptions!$B$116+IF(OR(A117=4,A117=10),Assumptions!$B$117,0),IF(AND(B117=2027,A117&lt;=4),IF(A117=4,MIN(950,Assumptions!$B$116+Assumptions!$B$117),Assumptions!$B$116),0))</f>
        <v>0</v>
      </c>
      <c r="BL117" s="32">
        <f>IF(OR(B117&lt;2030,AND(B117=2030,A117&lt;8)),Assumptions!$B$118,IF(AND(B117=2030,A117=8),MOD(11000,200),0))</f>
        <v>0</v>
      </c>
      <c r="BM117" s="32">
        <f>IF(OR(B117&lt;Assumptions!$B$120,AND(B117=Assumptions!$B$120,A117&lt;=Assumptions!$B$121)),Assumptions!$B$119,0)</f>
        <v>0</v>
      </c>
      <c r="BN117" s="32">
        <f>IF(AND(B117&lt;=Assumptions!$B$123,A117&lt;=Assumptions!$B$124),Assumptions!$B$122,0)</f>
        <v>0</v>
      </c>
      <c r="BO117" s="32">
        <f t="shared" si="12"/>
        <v>0</v>
      </c>
      <c r="BP117" s="32">
        <f>SUMIFS(SL_Budget!$B:$B,SL_Budget!$C:$C,"'"&amp;TEXT(DATE(B117,A117,1),"YYYY-MM"))</f>
        <v>5360</v>
      </c>
      <c r="BQ117" s="32">
        <f>MAX(BP117, IFERROR(SUMIFS(ShadowLedger!D:D, 
  ShadowLedger!C:C, "&gt;="&amp;DATE(B117,A117,1), 
  ShadowLedger!C:C, "&lt;"&amp;EOMONTH(DATE(B117,A117,1),0)+1), 0))
</f>
        <v>5360</v>
      </c>
      <c r="BR117" s="32">
        <f t="shared" si="42"/>
        <v>1607572.862</v>
      </c>
      <c r="BS117" s="32">
        <f t="shared" si="43"/>
        <v>2822.0506</v>
      </c>
      <c r="BT117" s="32">
        <f>IF(BY116&gt;=Assumptions!$B$92,MAX(0,(AM117-BE117-BO117-BQ117)-Assumptions!$B$93),MAX(0,(AM117-BE117-BO117-BQ117)-Assumptions!$B$93)*Assumptions!$B$99)</f>
        <v>19092.8172</v>
      </c>
      <c r="BU117" s="32">
        <f>(BR117+BS117+MAX(0,BT117))*(Assumptions!$B$43-1)</f>
        <v>11109.84735</v>
      </c>
      <c r="BV117" s="32">
        <f t="shared" si="13"/>
        <v>1640597.578</v>
      </c>
      <c r="BW117" s="32">
        <f t="shared" si="44"/>
        <v>15476.04728</v>
      </c>
      <c r="BX117" s="32">
        <f>IF(BY116&lt;Assumptions!$B$92,MAX(0,(AM117-BE117-BO117-BQ117)-Assumptions!$B$93)*Assumptions!$B$98,0)</f>
        <v>0</v>
      </c>
      <c r="BY117" s="32">
        <f t="shared" si="14"/>
        <v>15476.04728</v>
      </c>
      <c r="BZ117" s="32">
        <f t="shared" si="45"/>
        <v>59362</v>
      </c>
      <c r="CA117" s="32">
        <f t="shared" si="15"/>
        <v>8860</v>
      </c>
      <c r="CB117" s="32">
        <f t="shared" si="16"/>
        <v>68222</v>
      </c>
      <c r="CC117" s="55">
        <f>CC116+(G117+J117)/(Salary_Schedule!E117*12/208)</f>
        <v>1825.455038</v>
      </c>
      <c r="CD117" s="55">
        <f>CD116+(O117+R117)/(Salary_Schedule!G117*12/208)</f>
        <v>157.0429948</v>
      </c>
      <c r="CE117" s="32">
        <f t="shared" si="17"/>
        <v>1640597.578</v>
      </c>
      <c r="CF117" s="32">
        <f>Assumptions!$B$55*(1+Assumptions!$B$56)^((B117-2025)+(A117-1)/12)</f>
        <v>608745.3042</v>
      </c>
      <c r="CG117" s="32">
        <f t="shared" si="18"/>
        <v>0</v>
      </c>
      <c r="CH117" s="32">
        <f t="shared" si="19"/>
        <v>-10500</v>
      </c>
      <c r="CI117" s="32">
        <f>CC117*(Salary_Schedule!E117/173.33)*(1-Assumptions!$B$28)+CD117*(Salary_Schedule!G117/173.33)*(1-Assumptions!$B$28)</f>
        <v>83202.4292</v>
      </c>
      <c r="CJ117" s="32">
        <f t="shared" si="20"/>
        <v>2322045.311</v>
      </c>
    </row>
    <row r="118" ht="15.0" customHeight="1">
      <c r="A118" s="1">
        <v>9.0</v>
      </c>
      <c r="B118" s="1">
        <v>2035.0</v>
      </c>
      <c r="C118" s="1" t="s">
        <v>787</v>
      </c>
      <c r="D118" s="1" t="str">
        <f t="shared" si="21"/>
        <v>08/2035</v>
      </c>
      <c r="E118" s="1" t="str">
        <f t="shared" si="2"/>
        <v>LEAN</v>
      </c>
      <c r="F118" s="32">
        <f>Salary_Schedule!E118</f>
        <v>11427.73</v>
      </c>
      <c r="G118" s="32">
        <f>Assumptions!$B$8</f>
        <v>200</v>
      </c>
      <c r="H118" s="32">
        <f>F118*Assumptions!$B$58</f>
        <v>1142.773</v>
      </c>
      <c r="I118" s="32">
        <f>Salary_Schedule!F118</f>
        <v>0</v>
      </c>
      <c r="J118" s="32">
        <f>I118*Assumptions!$B$9</f>
        <v>0</v>
      </c>
      <c r="K118" s="54">
        <f t="shared" si="3"/>
        <v>10084.957</v>
      </c>
      <c r="L118" s="32">
        <f>IF(COUNTIFS(SL_Income_Log!$B:$B,TEXT(B118,"0000")&amp;"-"&amp;TEXT(A118,"00"),SL_Income_Log!$C:$C,"salary",SL_Income_Log!$E:$E,"H")&gt;0,SUMIFS(SL_Income_Log!$D:$D,SL_Income_Log!$B:$B,TEXT(B118,"0000")&amp;"-"&amp;TEXT(A118,"00"),SL_Income_Log!$C:$C,"salary",SL_Income_Log!$E:$E,"H"),K118*(1-Assumptions!$B$102)-Z118-Y118)</f>
        <v>6050.9742</v>
      </c>
      <c r="M118" s="32">
        <f>RSU_Schedule!H117</f>
        <v>0</v>
      </c>
      <c r="N118" s="32">
        <f>Salary_Schedule!G118</f>
        <v>8444.06</v>
      </c>
      <c r="O118" s="32">
        <f>Assumptions!$B$19</f>
        <v>200</v>
      </c>
      <c r="P118" s="32">
        <f>N118*Assumptions!$B$59</f>
        <v>844.406</v>
      </c>
      <c r="Q118" s="32">
        <f>Salary_Schedule!H118</f>
        <v>0</v>
      </c>
      <c r="R118" s="32">
        <f>Q118*Assumptions!$B$20</f>
        <v>0</v>
      </c>
      <c r="S118" s="54">
        <f t="shared" si="4"/>
        <v>7399.654</v>
      </c>
      <c r="T118" s="32">
        <f>IF(COUNTIFS(SL_Income_Log!$B:$B,TEXT(B118,"0000")&amp;"-"&amp;TEXT(A118,"00"),SL_Income_Log!$C:$C,"salary",SL_Income_Log!$E:$E,"W")&gt;0,SUMIFS(SL_Income_Log!$D:$D,SL_Income_Log!$B:$B,TEXT(B118,"0000")&amp;"-"&amp;TEXT(A118,"00"),SL_Income_Log!$C:$C,"salary",SL_Income_Log!$E:$E,"W"),S118*(1-Assumptions!$B$102)-AC118-AB118)
</f>
        <v>4439.7924</v>
      </c>
      <c r="U118" s="32">
        <f>RSU_Schedule!M117</f>
        <v>0</v>
      </c>
      <c r="V118" s="32">
        <f>H118*(1+Assumptions!$B$60)+Assumptions!$B$61</f>
        <v>1619.8822</v>
      </c>
      <c r="W118" s="32">
        <f>P118*(1+Assumptions!$B$60)+Assumptions!$B$61</f>
        <v>1202.1684</v>
      </c>
      <c r="X118" s="32">
        <f t="shared" si="5"/>
        <v>2822.0506</v>
      </c>
      <c r="Y118" s="32">
        <v>0.0</v>
      </c>
      <c r="Z118" s="32">
        <v>0.0</v>
      </c>
      <c r="AA118" s="32">
        <v>0.0</v>
      </c>
      <c r="AB118" s="32">
        <v>0.0</v>
      </c>
      <c r="AC118" s="32">
        <v>0.0</v>
      </c>
      <c r="AD118" s="32">
        <v>0.0</v>
      </c>
      <c r="AE118" s="32">
        <f t="shared" ref="AE118:AF118" si="159">Z118+AC118</f>
        <v>0</v>
      </c>
      <c r="AF118" s="32">
        <f t="shared" si="159"/>
        <v>0</v>
      </c>
      <c r="AG118" s="32">
        <f>IF(COUNTIFS(SL_Income_Log!$B:$B,TEXT(B118,"0000")&amp;"-"&amp;TEXT(A118,"00"),SL_Income_Log!$C:$C,"youtube")&gt;0,SUMIFS(SL_Income_Log!$D:$D,SL_Income_Log!$B:$B,TEXT(B118,"0000")&amp;"-"&amp;TEXT(A118,"00"),SL_Income_Log!$C:$C,"youtube"),MIN(Assumptions!$B$49+FLOOR((ROW()-2)/6,1)*Assumptions!$B$50,Assumptions!$B$51))
</f>
        <v>20000</v>
      </c>
      <c r="AH118" s="32">
        <f>AG118*Assumptions!$B$104</f>
        <v>8860</v>
      </c>
      <c r="AI118" s="32">
        <f t="shared" si="7"/>
        <v>11140</v>
      </c>
      <c r="AJ118" s="32">
        <f>SUMIFS(SL_Income_Log!$D:$D,SL_Income_Log!$B:$B,TEXT(B118,"0000")&amp;"-"&amp;TEXT(A118,"00"),SL_Income_Log!$C:$C,"other")</f>
        <v>0</v>
      </c>
      <c r="AK118" s="32">
        <f t="shared" si="27"/>
        <v>10000</v>
      </c>
      <c r="AL118" s="32">
        <f>L118+M118+T118+U118+AI118+AJ118-Y118-Z118-AB118-AC118+IF((Debt_Register!$C$2+Debt_Register!$C$6+Debt_Register!$C$7+Debt_Register!$C$8+Debt_Register!$C$9)&gt;5,X118,0)</f>
        <v>24452.8172</v>
      </c>
      <c r="AM118" s="32">
        <f t="shared" si="8"/>
        <v>34452.8172</v>
      </c>
      <c r="AN118" s="32">
        <f>MAX(Assumptions!$B$94,MIN(Assumptions!$B$93,AM118-AP118-BE118-BO118-BQ118))</f>
        <v>10000</v>
      </c>
      <c r="AO118" s="32">
        <v>0.0</v>
      </c>
      <c r="AP118" s="32">
        <v>0.0</v>
      </c>
      <c r="AQ118" s="32">
        <v>0.0</v>
      </c>
      <c r="AR118" s="32">
        <v>0.0</v>
      </c>
      <c r="AS118" s="32">
        <v>0.0</v>
      </c>
      <c r="AT118" s="32">
        <v>0.0</v>
      </c>
      <c r="AU118" s="32">
        <f t="shared" si="30"/>
        <v>0</v>
      </c>
      <c r="AV118" s="32">
        <f t="shared" si="31"/>
        <v>0</v>
      </c>
      <c r="AW118" s="32">
        <f t="shared" si="32"/>
        <v>0</v>
      </c>
      <c r="AX118" s="32">
        <f t="shared" si="33"/>
        <v>0</v>
      </c>
      <c r="AY118" s="32">
        <f t="shared" si="34"/>
        <v>0</v>
      </c>
      <c r="AZ118" s="32">
        <f t="shared" si="35"/>
        <v>0</v>
      </c>
      <c r="BA118" s="32">
        <f t="shared" si="36"/>
        <v>0</v>
      </c>
      <c r="BB118" s="32">
        <f t="shared" si="37"/>
        <v>0</v>
      </c>
      <c r="BC118" s="32">
        <f t="shared" si="38"/>
        <v>0</v>
      </c>
      <c r="BD118" s="32">
        <f t="shared" si="39"/>
        <v>0</v>
      </c>
      <c r="BE118" s="32">
        <f t="shared" si="11"/>
        <v>0</v>
      </c>
      <c r="BF118" s="32">
        <v>0.0</v>
      </c>
      <c r="BG118" s="32">
        <f t="shared" si="40"/>
        <v>5500</v>
      </c>
      <c r="BH118" s="32">
        <v>0.0</v>
      </c>
      <c r="BI118" s="32">
        <f t="shared" si="41"/>
        <v>5000</v>
      </c>
      <c r="BJ118" s="32">
        <f>IF(OR(B118&lt;Assumptions!$B$111,AND(B118=Assumptions!$B$111,A118&lt;=Assumptions!$B$112)),Assumptions!$B$110,0)</f>
        <v>0</v>
      </c>
      <c r="BK118" s="32">
        <f>IF(B118&lt;2027,Assumptions!$B$116+IF(OR(A118=4,A118=10),Assumptions!$B$117,0),IF(AND(B118=2027,A118&lt;=4),IF(A118=4,MIN(950,Assumptions!$B$116+Assumptions!$B$117),Assumptions!$B$116),0))</f>
        <v>0</v>
      </c>
      <c r="BL118" s="32">
        <f>IF(OR(B118&lt;2030,AND(B118=2030,A118&lt;8)),Assumptions!$B$118,IF(AND(B118=2030,A118=8),MOD(11000,200),0))</f>
        <v>0</v>
      </c>
      <c r="BM118" s="32">
        <f>IF(OR(B118&lt;Assumptions!$B$120,AND(B118=Assumptions!$B$120,A118&lt;=Assumptions!$B$121)),Assumptions!$B$119,0)</f>
        <v>0</v>
      </c>
      <c r="BN118" s="32">
        <f>IF(AND(B118&lt;=Assumptions!$B$123,A118&lt;=Assumptions!$B$124),Assumptions!$B$122,0)</f>
        <v>0</v>
      </c>
      <c r="BO118" s="32">
        <f t="shared" si="12"/>
        <v>0</v>
      </c>
      <c r="BP118" s="32">
        <f>SUMIFS(SL_Budget!$B:$B,SL_Budget!$C:$C,"'"&amp;TEXT(DATE(B118,A118,1),"YYYY-MM"))</f>
        <v>5360</v>
      </c>
      <c r="BQ118" s="32">
        <f>MAX(BP118, IFERROR(SUMIFS(ShadowLedger!D:D, 
  ShadowLedger!C:C, "&gt;="&amp;DATE(B118,A118,1), 
  ShadowLedger!C:C, "&lt;"&amp;EOMONTH(DATE(B118,A118,1),0)+1), 0))
</f>
        <v>5360</v>
      </c>
      <c r="BR118" s="32">
        <f t="shared" si="42"/>
        <v>1640597.578</v>
      </c>
      <c r="BS118" s="32">
        <f t="shared" si="43"/>
        <v>2822.0506</v>
      </c>
      <c r="BT118" s="32">
        <f>IF(BY117&gt;=Assumptions!$B$92,MAX(0,(AM118-BE118-BO118-BQ118)-Assumptions!$B$93),MAX(0,(AM118-BE118-BO118-BQ118)-Assumptions!$B$93)*Assumptions!$B$99)</f>
        <v>19092.8172</v>
      </c>
      <c r="BU118" s="32">
        <f>(BR118+BS118+MAX(0,BT118))*(Assumptions!$B$43-1)</f>
        <v>11335.00985</v>
      </c>
      <c r="BV118" s="32">
        <f t="shared" si="13"/>
        <v>1673847.455</v>
      </c>
      <c r="BW118" s="32">
        <f t="shared" si="44"/>
        <v>15476.04728</v>
      </c>
      <c r="BX118" s="32">
        <f>IF(BY117&lt;Assumptions!$B$92,MAX(0,(AM118-BE118-BO118-BQ118)-Assumptions!$B$93)*Assumptions!$B$98,0)</f>
        <v>0</v>
      </c>
      <c r="BY118" s="32">
        <f t="shared" si="14"/>
        <v>15476.04728</v>
      </c>
      <c r="BZ118" s="32">
        <f t="shared" si="45"/>
        <v>68222</v>
      </c>
      <c r="CA118" s="32">
        <f t="shared" si="15"/>
        <v>8860</v>
      </c>
      <c r="CB118" s="32">
        <f t="shared" si="16"/>
        <v>77082</v>
      </c>
      <c r="CC118" s="55">
        <f>CC117+(G118+J118)/(Salary_Schedule!E118*12/208)</f>
        <v>1825.758394</v>
      </c>
      <c r="CD118" s="55">
        <f>CD117+(O118+R118)/(Salary_Schedule!G118*12/208)</f>
        <v>157.4535398</v>
      </c>
      <c r="CE118" s="32">
        <f t="shared" si="17"/>
        <v>1673847.455</v>
      </c>
      <c r="CF118" s="32">
        <f>Assumptions!$B$55*(1+Assumptions!$B$56)^((B118-2025)+(A118-1)/12)</f>
        <v>609501.054</v>
      </c>
      <c r="CG118" s="32">
        <f t="shared" si="18"/>
        <v>0</v>
      </c>
      <c r="CH118" s="32">
        <f t="shared" si="19"/>
        <v>-10500</v>
      </c>
      <c r="CI118" s="32">
        <f>CC118*(Salary_Schedule!E118/173.33)*(1-Assumptions!$B$28)+CD118*(Salary_Schedule!G118/173.33)*(1-Assumptions!$B$28)</f>
        <v>83228.4297</v>
      </c>
      <c r="CJ118" s="32">
        <f t="shared" si="20"/>
        <v>2356076.939</v>
      </c>
    </row>
    <row r="119" ht="15.0" customHeight="1">
      <c r="A119" s="1">
        <v>10.0</v>
      </c>
      <c r="B119" s="1">
        <v>2035.0</v>
      </c>
      <c r="C119" s="1" t="s">
        <v>788</v>
      </c>
      <c r="D119" s="1" t="str">
        <f t="shared" si="21"/>
        <v>09/2035</v>
      </c>
      <c r="E119" s="1" t="str">
        <f t="shared" si="2"/>
        <v>FAT_RSU</v>
      </c>
      <c r="F119" s="32">
        <f>Salary_Schedule!E119</f>
        <v>11427.73</v>
      </c>
      <c r="G119" s="32">
        <f>Assumptions!$B$8</f>
        <v>200</v>
      </c>
      <c r="H119" s="32">
        <f>F119*Assumptions!$B$58</f>
        <v>1142.773</v>
      </c>
      <c r="I119" s="32">
        <f>Salary_Schedule!F119</f>
        <v>0</v>
      </c>
      <c r="J119" s="32">
        <f>I119*Assumptions!$B$9</f>
        <v>0</v>
      </c>
      <c r="K119" s="54">
        <f t="shared" si="3"/>
        <v>10084.957</v>
      </c>
      <c r="L119" s="32">
        <f>IF(COUNTIFS(SL_Income_Log!$B:$B,TEXT(B119,"0000")&amp;"-"&amp;TEXT(A119,"00"),SL_Income_Log!$C:$C,"salary",SL_Income_Log!$E:$E,"H")&gt;0,SUMIFS(SL_Income_Log!$D:$D,SL_Income_Log!$B:$B,TEXT(B119,"0000")&amp;"-"&amp;TEXT(A119,"00"),SL_Income_Log!$C:$C,"salary",SL_Income_Log!$E:$E,"H"),K119*(1-Assumptions!$B$102)-Z119-Y119)</f>
        <v>6050.9742</v>
      </c>
      <c r="M119" s="32">
        <f>RSU_Schedule!H118</f>
        <v>2784.99</v>
      </c>
      <c r="N119" s="32">
        <f>Salary_Schedule!G119</f>
        <v>8444.06</v>
      </c>
      <c r="O119" s="32">
        <f>Assumptions!$B$19</f>
        <v>200</v>
      </c>
      <c r="P119" s="32">
        <f>N119*Assumptions!$B$59</f>
        <v>844.406</v>
      </c>
      <c r="Q119" s="32">
        <f>Salary_Schedule!H119</f>
        <v>0</v>
      </c>
      <c r="R119" s="32">
        <f>Q119*Assumptions!$B$20</f>
        <v>0</v>
      </c>
      <c r="S119" s="54">
        <f t="shared" si="4"/>
        <v>7399.654</v>
      </c>
      <c r="T119" s="32">
        <f>IF(COUNTIFS(SL_Income_Log!$B:$B,TEXT(B119,"0000")&amp;"-"&amp;TEXT(A119,"00"),SL_Income_Log!$C:$C,"salary",SL_Income_Log!$E:$E,"W")&gt;0,SUMIFS(SL_Income_Log!$D:$D,SL_Income_Log!$B:$B,TEXT(B119,"0000")&amp;"-"&amp;TEXT(A119,"00"),SL_Income_Log!$C:$C,"salary",SL_Income_Log!$E:$E,"W"),S119*(1-Assumptions!$B$102)-AC119-AB119)
</f>
        <v>4439.7924</v>
      </c>
      <c r="U119" s="32">
        <f>RSU_Schedule!M118</f>
        <v>1392.51</v>
      </c>
      <c r="V119" s="32">
        <f>H119*(1+Assumptions!$B$60)+Assumptions!$B$61</f>
        <v>1619.8822</v>
      </c>
      <c r="W119" s="32">
        <f>P119*(1+Assumptions!$B$60)+Assumptions!$B$61</f>
        <v>1202.1684</v>
      </c>
      <c r="X119" s="32">
        <f t="shared" si="5"/>
        <v>2822.0506</v>
      </c>
      <c r="Y119" s="32">
        <v>0.0</v>
      </c>
      <c r="Z119" s="32">
        <v>0.0</v>
      </c>
      <c r="AA119" s="32">
        <v>0.0</v>
      </c>
      <c r="AB119" s="32">
        <v>0.0</v>
      </c>
      <c r="AC119" s="32">
        <v>0.0</v>
      </c>
      <c r="AD119" s="32">
        <v>0.0</v>
      </c>
      <c r="AE119" s="32">
        <f t="shared" ref="AE119:AF119" si="160">Z119+AC119</f>
        <v>0</v>
      </c>
      <c r="AF119" s="32">
        <f t="shared" si="160"/>
        <v>0</v>
      </c>
      <c r="AG119" s="32">
        <f>IF(COUNTIFS(SL_Income_Log!$B:$B,TEXT(B119,"0000")&amp;"-"&amp;TEXT(A119,"00"),SL_Income_Log!$C:$C,"youtube")&gt;0,SUMIFS(SL_Income_Log!$D:$D,SL_Income_Log!$B:$B,TEXT(B119,"0000")&amp;"-"&amp;TEXT(A119,"00"),SL_Income_Log!$C:$C,"youtube"),MIN(Assumptions!$B$49+FLOOR((ROW()-2)/6,1)*Assumptions!$B$50,Assumptions!$B$51))
</f>
        <v>20000</v>
      </c>
      <c r="AH119" s="32">
        <f>AG119*Assumptions!$B$104</f>
        <v>8860</v>
      </c>
      <c r="AI119" s="32">
        <f t="shared" si="7"/>
        <v>11140</v>
      </c>
      <c r="AJ119" s="32">
        <f>SUMIFS(SL_Income_Log!$D:$D,SL_Income_Log!$B:$B,TEXT(B119,"0000")&amp;"-"&amp;TEXT(A119,"00"),SL_Income_Log!$C:$C,"other")</f>
        <v>0</v>
      </c>
      <c r="AK119" s="32">
        <f t="shared" si="27"/>
        <v>10000</v>
      </c>
      <c r="AL119" s="32">
        <f>L119+M119+T119+U119+AI119+AJ119-Y119-Z119-AB119-AC119+IF((Debt_Register!$C$2+Debt_Register!$C$6+Debt_Register!$C$7+Debt_Register!$C$8+Debt_Register!$C$9)&gt;5,X119,0)</f>
        <v>28630.3172</v>
      </c>
      <c r="AM119" s="32">
        <f t="shared" si="8"/>
        <v>38630.3172</v>
      </c>
      <c r="AN119" s="32">
        <f>MAX(Assumptions!$B$94,MIN(Assumptions!$B$93,AM119-AP119-BE119-BO119-BQ119))</f>
        <v>10000</v>
      </c>
      <c r="AO119" s="32">
        <v>0.0</v>
      </c>
      <c r="AP119" s="32">
        <v>0.0</v>
      </c>
      <c r="AQ119" s="32">
        <v>0.0</v>
      </c>
      <c r="AR119" s="32">
        <v>0.0</v>
      </c>
      <c r="AS119" s="32">
        <v>0.0</v>
      </c>
      <c r="AT119" s="32">
        <v>0.0</v>
      </c>
      <c r="AU119" s="32">
        <f t="shared" si="30"/>
        <v>0</v>
      </c>
      <c r="AV119" s="32">
        <f t="shared" si="31"/>
        <v>0</v>
      </c>
      <c r="AW119" s="32">
        <f t="shared" si="32"/>
        <v>0</v>
      </c>
      <c r="AX119" s="32">
        <f t="shared" si="33"/>
        <v>0</v>
      </c>
      <c r="AY119" s="32">
        <f t="shared" si="34"/>
        <v>0</v>
      </c>
      <c r="AZ119" s="32">
        <f t="shared" si="35"/>
        <v>0</v>
      </c>
      <c r="BA119" s="32">
        <f t="shared" si="36"/>
        <v>0</v>
      </c>
      <c r="BB119" s="32">
        <f t="shared" si="37"/>
        <v>0</v>
      </c>
      <c r="BC119" s="32">
        <f t="shared" si="38"/>
        <v>0</v>
      </c>
      <c r="BD119" s="32">
        <f t="shared" si="39"/>
        <v>0</v>
      </c>
      <c r="BE119" s="32">
        <f t="shared" si="11"/>
        <v>0</v>
      </c>
      <c r="BF119" s="32">
        <v>0.0</v>
      </c>
      <c r="BG119" s="32">
        <f t="shared" si="40"/>
        <v>5500</v>
      </c>
      <c r="BH119" s="32">
        <v>0.0</v>
      </c>
      <c r="BI119" s="32">
        <f t="shared" si="41"/>
        <v>5000</v>
      </c>
      <c r="BJ119" s="32">
        <f>IF(OR(B119&lt;Assumptions!$B$111,AND(B119=Assumptions!$B$111,A119&lt;=Assumptions!$B$112)),Assumptions!$B$110,0)</f>
        <v>0</v>
      </c>
      <c r="BK119" s="32">
        <f>IF(B119&lt;2027,Assumptions!$B$116+IF(OR(A119=4,A119=10),Assumptions!$B$117,0),IF(AND(B119=2027,A119&lt;=4),IF(A119=4,MIN(950,Assumptions!$B$116+Assumptions!$B$117),Assumptions!$B$116),0))</f>
        <v>0</v>
      </c>
      <c r="BL119" s="32">
        <f>IF(OR(B119&lt;2030,AND(B119=2030,A119&lt;8)),Assumptions!$B$118,IF(AND(B119=2030,A119=8),MOD(11000,200),0))</f>
        <v>0</v>
      </c>
      <c r="BM119" s="32">
        <f>IF(OR(B119&lt;Assumptions!$B$120,AND(B119=Assumptions!$B$120,A119&lt;=Assumptions!$B$121)),Assumptions!$B$119,0)</f>
        <v>0</v>
      </c>
      <c r="BN119" s="32">
        <f>IF(AND(B119&lt;=Assumptions!$B$123,A119&lt;=Assumptions!$B$124),Assumptions!$B$122,0)</f>
        <v>0</v>
      </c>
      <c r="BO119" s="32">
        <f t="shared" si="12"/>
        <v>0</v>
      </c>
      <c r="BP119" s="32">
        <f>SUMIFS(SL_Budget!$B:$B,SL_Budget!$C:$C,"'"&amp;TEXT(DATE(B119,A119,1),"YYYY-MM"))</f>
        <v>5360</v>
      </c>
      <c r="BQ119" s="32">
        <f>MAX(BP119, IFERROR(SUMIFS(ShadowLedger!D:D, 
  ShadowLedger!C:C, "&gt;="&amp;DATE(B119,A119,1), 
  ShadowLedger!C:C, "&lt;"&amp;EOMONTH(DATE(B119,A119,1),0)+1), 0))
</f>
        <v>5360</v>
      </c>
      <c r="BR119" s="32">
        <f t="shared" si="42"/>
        <v>1673847.455</v>
      </c>
      <c r="BS119" s="32">
        <f t="shared" si="43"/>
        <v>2822.0506</v>
      </c>
      <c r="BT119" s="32">
        <f>IF(BY118&gt;=Assumptions!$B$92,MAX(0,(AM119-BE119-BO119-BQ119)-Assumptions!$B$93),MAX(0,(AM119-BE119-BO119-BQ119)-Assumptions!$B$93)*Assumptions!$B$99)</f>
        <v>23270.3172</v>
      </c>
      <c r="BU119" s="32">
        <f>(BR119+BS119+MAX(0,BT119))*(Assumptions!$B$43-1)</f>
        <v>11590.18971</v>
      </c>
      <c r="BV119" s="32">
        <f t="shared" si="13"/>
        <v>1711530.013</v>
      </c>
      <c r="BW119" s="32">
        <f t="shared" si="44"/>
        <v>15476.04728</v>
      </c>
      <c r="BX119" s="32">
        <f>IF(BY118&lt;Assumptions!$B$92,MAX(0,(AM119-BE119-BO119-BQ119)-Assumptions!$B$93)*Assumptions!$B$98,0)</f>
        <v>0</v>
      </c>
      <c r="BY119" s="32">
        <f t="shared" si="14"/>
        <v>15476.04728</v>
      </c>
      <c r="BZ119" s="32">
        <f t="shared" si="45"/>
        <v>77082</v>
      </c>
      <c r="CA119" s="32">
        <f t="shared" si="15"/>
        <v>8860</v>
      </c>
      <c r="CB119" s="32">
        <f t="shared" si="16"/>
        <v>85942</v>
      </c>
      <c r="CC119" s="55">
        <f>CC118+(G119+J119)/(Salary_Schedule!E119*12/208)</f>
        <v>1826.06175</v>
      </c>
      <c r="CD119" s="55">
        <f>CD118+(O119+R119)/(Salary_Schedule!G119*12/208)</f>
        <v>157.8640848</v>
      </c>
      <c r="CE119" s="32">
        <f t="shared" si="17"/>
        <v>1711530.013</v>
      </c>
      <c r="CF119" s="32">
        <f>Assumptions!$B$55*(1+Assumptions!$B$56)^((B119-2025)+(A119-1)/12)</f>
        <v>610257.7421</v>
      </c>
      <c r="CG119" s="32">
        <f t="shared" si="18"/>
        <v>0</v>
      </c>
      <c r="CH119" s="32">
        <f t="shared" si="19"/>
        <v>-10500</v>
      </c>
      <c r="CI119" s="32">
        <f>CC119*(Salary_Schedule!E119/173.33)*(1-Assumptions!$B$28)+CD119*(Salary_Schedule!G119/173.33)*(1-Assumptions!$B$28)</f>
        <v>83254.4302</v>
      </c>
      <c r="CJ119" s="32">
        <f t="shared" si="20"/>
        <v>2394542.185</v>
      </c>
    </row>
    <row r="120" ht="15.0" customHeight="1">
      <c r="A120" s="1">
        <v>11.0</v>
      </c>
      <c r="B120" s="1">
        <v>2035.0</v>
      </c>
      <c r="C120" s="1" t="s">
        <v>789</v>
      </c>
      <c r="D120" s="1" t="str">
        <f t="shared" si="21"/>
        <v>10/2035</v>
      </c>
      <c r="E120" s="1" t="str">
        <f t="shared" si="2"/>
        <v>LEAN</v>
      </c>
      <c r="F120" s="32">
        <f>Salary_Schedule!E120</f>
        <v>11427.73</v>
      </c>
      <c r="G120" s="32">
        <f>Assumptions!$B$8</f>
        <v>200</v>
      </c>
      <c r="H120" s="32">
        <f>F120*Assumptions!$B$58</f>
        <v>1142.773</v>
      </c>
      <c r="I120" s="32">
        <f>Salary_Schedule!F120</f>
        <v>0</v>
      </c>
      <c r="J120" s="32">
        <f>I120*Assumptions!$B$9</f>
        <v>0</v>
      </c>
      <c r="K120" s="54">
        <f t="shared" si="3"/>
        <v>10084.957</v>
      </c>
      <c r="L120" s="32">
        <f>IF(COUNTIFS(SL_Income_Log!$B:$B,TEXT(B120,"0000")&amp;"-"&amp;TEXT(A120,"00"),SL_Income_Log!$C:$C,"salary",SL_Income_Log!$E:$E,"H")&gt;0,SUMIFS(SL_Income_Log!$D:$D,SL_Income_Log!$B:$B,TEXT(B120,"0000")&amp;"-"&amp;TEXT(A120,"00"),SL_Income_Log!$C:$C,"salary",SL_Income_Log!$E:$E,"H"),K120*(1-Assumptions!$B$102)-Z120-Y120)</f>
        <v>6050.9742</v>
      </c>
      <c r="M120" s="32">
        <f>RSU_Schedule!H119</f>
        <v>0</v>
      </c>
      <c r="N120" s="32">
        <f>Salary_Schedule!G120</f>
        <v>8444.06</v>
      </c>
      <c r="O120" s="32">
        <f>Assumptions!$B$19</f>
        <v>200</v>
      </c>
      <c r="P120" s="32">
        <f>N120*Assumptions!$B$59</f>
        <v>844.406</v>
      </c>
      <c r="Q120" s="32">
        <f>Salary_Schedule!H120</f>
        <v>0</v>
      </c>
      <c r="R120" s="32">
        <f>Q120*Assumptions!$B$20</f>
        <v>0</v>
      </c>
      <c r="S120" s="54">
        <f t="shared" si="4"/>
        <v>7399.654</v>
      </c>
      <c r="T120" s="32">
        <f>IF(COUNTIFS(SL_Income_Log!$B:$B,TEXT(B120,"0000")&amp;"-"&amp;TEXT(A120,"00"),SL_Income_Log!$C:$C,"salary",SL_Income_Log!$E:$E,"W")&gt;0,SUMIFS(SL_Income_Log!$D:$D,SL_Income_Log!$B:$B,TEXT(B120,"0000")&amp;"-"&amp;TEXT(A120,"00"),SL_Income_Log!$C:$C,"salary",SL_Income_Log!$E:$E,"W"),S120*(1-Assumptions!$B$102)-AC120-AB120)
</f>
        <v>4439.7924</v>
      </c>
      <c r="U120" s="32">
        <f>RSU_Schedule!M119</f>
        <v>0</v>
      </c>
      <c r="V120" s="32">
        <f>H120*(1+Assumptions!$B$60)+Assumptions!$B$61</f>
        <v>1619.8822</v>
      </c>
      <c r="W120" s="32">
        <f>P120*(1+Assumptions!$B$60)+Assumptions!$B$61</f>
        <v>1202.1684</v>
      </c>
      <c r="X120" s="32">
        <f t="shared" si="5"/>
        <v>2822.0506</v>
      </c>
      <c r="Y120" s="32">
        <v>0.0</v>
      </c>
      <c r="Z120" s="32">
        <v>0.0</v>
      </c>
      <c r="AA120" s="32">
        <v>0.0</v>
      </c>
      <c r="AB120" s="32">
        <v>0.0</v>
      </c>
      <c r="AC120" s="32">
        <v>0.0</v>
      </c>
      <c r="AD120" s="32">
        <v>0.0</v>
      </c>
      <c r="AE120" s="32">
        <f t="shared" ref="AE120:AF120" si="161">Z120+AC120</f>
        <v>0</v>
      </c>
      <c r="AF120" s="32">
        <f t="shared" si="161"/>
        <v>0</v>
      </c>
      <c r="AG120" s="32">
        <f>IF(COUNTIFS(SL_Income_Log!$B:$B,TEXT(B120,"0000")&amp;"-"&amp;TEXT(A120,"00"),SL_Income_Log!$C:$C,"youtube")&gt;0,SUMIFS(SL_Income_Log!$D:$D,SL_Income_Log!$B:$B,TEXT(B120,"0000")&amp;"-"&amp;TEXT(A120,"00"),SL_Income_Log!$C:$C,"youtube"),MIN(Assumptions!$B$49+FLOOR((ROW()-2)/6,1)*Assumptions!$B$50,Assumptions!$B$51))
</f>
        <v>20000</v>
      </c>
      <c r="AH120" s="32">
        <f>AG120*Assumptions!$B$104</f>
        <v>8860</v>
      </c>
      <c r="AI120" s="32">
        <f t="shared" si="7"/>
        <v>11140</v>
      </c>
      <c r="AJ120" s="32">
        <f>SUMIFS(SL_Income_Log!$D:$D,SL_Income_Log!$B:$B,TEXT(B120,"0000")&amp;"-"&amp;TEXT(A120,"00"),SL_Income_Log!$C:$C,"other")</f>
        <v>0</v>
      </c>
      <c r="AK120" s="32">
        <f t="shared" si="27"/>
        <v>10000</v>
      </c>
      <c r="AL120" s="32">
        <f>L120+M120+T120+U120+AI120+AJ120-Y120-Z120-AB120-AC120+IF((Debt_Register!$C$2+Debt_Register!$C$6+Debt_Register!$C$7+Debt_Register!$C$8+Debt_Register!$C$9)&gt;5,X120,0)</f>
        <v>24452.8172</v>
      </c>
      <c r="AM120" s="32">
        <f t="shared" si="8"/>
        <v>34452.8172</v>
      </c>
      <c r="AN120" s="32">
        <f>MAX(Assumptions!$B$94,MIN(Assumptions!$B$93,AM120-AP120-BE120-BO120-BQ120))</f>
        <v>10000</v>
      </c>
      <c r="AO120" s="32">
        <v>0.0</v>
      </c>
      <c r="AP120" s="32">
        <v>0.0</v>
      </c>
      <c r="AQ120" s="32">
        <v>0.0</v>
      </c>
      <c r="AR120" s="32">
        <v>0.0</v>
      </c>
      <c r="AS120" s="32">
        <v>0.0</v>
      </c>
      <c r="AT120" s="32">
        <v>0.0</v>
      </c>
      <c r="AU120" s="32">
        <f t="shared" si="30"/>
        <v>0</v>
      </c>
      <c r="AV120" s="32">
        <f t="shared" si="31"/>
        <v>0</v>
      </c>
      <c r="AW120" s="32">
        <f t="shared" si="32"/>
        <v>0</v>
      </c>
      <c r="AX120" s="32">
        <f t="shared" si="33"/>
        <v>0</v>
      </c>
      <c r="AY120" s="32">
        <f t="shared" si="34"/>
        <v>0</v>
      </c>
      <c r="AZ120" s="32">
        <f t="shared" si="35"/>
        <v>0</v>
      </c>
      <c r="BA120" s="32">
        <f t="shared" si="36"/>
        <v>0</v>
      </c>
      <c r="BB120" s="32">
        <f t="shared" si="37"/>
        <v>0</v>
      </c>
      <c r="BC120" s="32">
        <f t="shared" si="38"/>
        <v>0</v>
      </c>
      <c r="BD120" s="32">
        <f t="shared" si="39"/>
        <v>0</v>
      </c>
      <c r="BE120" s="32">
        <f t="shared" si="11"/>
        <v>0</v>
      </c>
      <c r="BF120" s="32">
        <v>0.0</v>
      </c>
      <c r="BG120" s="32">
        <f t="shared" si="40"/>
        <v>5500</v>
      </c>
      <c r="BH120" s="32">
        <v>0.0</v>
      </c>
      <c r="BI120" s="32">
        <f t="shared" si="41"/>
        <v>5000</v>
      </c>
      <c r="BJ120" s="32">
        <f>IF(OR(B120&lt;Assumptions!$B$111,AND(B120=Assumptions!$B$111,A120&lt;=Assumptions!$B$112)),Assumptions!$B$110,0)</f>
        <v>0</v>
      </c>
      <c r="BK120" s="32">
        <f>IF(B120&lt;2027,Assumptions!$B$116+IF(OR(A120=4,A120=10),Assumptions!$B$117,0),IF(AND(B120=2027,A120&lt;=4),IF(A120=4,MIN(950,Assumptions!$B$116+Assumptions!$B$117),Assumptions!$B$116),0))</f>
        <v>0</v>
      </c>
      <c r="BL120" s="32">
        <f>IF(OR(B120&lt;2030,AND(B120=2030,A120&lt;8)),Assumptions!$B$118,IF(AND(B120=2030,A120=8),MOD(11000,200),0))</f>
        <v>0</v>
      </c>
      <c r="BM120" s="32">
        <f>IF(OR(B120&lt;Assumptions!$B$120,AND(B120=Assumptions!$B$120,A120&lt;=Assumptions!$B$121)),Assumptions!$B$119,0)</f>
        <v>0</v>
      </c>
      <c r="BN120" s="32">
        <f>IF(AND(B120&lt;=Assumptions!$B$123,A120&lt;=Assumptions!$B$124),Assumptions!$B$122,0)</f>
        <v>0</v>
      </c>
      <c r="BO120" s="32">
        <f t="shared" si="12"/>
        <v>0</v>
      </c>
      <c r="BP120" s="32">
        <f>SUMIFS(SL_Budget!$B:$B,SL_Budget!$C:$C,"'"&amp;TEXT(DATE(B120,A120,1),"YYYY-MM"))</f>
        <v>5360</v>
      </c>
      <c r="BQ120" s="32">
        <f>MAX(BP120, IFERROR(SUMIFS(ShadowLedger!D:D, 
  ShadowLedger!C:C, "&gt;="&amp;DATE(B120,A120,1), 
  ShadowLedger!C:C, "&lt;"&amp;EOMONTH(DATE(B120,A120,1),0)+1), 0))
</f>
        <v>5360</v>
      </c>
      <c r="BR120" s="32">
        <f t="shared" si="42"/>
        <v>1711530.013</v>
      </c>
      <c r="BS120" s="32">
        <f t="shared" si="43"/>
        <v>2822.0506</v>
      </c>
      <c r="BT120" s="32">
        <f>IF(BY119&gt;=Assumptions!$B$92,MAX(0,(AM120-BE120-BO120-BQ120)-Assumptions!$B$93),MAX(0,(AM120-BE120-BO120-BQ120)-Assumptions!$B$93)*Assumptions!$B$99)</f>
        <v>19092.8172</v>
      </c>
      <c r="BU120" s="32">
        <f>(BR120+BS120+MAX(0,BT120))*(Assumptions!$B$43-1)</f>
        <v>11818.6272</v>
      </c>
      <c r="BV120" s="32">
        <f t="shared" si="13"/>
        <v>1745263.508</v>
      </c>
      <c r="BW120" s="32">
        <f t="shared" si="44"/>
        <v>15476.04728</v>
      </c>
      <c r="BX120" s="32">
        <f>IF(BY119&lt;Assumptions!$B$92,MAX(0,(AM120-BE120-BO120-BQ120)-Assumptions!$B$93)*Assumptions!$B$98,0)</f>
        <v>0</v>
      </c>
      <c r="BY120" s="32">
        <f t="shared" si="14"/>
        <v>15476.04728</v>
      </c>
      <c r="BZ120" s="32">
        <f t="shared" si="45"/>
        <v>85942</v>
      </c>
      <c r="CA120" s="32">
        <f t="shared" si="15"/>
        <v>8860</v>
      </c>
      <c r="CB120" s="32">
        <f t="shared" si="16"/>
        <v>94802</v>
      </c>
      <c r="CC120" s="55">
        <f>CC119+(G120+J120)/(Salary_Schedule!E120*12/208)</f>
        <v>1826.365105</v>
      </c>
      <c r="CD120" s="55">
        <f>CD119+(O120+R120)/(Salary_Schedule!G120*12/208)</f>
        <v>158.2746298</v>
      </c>
      <c r="CE120" s="32">
        <f t="shared" si="17"/>
        <v>1745263.508</v>
      </c>
      <c r="CF120" s="32">
        <f>Assumptions!$B$55*(1+Assumptions!$B$56)^((B120-2025)+(A120-1)/12)</f>
        <v>611015.3695</v>
      </c>
      <c r="CG120" s="32">
        <f t="shared" si="18"/>
        <v>0</v>
      </c>
      <c r="CH120" s="32">
        <f t="shared" si="19"/>
        <v>-10500</v>
      </c>
      <c r="CI120" s="32">
        <f>CC120*(Salary_Schedule!E120/173.33)*(1-Assumptions!$B$28)+CD120*(Salary_Schedule!G120/173.33)*(1-Assumptions!$B$28)</f>
        <v>83280.4307</v>
      </c>
      <c r="CJ120" s="32">
        <f t="shared" si="20"/>
        <v>2429059.308</v>
      </c>
    </row>
    <row r="121" ht="15.0" customHeight="1">
      <c r="A121" s="1">
        <v>12.0</v>
      </c>
      <c r="B121" s="1">
        <v>2035.0</v>
      </c>
      <c r="C121" s="1" t="s">
        <v>790</v>
      </c>
      <c r="D121" s="1" t="str">
        <f t="shared" si="21"/>
        <v>11/2035</v>
      </c>
      <c r="E121" s="1" t="str">
        <f t="shared" si="2"/>
        <v>LEAN</v>
      </c>
      <c r="F121" s="32">
        <f>Salary_Schedule!E121</f>
        <v>11427.73</v>
      </c>
      <c r="G121" s="32">
        <f>Assumptions!$B$8</f>
        <v>200</v>
      </c>
      <c r="H121" s="32">
        <f>F121*Assumptions!$B$58</f>
        <v>1142.773</v>
      </c>
      <c r="I121" s="32">
        <f>Salary_Schedule!F121</f>
        <v>0</v>
      </c>
      <c r="J121" s="32">
        <f>I121*Assumptions!$B$9</f>
        <v>0</v>
      </c>
      <c r="K121" s="54">
        <f t="shared" si="3"/>
        <v>10084.957</v>
      </c>
      <c r="L121" s="32">
        <f>IF(COUNTIFS(SL_Income_Log!$B:$B,TEXT(B121,"0000")&amp;"-"&amp;TEXT(A121,"00"),SL_Income_Log!$C:$C,"salary",SL_Income_Log!$E:$E,"H")&gt;0,SUMIFS(SL_Income_Log!$D:$D,SL_Income_Log!$B:$B,TEXT(B121,"0000")&amp;"-"&amp;TEXT(A121,"00"),SL_Income_Log!$C:$C,"salary",SL_Income_Log!$E:$E,"H"),K121*(1-Assumptions!$B$102)-Z121-Y121)</f>
        <v>6050.9742</v>
      </c>
      <c r="M121" s="32">
        <f>RSU_Schedule!H120</f>
        <v>0</v>
      </c>
      <c r="N121" s="32">
        <f>Salary_Schedule!G121</f>
        <v>8444.06</v>
      </c>
      <c r="O121" s="32">
        <f>Assumptions!$B$19</f>
        <v>200</v>
      </c>
      <c r="P121" s="32">
        <f>N121*Assumptions!$B$59</f>
        <v>844.406</v>
      </c>
      <c r="Q121" s="32">
        <f>Salary_Schedule!H121</f>
        <v>0</v>
      </c>
      <c r="R121" s="32">
        <f>Q121*Assumptions!$B$20</f>
        <v>0</v>
      </c>
      <c r="S121" s="54">
        <f t="shared" si="4"/>
        <v>7399.654</v>
      </c>
      <c r="T121" s="32">
        <f>IF(COUNTIFS(SL_Income_Log!$B:$B,TEXT(B121,"0000")&amp;"-"&amp;TEXT(A121,"00"),SL_Income_Log!$C:$C,"salary",SL_Income_Log!$E:$E,"W")&gt;0,SUMIFS(SL_Income_Log!$D:$D,SL_Income_Log!$B:$B,TEXT(B121,"0000")&amp;"-"&amp;TEXT(A121,"00"),SL_Income_Log!$C:$C,"salary",SL_Income_Log!$E:$E,"W"),S121*(1-Assumptions!$B$102)-AC121-AB121)
</f>
        <v>4439.7924</v>
      </c>
      <c r="U121" s="32">
        <f>RSU_Schedule!M120</f>
        <v>0</v>
      </c>
      <c r="V121" s="32">
        <f>H121*(1+Assumptions!$B$60)+Assumptions!$B$61</f>
        <v>1619.8822</v>
      </c>
      <c r="W121" s="32">
        <f>P121*(1+Assumptions!$B$60)+Assumptions!$B$61</f>
        <v>1202.1684</v>
      </c>
      <c r="X121" s="32">
        <f t="shared" si="5"/>
        <v>2822.0506</v>
      </c>
      <c r="Y121" s="32">
        <v>0.0</v>
      </c>
      <c r="Z121" s="32">
        <v>0.0</v>
      </c>
      <c r="AA121" s="32">
        <v>0.0</v>
      </c>
      <c r="AB121" s="32">
        <v>0.0</v>
      </c>
      <c r="AC121" s="32">
        <v>0.0</v>
      </c>
      <c r="AD121" s="32">
        <v>0.0</v>
      </c>
      <c r="AE121" s="32">
        <f t="shared" ref="AE121:AF121" si="162">Z121+AC121</f>
        <v>0</v>
      </c>
      <c r="AF121" s="32">
        <f t="shared" si="162"/>
        <v>0</v>
      </c>
      <c r="AG121" s="32">
        <f>IF(COUNTIFS(SL_Income_Log!$B:$B,TEXT(B121,"0000")&amp;"-"&amp;TEXT(A121,"00"),SL_Income_Log!$C:$C,"youtube")&gt;0,SUMIFS(SL_Income_Log!$D:$D,SL_Income_Log!$B:$B,TEXT(B121,"0000")&amp;"-"&amp;TEXT(A121,"00"),SL_Income_Log!$C:$C,"youtube"),MIN(Assumptions!$B$49+FLOOR((ROW()-2)/6,1)*Assumptions!$B$50,Assumptions!$B$51))
</f>
        <v>20000</v>
      </c>
      <c r="AH121" s="32">
        <f>AG121*Assumptions!$B$104</f>
        <v>8860</v>
      </c>
      <c r="AI121" s="32">
        <f t="shared" si="7"/>
        <v>11140</v>
      </c>
      <c r="AJ121" s="32">
        <f>SUMIFS(SL_Income_Log!$D:$D,SL_Income_Log!$B:$B,TEXT(B121,"0000")&amp;"-"&amp;TEXT(A121,"00"),SL_Income_Log!$C:$C,"other")</f>
        <v>0</v>
      </c>
      <c r="AK121" s="32">
        <f t="shared" si="27"/>
        <v>10000</v>
      </c>
      <c r="AL121" s="32">
        <f>L121+M121+T121+U121+AI121+AJ121-Y121-Z121-AB121-AC121+IF((Debt_Register!$C$2+Debt_Register!$C$6+Debt_Register!$C$7+Debt_Register!$C$8+Debt_Register!$C$9)&gt;5,X121,0)</f>
        <v>24452.8172</v>
      </c>
      <c r="AM121" s="32">
        <f t="shared" si="8"/>
        <v>34452.8172</v>
      </c>
      <c r="AN121" s="32">
        <f>MAX(Assumptions!$B$94,MIN(Assumptions!$B$93,AM121-AP121-BE121-BO121-BQ121))</f>
        <v>10000</v>
      </c>
      <c r="AO121" s="32">
        <v>0.0</v>
      </c>
      <c r="AP121" s="32">
        <v>0.0</v>
      </c>
      <c r="AQ121" s="32">
        <v>0.0</v>
      </c>
      <c r="AR121" s="32">
        <v>0.0</v>
      </c>
      <c r="AS121" s="32">
        <v>0.0</v>
      </c>
      <c r="AT121" s="32">
        <v>0.0</v>
      </c>
      <c r="AU121" s="32">
        <f t="shared" si="30"/>
        <v>0</v>
      </c>
      <c r="AV121" s="32">
        <f t="shared" si="31"/>
        <v>0</v>
      </c>
      <c r="AW121" s="32">
        <f t="shared" si="32"/>
        <v>0</v>
      </c>
      <c r="AX121" s="32">
        <f t="shared" si="33"/>
        <v>0</v>
      </c>
      <c r="AY121" s="32">
        <f t="shared" si="34"/>
        <v>0</v>
      </c>
      <c r="AZ121" s="32">
        <f t="shared" si="35"/>
        <v>0</v>
      </c>
      <c r="BA121" s="32">
        <f t="shared" si="36"/>
        <v>0</v>
      </c>
      <c r="BB121" s="32">
        <f t="shared" si="37"/>
        <v>0</v>
      </c>
      <c r="BC121" s="32">
        <f t="shared" si="38"/>
        <v>0</v>
      </c>
      <c r="BD121" s="32">
        <f t="shared" si="39"/>
        <v>0</v>
      </c>
      <c r="BE121" s="32">
        <f t="shared" si="11"/>
        <v>0</v>
      </c>
      <c r="BF121" s="32">
        <v>0.0</v>
      </c>
      <c r="BG121" s="32">
        <f t="shared" si="40"/>
        <v>5500</v>
      </c>
      <c r="BH121" s="32">
        <v>0.0</v>
      </c>
      <c r="BI121" s="32">
        <f t="shared" si="41"/>
        <v>5000</v>
      </c>
      <c r="BJ121" s="32">
        <f>IF(OR(B121&lt;Assumptions!$B$111,AND(B121=Assumptions!$B$111,A121&lt;=Assumptions!$B$112)),Assumptions!$B$110,0)</f>
        <v>0</v>
      </c>
      <c r="BK121" s="32">
        <f>IF(B121&lt;2027,Assumptions!$B$116+IF(OR(A121=4,A121=10),Assumptions!$B$117,0),IF(AND(B121=2027,A121&lt;=4),IF(A121=4,MIN(950,Assumptions!$B$116+Assumptions!$B$117),Assumptions!$B$116),0))</f>
        <v>0</v>
      </c>
      <c r="BL121" s="32">
        <f>IF(OR(B121&lt;2030,AND(B121=2030,A121&lt;8)),Assumptions!$B$118,IF(AND(B121=2030,A121=8),MOD(11000,200),0))</f>
        <v>0</v>
      </c>
      <c r="BM121" s="32">
        <f>IF(OR(B121&lt;Assumptions!$B$120,AND(B121=Assumptions!$B$120,A121&lt;=Assumptions!$B$121)),Assumptions!$B$119,0)</f>
        <v>0</v>
      </c>
      <c r="BN121" s="32">
        <f>IF(AND(B121&lt;=Assumptions!$B$123,A121&lt;=Assumptions!$B$124),Assumptions!$B$122,0)</f>
        <v>0</v>
      </c>
      <c r="BO121" s="32">
        <f t="shared" si="12"/>
        <v>0</v>
      </c>
      <c r="BP121" s="32">
        <f>SUMIFS(SL_Budget!$B:$B,SL_Budget!$C:$C,"'"&amp;TEXT(DATE(B121,A121,1),"YYYY-MM"))</f>
        <v>5360</v>
      </c>
      <c r="BQ121" s="32">
        <f>MAX(BP121, IFERROR(SUMIFS(ShadowLedger!D:D, 
  ShadowLedger!C:C, "&gt;="&amp;DATE(B121,A121,1), 
  ShadowLedger!C:C, "&lt;"&amp;EOMONTH(DATE(B121,A121,1),0)+1), 0))
</f>
        <v>5360</v>
      </c>
      <c r="BR121" s="32">
        <f t="shared" si="42"/>
        <v>1745263.508</v>
      </c>
      <c r="BS121" s="32">
        <f t="shared" si="43"/>
        <v>2822.0506</v>
      </c>
      <c r="BT121" s="32">
        <f>IF(BY120&gt;=Assumptions!$B$92,MAX(0,(AM121-BE121-BO121-BQ121)-Assumptions!$B$93),MAX(0,(AM121-BE121-BO121-BQ121)-Assumptions!$B$93)*Assumptions!$B$99)</f>
        <v>19092.8172</v>
      </c>
      <c r="BU121" s="32">
        <f>(BR121+BS121+MAX(0,BT121))*(Assumptions!$B$43-1)</f>
        <v>12048.62216</v>
      </c>
      <c r="BV121" s="32">
        <f t="shared" si="13"/>
        <v>1779226.998</v>
      </c>
      <c r="BW121" s="32">
        <f t="shared" si="44"/>
        <v>15476.04728</v>
      </c>
      <c r="BX121" s="32">
        <f>IF(BY120&lt;Assumptions!$B$92,MAX(0,(AM121-BE121-BO121-BQ121)-Assumptions!$B$93)*Assumptions!$B$98,0)</f>
        <v>0</v>
      </c>
      <c r="BY121" s="32">
        <f t="shared" si="14"/>
        <v>15476.04728</v>
      </c>
      <c r="BZ121" s="32">
        <f t="shared" si="45"/>
        <v>94802</v>
      </c>
      <c r="CA121" s="32">
        <f t="shared" si="15"/>
        <v>8860</v>
      </c>
      <c r="CB121" s="32">
        <f t="shared" si="16"/>
        <v>103662</v>
      </c>
      <c r="CC121" s="55">
        <f>CC120+(G121+J121)/(Salary_Schedule!E121*12/208)</f>
        <v>1826.668461</v>
      </c>
      <c r="CD121" s="55">
        <f>CD120+(O121+R121)/(Salary_Schedule!G121*12/208)</f>
        <v>158.6851748</v>
      </c>
      <c r="CE121" s="32">
        <f t="shared" si="17"/>
        <v>1779226.998</v>
      </c>
      <c r="CF121" s="32">
        <f>Assumptions!$B$55*(1+Assumptions!$B$56)^((B121-2025)+(A121-1)/12)</f>
        <v>611773.9376</v>
      </c>
      <c r="CG121" s="32">
        <f t="shared" si="18"/>
        <v>0</v>
      </c>
      <c r="CH121" s="32">
        <f t="shared" si="19"/>
        <v>-10500</v>
      </c>
      <c r="CI121" s="32">
        <f>CC121*(Salary_Schedule!E121/173.33)*(1-Assumptions!$B$28)+CD121*(Salary_Schedule!G121/173.33)*(1-Assumptions!$B$28)</f>
        <v>83306.4312</v>
      </c>
      <c r="CJ121" s="32">
        <f t="shared" si="20"/>
        <v>2463807.367</v>
      </c>
    </row>
    <row r="122" ht="15.0" customHeight="1">
      <c r="A122" s="1">
        <v>1.0</v>
      </c>
      <c r="B122" s="1">
        <v>2036.0</v>
      </c>
      <c r="C122" s="1" t="s">
        <v>791</v>
      </c>
      <c r="D122" s="1" t="str">
        <f t="shared" si="21"/>
        <v>12/2035</v>
      </c>
      <c r="E122" s="1" t="str">
        <f t="shared" si="2"/>
        <v>FAT_RSU</v>
      </c>
      <c r="F122" s="32">
        <f>Salary_Schedule!E122</f>
        <v>11999.12</v>
      </c>
      <c r="G122" s="32">
        <f>Assumptions!$B$8</f>
        <v>200</v>
      </c>
      <c r="H122" s="32">
        <f>F122*Assumptions!$B$58</f>
        <v>1199.912</v>
      </c>
      <c r="I122" s="32">
        <f>Salary_Schedule!F122</f>
        <v>0</v>
      </c>
      <c r="J122" s="32">
        <f>I122*Assumptions!$B$9</f>
        <v>0</v>
      </c>
      <c r="K122" s="54">
        <f t="shared" si="3"/>
        <v>10599.208</v>
      </c>
      <c r="L122" s="32">
        <f>IF(COUNTIFS(SL_Income_Log!$B:$B,TEXT(B122,"0000")&amp;"-"&amp;TEXT(A122,"00"),SL_Income_Log!$C:$C,"salary",SL_Income_Log!$E:$E,"H")&gt;0,SUMIFS(SL_Income_Log!$D:$D,SL_Income_Log!$B:$B,TEXT(B122,"0000")&amp;"-"&amp;TEXT(A122,"00"),SL_Income_Log!$C:$C,"salary",SL_Income_Log!$E:$E,"H"),K122*(1-Assumptions!$B$102)-Z122-Y122)</f>
        <v>6359.5248</v>
      </c>
      <c r="M122" s="32">
        <f>RSU_Schedule!H121</f>
        <v>2784.99</v>
      </c>
      <c r="N122" s="32">
        <f>Salary_Schedule!G122</f>
        <v>8739.6</v>
      </c>
      <c r="O122" s="32">
        <f>Assumptions!$B$19</f>
        <v>200</v>
      </c>
      <c r="P122" s="32">
        <f>N122*Assumptions!$B$59</f>
        <v>873.96</v>
      </c>
      <c r="Q122" s="32">
        <f>Salary_Schedule!H122</f>
        <v>0</v>
      </c>
      <c r="R122" s="32">
        <f>Q122*Assumptions!$B$20</f>
        <v>0</v>
      </c>
      <c r="S122" s="54">
        <f t="shared" si="4"/>
        <v>7665.64</v>
      </c>
      <c r="T122" s="32">
        <f>IF(COUNTIFS(SL_Income_Log!$B:$B,TEXT(B122,"0000")&amp;"-"&amp;TEXT(A122,"00"),SL_Income_Log!$C:$C,"salary",SL_Income_Log!$E:$E,"W")&gt;0,SUMIFS(SL_Income_Log!$D:$D,SL_Income_Log!$B:$B,TEXT(B122,"0000")&amp;"-"&amp;TEXT(A122,"00"),SL_Income_Log!$C:$C,"salary",SL_Income_Log!$E:$E,"W"),S122*(1-Assumptions!$B$102)-AC122-AB122)
</f>
        <v>4599.384</v>
      </c>
      <c r="U122" s="32">
        <f>RSU_Schedule!M121</f>
        <v>1392.51</v>
      </c>
      <c r="V122" s="32">
        <f>H122*(1+Assumptions!$B$60)+Assumptions!$B$61</f>
        <v>1699.8768</v>
      </c>
      <c r="W122" s="32">
        <f>P122*(1+Assumptions!$B$60)+Assumptions!$B$61</f>
        <v>1243.544</v>
      </c>
      <c r="X122" s="32">
        <f t="shared" si="5"/>
        <v>2943.4208</v>
      </c>
      <c r="Y122" s="32">
        <v>0.0</v>
      </c>
      <c r="Z122" s="32">
        <v>0.0</v>
      </c>
      <c r="AA122" s="32">
        <v>0.0</v>
      </c>
      <c r="AB122" s="32">
        <v>0.0</v>
      </c>
      <c r="AC122" s="32">
        <v>0.0</v>
      </c>
      <c r="AD122" s="32">
        <v>0.0</v>
      </c>
      <c r="AE122" s="32">
        <f t="shared" ref="AE122:AF122" si="163">Z122+AC122</f>
        <v>0</v>
      </c>
      <c r="AF122" s="32">
        <f t="shared" si="163"/>
        <v>0</v>
      </c>
      <c r="AG122" s="32">
        <f>IF(COUNTIFS(SL_Income_Log!$B:$B,TEXT(B122,"0000")&amp;"-"&amp;TEXT(A122,"00"),SL_Income_Log!$C:$C,"youtube")&gt;0,SUMIFS(SL_Income_Log!$D:$D,SL_Income_Log!$B:$B,TEXT(B122,"0000")&amp;"-"&amp;TEXT(A122,"00"),SL_Income_Log!$C:$C,"youtube"),MIN(Assumptions!$B$49+FLOOR((ROW()-2)/6,1)*Assumptions!$B$50,Assumptions!$B$51))
</f>
        <v>20000</v>
      </c>
      <c r="AH122" s="32">
        <f>AG122*Assumptions!$B$104</f>
        <v>8860</v>
      </c>
      <c r="AI122" s="32">
        <f t="shared" si="7"/>
        <v>11140</v>
      </c>
      <c r="AJ122" s="32">
        <f>SUMIFS(SL_Income_Log!$D:$D,SL_Income_Log!$B:$B,TEXT(B122,"0000")&amp;"-"&amp;TEXT(A122,"00"),SL_Income_Log!$C:$C,"other")</f>
        <v>0</v>
      </c>
      <c r="AK122" s="32">
        <f t="shared" si="27"/>
        <v>10000</v>
      </c>
      <c r="AL122" s="32">
        <f>L122+M122+T122+U122+AI122+AJ122-Y122-Z122-AB122-AC122+IF((Debt_Register!$C$2+Debt_Register!$C$6+Debt_Register!$C$7+Debt_Register!$C$8+Debt_Register!$C$9)&gt;5,X122,0)</f>
        <v>29219.8296</v>
      </c>
      <c r="AM122" s="32">
        <f t="shared" si="8"/>
        <v>39219.8296</v>
      </c>
      <c r="AN122" s="32">
        <f>MAX(Assumptions!$B$94,MIN(Assumptions!$B$93,AM122-AP122-BE122-BO122-BQ122))</f>
        <v>10000</v>
      </c>
      <c r="AO122" s="32">
        <v>0.0</v>
      </c>
      <c r="AP122" s="32">
        <v>0.0</v>
      </c>
      <c r="AQ122" s="32">
        <v>0.0</v>
      </c>
      <c r="AR122" s="32">
        <v>0.0</v>
      </c>
      <c r="AS122" s="32">
        <v>0.0</v>
      </c>
      <c r="AT122" s="32">
        <v>0.0</v>
      </c>
      <c r="AU122" s="32">
        <f t="shared" si="30"/>
        <v>0</v>
      </c>
      <c r="AV122" s="32">
        <f t="shared" si="31"/>
        <v>0</v>
      </c>
      <c r="AW122" s="32">
        <f t="shared" si="32"/>
        <v>0</v>
      </c>
      <c r="AX122" s="32">
        <f t="shared" si="33"/>
        <v>0</v>
      </c>
      <c r="AY122" s="32">
        <f t="shared" si="34"/>
        <v>0</v>
      </c>
      <c r="AZ122" s="32">
        <f t="shared" si="35"/>
        <v>0</v>
      </c>
      <c r="BA122" s="32">
        <f t="shared" si="36"/>
        <v>0</v>
      </c>
      <c r="BB122" s="32">
        <f t="shared" si="37"/>
        <v>0</v>
      </c>
      <c r="BC122" s="32">
        <f t="shared" si="38"/>
        <v>0</v>
      </c>
      <c r="BD122" s="32">
        <f t="shared" si="39"/>
        <v>0</v>
      </c>
      <c r="BE122" s="32">
        <f t="shared" si="11"/>
        <v>0</v>
      </c>
      <c r="BF122" s="32">
        <v>0.0</v>
      </c>
      <c r="BG122" s="32">
        <f t="shared" si="40"/>
        <v>5500</v>
      </c>
      <c r="BH122" s="32">
        <v>0.0</v>
      </c>
      <c r="BI122" s="32">
        <f t="shared" si="41"/>
        <v>5000</v>
      </c>
      <c r="BJ122" s="32">
        <f>IF(OR(B122&lt;Assumptions!$B$111,AND(B122=Assumptions!$B$111,A122&lt;=Assumptions!$B$112)),Assumptions!$B$110,0)</f>
        <v>0</v>
      </c>
      <c r="BK122" s="32">
        <f>IF(B122&lt;2027,Assumptions!$B$116+IF(OR(A122=4,A122=10),Assumptions!$B$117,0),IF(AND(B122=2027,A122&lt;=4),IF(A122=4,MIN(950,Assumptions!$B$116+Assumptions!$B$117),Assumptions!$B$116),0))</f>
        <v>0</v>
      </c>
      <c r="BL122" s="32">
        <f>IF(OR(B122&lt;2030,AND(B122=2030,A122&lt;8)),Assumptions!$B$118,IF(AND(B122=2030,A122=8),MOD(11000,200),0))</f>
        <v>0</v>
      </c>
      <c r="BM122" s="32">
        <f>IF(OR(B122&lt;Assumptions!$B$120,AND(B122=Assumptions!$B$120,A122&lt;=Assumptions!$B$121)),Assumptions!$B$119,0)</f>
        <v>0</v>
      </c>
      <c r="BN122" s="32">
        <f>IF(AND(B122&lt;=Assumptions!$B$123,A122&lt;=Assumptions!$B$124),Assumptions!$B$122,0)</f>
        <v>0</v>
      </c>
      <c r="BO122" s="32">
        <f t="shared" si="12"/>
        <v>0</v>
      </c>
      <c r="BP122" s="32">
        <f>SUMIFS(SL_Budget!$B:$B,SL_Budget!$C:$C,"'"&amp;TEXT(DATE(B122,A122,1),"YYYY-MM"))</f>
        <v>5522</v>
      </c>
      <c r="BQ122" s="32">
        <f>MAX(BP122, IFERROR(SUMIFS(ShadowLedger!D:D, 
  ShadowLedger!C:C, "&gt;="&amp;DATE(B122,A122,1), 
  ShadowLedger!C:C, "&lt;"&amp;EOMONTH(DATE(B122,A122,1),0)+1), 0))
</f>
        <v>5522</v>
      </c>
      <c r="BR122" s="32">
        <f t="shared" si="42"/>
        <v>1779226.998</v>
      </c>
      <c r="BS122" s="32">
        <f t="shared" si="43"/>
        <v>2943.4208</v>
      </c>
      <c r="BT122" s="32">
        <f>IF(BY121&gt;=Assumptions!$B$92,MAX(0,(AM122-BE122-BO122-BQ122)-Assumptions!$B$93),MAX(0,(AM122-BE122-BO122-BQ122)-Assumptions!$B$93)*Assumptions!$B$99)</f>
        <v>23697.8296</v>
      </c>
      <c r="BU122" s="32">
        <f>(BR122+BS122+MAX(0,BT122))*(Assumptions!$B$43-1)</f>
        <v>12312.40972</v>
      </c>
      <c r="BV122" s="32">
        <f t="shared" si="13"/>
        <v>1818180.658</v>
      </c>
      <c r="BW122" s="32">
        <f t="shared" si="44"/>
        <v>15476.04728</v>
      </c>
      <c r="BX122" s="32">
        <f>IF(BY121&lt;Assumptions!$B$92,MAX(0,(AM122-BE122-BO122-BQ122)-Assumptions!$B$93)*Assumptions!$B$98,0)</f>
        <v>0</v>
      </c>
      <c r="BY122" s="32">
        <f t="shared" si="14"/>
        <v>15476.04728</v>
      </c>
      <c r="BZ122" s="32">
        <f t="shared" si="45"/>
        <v>0</v>
      </c>
      <c r="CA122" s="32">
        <f t="shared" si="15"/>
        <v>8860</v>
      </c>
      <c r="CB122" s="32">
        <f t="shared" si="16"/>
        <v>8860</v>
      </c>
      <c r="CC122" s="55">
        <f>CC121+(G122+J122)/(Salary_Schedule!E122*12/208)</f>
        <v>1826.957371</v>
      </c>
      <c r="CD122" s="55">
        <f>CD121+(O122+R122)/(Salary_Schedule!G122*12/208)</f>
        <v>159.0818368</v>
      </c>
      <c r="CE122" s="32">
        <f t="shared" si="17"/>
        <v>1818180.658</v>
      </c>
      <c r="CF122" s="32">
        <f>Assumptions!$B$55*(1+Assumptions!$B$56)^((B122-2025)+(A122-1)/12)</f>
        <v>612533.4474</v>
      </c>
      <c r="CG122" s="32">
        <f t="shared" si="18"/>
        <v>0</v>
      </c>
      <c r="CH122" s="32">
        <f t="shared" si="19"/>
        <v>-10500</v>
      </c>
      <c r="CI122" s="32">
        <f>CC122*(Salary_Schedule!E122/173.33)*(1-Assumptions!$B$28)+CD122*(Salary_Schedule!G122/173.33)*(1-Assumptions!$B$28)</f>
        <v>87422.40251</v>
      </c>
      <c r="CJ122" s="32">
        <f t="shared" si="20"/>
        <v>2507636.508</v>
      </c>
    </row>
    <row r="123" ht="15.0" customHeight="1">
      <c r="A123" s="1">
        <v>2.0</v>
      </c>
      <c r="B123" s="1">
        <v>2036.0</v>
      </c>
      <c r="C123" s="1" t="s">
        <v>792</v>
      </c>
      <c r="D123" s="1" t="str">
        <f t="shared" si="21"/>
        <v>01/2036</v>
      </c>
      <c r="E123" s="1" t="str">
        <f t="shared" si="2"/>
        <v>LEAN</v>
      </c>
      <c r="F123" s="32">
        <f>Salary_Schedule!E123</f>
        <v>11999.12</v>
      </c>
      <c r="G123" s="32">
        <f>Assumptions!$B$8</f>
        <v>200</v>
      </c>
      <c r="H123" s="32">
        <f>F123*Assumptions!$B$58</f>
        <v>1199.912</v>
      </c>
      <c r="I123" s="32">
        <f>Salary_Schedule!F123</f>
        <v>0</v>
      </c>
      <c r="J123" s="32">
        <f>I123*Assumptions!$B$9</f>
        <v>0</v>
      </c>
      <c r="K123" s="54">
        <f t="shared" si="3"/>
        <v>10599.208</v>
      </c>
      <c r="L123" s="32">
        <f>IF(COUNTIFS(SL_Income_Log!$B:$B,TEXT(B123,"0000")&amp;"-"&amp;TEXT(A123,"00"),SL_Income_Log!$C:$C,"salary",SL_Income_Log!$E:$E,"H")&gt;0,SUMIFS(SL_Income_Log!$D:$D,SL_Income_Log!$B:$B,TEXT(B123,"0000")&amp;"-"&amp;TEXT(A123,"00"),SL_Income_Log!$C:$C,"salary",SL_Income_Log!$E:$E,"H"),K123*(1-Assumptions!$B$102)-Z123-Y123)</f>
        <v>6359.5248</v>
      </c>
      <c r="M123" s="32">
        <f>RSU_Schedule!H122</f>
        <v>0</v>
      </c>
      <c r="N123" s="32">
        <f>Salary_Schedule!G123</f>
        <v>8739.6</v>
      </c>
      <c r="O123" s="32">
        <f>Assumptions!$B$19</f>
        <v>200</v>
      </c>
      <c r="P123" s="32">
        <f>N123*Assumptions!$B$59</f>
        <v>873.96</v>
      </c>
      <c r="Q123" s="32">
        <f>Salary_Schedule!H123</f>
        <v>0</v>
      </c>
      <c r="R123" s="32">
        <f>Q123*Assumptions!$B$20</f>
        <v>0</v>
      </c>
      <c r="S123" s="54">
        <f t="shared" si="4"/>
        <v>7665.64</v>
      </c>
      <c r="T123" s="32">
        <f>IF(COUNTIFS(SL_Income_Log!$B:$B,TEXT(B123,"0000")&amp;"-"&amp;TEXT(A123,"00"),SL_Income_Log!$C:$C,"salary",SL_Income_Log!$E:$E,"W")&gt;0,SUMIFS(SL_Income_Log!$D:$D,SL_Income_Log!$B:$B,TEXT(B123,"0000")&amp;"-"&amp;TEXT(A123,"00"),SL_Income_Log!$C:$C,"salary",SL_Income_Log!$E:$E,"W"),S123*(1-Assumptions!$B$102)-AC123-AB123)
</f>
        <v>4599.384</v>
      </c>
      <c r="U123" s="32">
        <f>RSU_Schedule!M122</f>
        <v>0</v>
      </c>
      <c r="V123" s="32">
        <f>H123*(1+Assumptions!$B$60)+Assumptions!$B$61</f>
        <v>1699.8768</v>
      </c>
      <c r="W123" s="32">
        <f>P123*(1+Assumptions!$B$60)+Assumptions!$B$61</f>
        <v>1243.544</v>
      </c>
      <c r="X123" s="32">
        <f t="shared" si="5"/>
        <v>2943.4208</v>
      </c>
      <c r="Y123" s="32">
        <v>0.0</v>
      </c>
      <c r="Z123" s="32">
        <v>0.0</v>
      </c>
      <c r="AA123" s="32">
        <v>0.0</v>
      </c>
      <c r="AB123" s="32">
        <v>0.0</v>
      </c>
      <c r="AC123" s="32">
        <v>0.0</v>
      </c>
      <c r="AD123" s="32">
        <v>0.0</v>
      </c>
      <c r="AE123" s="32">
        <f t="shared" ref="AE123:AF123" si="164">Z123+AC123</f>
        <v>0</v>
      </c>
      <c r="AF123" s="32">
        <f t="shared" si="164"/>
        <v>0</v>
      </c>
      <c r="AG123" s="32">
        <f>IF(COUNTIFS(SL_Income_Log!$B:$B,TEXT(B123,"0000")&amp;"-"&amp;TEXT(A123,"00"),SL_Income_Log!$C:$C,"youtube")&gt;0,SUMIFS(SL_Income_Log!$D:$D,SL_Income_Log!$B:$B,TEXT(B123,"0000")&amp;"-"&amp;TEXT(A123,"00"),SL_Income_Log!$C:$C,"youtube"),MIN(Assumptions!$B$49+FLOOR((ROW()-2)/6,1)*Assumptions!$B$50,Assumptions!$B$51))
</f>
        <v>20000</v>
      </c>
      <c r="AH123" s="32">
        <f>AG123*Assumptions!$B$104</f>
        <v>8860</v>
      </c>
      <c r="AI123" s="32">
        <f t="shared" si="7"/>
        <v>11140</v>
      </c>
      <c r="AJ123" s="32">
        <f>SUMIFS(SL_Income_Log!$D:$D,SL_Income_Log!$B:$B,TEXT(B123,"0000")&amp;"-"&amp;TEXT(A123,"00"),SL_Income_Log!$C:$C,"other")</f>
        <v>0</v>
      </c>
      <c r="AK123" s="32">
        <f t="shared" si="27"/>
        <v>10000</v>
      </c>
      <c r="AL123" s="32">
        <f>L123+M123+T123+U123+AI123+AJ123-Y123-Z123-AB123-AC123+IF((Debt_Register!$C$2+Debt_Register!$C$6+Debt_Register!$C$7+Debt_Register!$C$8+Debt_Register!$C$9)&gt;5,X123,0)</f>
        <v>25042.3296</v>
      </c>
      <c r="AM123" s="32">
        <f t="shared" si="8"/>
        <v>35042.3296</v>
      </c>
      <c r="AN123" s="32">
        <f>MAX(Assumptions!$B$94,MIN(Assumptions!$B$93,AM123-AP123-BE123-BO123-BQ123))</f>
        <v>10000</v>
      </c>
      <c r="AO123" s="32">
        <v>0.0</v>
      </c>
      <c r="AP123" s="32">
        <v>0.0</v>
      </c>
      <c r="AQ123" s="32">
        <v>0.0</v>
      </c>
      <c r="AR123" s="32">
        <v>0.0</v>
      </c>
      <c r="AS123" s="32">
        <v>0.0</v>
      </c>
      <c r="AT123" s="32">
        <v>0.0</v>
      </c>
      <c r="AU123" s="32">
        <f t="shared" si="30"/>
        <v>0</v>
      </c>
      <c r="AV123" s="32">
        <f t="shared" si="31"/>
        <v>0</v>
      </c>
      <c r="AW123" s="32">
        <f t="shared" si="32"/>
        <v>0</v>
      </c>
      <c r="AX123" s="32">
        <f t="shared" si="33"/>
        <v>0</v>
      </c>
      <c r="AY123" s="32">
        <f t="shared" si="34"/>
        <v>0</v>
      </c>
      <c r="AZ123" s="32">
        <f t="shared" si="35"/>
        <v>0</v>
      </c>
      <c r="BA123" s="32">
        <f t="shared" si="36"/>
        <v>0</v>
      </c>
      <c r="BB123" s="32">
        <f t="shared" si="37"/>
        <v>0</v>
      </c>
      <c r="BC123" s="32">
        <f t="shared" si="38"/>
        <v>0</v>
      </c>
      <c r="BD123" s="32">
        <f t="shared" si="39"/>
        <v>0</v>
      </c>
      <c r="BE123" s="32">
        <f t="shared" si="11"/>
        <v>0</v>
      </c>
      <c r="BF123" s="32">
        <v>0.0</v>
      </c>
      <c r="BG123" s="32">
        <f t="shared" si="40"/>
        <v>5500</v>
      </c>
      <c r="BH123" s="32">
        <v>0.0</v>
      </c>
      <c r="BI123" s="32">
        <f t="shared" si="41"/>
        <v>5000</v>
      </c>
      <c r="BJ123" s="32">
        <f>IF(OR(B123&lt;Assumptions!$B$111,AND(B123=Assumptions!$B$111,A123&lt;=Assumptions!$B$112)),Assumptions!$B$110,0)</f>
        <v>0</v>
      </c>
      <c r="BK123" s="32">
        <f>IF(B123&lt;2027,Assumptions!$B$116+IF(OR(A123=4,A123=10),Assumptions!$B$117,0),IF(AND(B123=2027,A123&lt;=4),IF(A123=4,MIN(950,Assumptions!$B$116+Assumptions!$B$117),Assumptions!$B$116),0))</f>
        <v>0</v>
      </c>
      <c r="BL123" s="32">
        <f>IF(OR(B123&lt;2030,AND(B123=2030,A123&lt;8)),Assumptions!$B$118,IF(AND(B123=2030,A123=8),MOD(11000,200),0))</f>
        <v>0</v>
      </c>
      <c r="BM123" s="32">
        <f>IF(OR(B123&lt;Assumptions!$B$120,AND(B123=Assumptions!$B$120,A123&lt;=Assumptions!$B$121)),Assumptions!$B$119,0)</f>
        <v>0</v>
      </c>
      <c r="BN123" s="32">
        <f>IF(AND(B123&lt;=Assumptions!$B$123,A123&lt;=Assumptions!$B$124),Assumptions!$B$122,0)</f>
        <v>0</v>
      </c>
      <c r="BO123" s="32">
        <f t="shared" si="12"/>
        <v>0</v>
      </c>
      <c r="BP123" s="32">
        <f>SUMIFS(SL_Budget!$B:$B,SL_Budget!$C:$C,"'"&amp;TEXT(DATE(B123,A123,1),"YYYY-MM"))</f>
        <v>5522</v>
      </c>
      <c r="BQ123" s="32">
        <f>MAX(BP123, IFERROR(SUMIFS(ShadowLedger!D:D, 
  ShadowLedger!C:C, "&gt;="&amp;DATE(B123,A123,1), 
  ShadowLedger!C:C, "&lt;"&amp;EOMONTH(DATE(B123,A123,1),0)+1), 0))
</f>
        <v>5522</v>
      </c>
      <c r="BR123" s="32">
        <f t="shared" si="42"/>
        <v>1818180.658</v>
      </c>
      <c r="BS123" s="32">
        <f t="shared" si="43"/>
        <v>2943.4208</v>
      </c>
      <c r="BT123" s="32">
        <f>IF(BY122&gt;=Assumptions!$B$92,MAX(0,(AM123-BE123-BO123-BQ123)-Assumptions!$B$93),MAX(0,(AM123-BE123-BO123-BQ123)-Assumptions!$B$93)*Assumptions!$B$99)</f>
        <v>19520.3296</v>
      </c>
      <c r="BU123" s="32">
        <f>(BR123+BS123+MAX(0,BT123))*(Assumptions!$B$43-1)</f>
        <v>12549.51358</v>
      </c>
      <c r="BV123" s="32">
        <f t="shared" si="13"/>
        <v>1853193.922</v>
      </c>
      <c r="BW123" s="32">
        <f t="shared" si="44"/>
        <v>15476.04728</v>
      </c>
      <c r="BX123" s="32">
        <f>IF(BY122&lt;Assumptions!$B$92,MAX(0,(AM123-BE123-BO123-BQ123)-Assumptions!$B$93)*Assumptions!$B$98,0)</f>
        <v>0</v>
      </c>
      <c r="BY123" s="32">
        <f t="shared" si="14"/>
        <v>15476.04728</v>
      </c>
      <c r="BZ123" s="32">
        <f t="shared" si="45"/>
        <v>8860</v>
      </c>
      <c r="CA123" s="32">
        <f t="shared" si="15"/>
        <v>8860</v>
      </c>
      <c r="CB123" s="32">
        <f t="shared" si="16"/>
        <v>17720</v>
      </c>
      <c r="CC123" s="55">
        <f>CC122+(G123+J123)/(Salary_Schedule!E123*12/208)</f>
        <v>1827.246281</v>
      </c>
      <c r="CD123" s="55">
        <f>CD122+(O123+R123)/(Salary_Schedule!G123*12/208)</f>
        <v>159.4784987</v>
      </c>
      <c r="CE123" s="32">
        <f t="shared" si="17"/>
        <v>1853193.922</v>
      </c>
      <c r="CF123" s="32">
        <f>Assumptions!$B$55*(1+Assumptions!$B$56)^((B123-2025)+(A123-1)/12)</f>
        <v>613293.9002</v>
      </c>
      <c r="CG123" s="32">
        <f t="shared" si="18"/>
        <v>0</v>
      </c>
      <c r="CH123" s="32">
        <f t="shared" si="19"/>
        <v>-10500</v>
      </c>
      <c r="CI123" s="32">
        <f>CC123*(Salary_Schedule!E123/173.33)*(1-Assumptions!$B$28)+CD123*(Salary_Schedule!G123/173.33)*(1-Assumptions!$B$28)</f>
        <v>87448.40301</v>
      </c>
      <c r="CJ123" s="32">
        <f t="shared" si="20"/>
        <v>2543436.225</v>
      </c>
    </row>
    <row r="124" ht="15.0" customHeight="1">
      <c r="A124" s="1">
        <v>3.0</v>
      </c>
      <c r="B124" s="1">
        <v>2036.0</v>
      </c>
      <c r="C124" s="1" t="s">
        <v>793</v>
      </c>
      <c r="D124" s="1" t="str">
        <f t="shared" si="21"/>
        <v>02/2036</v>
      </c>
      <c r="E124" s="1" t="str">
        <f t="shared" si="2"/>
        <v>LEAN</v>
      </c>
      <c r="F124" s="32">
        <f>Salary_Schedule!E124</f>
        <v>11999.12</v>
      </c>
      <c r="G124" s="32">
        <f>Assumptions!$B$8</f>
        <v>200</v>
      </c>
      <c r="H124" s="32">
        <f>F124*Assumptions!$B$58</f>
        <v>1199.912</v>
      </c>
      <c r="I124" s="32">
        <f>Salary_Schedule!F124</f>
        <v>0</v>
      </c>
      <c r="J124" s="32">
        <f>I124*Assumptions!$B$9</f>
        <v>0</v>
      </c>
      <c r="K124" s="54">
        <f t="shared" si="3"/>
        <v>10599.208</v>
      </c>
      <c r="L124" s="32">
        <f>IF(COUNTIFS(SL_Income_Log!$B:$B,TEXT(B124,"0000")&amp;"-"&amp;TEXT(A124,"00"),SL_Income_Log!$C:$C,"salary",SL_Income_Log!$E:$E,"H")&gt;0,SUMIFS(SL_Income_Log!$D:$D,SL_Income_Log!$B:$B,TEXT(B124,"0000")&amp;"-"&amp;TEXT(A124,"00"),SL_Income_Log!$C:$C,"salary",SL_Income_Log!$E:$E,"H"),K124*(1-Assumptions!$B$102)-Z124-Y124)</f>
        <v>6359.5248</v>
      </c>
      <c r="M124" s="32">
        <f>RSU_Schedule!H123</f>
        <v>0</v>
      </c>
      <c r="N124" s="32">
        <f>Salary_Schedule!G124</f>
        <v>8739.6</v>
      </c>
      <c r="O124" s="32">
        <f>Assumptions!$B$19</f>
        <v>200</v>
      </c>
      <c r="P124" s="32">
        <f>N124*Assumptions!$B$59</f>
        <v>873.96</v>
      </c>
      <c r="Q124" s="32">
        <f>Salary_Schedule!H124</f>
        <v>0</v>
      </c>
      <c r="R124" s="32">
        <f>Q124*Assumptions!$B$20</f>
        <v>0</v>
      </c>
      <c r="S124" s="54">
        <f t="shared" si="4"/>
        <v>7665.64</v>
      </c>
      <c r="T124" s="32">
        <f>IF(COUNTIFS(SL_Income_Log!$B:$B,TEXT(B124,"0000")&amp;"-"&amp;TEXT(A124,"00"),SL_Income_Log!$C:$C,"salary",SL_Income_Log!$E:$E,"W")&gt;0,SUMIFS(SL_Income_Log!$D:$D,SL_Income_Log!$B:$B,TEXT(B124,"0000")&amp;"-"&amp;TEXT(A124,"00"),SL_Income_Log!$C:$C,"salary",SL_Income_Log!$E:$E,"W"),S124*(1-Assumptions!$B$102)-AC124-AB124)
</f>
        <v>4599.384</v>
      </c>
      <c r="U124" s="32">
        <f>RSU_Schedule!M123</f>
        <v>0</v>
      </c>
      <c r="V124" s="32">
        <f>H124*(1+Assumptions!$B$60)+Assumptions!$B$61</f>
        <v>1699.8768</v>
      </c>
      <c r="W124" s="32">
        <f>P124*(1+Assumptions!$B$60)+Assumptions!$B$61</f>
        <v>1243.544</v>
      </c>
      <c r="X124" s="32">
        <f t="shared" si="5"/>
        <v>2943.4208</v>
      </c>
      <c r="Y124" s="32">
        <v>0.0</v>
      </c>
      <c r="Z124" s="32">
        <v>0.0</v>
      </c>
      <c r="AA124" s="32">
        <v>0.0</v>
      </c>
      <c r="AB124" s="32">
        <v>0.0</v>
      </c>
      <c r="AC124" s="32">
        <v>0.0</v>
      </c>
      <c r="AD124" s="32">
        <v>0.0</v>
      </c>
      <c r="AE124" s="32">
        <f t="shared" ref="AE124:AF124" si="165">Z124+AC124</f>
        <v>0</v>
      </c>
      <c r="AF124" s="32">
        <f t="shared" si="165"/>
        <v>0</v>
      </c>
      <c r="AG124" s="32">
        <f>IF(COUNTIFS(SL_Income_Log!$B:$B,TEXT(B124,"0000")&amp;"-"&amp;TEXT(A124,"00"),SL_Income_Log!$C:$C,"youtube")&gt;0,SUMIFS(SL_Income_Log!$D:$D,SL_Income_Log!$B:$B,TEXT(B124,"0000")&amp;"-"&amp;TEXT(A124,"00"),SL_Income_Log!$C:$C,"youtube"),MIN(Assumptions!$B$49+FLOOR((ROW()-2)/6,1)*Assumptions!$B$50,Assumptions!$B$51))
</f>
        <v>20000</v>
      </c>
      <c r="AH124" s="32">
        <f>AG124*Assumptions!$B$104</f>
        <v>8860</v>
      </c>
      <c r="AI124" s="32">
        <f t="shared" si="7"/>
        <v>11140</v>
      </c>
      <c r="AJ124" s="32">
        <f>SUMIFS(SL_Income_Log!$D:$D,SL_Income_Log!$B:$B,TEXT(B124,"0000")&amp;"-"&amp;TEXT(A124,"00"),SL_Income_Log!$C:$C,"other")</f>
        <v>0</v>
      </c>
      <c r="AK124" s="32">
        <f t="shared" si="27"/>
        <v>10000</v>
      </c>
      <c r="AL124" s="32">
        <f>L124+M124+T124+U124+AI124+AJ124-Y124-Z124-AB124-AC124+IF((Debt_Register!$C$2+Debt_Register!$C$6+Debt_Register!$C$7+Debt_Register!$C$8+Debt_Register!$C$9)&gt;5,X124,0)</f>
        <v>25042.3296</v>
      </c>
      <c r="AM124" s="32">
        <f t="shared" si="8"/>
        <v>35042.3296</v>
      </c>
      <c r="AN124" s="32">
        <f>MAX(Assumptions!$B$94,MIN(Assumptions!$B$93,AM124-AP124-BE124-BO124-BQ124))</f>
        <v>10000</v>
      </c>
      <c r="AO124" s="32">
        <v>0.0</v>
      </c>
      <c r="AP124" s="32">
        <v>0.0</v>
      </c>
      <c r="AQ124" s="32">
        <v>0.0</v>
      </c>
      <c r="AR124" s="32">
        <v>0.0</v>
      </c>
      <c r="AS124" s="32">
        <v>0.0</v>
      </c>
      <c r="AT124" s="32">
        <v>0.0</v>
      </c>
      <c r="AU124" s="32">
        <f t="shared" si="30"/>
        <v>0</v>
      </c>
      <c r="AV124" s="32">
        <f t="shared" si="31"/>
        <v>0</v>
      </c>
      <c r="AW124" s="32">
        <f t="shared" si="32"/>
        <v>0</v>
      </c>
      <c r="AX124" s="32">
        <f t="shared" si="33"/>
        <v>0</v>
      </c>
      <c r="AY124" s="32">
        <f t="shared" si="34"/>
        <v>0</v>
      </c>
      <c r="AZ124" s="32">
        <f t="shared" si="35"/>
        <v>0</v>
      </c>
      <c r="BA124" s="32">
        <f t="shared" si="36"/>
        <v>0</v>
      </c>
      <c r="BB124" s="32">
        <f t="shared" si="37"/>
        <v>0</v>
      </c>
      <c r="BC124" s="32">
        <f t="shared" si="38"/>
        <v>0</v>
      </c>
      <c r="BD124" s="32">
        <f t="shared" si="39"/>
        <v>0</v>
      </c>
      <c r="BE124" s="32">
        <f t="shared" si="11"/>
        <v>0</v>
      </c>
      <c r="BF124" s="32">
        <v>0.0</v>
      </c>
      <c r="BG124" s="32">
        <f t="shared" si="40"/>
        <v>5500</v>
      </c>
      <c r="BH124" s="32">
        <v>0.0</v>
      </c>
      <c r="BI124" s="32">
        <f t="shared" si="41"/>
        <v>5000</v>
      </c>
      <c r="BJ124" s="32">
        <f>IF(OR(B124&lt;Assumptions!$B$111,AND(B124=Assumptions!$B$111,A124&lt;=Assumptions!$B$112)),Assumptions!$B$110,0)</f>
        <v>0</v>
      </c>
      <c r="BK124" s="32">
        <f>IF(B124&lt;2027,Assumptions!$B$116+IF(OR(A124=4,A124=10),Assumptions!$B$117,0),IF(AND(B124=2027,A124&lt;=4),IF(A124=4,MIN(950,Assumptions!$B$116+Assumptions!$B$117),Assumptions!$B$116),0))</f>
        <v>0</v>
      </c>
      <c r="BL124" s="32">
        <f>IF(OR(B124&lt;2030,AND(B124=2030,A124&lt;8)),Assumptions!$B$118,IF(AND(B124=2030,A124=8),MOD(11000,200),0))</f>
        <v>0</v>
      </c>
      <c r="BM124" s="32">
        <f>IF(OR(B124&lt;Assumptions!$B$120,AND(B124=Assumptions!$B$120,A124&lt;=Assumptions!$B$121)),Assumptions!$B$119,0)</f>
        <v>0</v>
      </c>
      <c r="BN124" s="32">
        <f>IF(AND(B124&lt;=Assumptions!$B$123,A124&lt;=Assumptions!$B$124),Assumptions!$B$122,0)</f>
        <v>0</v>
      </c>
      <c r="BO124" s="32">
        <f t="shared" si="12"/>
        <v>0</v>
      </c>
      <c r="BP124" s="32">
        <f>SUMIFS(SL_Budget!$B:$B,SL_Budget!$C:$C,"'"&amp;TEXT(DATE(B124,A124,1),"YYYY-MM"))</f>
        <v>5522</v>
      </c>
      <c r="BQ124" s="32">
        <f>MAX(BP124, IFERROR(SUMIFS(ShadowLedger!D:D, 
  ShadowLedger!C:C, "&gt;="&amp;DATE(B124,A124,1), 
  ShadowLedger!C:C, "&lt;"&amp;EOMONTH(DATE(B124,A124,1),0)+1), 0))
</f>
        <v>5522</v>
      </c>
      <c r="BR124" s="32">
        <f t="shared" si="42"/>
        <v>1853193.922</v>
      </c>
      <c r="BS124" s="32">
        <f t="shared" si="43"/>
        <v>2943.4208</v>
      </c>
      <c r="BT124" s="32">
        <f>IF(BY123&gt;=Assumptions!$B$92,MAX(0,(AM124-BE124-BO124-BQ124)-Assumptions!$B$93),MAX(0,(AM124-BE124-BO124-BQ124)-Assumptions!$B$93)*Assumptions!$B$99)</f>
        <v>19520.3296</v>
      </c>
      <c r="BU124" s="32">
        <f>(BR124+BS124+MAX(0,BT124))*(Assumptions!$B$43-1)</f>
        <v>12788.23401</v>
      </c>
      <c r="BV124" s="32">
        <f t="shared" si="13"/>
        <v>1888445.906</v>
      </c>
      <c r="BW124" s="32">
        <f t="shared" si="44"/>
        <v>15476.04728</v>
      </c>
      <c r="BX124" s="32">
        <f>IF(BY123&lt;Assumptions!$B$92,MAX(0,(AM124-BE124-BO124-BQ124)-Assumptions!$B$93)*Assumptions!$B$98,0)</f>
        <v>0</v>
      </c>
      <c r="BY124" s="32">
        <f t="shared" si="14"/>
        <v>15476.04728</v>
      </c>
      <c r="BZ124" s="32">
        <f t="shared" si="45"/>
        <v>17720</v>
      </c>
      <c r="CA124" s="32">
        <f t="shared" si="15"/>
        <v>8860</v>
      </c>
      <c r="CB124" s="32">
        <f t="shared" si="16"/>
        <v>26580</v>
      </c>
      <c r="CC124" s="55">
        <f>CC123+(G124+J124)/(Salary_Schedule!E124*12/208)</f>
        <v>1827.535191</v>
      </c>
      <c r="CD124" s="55">
        <f>CD123+(O124+R124)/(Salary_Schedule!G124*12/208)</f>
        <v>159.8751606</v>
      </c>
      <c r="CE124" s="32">
        <f t="shared" si="17"/>
        <v>1888445.906</v>
      </c>
      <c r="CF124" s="32">
        <f>Assumptions!$B$55*(1+Assumptions!$B$56)^((B124-2025)+(A124-1)/12)</f>
        <v>614055.297</v>
      </c>
      <c r="CG124" s="32">
        <f t="shared" si="18"/>
        <v>0</v>
      </c>
      <c r="CH124" s="32">
        <f t="shared" si="19"/>
        <v>-10500</v>
      </c>
      <c r="CI124" s="32">
        <f>CC124*(Salary_Schedule!E124/173.33)*(1-Assumptions!$B$28)+CD124*(Salary_Schedule!G124/173.33)*(1-Assumptions!$B$28)</f>
        <v>87474.40351</v>
      </c>
      <c r="CJ124" s="32">
        <f t="shared" si="20"/>
        <v>2579475.607</v>
      </c>
    </row>
    <row r="125" ht="15.0" customHeight="1">
      <c r="A125" s="1">
        <v>4.0</v>
      </c>
      <c r="B125" s="1">
        <v>2036.0</v>
      </c>
      <c r="C125" s="1" t="s">
        <v>794</v>
      </c>
      <c r="D125" s="1" t="str">
        <f t="shared" si="21"/>
        <v>03/2036</v>
      </c>
      <c r="E125" s="1" t="str">
        <f t="shared" si="2"/>
        <v>FAT_BONUS</v>
      </c>
      <c r="F125" s="32">
        <f>Salary_Schedule!E125</f>
        <v>11999.12</v>
      </c>
      <c r="G125" s="32">
        <f>Assumptions!$B$8</f>
        <v>200</v>
      </c>
      <c r="H125" s="32">
        <f>F125*Assumptions!$B$58</f>
        <v>1199.912</v>
      </c>
      <c r="I125" s="32">
        <f>Salary_Schedule!F125</f>
        <v>15997.37</v>
      </c>
      <c r="J125" s="32">
        <f>I125*Assumptions!$B$9</f>
        <v>5599.0795</v>
      </c>
      <c r="K125" s="54">
        <f t="shared" si="3"/>
        <v>20997.4985</v>
      </c>
      <c r="L125" s="32">
        <f>IF(COUNTIFS(SL_Income_Log!$B:$B,TEXT(B125,"0000")&amp;"-"&amp;TEXT(A125,"00"),SL_Income_Log!$C:$C,"salary",SL_Income_Log!$E:$E,"H")&gt;0,SUMIFS(SL_Income_Log!$D:$D,SL_Income_Log!$B:$B,TEXT(B125,"0000")&amp;"-"&amp;TEXT(A125,"00"),SL_Income_Log!$C:$C,"salary",SL_Income_Log!$E:$E,"H"),K125*(1-Assumptions!$B$102)-Z125-Y125)</f>
        <v>12598.4991</v>
      </c>
      <c r="M125" s="32">
        <f>RSU_Schedule!H124</f>
        <v>2784.99</v>
      </c>
      <c r="N125" s="32">
        <f>Salary_Schedule!G125</f>
        <v>8739.6</v>
      </c>
      <c r="O125" s="32">
        <f>Assumptions!$B$19</f>
        <v>200</v>
      </c>
      <c r="P125" s="32">
        <f>N125*Assumptions!$B$59</f>
        <v>873.96</v>
      </c>
      <c r="Q125" s="32">
        <f>Salary_Schedule!H125</f>
        <v>11652.96</v>
      </c>
      <c r="R125" s="32">
        <f>Q125*Assumptions!$B$20</f>
        <v>4078.536</v>
      </c>
      <c r="S125" s="54">
        <f t="shared" si="4"/>
        <v>15240.064</v>
      </c>
      <c r="T125" s="32">
        <f>IF(COUNTIFS(SL_Income_Log!$B:$B,TEXT(B125,"0000")&amp;"-"&amp;TEXT(A125,"00"),SL_Income_Log!$C:$C,"salary",SL_Income_Log!$E:$E,"W")&gt;0,SUMIFS(SL_Income_Log!$D:$D,SL_Income_Log!$B:$B,TEXT(B125,"0000")&amp;"-"&amp;TEXT(A125,"00"),SL_Income_Log!$C:$C,"salary",SL_Income_Log!$E:$E,"W"),S125*(1-Assumptions!$B$102)-AC125-AB125)
</f>
        <v>9144.0384</v>
      </c>
      <c r="U125" s="32">
        <f>RSU_Schedule!M124</f>
        <v>1392.51</v>
      </c>
      <c r="V125" s="32">
        <f>H125*(1+Assumptions!$B$60)+Assumptions!$B$61</f>
        <v>1699.8768</v>
      </c>
      <c r="W125" s="32">
        <f>P125*(1+Assumptions!$B$60)+Assumptions!$B$61</f>
        <v>1243.544</v>
      </c>
      <c r="X125" s="32">
        <f t="shared" si="5"/>
        <v>2943.4208</v>
      </c>
      <c r="Y125" s="32">
        <v>0.0</v>
      </c>
      <c r="Z125" s="32">
        <v>0.0</v>
      </c>
      <c r="AA125" s="32">
        <v>0.0</v>
      </c>
      <c r="AB125" s="32">
        <v>0.0</v>
      </c>
      <c r="AC125" s="32">
        <v>0.0</v>
      </c>
      <c r="AD125" s="32">
        <v>0.0</v>
      </c>
      <c r="AE125" s="32">
        <f t="shared" ref="AE125:AF125" si="166">Z125+AC125</f>
        <v>0</v>
      </c>
      <c r="AF125" s="32">
        <f t="shared" si="166"/>
        <v>0</v>
      </c>
      <c r="AG125" s="32">
        <f>IF(COUNTIFS(SL_Income_Log!$B:$B,TEXT(B125,"0000")&amp;"-"&amp;TEXT(A125,"00"),SL_Income_Log!$C:$C,"youtube")&gt;0,SUMIFS(SL_Income_Log!$D:$D,SL_Income_Log!$B:$B,TEXT(B125,"0000")&amp;"-"&amp;TEXT(A125,"00"),SL_Income_Log!$C:$C,"youtube"),MIN(Assumptions!$B$49+FLOOR((ROW()-2)/6,1)*Assumptions!$B$50,Assumptions!$B$51))
</f>
        <v>20000</v>
      </c>
      <c r="AH125" s="32">
        <f>AG125*Assumptions!$B$104</f>
        <v>8860</v>
      </c>
      <c r="AI125" s="32">
        <f t="shared" si="7"/>
        <v>11140</v>
      </c>
      <c r="AJ125" s="32">
        <f>SUMIFS(SL_Income_Log!$D:$D,SL_Income_Log!$B:$B,TEXT(B125,"0000")&amp;"-"&amp;TEXT(A125,"00"),SL_Income_Log!$C:$C,"other")</f>
        <v>0</v>
      </c>
      <c r="AK125" s="32">
        <f t="shared" si="27"/>
        <v>10000</v>
      </c>
      <c r="AL125" s="32">
        <f>L125+M125+T125+U125+AI125+AJ125-Y125-Z125-AB125-AC125+IF((Debt_Register!$C$2+Debt_Register!$C$6+Debt_Register!$C$7+Debt_Register!$C$8+Debt_Register!$C$9)&gt;5,X125,0)</f>
        <v>40003.4583</v>
      </c>
      <c r="AM125" s="32">
        <f t="shared" si="8"/>
        <v>50003.4583</v>
      </c>
      <c r="AN125" s="32">
        <f>MAX(Assumptions!$B$94,MIN(Assumptions!$B$93,AM125-AP125-BE125-BO125-BQ125))</f>
        <v>10000</v>
      </c>
      <c r="AO125" s="32">
        <v>0.0</v>
      </c>
      <c r="AP125" s="32">
        <v>0.0</v>
      </c>
      <c r="AQ125" s="32">
        <v>0.0</v>
      </c>
      <c r="AR125" s="32">
        <v>0.0</v>
      </c>
      <c r="AS125" s="32">
        <v>0.0</v>
      </c>
      <c r="AT125" s="32">
        <v>0.0</v>
      </c>
      <c r="AU125" s="32">
        <f t="shared" si="30"/>
        <v>0</v>
      </c>
      <c r="AV125" s="32">
        <f t="shared" si="31"/>
        <v>0</v>
      </c>
      <c r="AW125" s="32">
        <f t="shared" si="32"/>
        <v>0</v>
      </c>
      <c r="AX125" s="32">
        <f t="shared" si="33"/>
        <v>0</v>
      </c>
      <c r="AY125" s="32">
        <f t="shared" si="34"/>
        <v>0</v>
      </c>
      <c r="AZ125" s="32">
        <f t="shared" si="35"/>
        <v>0</v>
      </c>
      <c r="BA125" s="32">
        <f t="shared" si="36"/>
        <v>0</v>
      </c>
      <c r="BB125" s="32">
        <f t="shared" si="37"/>
        <v>0</v>
      </c>
      <c r="BC125" s="32">
        <f t="shared" si="38"/>
        <v>0</v>
      </c>
      <c r="BD125" s="32">
        <f t="shared" si="39"/>
        <v>0</v>
      </c>
      <c r="BE125" s="32">
        <f t="shared" si="11"/>
        <v>0</v>
      </c>
      <c r="BF125" s="32">
        <v>0.0</v>
      </c>
      <c r="BG125" s="32">
        <f t="shared" si="40"/>
        <v>5500</v>
      </c>
      <c r="BH125" s="32">
        <v>0.0</v>
      </c>
      <c r="BI125" s="32">
        <f t="shared" si="41"/>
        <v>5000</v>
      </c>
      <c r="BJ125" s="32">
        <f>IF(OR(B125&lt;Assumptions!$B$111,AND(B125=Assumptions!$B$111,A125&lt;=Assumptions!$B$112)),Assumptions!$B$110,0)</f>
        <v>0</v>
      </c>
      <c r="BK125" s="32">
        <f>IF(B125&lt;2027,Assumptions!$B$116+IF(OR(A125=4,A125=10),Assumptions!$B$117,0),IF(AND(B125=2027,A125&lt;=4),IF(A125=4,MIN(950,Assumptions!$B$116+Assumptions!$B$117),Assumptions!$B$116),0))</f>
        <v>0</v>
      </c>
      <c r="BL125" s="32">
        <f>IF(OR(B125&lt;2030,AND(B125=2030,A125&lt;8)),Assumptions!$B$118,IF(AND(B125=2030,A125=8),MOD(11000,200),0))</f>
        <v>0</v>
      </c>
      <c r="BM125" s="32">
        <f>IF(OR(B125&lt;Assumptions!$B$120,AND(B125=Assumptions!$B$120,A125&lt;=Assumptions!$B$121)),Assumptions!$B$119,0)</f>
        <v>0</v>
      </c>
      <c r="BN125" s="32">
        <f>IF(AND(B125&lt;=Assumptions!$B$123,A125&lt;=Assumptions!$B$124),Assumptions!$B$122,0)</f>
        <v>0</v>
      </c>
      <c r="BO125" s="32">
        <f t="shared" si="12"/>
        <v>0</v>
      </c>
      <c r="BP125" s="32">
        <f>SUMIFS(SL_Budget!$B:$B,SL_Budget!$C:$C,"'"&amp;TEXT(DATE(B125,A125,1),"YYYY-MM"))</f>
        <v>5522</v>
      </c>
      <c r="BQ125" s="32">
        <f>MAX(BP125, IFERROR(SUMIFS(ShadowLedger!D:D, 
  ShadowLedger!C:C, "&gt;="&amp;DATE(B125,A125,1), 
  ShadowLedger!C:C, "&lt;"&amp;EOMONTH(DATE(B125,A125,1),0)+1), 0))
</f>
        <v>5522</v>
      </c>
      <c r="BR125" s="32">
        <f t="shared" si="42"/>
        <v>1888445.906</v>
      </c>
      <c r="BS125" s="32">
        <f t="shared" si="43"/>
        <v>2943.4208</v>
      </c>
      <c r="BT125" s="32">
        <f>IF(BY124&gt;=Assumptions!$B$92,MAX(0,(AM125-BE125-BO125-BQ125)-Assumptions!$B$93),MAX(0,(AM125-BE125-BO125-BQ125)-Assumptions!$B$93)*Assumptions!$B$99)</f>
        <v>34481.4583</v>
      </c>
      <c r="BU125" s="32">
        <f>(BR125+BS125+MAX(0,BT125))*(Assumptions!$B$43-1)</f>
        <v>13130.58701</v>
      </c>
      <c r="BV125" s="32">
        <f t="shared" si="13"/>
        <v>1939001.372</v>
      </c>
      <c r="BW125" s="32">
        <f t="shared" si="44"/>
        <v>15476.04728</v>
      </c>
      <c r="BX125" s="32">
        <f>IF(BY124&lt;Assumptions!$B$92,MAX(0,(AM125-BE125-BO125-BQ125)-Assumptions!$B$93)*Assumptions!$B$98,0)</f>
        <v>0</v>
      </c>
      <c r="BY125" s="32">
        <f t="shared" si="14"/>
        <v>15476.04728</v>
      </c>
      <c r="BZ125" s="32">
        <f t="shared" si="45"/>
        <v>26580</v>
      </c>
      <c r="CA125" s="32">
        <f t="shared" si="15"/>
        <v>8860</v>
      </c>
      <c r="CB125" s="32">
        <f t="shared" si="16"/>
        <v>35440</v>
      </c>
      <c r="CC125" s="55">
        <f>CC124+(G125+J125)/(Salary_Schedule!E125*12/208)</f>
        <v>1835.912254</v>
      </c>
      <c r="CD125" s="55">
        <f>CD124+(O125+R125)/(Salary_Schedule!G125*12/208)</f>
        <v>168.3608225</v>
      </c>
      <c r="CE125" s="32">
        <f t="shared" si="17"/>
        <v>1939001.372</v>
      </c>
      <c r="CF125" s="32">
        <f>Assumptions!$B$55*(1+Assumptions!$B$56)^((B125-2025)+(A125-1)/12)</f>
        <v>614817.6392</v>
      </c>
      <c r="CG125" s="32">
        <f t="shared" si="18"/>
        <v>0</v>
      </c>
      <c r="CH125" s="32">
        <f t="shared" si="19"/>
        <v>-10500</v>
      </c>
      <c r="CI125" s="32">
        <f>CC125*(Salary_Schedule!E125/173.33)*(1-Assumptions!$B$28)+CD125*(Salary_Schedule!G125/173.33)*(1-Assumptions!$B$28)</f>
        <v>88129.46111</v>
      </c>
      <c r="CJ125" s="32">
        <f t="shared" si="20"/>
        <v>2631448.473</v>
      </c>
    </row>
    <row r="126" ht="15.0" customHeight="1">
      <c r="A126" s="1">
        <v>5.0</v>
      </c>
      <c r="B126" s="1">
        <v>2036.0</v>
      </c>
      <c r="C126" s="1" t="s">
        <v>795</v>
      </c>
      <c r="D126" s="1" t="str">
        <f t="shared" si="21"/>
        <v>04/2036</v>
      </c>
      <c r="E126" s="1" t="str">
        <f t="shared" si="2"/>
        <v>LEAN</v>
      </c>
      <c r="F126" s="32">
        <f>Salary_Schedule!E126</f>
        <v>11999.12</v>
      </c>
      <c r="G126" s="32">
        <f>Assumptions!$B$8</f>
        <v>200</v>
      </c>
      <c r="H126" s="32">
        <f>F126*Assumptions!$B$58</f>
        <v>1199.912</v>
      </c>
      <c r="I126" s="32">
        <f>Salary_Schedule!F126</f>
        <v>0</v>
      </c>
      <c r="J126" s="32">
        <f>I126*Assumptions!$B$9</f>
        <v>0</v>
      </c>
      <c r="K126" s="54">
        <f t="shared" si="3"/>
        <v>10599.208</v>
      </c>
      <c r="L126" s="32">
        <f>IF(COUNTIFS(SL_Income_Log!$B:$B,TEXT(B126,"0000")&amp;"-"&amp;TEXT(A126,"00"),SL_Income_Log!$C:$C,"salary",SL_Income_Log!$E:$E,"H")&gt;0,SUMIFS(SL_Income_Log!$D:$D,SL_Income_Log!$B:$B,TEXT(B126,"0000")&amp;"-"&amp;TEXT(A126,"00"),SL_Income_Log!$C:$C,"salary",SL_Income_Log!$E:$E,"H"),K126*(1-Assumptions!$B$102)-Z126-Y126)</f>
        <v>6359.5248</v>
      </c>
      <c r="M126" s="32">
        <f>RSU_Schedule!H125</f>
        <v>0</v>
      </c>
      <c r="N126" s="32">
        <f>Salary_Schedule!G126</f>
        <v>8739.6</v>
      </c>
      <c r="O126" s="32">
        <f>Assumptions!$B$19</f>
        <v>200</v>
      </c>
      <c r="P126" s="32">
        <f>N126*Assumptions!$B$59</f>
        <v>873.96</v>
      </c>
      <c r="Q126" s="32">
        <f>Salary_Schedule!H126</f>
        <v>0</v>
      </c>
      <c r="R126" s="32">
        <f>Q126*Assumptions!$B$20</f>
        <v>0</v>
      </c>
      <c r="S126" s="54">
        <f t="shared" si="4"/>
        <v>7665.64</v>
      </c>
      <c r="T126" s="32">
        <f>IF(COUNTIFS(SL_Income_Log!$B:$B,TEXT(B126,"0000")&amp;"-"&amp;TEXT(A126,"00"),SL_Income_Log!$C:$C,"salary",SL_Income_Log!$E:$E,"W")&gt;0,SUMIFS(SL_Income_Log!$D:$D,SL_Income_Log!$B:$B,TEXT(B126,"0000")&amp;"-"&amp;TEXT(A126,"00"),SL_Income_Log!$C:$C,"salary",SL_Income_Log!$E:$E,"W"),S126*(1-Assumptions!$B$102)-AC126-AB126)
</f>
        <v>4599.384</v>
      </c>
      <c r="U126" s="32">
        <f>RSU_Schedule!M125</f>
        <v>0</v>
      </c>
      <c r="V126" s="32">
        <f>H126*(1+Assumptions!$B$60)+Assumptions!$B$61</f>
        <v>1699.8768</v>
      </c>
      <c r="W126" s="32">
        <f>P126*(1+Assumptions!$B$60)+Assumptions!$B$61</f>
        <v>1243.544</v>
      </c>
      <c r="X126" s="32">
        <f t="shared" si="5"/>
        <v>2943.4208</v>
      </c>
      <c r="Y126" s="32">
        <v>0.0</v>
      </c>
      <c r="Z126" s="32">
        <v>0.0</v>
      </c>
      <c r="AA126" s="32">
        <v>0.0</v>
      </c>
      <c r="AB126" s="32">
        <v>0.0</v>
      </c>
      <c r="AC126" s="32">
        <v>0.0</v>
      </c>
      <c r="AD126" s="32">
        <v>0.0</v>
      </c>
      <c r="AE126" s="32">
        <f t="shared" ref="AE126:AF126" si="167">Z126+AC126</f>
        <v>0</v>
      </c>
      <c r="AF126" s="32">
        <f t="shared" si="167"/>
        <v>0</v>
      </c>
      <c r="AG126" s="32">
        <f>IF(COUNTIFS(SL_Income_Log!$B:$B,TEXT(B126,"0000")&amp;"-"&amp;TEXT(A126,"00"),SL_Income_Log!$C:$C,"youtube")&gt;0,SUMIFS(SL_Income_Log!$D:$D,SL_Income_Log!$B:$B,TEXT(B126,"0000")&amp;"-"&amp;TEXT(A126,"00"),SL_Income_Log!$C:$C,"youtube"),MIN(Assumptions!$B$49+FLOOR((ROW()-2)/6,1)*Assumptions!$B$50,Assumptions!$B$51))
</f>
        <v>20000</v>
      </c>
      <c r="AH126" s="32">
        <f>AG126*Assumptions!$B$104</f>
        <v>8860</v>
      </c>
      <c r="AI126" s="32">
        <f t="shared" si="7"/>
        <v>11140</v>
      </c>
      <c r="AJ126" s="32">
        <f>SUMIFS(SL_Income_Log!$D:$D,SL_Income_Log!$B:$B,TEXT(B126,"0000")&amp;"-"&amp;TEXT(A126,"00"),SL_Income_Log!$C:$C,"other")</f>
        <v>0</v>
      </c>
      <c r="AK126" s="32">
        <f t="shared" si="27"/>
        <v>10000</v>
      </c>
      <c r="AL126" s="32">
        <f>L126+M126+T126+U126+AI126+AJ126-Y126-Z126-AB126-AC126+IF((Debt_Register!$C$2+Debt_Register!$C$6+Debt_Register!$C$7+Debt_Register!$C$8+Debt_Register!$C$9)&gt;5,X126,0)</f>
        <v>25042.3296</v>
      </c>
      <c r="AM126" s="32">
        <f t="shared" si="8"/>
        <v>35042.3296</v>
      </c>
      <c r="AN126" s="32">
        <f>MAX(Assumptions!$B$94,MIN(Assumptions!$B$93,AM126-AP126-BE126-BO126-BQ126))</f>
        <v>10000</v>
      </c>
      <c r="AO126" s="32">
        <v>0.0</v>
      </c>
      <c r="AP126" s="32">
        <v>0.0</v>
      </c>
      <c r="AQ126" s="32">
        <v>0.0</v>
      </c>
      <c r="AR126" s="32">
        <v>0.0</v>
      </c>
      <c r="AS126" s="32">
        <v>0.0</v>
      </c>
      <c r="AT126" s="32">
        <v>0.0</v>
      </c>
      <c r="AU126" s="32">
        <f t="shared" si="30"/>
        <v>0</v>
      </c>
      <c r="AV126" s="32">
        <f t="shared" si="31"/>
        <v>0</v>
      </c>
      <c r="AW126" s="32">
        <f t="shared" si="32"/>
        <v>0</v>
      </c>
      <c r="AX126" s="32">
        <f t="shared" si="33"/>
        <v>0</v>
      </c>
      <c r="AY126" s="32">
        <f t="shared" si="34"/>
        <v>0</v>
      </c>
      <c r="AZ126" s="32">
        <f t="shared" si="35"/>
        <v>0</v>
      </c>
      <c r="BA126" s="32">
        <f t="shared" si="36"/>
        <v>0</v>
      </c>
      <c r="BB126" s="32">
        <f t="shared" si="37"/>
        <v>0</v>
      </c>
      <c r="BC126" s="32">
        <f t="shared" si="38"/>
        <v>0</v>
      </c>
      <c r="BD126" s="32">
        <f t="shared" si="39"/>
        <v>0</v>
      </c>
      <c r="BE126" s="32">
        <f t="shared" si="11"/>
        <v>0</v>
      </c>
      <c r="BF126" s="32">
        <v>0.0</v>
      </c>
      <c r="BG126" s="32">
        <f t="shared" si="40"/>
        <v>5500</v>
      </c>
      <c r="BH126" s="32">
        <v>0.0</v>
      </c>
      <c r="BI126" s="32">
        <f t="shared" si="41"/>
        <v>5000</v>
      </c>
      <c r="BJ126" s="32">
        <f>IF(OR(B126&lt;Assumptions!$B$111,AND(B126=Assumptions!$B$111,A126&lt;=Assumptions!$B$112)),Assumptions!$B$110,0)</f>
        <v>0</v>
      </c>
      <c r="BK126" s="32">
        <f>IF(B126&lt;2027,Assumptions!$B$116+IF(OR(A126=4,A126=10),Assumptions!$B$117,0),IF(AND(B126=2027,A126&lt;=4),IF(A126=4,MIN(950,Assumptions!$B$116+Assumptions!$B$117),Assumptions!$B$116),0))</f>
        <v>0</v>
      </c>
      <c r="BL126" s="32">
        <f>IF(OR(B126&lt;2030,AND(B126=2030,A126&lt;8)),Assumptions!$B$118,IF(AND(B126=2030,A126=8),MOD(11000,200),0))</f>
        <v>0</v>
      </c>
      <c r="BM126" s="32">
        <f>IF(OR(B126&lt;Assumptions!$B$120,AND(B126=Assumptions!$B$120,A126&lt;=Assumptions!$B$121)),Assumptions!$B$119,0)</f>
        <v>0</v>
      </c>
      <c r="BN126" s="32">
        <f>IF(AND(B126&lt;=Assumptions!$B$123,A126&lt;=Assumptions!$B$124),Assumptions!$B$122,0)</f>
        <v>0</v>
      </c>
      <c r="BO126" s="32">
        <f t="shared" si="12"/>
        <v>0</v>
      </c>
      <c r="BP126" s="32">
        <f>SUMIFS(SL_Budget!$B:$B,SL_Budget!$C:$C,"'"&amp;TEXT(DATE(B126,A126,1),"YYYY-MM"))</f>
        <v>5522</v>
      </c>
      <c r="BQ126" s="32">
        <f>MAX(BP126, IFERROR(SUMIFS(ShadowLedger!D:D, 
  ShadowLedger!C:C, "&gt;="&amp;DATE(B126,A126,1), 
  ShadowLedger!C:C, "&lt;"&amp;EOMONTH(DATE(B126,A126,1),0)+1), 0))
</f>
        <v>5522</v>
      </c>
      <c r="BR126" s="32">
        <f t="shared" si="42"/>
        <v>1939001.372</v>
      </c>
      <c r="BS126" s="32">
        <f t="shared" si="43"/>
        <v>2943.4208</v>
      </c>
      <c r="BT126" s="32">
        <f>IF(BY125&gt;=Assumptions!$B$92,MAX(0,(AM126-BE126-BO126-BQ126)-Assumptions!$B$93),MAX(0,(AM126-BE126-BO126-BQ126)-Assumptions!$B$93)*Assumptions!$B$99)</f>
        <v>19520.3296</v>
      </c>
      <c r="BU126" s="32">
        <f>(BR126+BS126+MAX(0,BT126))*(Assumptions!$B$43-1)</f>
        <v>13373.26921</v>
      </c>
      <c r="BV126" s="32">
        <f t="shared" si="13"/>
        <v>1974838.392</v>
      </c>
      <c r="BW126" s="32">
        <f t="shared" si="44"/>
        <v>15476.04728</v>
      </c>
      <c r="BX126" s="32">
        <f>IF(BY125&lt;Assumptions!$B$92,MAX(0,(AM126-BE126-BO126-BQ126)-Assumptions!$B$93)*Assumptions!$B$98,0)</f>
        <v>0</v>
      </c>
      <c r="BY126" s="32">
        <f t="shared" si="14"/>
        <v>15476.04728</v>
      </c>
      <c r="BZ126" s="32">
        <f t="shared" si="45"/>
        <v>35440</v>
      </c>
      <c r="CA126" s="32">
        <f t="shared" si="15"/>
        <v>8860</v>
      </c>
      <c r="CB126" s="32">
        <f t="shared" si="16"/>
        <v>44300</v>
      </c>
      <c r="CC126" s="55">
        <f>CC125+(G126+J126)/(Salary_Schedule!E126*12/208)</f>
        <v>1836.201164</v>
      </c>
      <c r="CD126" s="55">
        <f>CD125+(O126+R126)/(Salary_Schedule!G126*12/208)</f>
        <v>168.7574845</v>
      </c>
      <c r="CE126" s="32">
        <f t="shared" si="17"/>
        <v>1974838.392</v>
      </c>
      <c r="CF126" s="32">
        <f>Assumptions!$B$55*(1+Assumptions!$B$56)^((B126-2025)+(A126-1)/12)</f>
        <v>615580.9277</v>
      </c>
      <c r="CG126" s="32">
        <f t="shared" si="18"/>
        <v>0</v>
      </c>
      <c r="CH126" s="32">
        <f t="shared" si="19"/>
        <v>-10500</v>
      </c>
      <c r="CI126" s="32">
        <f>CC126*(Salary_Schedule!E126/173.33)*(1-Assumptions!$B$28)+CD126*(Salary_Schedule!G126/173.33)*(1-Assumptions!$B$28)</f>
        <v>88155.46161</v>
      </c>
      <c r="CJ126" s="32">
        <f t="shared" si="20"/>
        <v>2668074.781</v>
      </c>
    </row>
    <row r="127" ht="15.0" customHeight="1">
      <c r="A127" s="1">
        <v>6.0</v>
      </c>
      <c r="B127" s="1">
        <v>2036.0</v>
      </c>
      <c r="C127" s="1" t="s">
        <v>796</v>
      </c>
      <c r="D127" s="1" t="str">
        <f t="shared" si="21"/>
        <v>05/2036</v>
      </c>
      <c r="E127" s="1" t="str">
        <f t="shared" si="2"/>
        <v>LEAN</v>
      </c>
      <c r="F127" s="32">
        <f>Salary_Schedule!E127</f>
        <v>11999.12</v>
      </c>
      <c r="G127" s="32">
        <f>Assumptions!$B$8</f>
        <v>200</v>
      </c>
      <c r="H127" s="32">
        <f>F127*Assumptions!$B$58</f>
        <v>1199.912</v>
      </c>
      <c r="I127" s="32">
        <f>Salary_Schedule!F127</f>
        <v>0</v>
      </c>
      <c r="J127" s="32">
        <f>I127*Assumptions!$B$9</f>
        <v>0</v>
      </c>
      <c r="K127" s="54">
        <f t="shared" si="3"/>
        <v>10599.208</v>
      </c>
      <c r="L127" s="32">
        <f>IF(COUNTIFS(SL_Income_Log!$B:$B,TEXT(B127,"0000")&amp;"-"&amp;TEXT(A127,"00"),SL_Income_Log!$C:$C,"salary",SL_Income_Log!$E:$E,"H")&gt;0,SUMIFS(SL_Income_Log!$D:$D,SL_Income_Log!$B:$B,TEXT(B127,"0000")&amp;"-"&amp;TEXT(A127,"00"),SL_Income_Log!$C:$C,"salary",SL_Income_Log!$E:$E,"H"),K127*(1-Assumptions!$B$102)-Z127-Y127)</f>
        <v>6359.5248</v>
      </c>
      <c r="M127" s="32">
        <f>RSU_Schedule!H126</f>
        <v>0</v>
      </c>
      <c r="N127" s="32">
        <f>Salary_Schedule!G127</f>
        <v>8739.6</v>
      </c>
      <c r="O127" s="32">
        <f>Assumptions!$B$19</f>
        <v>200</v>
      </c>
      <c r="P127" s="32">
        <f>N127*Assumptions!$B$59</f>
        <v>873.96</v>
      </c>
      <c r="Q127" s="32">
        <f>Salary_Schedule!H127</f>
        <v>0</v>
      </c>
      <c r="R127" s="32">
        <f>Q127*Assumptions!$B$20</f>
        <v>0</v>
      </c>
      <c r="S127" s="54">
        <f t="shared" si="4"/>
        <v>7665.64</v>
      </c>
      <c r="T127" s="32">
        <f>IF(COUNTIFS(SL_Income_Log!$B:$B,TEXT(B127,"0000")&amp;"-"&amp;TEXT(A127,"00"),SL_Income_Log!$C:$C,"salary",SL_Income_Log!$E:$E,"W")&gt;0,SUMIFS(SL_Income_Log!$D:$D,SL_Income_Log!$B:$B,TEXT(B127,"0000")&amp;"-"&amp;TEXT(A127,"00"),SL_Income_Log!$C:$C,"salary",SL_Income_Log!$E:$E,"W"),S127*(1-Assumptions!$B$102)-AC127-AB127)
</f>
        <v>4599.384</v>
      </c>
      <c r="U127" s="32">
        <f>RSU_Schedule!M126</f>
        <v>0</v>
      </c>
      <c r="V127" s="32">
        <f>H127*(1+Assumptions!$B$60)+Assumptions!$B$61</f>
        <v>1699.8768</v>
      </c>
      <c r="W127" s="32">
        <f>P127*(1+Assumptions!$B$60)+Assumptions!$B$61</f>
        <v>1243.544</v>
      </c>
      <c r="X127" s="32">
        <f t="shared" si="5"/>
        <v>2943.4208</v>
      </c>
      <c r="Y127" s="32">
        <v>0.0</v>
      </c>
      <c r="Z127" s="32">
        <v>0.0</v>
      </c>
      <c r="AA127" s="32">
        <v>0.0</v>
      </c>
      <c r="AB127" s="32">
        <v>0.0</v>
      </c>
      <c r="AC127" s="32">
        <v>0.0</v>
      </c>
      <c r="AD127" s="32">
        <v>0.0</v>
      </c>
      <c r="AE127" s="32">
        <f t="shared" ref="AE127:AF127" si="168">Z127+AC127</f>
        <v>0</v>
      </c>
      <c r="AF127" s="32">
        <f t="shared" si="168"/>
        <v>0</v>
      </c>
      <c r="AG127" s="32">
        <f>IF(COUNTIFS(SL_Income_Log!$B:$B,TEXT(B127,"0000")&amp;"-"&amp;TEXT(A127,"00"),SL_Income_Log!$C:$C,"youtube")&gt;0,SUMIFS(SL_Income_Log!$D:$D,SL_Income_Log!$B:$B,TEXT(B127,"0000")&amp;"-"&amp;TEXT(A127,"00"),SL_Income_Log!$C:$C,"youtube"),MIN(Assumptions!$B$49+FLOOR((ROW()-2)/6,1)*Assumptions!$B$50,Assumptions!$B$51))
</f>
        <v>20000</v>
      </c>
      <c r="AH127" s="32">
        <f>AG127*Assumptions!$B$104</f>
        <v>8860</v>
      </c>
      <c r="AI127" s="32">
        <f t="shared" si="7"/>
        <v>11140</v>
      </c>
      <c r="AJ127" s="32">
        <f>SUMIFS(SL_Income_Log!$D:$D,SL_Income_Log!$B:$B,TEXT(B127,"0000")&amp;"-"&amp;TEXT(A127,"00"),SL_Income_Log!$C:$C,"other")</f>
        <v>0</v>
      </c>
      <c r="AK127" s="32">
        <f t="shared" si="27"/>
        <v>10000</v>
      </c>
      <c r="AL127" s="32">
        <f>L127+M127+T127+U127+AI127+AJ127-Y127-Z127-AB127-AC127+IF((Debt_Register!$C$2+Debt_Register!$C$6+Debt_Register!$C$7+Debt_Register!$C$8+Debt_Register!$C$9)&gt;5,X127,0)</f>
        <v>25042.3296</v>
      </c>
      <c r="AM127" s="32">
        <f t="shared" si="8"/>
        <v>35042.3296</v>
      </c>
      <c r="AN127" s="32">
        <f>MAX(Assumptions!$B$94,MIN(Assumptions!$B$93,AM127-AP127-BE127-BO127-BQ127))</f>
        <v>10000</v>
      </c>
      <c r="AO127" s="32">
        <v>0.0</v>
      </c>
      <c r="AP127" s="32">
        <v>0.0</v>
      </c>
      <c r="AQ127" s="32">
        <v>0.0</v>
      </c>
      <c r="AR127" s="32">
        <v>0.0</v>
      </c>
      <c r="AS127" s="32">
        <v>0.0</v>
      </c>
      <c r="AT127" s="32">
        <v>0.0</v>
      </c>
      <c r="AU127" s="32">
        <f t="shared" si="30"/>
        <v>0</v>
      </c>
      <c r="AV127" s="32">
        <f t="shared" si="31"/>
        <v>0</v>
      </c>
      <c r="AW127" s="32">
        <f t="shared" si="32"/>
        <v>0</v>
      </c>
      <c r="AX127" s="32">
        <f t="shared" si="33"/>
        <v>0</v>
      </c>
      <c r="AY127" s="32">
        <f t="shared" si="34"/>
        <v>0</v>
      </c>
      <c r="AZ127" s="32">
        <f t="shared" si="35"/>
        <v>0</v>
      </c>
      <c r="BA127" s="32">
        <f t="shared" si="36"/>
        <v>0</v>
      </c>
      <c r="BB127" s="32">
        <f t="shared" si="37"/>
        <v>0</v>
      </c>
      <c r="BC127" s="32">
        <f t="shared" si="38"/>
        <v>0</v>
      </c>
      <c r="BD127" s="32">
        <f t="shared" si="39"/>
        <v>0</v>
      </c>
      <c r="BE127" s="32">
        <f t="shared" si="11"/>
        <v>0</v>
      </c>
      <c r="BF127" s="32">
        <v>0.0</v>
      </c>
      <c r="BG127" s="32">
        <f t="shared" si="40"/>
        <v>5500</v>
      </c>
      <c r="BH127" s="32">
        <v>0.0</v>
      </c>
      <c r="BI127" s="32">
        <f t="shared" si="41"/>
        <v>5000</v>
      </c>
      <c r="BJ127" s="32">
        <f>IF(OR(B127&lt;Assumptions!$B$111,AND(B127=Assumptions!$B$111,A127&lt;=Assumptions!$B$112)),Assumptions!$B$110,0)</f>
        <v>0</v>
      </c>
      <c r="BK127" s="32">
        <f>IF(B127&lt;2027,Assumptions!$B$116+IF(OR(A127=4,A127=10),Assumptions!$B$117,0),IF(AND(B127=2027,A127&lt;=4),IF(A127=4,MIN(950,Assumptions!$B$116+Assumptions!$B$117),Assumptions!$B$116),0))</f>
        <v>0</v>
      </c>
      <c r="BL127" s="32">
        <f>IF(OR(B127&lt;2030,AND(B127=2030,A127&lt;8)),Assumptions!$B$118,IF(AND(B127=2030,A127=8),MOD(11000,200),0))</f>
        <v>0</v>
      </c>
      <c r="BM127" s="32">
        <f>IF(OR(B127&lt;Assumptions!$B$120,AND(B127=Assumptions!$B$120,A127&lt;=Assumptions!$B$121)),Assumptions!$B$119,0)</f>
        <v>0</v>
      </c>
      <c r="BN127" s="32">
        <f>IF(AND(B127&lt;=Assumptions!$B$123,A127&lt;=Assumptions!$B$124),Assumptions!$B$122,0)</f>
        <v>0</v>
      </c>
      <c r="BO127" s="32">
        <f t="shared" si="12"/>
        <v>0</v>
      </c>
      <c r="BP127" s="32">
        <f>SUMIFS(SL_Budget!$B:$B,SL_Budget!$C:$C,"'"&amp;TEXT(DATE(B127,A127,1),"YYYY-MM"))</f>
        <v>5522</v>
      </c>
      <c r="BQ127" s="32">
        <f>MAX(BP127, IFERROR(SUMIFS(ShadowLedger!D:D, 
  ShadowLedger!C:C, "&gt;="&amp;DATE(B127,A127,1), 
  ShadowLedger!C:C, "&lt;"&amp;EOMONTH(DATE(B127,A127,1),0)+1), 0))
</f>
        <v>5522</v>
      </c>
      <c r="BR127" s="32">
        <f t="shared" si="42"/>
        <v>1974838.392</v>
      </c>
      <c r="BS127" s="32">
        <f t="shared" si="43"/>
        <v>2943.4208</v>
      </c>
      <c r="BT127" s="32">
        <f>IF(BY126&gt;=Assumptions!$B$92,MAX(0,(AM127-BE127-BO127-BQ127)-Assumptions!$B$93),MAX(0,(AM127-BE127-BO127-BQ127)-Assumptions!$B$93)*Assumptions!$B$99)</f>
        <v>19520.3296</v>
      </c>
      <c r="BU127" s="32">
        <f>(BR127+BS127+MAX(0,BT127))*(Assumptions!$B$43-1)</f>
        <v>13617.60601</v>
      </c>
      <c r="BV127" s="32">
        <f t="shared" si="13"/>
        <v>2010919.748</v>
      </c>
      <c r="BW127" s="32">
        <f t="shared" si="44"/>
        <v>15476.04728</v>
      </c>
      <c r="BX127" s="32">
        <f>IF(BY126&lt;Assumptions!$B$92,MAX(0,(AM127-BE127-BO127-BQ127)-Assumptions!$B$93)*Assumptions!$B$98,0)</f>
        <v>0</v>
      </c>
      <c r="BY127" s="32">
        <f t="shared" si="14"/>
        <v>15476.04728</v>
      </c>
      <c r="BZ127" s="32">
        <f t="shared" si="45"/>
        <v>44300</v>
      </c>
      <c r="CA127" s="32">
        <f t="shared" si="15"/>
        <v>8860</v>
      </c>
      <c r="CB127" s="32">
        <f t="shared" si="16"/>
        <v>53160</v>
      </c>
      <c r="CC127" s="55">
        <f>CC126+(G127+J127)/(Salary_Schedule!E127*12/208)</f>
        <v>1836.490074</v>
      </c>
      <c r="CD127" s="55">
        <f>CD126+(O127+R127)/(Salary_Schedule!G127*12/208)</f>
        <v>169.1541464</v>
      </c>
      <c r="CE127" s="32">
        <f t="shared" si="17"/>
        <v>2010919.748</v>
      </c>
      <c r="CF127" s="32">
        <f>Assumptions!$B$55*(1+Assumptions!$B$56)^((B127-2025)+(A127-1)/12)</f>
        <v>616345.1639</v>
      </c>
      <c r="CG127" s="32">
        <f t="shared" si="18"/>
        <v>0</v>
      </c>
      <c r="CH127" s="32">
        <f t="shared" si="19"/>
        <v>-10500</v>
      </c>
      <c r="CI127" s="32">
        <f>CC127*(Salary_Schedule!E127/173.33)*(1-Assumptions!$B$28)+CD127*(Salary_Schedule!G127/173.33)*(1-Assumptions!$B$28)</f>
        <v>88181.46211</v>
      </c>
      <c r="CJ127" s="32">
        <f t="shared" si="20"/>
        <v>2704946.374</v>
      </c>
    </row>
    <row r="128" ht="15.0" customHeight="1">
      <c r="A128" s="1">
        <v>7.0</v>
      </c>
      <c r="B128" s="1">
        <v>2036.0</v>
      </c>
      <c r="C128" s="1" t="s">
        <v>797</v>
      </c>
      <c r="D128" s="1" t="str">
        <f t="shared" si="21"/>
        <v>06/2036</v>
      </c>
      <c r="E128" s="1" t="str">
        <f t="shared" si="2"/>
        <v>FAT_RSU</v>
      </c>
      <c r="F128" s="32">
        <f>Salary_Schedule!E128</f>
        <v>11999.12</v>
      </c>
      <c r="G128" s="32">
        <f>Assumptions!$B$8</f>
        <v>200</v>
      </c>
      <c r="H128" s="32">
        <f>F128*Assumptions!$B$58</f>
        <v>1199.912</v>
      </c>
      <c r="I128" s="32">
        <f>Salary_Schedule!F128</f>
        <v>0</v>
      </c>
      <c r="J128" s="32">
        <f>I128*Assumptions!$B$9</f>
        <v>0</v>
      </c>
      <c r="K128" s="54">
        <f t="shared" si="3"/>
        <v>10599.208</v>
      </c>
      <c r="L128" s="32">
        <f>IF(COUNTIFS(SL_Income_Log!$B:$B,TEXT(B128,"0000")&amp;"-"&amp;TEXT(A128,"00"),SL_Income_Log!$C:$C,"salary",SL_Income_Log!$E:$E,"H")&gt;0,SUMIFS(SL_Income_Log!$D:$D,SL_Income_Log!$B:$B,TEXT(B128,"0000")&amp;"-"&amp;TEXT(A128,"00"),SL_Income_Log!$C:$C,"salary",SL_Income_Log!$E:$E,"H"),K128*(1-Assumptions!$B$102)-Z128-Y128)</f>
        <v>6359.5248</v>
      </c>
      <c r="M128" s="32">
        <f>RSU_Schedule!H127</f>
        <v>2784.99</v>
      </c>
      <c r="N128" s="32">
        <f>Salary_Schedule!G128</f>
        <v>8739.6</v>
      </c>
      <c r="O128" s="32">
        <f>Assumptions!$B$19</f>
        <v>200</v>
      </c>
      <c r="P128" s="32">
        <f>N128*Assumptions!$B$59</f>
        <v>873.96</v>
      </c>
      <c r="Q128" s="32">
        <f>Salary_Schedule!H128</f>
        <v>0</v>
      </c>
      <c r="R128" s="32">
        <f>Q128*Assumptions!$B$20</f>
        <v>0</v>
      </c>
      <c r="S128" s="54">
        <f t="shared" si="4"/>
        <v>7665.64</v>
      </c>
      <c r="T128" s="32">
        <f>IF(COUNTIFS(SL_Income_Log!$B:$B,TEXT(B128,"0000")&amp;"-"&amp;TEXT(A128,"00"),SL_Income_Log!$C:$C,"salary",SL_Income_Log!$E:$E,"W")&gt;0,SUMIFS(SL_Income_Log!$D:$D,SL_Income_Log!$B:$B,TEXT(B128,"0000")&amp;"-"&amp;TEXT(A128,"00"),SL_Income_Log!$C:$C,"salary",SL_Income_Log!$E:$E,"W"),S128*(1-Assumptions!$B$102)-AC128-AB128)
</f>
        <v>4599.384</v>
      </c>
      <c r="U128" s="32">
        <f>RSU_Schedule!M127</f>
        <v>1392.51</v>
      </c>
      <c r="V128" s="32">
        <f>H128*(1+Assumptions!$B$60)+Assumptions!$B$61</f>
        <v>1699.8768</v>
      </c>
      <c r="W128" s="32">
        <f>P128*(1+Assumptions!$B$60)+Assumptions!$B$61</f>
        <v>1243.544</v>
      </c>
      <c r="X128" s="32">
        <f t="shared" si="5"/>
        <v>2943.4208</v>
      </c>
      <c r="Y128" s="32">
        <v>0.0</v>
      </c>
      <c r="Z128" s="32">
        <v>0.0</v>
      </c>
      <c r="AA128" s="32">
        <v>0.0</v>
      </c>
      <c r="AB128" s="32">
        <v>0.0</v>
      </c>
      <c r="AC128" s="32">
        <v>0.0</v>
      </c>
      <c r="AD128" s="32">
        <v>0.0</v>
      </c>
      <c r="AE128" s="32">
        <f t="shared" ref="AE128:AF128" si="169">Z128+AC128</f>
        <v>0</v>
      </c>
      <c r="AF128" s="32">
        <f t="shared" si="169"/>
        <v>0</v>
      </c>
      <c r="AG128" s="32">
        <f>IF(COUNTIFS(SL_Income_Log!$B:$B,TEXT(B128,"0000")&amp;"-"&amp;TEXT(A128,"00"),SL_Income_Log!$C:$C,"youtube")&gt;0,SUMIFS(SL_Income_Log!$D:$D,SL_Income_Log!$B:$B,TEXT(B128,"0000")&amp;"-"&amp;TEXT(A128,"00"),SL_Income_Log!$C:$C,"youtube"),MIN(Assumptions!$B$49+FLOOR((ROW()-2)/6,1)*Assumptions!$B$50,Assumptions!$B$51))
</f>
        <v>20000</v>
      </c>
      <c r="AH128" s="32">
        <f>AG128*Assumptions!$B$104</f>
        <v>8860</v>
      </c>
      <c r="AI128" s="32">
        <f t="shared" si="7"/>
        <v>11140</v>
      </c>
      <c r="AJ128" s="32">
        <f>SUMIFS(SL_Income_Log!$D:$D,SL_Income_Log!$B:$B,TEXT(B128,"0000")&amp;"-"&amp;TEXT(A128,"00"),SL_Income_Log!$C:$C,"other")</f>
        <v>0</v>
      </c>
      <c r="AK128" s="32">
        <f t="shared" si="27"/>
        <v>10000</v>
      </c>
      <c r="AL128" s="32">
        <f>L128+M128+T128+U128+AI128+AJ128-Y128-Z128-AB128-AC128+IF((Debt_Register!$C$2+Debt_Register!$C$6+Debt_Register!$C$7+Debt_Register!$C$8+Debt_Register!$C$9)&gt;5,X128,0)</f>
        <v>29219.8296</v>
      </c>
      <c r="AM128" s="32">
        <f t="shared" si="8"/>
        <v>39219.8296</v>
      </c>
      <c r="AN128" s="32">
        <f>MAX(Assumptions!$B$94,MIN(Assumptions!$B$93,AM128-AP128-BE128-BO128-BQ128))</f>
        <v>10000</v>
      </c>
      <c r="AO128" s="32">
        <v>0.0</v>
      </c>
      <c r="AP128" s="32">
        <v>0.0</v>
      </c>
      <c r="AQ128" s="32">
        <v>0.0</v>
      </c>
      <c r="AR128" s="32">
        <v>0.0</v>
      </c>
      <c r="AS128" s="32">
        <v>0.0</v>
      </c>
      <c r="AT128" s="32">
        <v>0.0</v>
      </c>
      <c r="AU128" s="32">
        <f t="shared" si="30"/>
        <v>0</v>
      </c>
      <c r="AV128" s="32">
        <f t="shared" si="31"/>
        <v>0</v>
      </c>
      <c r="AW128" s="32">
        <f t="shared" si="32"/>
        <v>0</v>
      </c>
      <c r="AX128" s="32">
        <f t="shared" si="33"/>
        <v>0</v>
      </c>
      <c r="AY128" s="32">
        <f t="shared" si="34"/>
        <v>0</v>
      </c>
      <c r="AZ128" s="32">
        <f t="shared" si="35"/>
        <v>0</v>
      </c>
      <c r="BA128" s="32">
        <f t="shared" si="36"/>
        <v>0</v>
      </c>
      <c r="BB128" s="32">
        <f t="shared" si="37"/>
        <v>0</v>
      </c>
      <c r="BC128" s="32">
        <f t="shared" si="38"/>
        <v>0</v>
      </c>
      <c r="BD128" s="32">
        <f t="shared" si="39"/>
        <v>0</v>
      </c>
      <c r="BE128" s="32">
        <f t="shared" si="11"/>
        <v>0</v>
      </c>
      <c r="BF128" s="32">
        <v>0.0</v>
      </c>
      <c r="BG128" s="32">
        <f t="shared" si="40"/>
        <v>5500</v>
      </c>
      <c r="BH128" s="32">
        <v>0.0</v>
      </c>
      <c r="BI128" s="32">
        <f t="shared" si="41"/>
        <v>5000</v>
      </c>
      <c r="BJ128" s="32">
        <f>IF(OR(B128&lt;Assumptions!$B$111,AND(B128=Assumptions!$B$111,A128&lt;=Assumptions!$B$112)),Assumptions!$B$110,0)</f>
        <v>0</v>
      </c>
      <c r="BK128" s="32">
        <f>IF(B128&lt;2027,Assumptions!$B$116+IF(OR(A128=4,A128=10),Assumptions!$B$117,0),IF(AND(B128=2027,A128&lt;=4),IF(A128=4,MIN(950,Assumptions!$B$116+Assumptions!$B$117),Assumptions!$B$116),0))</f>
        <v>0</v>
      </c>
      <c r="BL128" s="32">
        <f>IF(OR(B128&lt;2030,AND(B128=2030,A128&lt;8)),Assumptions!$B$118,IF(AND(B128=2030,A128=8),MOD(11000,200),0))</f>
        <v>0</v>
      </c>
      <c r="BM128" s="32">
        <f>IF(OR(B128&lt;Assumptions!$B$120,AND(B128=Assumptions!$B$120,A128&lt;=Assumptions!$B$121)),Assumptions!$B$119,0)</f>
        <v>0</v>
      </c>
      <c r="BN128" s="32">
        <f>IF(AND(B128&lt;=Assumptions!$B$123,A128&lt;=Assumptions!$B$124),Assumptions!$B$122,0)</f>
        <v>0</v>
      </c>
      <c r="BO128" s="32">
        <f t="shared" si="12"/>
        <v>0</v>
      </c>
      <c r="BP128" s="32">
        <f>SUMIFS(SL_Budget!$B:$B,SL_Budget!$C:$C,"'"&amp;TEXT(DATE(B128,A128,1),"YYYY-MM"))</f>
        <v>5522</v>
      </c>
      <c r="BQ128" s="32">
        <f>MAX(BP128, IFERROR(SUMIFS(ShadowLedger!D:D, 
  ShadowLedger!C:C, "&gt;="&amp;DATE(B128,A128,1), 
  ShadowLedger!C:C, "&lt;"&amp;EOMONTH(DATE(B128,A128,1),0)+1), 0))
</f>
        <v>5522</v>
      </c>
      <c r="BR128" s="32">
        <f t="shared" si="42"/>
        <v>2010919.748</v>
      </c>
      <c r="BS128" s="32">
        <f t="shared" si="43"/>
        <v>2943.4208</v>
      </c>
      <c r="BT128" s="32">
        <f>IF(BY127&gt;=Assumptions!$B$92,MAX(0,(AM128-BE128-BO128-BQ128)-Assumptions!$B$93),MAX(0,(AM128-BE128-BO128-BQ128)-Assumptions!$B$93)*Assumptions!$B$99)</f>
        <v>23697.8296</v>
      </c>
      <c r="BU128" s="32">
        <f>(BR128+BS128+MAX(0,BT128))*(Assumptions!$B$43-1)</f>
        <v>13892.09089</v>
      </c>
      <c r="BV128" s="32">
        <f t="shared" si="13"/>
        <v>2051453.09</v>
      </c>
      <c r="BW128" s="32">
        <f t="shared" si="44"/>
        <v>15476.04728</v>
      </c>
      <c r="BX128" s="32">
        <f>IF(BY127&lt;Assumptions!$B$92,MAX(0,(AM128-BE128-BO128-BQ128)-Assumptions!$B$93)*Assumptions!$B$98,0)</f>
        <v>0</v>
      </c>
      <c r="BY128" s="32">
        <f t="shared" si="14"/>
        <v>15476.04728</v>
      </c>
      <c r="BZ128" s="32">
        <f t="shared" si="45"/>
        <v>53160</v>
      </c>
      <c r="CA128" s="32">
        <f t="shared" si="15"/>
        <v>8860</v>
      </c>
      <c r="CB128" s="32">
        <f t="shared" si="16"/>
        <v>62020</v>
      </c>
      <c r="CC128" s="55">
        <f>CC127+(G128+J128)/(Salary_Schedule!E128*12/208)</f>
        <v>1836.778984</v>
      </c>
      <c r="CD128" s="55">
        <f>CD127+(O128+R128)/(Salary_Schedule!G128*12/208)</f>
        <v>169.5508083</v>
      </c>
      <c r="CE128" s="32">
        <f t="shared" si="17"/>
        <v>2051453.09</v>
      </c>
      <c r="CF128" s="32">
        <f>Assumptions!$B$55*(1+Assumptions!$B$56)^((B128-2025)+(A128-1)/12)</f>
        <v>617110.3488</v>
      </c>
      <c r="CG128" s="32">
        <f t="shared" si="18"/>
        <v>0</v>
      </c>
      <c r="CH128" s="32">
        <f t="shared" si="19"/>
        <v>-10500</v>
      </c>
      <c r="CI128" s="32">
        <f>CC128*(Salary_Schedule!E128/173.33)*(1-Assumptions!$B$28)+CD128*(Salary_Schedule!G128/173.33)*(1-Assumptions!$B$28)</f>
        <v>88207.46261</v>
      </c>
      <c r="CJ128" s="32">
        <f t="shared" si="20"/>
        <v>2746270.901</v>
      </c>
    </row>
    <row r="129" ht="15.0" customHeight="1">
      <c r="A129" s="1">
        <v>8.0</v>
      </c>
      <c r="B129" s="1">
        <v>2036.0</v>
      </c>
      <c r="C129" s="1" t="s">
        <v>798</v>
      </c>
      <c r="D129" s="1" t="str">
        <f t="shared" si="21"/>
        <v>07/2036</v>
      </c>
      <c r="E129" s="1" t="str">
        <f t="shared" si="2"/>
        <v>LEAN</v>
      </c>
      <c r="F129" s="32">
        <f>Salary_Schedule!E129</f>
        <v>11999.12</v>
      </c>
      <c r="G129" s="32">
        <f>Assumptions!$B$8</f>
        <v>200</v>
      </c>
      <c r="H129" s="32">
        <f>F129*Assumptions!$B$58</f>
        <v>1199.912</v>
      </c>
      <c r="I129" s="32">
        <f>Salary_Schedule!F129</f>
        <v>0</v>
      </c>
      <c r="J129" s="32">
        <f>I129*Assumptions!$B$9</f>
        <v>0</v>
      </c>
      <c r="K129" s="54">
        <f t="shared" si="3"/>
        <v>10599.208</v>
      </c>
      <c r="L129" s="32">
        <f>IF(COUNTIFS(SL_Income_Log!$B:$B,TEXT(B129,"0000")&amp;"-"&amp;TEXT(A129,"00"),SL_Income_Log!$C:$C,"salary",SL_Income_Log!$E:$E,"H")&gt;0,SUMIFS(SL_Income_Log!$D:$D,SL_Income_Log!$B:$B,TEXT(B129,"0000")&amp;"-"&amp;TEXT(A129,"00"),SL_Income_Log!$C:$C,"salary",SL_Income_Log!$E:$E,"H"),K129*(1-Assumptions!$B$102)-Z129-Y129)</f>
        <v>6359.5248</v>
      </c>
      <c r="M129" s="32">
        <f>RSU_Schedule!H128</f>
        <v>0</v>
      </c>
      <c r="N129" s="32">
        <f>Salary_Schedule!G129</f>
        <v>8739.6</v>
      </c>
      <c r="O129" s="32">
        <f>Assumptions!$B$19</f>
        <v>200</v>
      </c>
      <c r="P129" s="32">
        <f>N129*Assumptions!$B$59</f>
        <v>873.96</v>
      </c>
      <c r="Q129" s="32">
        <f>Salary_Schedule!H129</f>
        <v>0</v>
      </c>
      <c r="R129" s="32">
        <f>Q129*Assumptions!$B$20</f>
        <v>0</v>
      </c>
      <c r="S129" s="54">
        <f t="shared" si="4"/>
        <v>7665.64</v>
      </c>
      <c r="T129" s="32">
        <f>IF(COUNTIFS(SL_Income_Log!$B:$B,TEXT(B129,"0000")&amp;"-"&amp;TEXT(A129,"00"),SL_Income_Log!$C:$C,"salary",SL_Income_Log!$E:$E,"W")&gt;0,SUMIFS(SL_Income_Log!$D:$D,SL_Income_Log!$B:$B,TEXT(B129,"0000")&amp;"-"&amp;TEXT(A129,"00"),SL_Income_Log!$C:$C,"salary",SL_Income_Log!$E:$E,"W"),S129*(1-Assumptions!$B$102)-AC129-AB129)
</f>
        <v>4599.384</v>
      </c>
      <c r="U129" s="32">
        <f>RSU_Schedule!M128</f>
        <v>0</v>
      </c>
      <c r="V129" s="32">
        <f>H129*(1+Assumptions!$B$60)+Assumptions!$B$61</f>
        <v>1699.8768</v>
      </c>
      <c r="W129" s="32">
        <f>P129*(1+Assumptions!$B$60)+Assumptions!$B$61</f>
        <v>1243.544</v>
      </c>
      <c r="X129" s="32">
        <f t="shared" si="5"/>
        <v>2943.4208</v>
      </c>
      <c r="Y129" s="32">
        <v>0.0</v>
      </c>
      <c r="Z129" s="32">
        <v>0.0</v>
      </c>
      <c r="AA129" s="32">
        <v>0.0</v>
      </c>
      <c r="AB129" s="32">
        <v>0.0</v>
      </c>
      <c r="AC129" s="32">
        <v>0.0</v>
      </c>
      <c r="AD129" s="32">
        <v>0.0</v>
      </c>
      <c r="AE129" s="32">
        <f t="shared" ref="AE129:AF129" si="170">Z129+AC129</f>
        <v>0</v>
      </c>
      <c r="AF129" s="32">
        <f t="shared" si="170"/>
        <v>0</v>
      </c>
      <c r="AG129" s="32">
        <f>IF(COUNTIFS(SL_Income_Log!$B:$B,TEXT(B129,"0000")&amp;"-"&amp;TEXT(A129,"00"),SL_Income_Log!$C:$C,"youtube")&gt;0,SUMIFS(SL_Income_Log!$D:$D,SL_Income_Log!$B:$B,TEXT(B129,"0000")&amp;"-"&amp;TEXT(A129,"00"),SL_Income_Log!$C:$C,"youtube"),MIN(Assumptions!$B$49+FLOOR((ROW()-2)/6,1)*Assumptions!$B$50,Assumptions!$B$51))
</f>
        <v>20000</v>
      </c>
      <c r="AH129" s="32">
        <f>AG129*Assumptions!$B$104</f>
        <v>8860</v>
      </c>
      <c r="AI129" s="32">
        <f t="shared" si="7"/>
        <v>11140</v>
      </c>
      <c r="AJ129" s="32">
        <f>SUMIFS(SL_Income_Log!$D:$D,SL_Income_Log!$B:$B,TEXT(B129,"0000")&amp;"-"&amp;TEXT(A129,"00"),SL_Income_Log!$C:$C,"other")</f>
        <v>0</v>
      </c>
      <c r="AK129" s="32">
        <f t="shared" si="27"/>
        <v>10000</v>
      </c>
      <c r="AL129" s="32">
        <f>L129+M129+T129+U129+AI129+AJ129-Y129-Z129-AB129-AC129+IF((Debt_Register!$C$2+Debt_Register!$C$6+Debt_Register!$C$7+Debt_Register!$C$8+Debt_Register!$C$9)&gt;5,X129,0)</f>
        <v>25042.3296</v>
      </c>
      <c r="AM129" s="32">
        <f t="shared" si="8"/>
        <v>35042.3296</v>
      </c>
      <c r="AN129" s="32">
        <f>MAX(Assumptions!$B$94,MIN(Assumptions!$B$93,AM129-AP129-BE129-BO129-BQ129))</f>
        <v>10000</v>
      </c>
      <c r="AO129" s="32">
        <v>0.0</v>
      </c>
      <c r="AP129" s="32">
        <v>0.0</v>
      </c>
      <c r="AQ129" s="32">
        <v>0.0</v>
      </c>
      <c r="AR129" s="32">
        <v>0.0</v>
      </c>
      <c r="AS129" s="32">
        <v>0.0</v>
      </c>
      <c r="AT129" s="32">
        <v>0.0</v>
      </c>
      <c r="AU129" s="32">
        <f t="shared" si="30"/>
        <v>0</v>
      </c>
      <c r="AV129" s="32">
        <f t="shared" si="31"/>
        <v>0</v>
      </c>
      <c r="AW129" s="32">
        <f t="shared" si="32"/>
        <v>0</v>
      </c>
      <c r="AX129" s="32">
        <f t="shared" si="33"/>
        <v>0</v>
      </c>
      <c r="AY129" s="32">
        <f t="shared" si="34"/>
        <v>0</v>
      </c>
      <c r="AZ129" s="32">
        <f t="shared" si="35"/>
        <v>0</v>
      </c>
      <c r="BA129" s="32">
        <f t="shared" si="36"/>
        <v>0</v>
      </c>
      <c r="BB129" s="32">
        <f t="shared" si="37"/>
        <v>0</v>
      </c>
      <c r="BC129" s="32">
        <f t="shared" si="38"/>
        <v>0</v>
      </c>
      <c r="BD129" s="32">
        <f t="shared" si="39"/>
        <v>0</v>
      </c>
      <c r="BE129" s="32">
        <f t="shared" si="11"/>
        <v>0</v>
      </c>
      <c r="BF129" s="32">
        <v>0.0</v>
      </c>
      <c r="BG129" s="32">
        <f t="shared" si="40"/>
        <v>5500</v>
      </c>
      <c r="BH129" s="32">
        <v>0.0</v>
      </c>
      <c r="BI129" s="32">
        <f t="shared" si="41"/>
        <v>5000</v>
      </c>
      <c r="BJ129" s="32">
        <f>IF(OR(B129&lt;Assumptions!$B$111,AND(B129=Assumptions!$B$111,A129&lt;=Assumptions!$B$112)),Assumptions!$B$110,0)</f>
        <v>0</v>
      </c>
      <c r="BK129" s="32">
        <f>IF(B129&lt;2027,Assumptions!$B$116+IF(OR(A129=4,A129=10),Assumptions!$B$117,0),IF(AND(B129=2027,A129&lt;=4),IF(A129=4,MIN(950,Assumptions!$B$116+Assumptions!$B$117),Assumptions!$B$116),0))</f>
        <v>0</v>
      </c>
      <c r="BL129" s="32">
        <f>IF(OR(B129&lt;2030,AND(B129=2030,A129&lt;8)),Assumptions!$B$118,IF(AND(B129=2030,A129=8),MOD(11000,200),0))</f>
        <v>0</v>
      </c>
      <c r="BM129" s="32">
        <f>IF(OR(B129&lt;Assumptions!$B$120,AND(B129=Assumptions!$B$120,A129&lt;=Assumptions!$B$121)),Assumptions!$B$119,0)</f>
        <v>0</v>
      </c>
      <c r="BN129" s="32">
        <f>IF(AND(B129&lt;=Assumptions!$B$123,A129&lt;=Assumptions!$B$124),Assumptions!$B$122,0)</f>
        <v>0</v>
      </c>
      <c r="BO129" s="32">
        <f t="shared" si="12"/>
        <v>0</v>
      </c>
      <c r="BP129" s="32">
        <f>SUMIFS(SL_Budget!$B:$B,SL_Budget!$C:$C,"'"&amp;TEXT(DATE(B129,A129,1),"YYYY-MM"))</f>
        <v>5522</v>
      </c>
      <c r="BQ129" s="32">
        <f>MAX(BP129, IFERROR(SUMIFS(ShadowLedger!D:D, 
  ShadowLedger!C:C, "&gt;="&amp;DATE(B129,A129,1), 
  ShadowLedger!C:C, "&lt;"&amp;EOMONTH(DATE(B129,A129,1),0)+1), 0))
</f>
        <v>5522</v>
      </c>
      <c r="BR129" s="32">
        <f t="shared" si="42"/>
        <v>2051453.09</v>
      </c>
      <c r="BS129" s="32">
        <f t="shared" si="43"/>
        <v>2943.4208</v>
      </c>
      <c r="BT129" s="32">
        <f>IF(BY128&gt;=Assumptions!$B$92,MAX(0,(AM129-BE129-BO129-BQ129)-Assumptions!$B$93),MAX(0,(AM129-BE129-BO129-BQ129)-Assumptions!$B$93)*Assumptions!$B$99)</f>
        <v>19520.3296</v>
      </c>
      <c r="BU129" s="32">
        <f>(BR129+BS129+MAX(0,BT129))*(Assumptions!$B$43-1)</f>
        <v>14139.96502</v>
      </c>
      <c r="BV129" s="32">
        <f t="shared" si="13"/>
        <v>2088056.805</v>
      </c>
      <c r="BW129" s="32">
        <f t="shared" si="44"/>
        <v>15476.04728</v>
      </c>
      <c r="BX129" s="32">
        <f>IF(BY128&lt;Assumptions!$B$92,MAX(0,(AM129-BE129-BO129-BQ129)-Assumptions!$B$93)*Assumptions!$B$98,0)</f>
        <v>0</v>
      </c>
      <c r="BY129" s="32">
        <f t="shared" si="14"/>
        <v>15476.04728</v>
      </c>
      <c r="BZ129" s="32">
        <f t="shared" si="45"/>
        <v>62020</v>
      </c>
      <c r="CA129" s="32">
        <f t="shared" si="15"/>
        <v>8860</v>
      </c>
      <c r="CB129" s="32">
        <f t="shared" si="16"/>
        <v>70880</v>
      </c>
      <c r="CC129" s="55">
        <f>CC128+(G129+J129)/(Salary_Schedule!E129*12/208)</f>
        <v>1837.067894</v>
      </c>
      <c r="CD129" s="55">
        <f>CD128+(O129+R129)/(Salary_Schedule!G129*12/208)</f>
        <v>169.9474703</v>
      </c>
      <c r="CE129" s="32">
        <f t="shared" si="17"/>
        <v>2088056.805</v>
      </c>
      <c r="CF129" s="32">
        <f>Assumptions!$B$55*(1+Assumptions!$B$56)^((B129-2025)+(A129-1)/12)</f>
        <v>617876.4837</v>
      </c>
      <c r="CG129" s="32">
        <f t="shared" si="18"/>
        <v>0</v>
      </c>
      <c r="CH129" s="32">
        <f t="shared" si="19"/>
        <v>-10500</v>
      </c>
      <c r="CI129" s="32">
        <f>CC129*(Salary_Schedule!E129/173.33)*(1-Assumptions!$B$28)+CD129*(Salary_Schedule!G129/173.33)*(1-Assumptions!$B$28)</f>
        <v>88233.46311</v>
      </c>
      <c r="CJ129" s="32">
        <f t="shared" si="20"/>
        <v>2783666.752</v>
      </c>
    </row>
    <row r="130" ht="15.0" customHeight="1">
      <c r="A130" s="1">
        <v>9.0</v>
      </c>
      <c r="B130" s="1">
        <v>2036.0</v>
      </c>
      <c r="C130" s="1" t="s">
        <v>799</v>
      </c>
      <c r="D130" s="1" t="str">
        <f t="shared" si="21"/>
        <v>08/2036</v>
      </c>
      <c r="E130" s="1" t="str">
        <f t="shared" si="2"/>
        <v>LEAN</v>
      </c>
      <c r="F130" s="32">
        <f>Salary_Schedule!E130</f>
        <v>11999.12</v>
      </c>
      <c r="G130" s="32">
        <f>Assumptions!$B$8</f>
        <v>200</v>
      </c>
      <c r="H130" s="32">
        <f>F130*Assumptions!$B$58</f>
        <v>1199.912</v>
      </c>
      <c r="I130" s="32">
        <f>Salary_Schedule!F130</f>
        <v>0</v>
      </c>
      <c r="J130" s="32">
        <f>I130*Assumptions!$B$9</f>
        <v>0</v>
      </c>
      <c r="K130" s="54">
        <f t="shared" si="3"/>
        <v>10599.208</v>
      </c>
      <c r="L130" s="32">
        <f>IF(COUNTIFS(SL_Income_Log!$B:$B,TEXT(B130,"0000")&amp;"-"&amp;TEXT(A130,"00"),SL_Income_Log!$C:$C,"salary",SL_Income_Log!$E:$E,"H")&gt;0,SUMIFS(SL_Income_Log!$D:$D,SL_Income_Log!$B:$B,TEXT(B130,"0000")&amp;"-"&amp;TEXT(A130,"00"),SL_Income_Log!$C:$C,"salary",SL_Income_Log!$E:$E,"H"),K130*(1-Assumptions!$B$102)-Z130-Y130)</f>
        <v>6359.5248</v>
      </c>
      <c r="M130" s="32">
        <f>RSU_Schedule!H129</f>
        <v>0</v>
      </c>
      <c r="N130" s="32">
        <f>Salary_Schedule!G130</f>
        <v>8739.6</v>
      </c>
      <c r="O130" s="32">
        <f>Assumptions!$B$19</f>
        <v>200</v>
      </c>
      <c r="P130" s="32">
        <f>N130*Assumptions!$B$59</f>
        <v>873.96</v>
      </c>
      <c r="Q130" s="32">
        <f>Salary_Schedule!H130</f>
        <v>0</v>
      </c>
      <c r="R130" s="32">
        <f>Q130*Assumptions!$B$20</f>
        <v>0</v>
      </c>
      <c r="S130" s="54">
        <f t="shared" si="4"/>
        <v>7665.64</v>
      </c>
      <c r="T130" s="32">
        <f>IF(COUNTIFS(SL_Income_Log!$B:$B,TEXT(B130,"0000")&amp;"-"&amp;TEXT(A130,"00"),SL_Income_Log!$C:$C,"salary",SL_Income_Log!$E:$E,"W")&gt;0,SUMIFS(SL_Income_Log!$D:$D,SL_Income_Log!$B:$B,TEXT(B130,"0000")&amp;"-"&amp;TEXT(A130,"00"),SL_Income_Log!$C:$C,"salary",SL_Income_Log!$E:$E,"W"),S130*(1-Assumptions!$B$102)-AC130-AB130)
</f>
        <v>4599.384</v>
      </c>
      <c r="U130" s="32">
        <f>RSU_Schedule!M129</f>
        <v>0</v>
      </c>
      <c r="V130" s="32">
        <f>H130*(1+Assumptions!$B$60)+Assumptions!$B$61</f>
        <v>1699.8768</v>
      </c>
      <c r="W130" s="32">
        <f>P130*(1+Assumptions!$B$60)+Assumptions!$B$61</f>
        <v>1243.544</v>
      </c>
      <c r="X130" s="32">
        <f t="shared" si="5"/>
        <v>2943.4208</v>
      </c>
      <c r="Y130" s="32">
        <v>0.0</v>
      </c>
      <c r="Z130" s="32">
        <v>0.0</v>
      </c>
      <c r="AA130" s="32">
        <v>0.0</v>
      </c>
      <c r="AB130" s="32">
        <v>0.0</v>
      </c>
      <c r="AC130" s="32">
        <v>0.0</v>
      </c>
      <c r="AD130" s="32">
        <v>0.0</v>
      </c>
      <c r="AE130" s="32">
        <f t="shared" ref="AE130:AF130" si="171">Z130+AC130</f>
        <v>0</v>
      </c>
      <c r="AF130" s="32">
        <f t="shared" si="171"/>
        <v>0</v>
      </c>
      <c r="AG130" s="32">
        <f>IF(COUNTIFS(SL_Income_Log!$B:$B,TEXT(B130,"0000")&amp;"-"&amp;TEXT(A130,"00"),SL_Income_Log!$C:$C,"youtube")&gt;0,SUMIFS(SL_Income_Log!$D:$D,SL_Income_Log!$B:$B,TEXT(B130,"0000")&amp;"-"&amp;TEXT(A130,"00"),SL_Income_Log!$C:$C,"youtube"),MIN(Assumptions!$B$49+FLOOR((ROW()-2)/6,1)*Assumptions!$B$50,Assumptions!$B$51))
</f>
        <v>20000</v>
      </c>
      <c r="AH130" s="32">
        <f>AG130*Assumptions!$B$104</f>
        <v>8860</v>
      </c>
      <c r="AI130" s="32">
        <f t="shared" si="7"/>
        <v>11140</v>
      </c>
      <c r="AJ130" s="32">
        <f>SUMIFS(SL_Income_Log!$D:$D,SL_Income_Log!$B:$B,TEXT(B130,"0000")&amp;"-"&amp;TEXT(A130,"00"),SL_Income_Log!$C:$C,"other")</f>
        <v>0</v>
      </c>
      <c r="AK130" s="32">
        <f t="shared" si="27"/>
        <v>10000</v>
      </c>
      <c r="AL130" s="32">
        <f>L130+M130+T130+U130+AI130+AJ130-Y130-Z130-AB130-AC130+IF((Debt_Register!$C$2+Debt_Register!$C$6+Debt_Register!$C$7+Debt_Register!$C$8+Debt_Register!$C$9)&gt;5,X130,0)</f>
        <v>25042.3296</v>
      </c>
      <c r="AM130" s="32">
        <f t="shared" si="8"/>
        <v>35042.3296</v>
      </c>
      <c r="AN130" s="32">
        <f>MAX(Assumptions!$B$94,MIN(Assumptions!$B$93,AM130-AP130-BE130-BO130-BQ130))</f>
        <v>10000</v>
      </c>
      <c r="AO130" s="32">
        <v>0.0</v>
      </c>
      <c r="AP130" s="32">
        <v>0.0</v>
      </c>
      <c r="AQ130" s="32">
        <v>0.0</v>
      </c>
      <c r="AR130" s="32">
        <v>0.0</v>
      </c>
      <c r="AS130" s="32">
        <v>0.0</v>
      </c>
      <c r="AT130" s="32">
        <v>0.0</v>
      </c>
      <c r="AU130" s="32">
        <f t="shared" si="30"/>
        <v>0</v>
      </c>
      <c r="AV130" s="32">
        <f t="shared" si="31"/>
        <v>0</v>
      </c>
      <c r="AW130" s="32">
        <f t="shared" si="32"/>
        <v>0</v>
      </c>
      <c r="AX130" s="32">
        <f t="shared" si="33"/>
        <v>0</v>
      </c>
      <c r="AY130" s="32">
        <f t="shared" si="34"/>
        <v>0</v>
      </c>
      <c r="AZ130" s="32">
        <f t="shared" si="35"/>
        <v>0</v>
      </c>
      <c r="BA130" s="32">
        <f t="shared" si="36"/>
        <v>0</v>
      </c>
      <c r="BB130" s="32">
        <f t="shared" si="37"/>
        <v>0</v>
      </c>
      <c r="BC130" s="32">
        <f t="shared" si="38"/>
        <v>0</v>
      </c>
      <c r="BD130" s="32">
        <f t="shared" si="39"/>
        <v>0</v>
      </c>
      <c r="BE130" s="32">
        <f t="shared" si="11"/>
        <v>0</v>
      </c>
      <c r="BF130" s="32">
        <v>0.0</v>
      </c>
      <c r="BG130" s="32">
        <f t="shared" si="40"/>
        <v>5500</v>
      </c>
      <c r="BH130" s="32">
        <v>0.0</v>
      </c>
      <c r="BI130" s="32">
        <f t="shared" si="41"/>
        <v>5000</v>
      </c>
      <c r="BJ130" s="32">
        <f>IF(OR(B130&lt;Assumptions!$B$111,AND(B130=Assumptions!$B$111,A130&lt;=Assumptions!$B$112)),Assumptions!$B$110,0)</f>
        <v>0</v>
      </c>
      <c r="BK130" s="32">
        <f>IF(B130&lt;2027,Assumptions!$B$116+IF(OR(A130=4,A130=10),Assumptions!$B$117,0),IF(AND(B130=2027,A130&lt;=4),IF(A130=4,MIN(950,Assumptions!$B$116+Assumptions!$B$117),Assumptions!$B$116),0))</f>
        <v>0</v>
      </c>
      <c r="BL130" s="32">
        <f>IF(OR(B130&lt;2030,AND(B130=2030,A130&lt;8)),Assumptions!$B$118,IF(AND(B130=2030,A130=8),MOD(11000,200),0))</f>
        <v>0</v>
      </c>
      <c r="BM130" s="32">
        <f>IF(OR(B130&lt;Assumptions!$B$120,AND(B130=Assumptions!$B$120,A130&lt;=Assumptions!$B$121)),Assumptions!$B$119,0)</f>
        <v>0</v>
      </c>
      <c r="BN130" s="32">
        <f>IF(AND(B130&lt;=Assumptions!$B$123,A130&lt;=Assumptions!$B$124),Assumptions!$B$122,0)</f>
        <v>0</v>
      </c>
      <c r="BO130" s="32">
        <f t="shared" si="12"/>
        <v>0</v>
      </c>
      <c r="BP130" s="32">
        <f>SUMIFS(SL_Budget!$B:$B,SL_Budget!$C:$C,"'"&amp;TEXT(DATE(B130,A130,1),"YYYY-MM"))</f>
        <v>5522</v>
      </c>
      <c r="BQ130" s="32">
        <f>MAX(BP130, IFERROR(SUMIFS(ShadowLedger!D:D, 
  ShadowLedger!C:C, "&gt;="&amp;DATE(B130,A130,1), 
  ShadowLedger!C:C, "&lt;"&amp;EOMONTH(DATE(B130,A130,1),0)+1), 0))
</f>
        <v>5522</v>
      </c>
      <c r="BR130" s="32">
        <f t="shared" si="42"/>
        <v>2088056.805</v>
      </c>
      <c r="BS130" s="32">
        <f t="shared" si="43"/>
        <v>2943.4208</v>
      </c>
      <c r="BT130" s="32">
        <f>IF(BY129&gt;=Assumptions!$B$92,MAX(0,(AM130-BE130-BO130-BQ130)-Assumptions!$B$93),MAX(0,(AM130-BE130-BO130-BQ130)-Assumptions!$B$93)*Assumptions!$B$99)</f>
        <v>19520.3296</v>
      </c>
      <c r="BU130" s="32">
        <f>(BR130+BS130+MAX(0,BT130))*(Assumptions!$B$43-1)</f>
        <v>14389.52915</v>
      </c>
      <c r="BV130" s="32">
        <f t="shared" si="13"/>
        <v>2124910.085</v>
      </c>
      <c r="BW130" s="32">
        <f t="shared" si="44"/>
        <v>15476.04728</v>
      </c>
      <c r="BX130" s="32">
        <f>IF(BY129&lt;Assumptions!$B$92,MAX(0,(AM130-BE130-BO130-BQ130)-Assumptions!$B$93)*Assumptions!$B$98,0)</f>
        <v>0</v>
      </c>
      <c r="BY130" s="32">
        <f t="shared" si="14"/>
        <v>15476.04728</v>
      </c>
      <c r="BZ130" s="32">
        <f t="shared" si="45"/>
        <v>70880</v>
      </c>
      <c r="CA130" s="32">
        <f t="shared" si="15"/>
        <v>8860</v>
      </c>
      <c r="CB130" s="32">
        <f t="shared" si="16"/>
        <v>79740</v>
      </c>
      <c r="CC130" s="55">
        <f>CC129+(G130+J130)/(Salary_Schedule!E130*12/208)</f>
        <v>1837.356804</v>
      </c>
      <c r="CD130" s="55">
        <f>CD129+(O130+R130)/(Salary_Schedule!G130*12/208)</f>
        <v>170.3441322</v>
      </c>
      <c r="CE130" s="32">
        <f t="shared" si="17"/>
        <v>2124910.085</v>
      </c>
      <c r="CF130" s="32">
        <f>Assumptions!$B$55*(1+Assumptions!$B$56)^((B130-2025)+(A130-1)/12)</f>
        <v>618643.5698</v>
      </c>
      <c r="CG130" s="32">
        <f t="shared" si="18"/>
        <v>0</v>
      </c>
      <c r="CH130" s="32">
        <f t="shared" si="19"/>
        <v>-10500</v>
      </c>
      <c r="CI130" s="32">
        <f>CC130*(Salary_Schedule!E130/173.33)*(1-Assumptions!$B$28)+CD130*(Salary_Schedule!G130/173.33)*(1-Assumptions!$B$28)</f>
        <v>88259.46361</v>
      </c>
      <c r="CJ130" s="32">
        <f t="shared" si="20"/>
        <v>2821313.118</v>
      </c>
    </row>
    <row r="131" ht="15.0" customHeight="1">
      <c r="A131" s="1">
        <v>10.0</v>
      </c>
      <c r="B131" s="1">
        <v>2036.0</v>
      </c>
      <c r="C131" s="1" t="s">
        <v>800</v>
      </c>
      <c r="D131" s="1" t="str">
        <f t="shared" si="21"/>
        <v>09/2036</v>
      </c>
      <c r="E131" s="1" t="str">
        <f t="shared" si="2"/>
        <v>FAT_RSU</v>
      </c>
      <c r="F131" s="32">
        <f>Salary_Schedule!E131</f>
        <v>11999.12</v>
      </c>
      <c r="G131" s="32">
        <f>Assumptions!$B$8</f>
        <v>200</v>
      </c>
      <c r="H131" s="32">
        <f>F131*Assumptions!$B$58</f>
        <v>1199.912</v>
      </c>
      <c r="I131" s="32">
        <f>Salary_Schedule!F131</f>
        <v>0</v>
      </c>
      <c r="J131" s="32">
        <f>I131*Assumptions!$B$9</f>
        <v>0</v>
      </c>
      <c r="K131" s="54">
        <f t="shared" si="3"/>
        <v>10599.208</v>
      </c>
      <c r="L131" s="32">
        <f>IF(COUNTIFS(SL_Income_Log!$B:$B,TEXT(B131,"0000")&amp;"-"&amp;TEXT(A131,"00"),SL_Income_Log!$C:$C,"salary",SL_Income_Log!$E:$E,"H")&gt;0,SUMIFS(SL_Income_Log!$D:$D,SL_Income_Log!$B:$B,TEXT(B131,"0000")&amp;"-"&amp;TEXT(A131,"00"),SL_Income_Log!$C:$C,"salary",SL_Income_Log!$E:$E,"H"),K131*(1-Assumptions!$B$102)-Z131-Y131)</f>
        <v>6359.5248</v>
      </c>
      <c r="M131" s="32">
        <f>RSU_Schedule!H130</f>
        <v>2784.99</v>
      </c>
      <c r="N131" s="32">
        <f>Salary_Schedule!G131</f>
        <v>8739.6</v>
      </c>
      <c r="O131" s="32">
        <f>Assumptions!$B$19</f>
        <v>200</v>
      </c>
      <c r="P131" s="32">
        <f>N131*Assumptions!$B$59</f>
        <v>873.96</v>
      </c>
      <c r="Q131" s="32">
        <f>Salary_Schedule!H131</f>
        <v>0</v>
      </c>
      <c r="R131" s="32">
        <f>Q131*Assumptions!$B$20</f>
        <v>0</v>
      </c>
      <c r="S131" s="54">
        <f t="shared" si="4"/>
        <v>7665.64</v>
      </c>
      <c r="T131" s="32">
        <f>IF(COUNTIFS(SL_Income_Log!$B:$B,TEXT(B131,"0000")&amp;"-"&amp;TEXT(A131,"00"),SL_Income_Log!$C:$C,"salary",SL_Income_Log!$E:$E,"W")&gt;0,SUMIFS(SL_Income_Log!$D:$D,SL_Income_Log!$B:$B,TEXT(B131,"0000")&amp;"-"&amp;TEXT(A131,"00"),SL_Income_Log!$C:$C,"salary",SL_Income_Log!$E:$E,"W"),S131*(1-Assumptions!$B$102)-AC131-AB131)
</f>
        <v>4599.384</v>
      </c>
      <c r="U131" s="32">
        <f>RSU_Schedule!M130</f>
        <v>1392.51</v>
      </c>
      <c r="V131" s="32">
        <f>H131*(1+Assumptions!$B$60)+Assumptions!$B$61</f>
        <v>1699.8768</v>
      </c>
      <c r="W131" s="32">
        <f>P131*(1+Assumptions!$B$60)+Assumptions!$B$61</f>
        <v>1243.544</v>
      </c>
      <c r="X131" s="32">
        <f t="shared" si="5"/>
        <v>2943.4208</v>
      </c>
      <c r="Y131" s="32">
        <v>0.0</v>
      </c>
      <c r="Z131" s="32">
        <v>0.0</v>
      </c>
      <c r="AA131" s="32">
        <v>0.0</v>
      </c>
      <c r="AB131" s="32">
        <v>0.0</v>
      </c>
      <c r="AC131" s="32">
        <v>0.0</v>
      </c>
      <c r="AD131" s="32">
        <v>0.0</v>
      </c>
      <c r="AE131" s="32">
        <f t="shared" ref="AE131:AF131" si="172">Z131+AC131</f>
        <v>0</v>
      </c>
      <c r="AF131" s="32">
        <f t="shared" si="172"/>
        <v>0</v>
      </c>
      <c r="AG131" s="32">
        <f>IF(COUNTIFS(SL_Income_Log!$B:$B,TEXT(B131,"0000")&amp;"-"&amp;TEXT(A131,"00"),SL_Income_Log!$C:$C,"youtube")&gt;0,SUMIFS(SL_Income_Log!$D:$D,SL_Income_Log!$B:$B,TEXT(B131,"0000")&amp;"-"&amp;TEXT(A131,"00"),SL_Income_Log!$C:$C,"youtube"),MIN(Assumptions!$B$49+FLOOR((ROW()-2)/6,1)*Assumptions!$B$50,Assumptions!$B$51))
</f>
        <v>20000</v>
      </c>
      <c r="AH131" s="32">
        <f>AG131*Assumptions!$B$104</f>
        <v>8860</v>
      </c>
      <c r="AI131" s="32">
        <f t="shared" si="7"/>
        <v>11140</v>
      </c>
      <c r="AJ131" s="32">
        <f>SUMIFS(SL_Income_Log!$D:$D,SL_Income_Log!$B:$B,TEXT(B131,"0000")&amp;"-"&amp;TEXT(A131,"00"),SL_Income_Log!$C:$C,"other")</f>
        <v>0</v>
      </c>
      <c r="AK131" s="32">
        <f t="shared" si="27"/>
        <v>10000</v>
      </c>
      <c r="AL131" s="32">
        <f>L131+M131+T131+U131+AI131+AJ131-Y131-Z131-AB131-AC131+IF((Debt_Register!$C$2+Debt_Register!$C$6+Debt_Register!$C$7+Debt_Register!$C$8+Debt_Register!$C$9)&gt;5,X131,0)</f>
        <v>29219.8296</v>
      </c>
      <c r="AM131" s="32">
        <f t="shared" si="8"/>
        <v>39219.8296</v>
      </c>
      <c r="AN131" s="32">
        <f>MAX(Assumptions!$B$94,MIN(Assumptions!$B$93,AM131-AP131-BE131-BO131-BQ131))</f>
        <v>10000</v>
      </c>
      <c r="AO131" s="32">
        <v>0.0</v>
      </c>
      <c r="AP131" s="32">
        <v>0.0</v>
      </c>
      <c r="AQ131" s="32">
        <v>0.0</v>
      </c>
      <c r="AR131" s="32">
        <v>0.0</v>
      </c>
      <c r="AS131" s="32">
        <v>0.0</v>
      </c>
      <c r="AT131" s="32">
        <v>0.0</v>
      </c>
      <c r="AU131" s="32">
        <f t="shared" si="30"/>
        <v>0</v>
      </c>
      <c r="AV131" s="32">
        <f t="shared" si="31"/>
        <v>0</v>
      </c>
      <c r="AW131" s="32">
        <f t="shared" si="32"/>
        <v>0</v>
      </c>
      <c r="AX131" s="32">
        <f t="shared" si="33"/>
        <v>0</v>
      </c>
      <c r="AY131" s="32">
        <f t="shared" si="34"/>
        <v>0</v>
      </c>
      <c r="AZ131" s="32">
        <f t="shared" si="35"/>
        <v>0</v>
      </c>
      <c r="BA131" s="32">
        <f t="shared" si="36"/>
        <v>0</v>
      </c>
      <c r="BB131" s="32">
        <f t="shared" si="37"/>
        <v>0</v>
      </c>
      <c r="BC131" s="32">
        <f t="shared" si="38"/>
        <v>0</v>
      </c>
      <c r="BD131" s="32">
        <f t="shared" si="39"/>
        <v>0</v>
      </c>
      <c r="BE131" s="32">
        <f t="shared" si="11"/>
        <v>0</v>
      </c>
      <c r="BF131" s="32">
        <v>0.0</v>
      </c>
      <c r="BG131" s="32">
        <f t="shared" si="40"/>
        <v>5500</v>
      </c>
      <c r="BH131" s="32">
        <v>0.0</v>
      </c>
      <c r="BI131" s="32">
        <f t="shared" si="41"/>
        <v>5000</v>
      </c>
      <c r="BJ131" s="32">
        <f>IF(OR(B131&lt;Assumptions!$B$111,AND(B131=Assumptions!$B$111,A131&lt;=Assumptions!$B$112)),Assumptions!$B$110,0)</f>
        <v>0</v>
      </c>
      <c r="BK131" s="32">
        <f>IF(B131&lt;2027,Assumptions!$B$116+IF(OR(A131=4,A131=10),Assumptions!$B$117,0),IF(AND(B131=2027,A131&lt;=4),IF(A131=4,MIN(950,Assumptions!$B$116+Assumptions!$B$117),Assumptions!$B$116),0))</f>
        <v>0</v>
      </c>
      <c r="BL131" s="32">
        <f>IF(OR(B131&lt;2030,AND(B131=2030,A131&lt;8)),Assumptions!$B$118,IF(AND(B131=2030,A131=8),MOD(11000,200),0))</f>
        <v>0</v>
      </c>
      <c r="BM131" s="32">
        <f>IF(OR(B131&lt;Assumptions!$B$120,AND(B131=Assumptions!$B$120,A131&lt;=Assumptions!$B$121)),Assumptions!$B$119,0)</f>
        <v>0</v>
      </c>
      <c r="BN131" s="32">
        <f>IF(AND(B131&lt;=Assumptions!$B$123,A131&lt;=Assumptions!$B$124),Assumptions!$B$122,0)</f>
        <v>0</v>
      </c>
      <c r="BO131" s="32">
        <f t="shared" si="12"/>
        <v>0</v>
      </c>
      <c r="BP131" s="32">
        <f>SUMIFS(SL_Budget!$B:$B,SL_Budget!$C:$C,"'"&amp;TEXT(DATE(B131,A131,1),"YYYY-MM"))</f>
        <v>5522</v>
      </c>
      <c r="BQ131" s="32">
        <f>MAX(BP131, IFERROR(SUMIFS(ShadowLedger!D:D, 
  ShadowLedger!C:C, "&gt;="&amp;DATE(B131,A131,1), 
  ShadowLedger!C:C, "&lt;"&amp;EOMONTH(DATE(B131,A131,1),0)+1), 0))
</f>
        <v>5522</v>
      </c>
      <c r="BR131" s="32">
        <f t="shared" si="42"/>
        <v>2124910.085</v>
      </c>
      <c r="BS131" s="32">
        <f t="shared" si="43"/>
        <v>2943.4208</v>
      </c>
      <c r="BT131" s="32">
        <f>IF(BY130&gt;=Assumptions!$B$92,MAX(0,(AM131-BE131-BO131-BQ131)-Assumptions!$B$93),MAX(0,(AM131-BE131-BO131-BQ131)-Assumptions!$B$93)*Assumptions!$B$99)</f>
        <v>23697.8296</v>
      </c>
      <c r="BU131" s="32">
        <f>(BR131+BS131+MAX(0,BT131))*(Assumptions!$B$43-1)</f>
        <v>14669.277</v>
      </c>
      <c r="BV131" s="32">
        <f t="shared" si="13"/>
        <v>2166220.612</v>
      </c>
      <c r="BW131" s="32">
        <f t="shared" si="44"/>
        <v>15476.04728</v>
      </c>
      <c r="BX131" s="32">
        <f>IF(BY130&lt;Assumptions!$B$92,MAX(0,(AM131-BE131-BO131-BQ131)-Assumptions!$B$93)*Assumptions!$B$98,0)</f>
        <v>0</v>
      </c>
      <c r="BY131" s="32">
        <f t="shared" si="14"/>
        <v>15476.04728</v>
      </c>
      <c r="BZ131" s="32">
        <f t="shared" si="45"/>
        <v>79740</v>
      </c>
      <c r="CA131" s="32">
        <f t="shared" si="15"/>
        <v>8860</v>
      </c>
      <c r="CB131" s="32">
        <f t="shared" si="16"/>
        <v>88600</v>
      </c>
      <c r="CC131" s="55">
        <f>CC130+(G131+J131)/(Salary_Schedule!E131*12/208)</f>
        <v>1837.645714</v>
      </c>
      <c r="CD131" s="55">
        <f>CD130+(O131+R131)/(Salary_Schedule!G131*12/208)</f>
        <v>170.7407942</v>
      </c>
      <c r="CE131" s="32">
        <f t="shared" si="17"/>
        <v>2166220.612</v>
      </c>
      <c r="CF131" s="32">
        <f>Assumptions!$B$55*(1+Assumptions!$B$56)^((B131-2025)+(A131-1)/12)</f>
        <v>619411.6082</v>
      </c>
      <c r="CG131" s="32">
        <f t="shared" si="18"/>
        <v>0</v>
      </c>
      <c r="CH131" s="32">
        <f t="shared" si="19"/>
        <v>-10500</v>
      </c>
      <c r="CI131" s="32">
        <f>CC131*(Salary_Schedule!E131/173.33)*(1-Assumptions!$B$28)+CD131*(Salary_Schedule!G131/173.33)*(1-Assumptions!$B$28)</f>
        <v>88285.46411</v>
      </c>
      <c r="CJ131" s="32">
        <f t="shared" si="20"/>
        <v>2863417.684</v>
      </c>
    </row>
    <row r="132" ht="15.0" customHeight="1">
      <c r="A132" s="1">
        <v>11.0</v>
      </c>
      <c r="B132" s="1">
        <v>2036.0</v>
      </c>
      <c r="C132" s="1" t="s">
        <v>801</v>
      </c>
      <c r="D132" s="1" t="str">
        <f t="shared" si="21"/>
        <v>10/2036</v>
      </c>
      <c r="E132" s="1" t="str">
        <f t="shared" si="2"/>
        <v>LEAN</v>
      </c>
      <c r="F132" s="32">
        <f>Salary_Schedule!E132</f>
        <v>11999.12</v>
      </c>
      <c r="G132" s="32">
        <f>Assumptions!$B$8</f>
        <v>200</v>
      </c>
      <c r="H132" s="32">
        <f>F132*Assumptions!$B$58</f>
        <v>1199.912</v>
      </c>
      <c r="I132" s="32">
        <f>Salary_Schedule!F132</f>
        <v>0</v>
      </c>
      <c r="J132" s="32">
        <f>I132*Assumptions!$B$9</f>
        <v>0</v>
      </c>
      <c r="K132" s="54">
        <f t="shared" si="3"/>
        <v>10599.208</v>
      </c>
      <c r="L132" s="32">
        <f>IF(COUNTIFS(SL_Income_Log!$B:$B,TEXT(B132,"0000")&amp;"-"&amp;TEXT(A132,"00"),SL_Income_Log!$C:$C,"salary",SL_Income_Log!$E:$E,"H")&gt;0,SUMIFS(SL_Income_Log!$D:$D,SL_Income_Log!$B:$B,TEXT(B132,"0000")&amp;"-"&amp;TEXT(A132,"00"),SL_Income_Log!$C:$C,"salary",SL_Income_Log!$E:$E,"H"),K132*(1-Assumptions!$B$102)-Z132-Y132)</f>
        <v>6359.5248</v>
      </c>
      <c r="M132" s="32">
        <f>RSU_Schedule!H131</f>
        <v>0</v>
      </c>
      <c r="N132" s="32">
        <f>Salary_Schedule!G132</f>
        <v>8739.6</v>
      </c>
      <c r="O132" s="32">
        <f>Assumptions!$B$19</f>
        <v>200</v>
      </c>
      <c r="P132" s="32">
        <f>N132*Assumptions!$B$59</f>
        <v>873.96</v>
      </c>
      <c r="Q132" s="32">
        <f>Salary_Schedule!H132</f>
        <v>0</v>
      </c>
      <c r="R132" s="32">
        <f>Q132*Assumptions!$B$20</f>
        <v>0</v>
      </c>
      <c r="S132" s="54">
        <f t="shared" si="4"/>
        <v>7665.64</v>
      </c>
      <c r="T132" s="32">
        <f>IF(COUNTIFS(SL_Income_Log!$B:$B,TEXT(B132,"0000")&amp;"-"&amp;TEXT(A132,"00"),SL_Income_Log!$C:$C,"salary",SL_Income_Log!$E:$E,"W")&gt;0,SUMIFS(SL_Income_Log!$D:$D,SL_Income_Log!$B:$B,TEXT(B132,"0000")&amp;"-"&amp;TEXT(A132,"00"),SL_Income_Log!$C:$C,"salary",SL_Income_Log!$E:$E,"W"),S132*(1-Assumptions!$B$102)-AC132-AB132)
</f>
        <v>4599.384</v>
      </c>
      <c r="U132" s="32">
        <f>RSU_Schedule!M131</f>
        <v>0</v>
      </c>
      <c r="V132" s="32">
        <f>H132*(1+Assumptions!$B$60)+Assumptions!$B$61</f>
        <v>1699.8768</v>
      </c>
      <c r="W132" s="32">
        <f>P132*(1+Assumptions!$B$60)+Assumptions!$B$61</f>
        <v>1243.544</v>
      </c>
      <c r="X132" s="32">
        <f t="shared" si="5"/>
        <v>2943.4208</v>
      </c>
      <c r="Y132" s="32">
        <v>0.0</v>
      </c>
      <c r="Z132" s="32">
        <v>0.0</v>
      </c>
      <c r="AA132" s="32">
        <v>0.0</v>
      </c>
      <c r="AB132" s="32">
        <v>0.0</v>
      </c>
      <c r="AC132" s="32">
        <v>0.0</v>
      </c>
      <c r="AD132" s="32">
        <v>0.0</v>
      </c>
      <c r="AE132" s="32">
        <f t="shared" ref="AE132:AF132" si="173">Z132+AC132</f>
        <v>0</v>
      </c>
      <c r="AF132" s="32">
        <f t="shared" si="173"/>
        <v>0</v>
      </c>
      <c r="AG132" s="32">
        <f>IF(COUNTIFS(SL_Income_Log!$B:$B,TEXT(B132,"0000")&amp;"-"&amp;TEXT(A132,"00"),SL_Income_Log!$C:$C,"youtube")&gt;0,SUMIFS(SL_Income_Log!$D:$D,SL_Income_Log!$B:$B,TEXT(B132,"0000")&amp;"-"&amp;TEXT(A132,"00"),SL_Income_Log!$C:$C,"youtube"),MIN(Assumptions!$B$49+FLOOR((ROW()-2)/6,1)*Assumptions!$B$50,Assumptions!$B$51))
</f>
        <v>20000</v>
      </c>
      <c r="AH132" s="32">
        <f>AG132*Assumptions!$B$104</f>
        <v>8860</v>
      </c>
      <c r="AI132" s="32">
        <f t="shared" si="7"/>
        <v>11140</v>
      </c>
      <c r="AJ132" s="32">
        <f>SUMIFS(SL_Income_Log!$D:$D,SL_Income_Log!$B:$B,TEXT(B132,"0000")&amp;"-"&amp;TEXT(A132,"00"),SL_Income_Log!$C:$C,"other")</f>
        <v>0</v>
      </c>
      <c r="AK132" s="32">
        <f t="shared" si="27"/>
        <v>10000</v>
      </c>
      <c r="AL132" s="32">
        <f>L132+M132+T132+U132+AI132+AJ132-Y132-Z132-AB132-AC132+IF((Debt_Register!$C$2+Debt_Register!$C$6+Debt_Register!$C$7+Debt_Register!$C$8+Debt_Register!$C$9)&gt;5,X132,0)</f>
        <v>25042.3296</v>
      </c>
      <c r="AM132" s="32">
        <f t="shared" si="8"/>
        <v>35042.3296</v>
      </c>
      <c r="AN132" s="32">
        <f>MAX(Assumptions!$B$94,MIN(Assumptions!$B$93,AM132-AP132-BE132-BO132-BQ132))</f>
        <v>10000</v>
      </c>
      <c r="AO132" s="32">
        <v>0.0</v>
      </c>
      <c r="AP132" s="32">
        <v>0.0</v>
      </c>
      <c r="AQ132" s="32">
        <v>0.0</v>
      </c>
      <c r="AR132" s="32">
        <v>0.0</v>
      </c>
      <c r="AS132" s="32">
        <v>0.0</v>
      </c>
      <c r="AT132" s="32">
        <v>0.0</v>
      </c>
      <c r="AU132" s="32">
        <f t="shared" si="30"/>
        <v>0</v>
      </c>
      <c r="AV132" s="32">
        <f t="shared" si="31"/>
        <v>0</v>
      </c>
      <c r="AW132" s="32">
        <f t="shared" si="32"/>
        <v>0</v>
      </c>
      <c r="AX132" s="32">
        <f t="shared" si="33"/>
        <v>0</v>
      </c>
      <c r="AY132" s="32">
        <f t="shared" si="34"/>
        <v>0</v>
      </c>
      <c r="AZ132" s="32">
        <f t="shared" si="35"/>
        <v>0</v>
      </c>
      <c r="BA132" s="32">
        <f t="shared" si="36"/>
        <v>0</v>
      </c>
      <c r="BB132" s="32">
        <f t="shared" si="37"/>
        <v>0</v>
      </c>
      <c r="BC132" s="32">
        <f t="shared" si="38"/>
        <v>0</v>
      </c>
      <c r="BD132" s="32">
        <f t="shared" si="39"/>
        <v>0</v>
      </c>
      <c r="BE132" s="32">
        <f t="shared" si="11"/>
        <v>0</v>
      </c>
      <c r="BF132" s="32">
        <v>0.0</v>
      </c>
      <c r="BG132" s="32">
        <f t="shared" si="40"/>
        <v>5500</v>
      </c>
      <c r="BH132" s="32">
        <v>0.0</v>
      </c>
      <c r="BI132" s="32">
        <f t="shared" si="41"/>
        <v>5000</v>
      </c>
      <c r="BJ132" s="32">
        <f>IF(OR(B132&lt;Assumptions!$B$111,AND(B132=Assumptions!$B$111,A132&lt;=Assumptions!$B$112)),Assumptions!$B$110,0)</f>
        <v>0</v>
      </c>
      <c r="BK132" s="32">
        <f>IF(B132&lt;2027,Assumptions!$B$116+IF(OR(A132=4,A132=10),Assumptions!$B$117,0),IF(AND(B132=2027,A132&lt;=4),IF(A132=4,MIN(950,Assumptions!$B$116+Assumptions!$B$117),Assumptions!$B$116),0))</f>
        <v>0</v>
      </c>
      <c r="BL132" s="32">
        <f>IF(OR(B132&lt;2030,AND(B132=2030,A132&lt;8)),Assumptions!$B$118,IF(AND(B132=2030,A132=8),MOD(11000,200),0))</f>
        <v>0</v>
      </c>
      <c r="BM132" s="32">
        <f>IF(OR(B132&lt;Assumptions!$B$120,AND(B132=Assumptions!$B$120,A132&lt;=Assumptions!$B$121)),Assumptions!$B$119,0)</f>
        <v>0</v>
      </c>
      <c r="BN132" s="32">
        <f>IF(AND(B132&lt;=Assumptions!$B$123,A132&lt;=Assumptions!$B$124),Assumptions!$B$122,0)</f>
        <v>0</v>
      </c>
      <c r="BO132" s="32">
        <f t="shared" si="12"/>
        <v>0</v>
      </c>
      <c r="BP132" s="32">
        <f>SUMIFS(SL_Budget!$B:$B,SL_Budget!$C:$C,"'"&amp;TEXT(DATE(B132,A132,1),"YYYY-MM"))</f>
        <v>5522</v>
      </c>
      <c r="BQ132" s="32">
        <f>MAX(BP132, IFERROR(SUMIFS(ShadowLedger!D:D, 
  ShadowLedger!C:C, "&gt;="&amp;DATE(B132,A132,1), 
  ShadowLedger!C:C, "&lt;"&amp;EOMONTH(DATE(B132,A132,1),0)+1), 0))
</f>
        <v>5522</v>
      </c>
      <c r="BR132" s="32">
        <f t="shared" si="42"/>
        <v>2166220.612</v>
      </c>
      <c r="BS132" s="32">
        <f t="shared" si="43"/>
        <v>2943.4208</v>
      </c>
      <c r="BT132" s="32">
        <f>IF(BY131&gt;=Assumptions!$B$92,MAX(0,(AM132-BE132-BO132-BQ132)-Assumptions!$B$93),MAX(0,(AM132-BE132-BO132-BQ132)-Assumptions!$B$93)*Assumptions!$B$99)</f>
        <v>19520.3296</v>
      </c>
      <c r="BU132" s="32">
        <f>(BR132+BS132+MAX(0,BT132))*(Assumptions!$B$43-1)</f>
        <v>14922.44998</v>
      </c>
      <c r="BV132" s="32">
        <f t="shared" si="13"/>
        <v>2203606.812</v>
      </c>
      <c r="BW132" s="32">
        <f t="shared" si="44"/>
        <v>15476.04728</v>
      </c>
      <c r="BX132" s="32">
        <f>IF(BY131&lt;Assumptions!$B$92,MAX(0,(AM132-BE132-BO132-BQ132)-Assumptions!$B$93)*Assumptions!$B$98,0)</f>
        <v>0</v>
      </c>
      <c r="BY132" s="32">
        <f t="shared" si="14"/>
        <v>15476.04728</v>
      </c>
      <c r="BZ132" s="32">
        <f t="shared" si="45"/>
        <v>88600</v>
      </c>
      <c r="CA132" s="32">
        <f t="shared" si="15"/>
        <v>8860</v>
      </c>
      <c r="CB132" s="32">
        <f t="shared" si="16"/>
        <v>97460</v>
      </c>
      <c r="CC132" s="55">
        <f>CC131+(G132+J132)/(Salary_Schedule!E132*12/208)</f>
        <v>1837.934624</v>
      </c>
      <c r="CD132" s="55">
        <f>CD131+(O132+R132)/(Salary_Schedule!G132*12/208)</f>
        <v>171.1374561</v>
      </c>
      <c r="CE132" s="32">
        <f t="shared" si="17"/>
        <v>2203606.812</v>
      </c>
      <c r="CF132" s="32">
        <f>Assumptions!$B$55*(1+Assumptions!$B$56)^((B132-2025)+(A132-1)/12)</f>
        <v>620180.6001</v>
      </c>
      <c r="CG132" s="32">
        <f t="shared" si="18"/>
        <v>0</v>
      </c>
      <c r="CH132" s="32">
        <f t="shared" si="19"/>
        <v>-10500</v>
      </c>
      <c r="CI132" s="32">
        <f>CC132*(Salary_Schedule!E132/173.33)*(1-Assumptions!$B$28)+CD132*(Salary_Schedule!G132/173.33)*(1-Assumptions!$B$28)</f>
        <v>88311.46461</v>
      </c>
      <c r="CJ132" s="32">
        <f t="shared" si="20"/>
        <v>2901598.877</v>
      </c>
    </row>
    <row r="133" ht="15.0" customHeight="1">
      <c r="A133" s="1">
        <v>12.0</v>
      </c>
      <c r="B133" s="1">
        <v>2036.0</v>
      </c>
      <c r="C133" s="1" t="s">
        <v>802</v>
      </c>
      <c r="D133" s="1" t="str">
        <f t="shared" si="21"/>
        <v>11/2036</v>
      </c>
      <c r="E133" s="1" t="str">
        <f t="shared" si="2"/>
        <v>LEAN</v>
      </c>
      <c r="F133" s="32">
        <f>Salary_Schedule!E133</f>
        <v>11999.12</v>
      </c>
      <c r="G133" s="32">
        <f>Assumptions!$B$8</f>
        <v>200</v>
      </c>
      <c r="H133" s="32">
        <f>F133*Assumptions!$B$58</f>
        <v>1199.912</v>
      </c>
      <c r="I133" s="32">
        <f>Salary_Schedule!F133</f>
        <v>0</v>
      </c>
      <c r="J133" s="32">
        <f>I133*Assumptions!$B$9</f>
        <v>0</v>
      </c>
      <c r="K133" s="54">
        <f t="shared" si="3"/>
        <v>10599.208</v>
      </c>
      <c r="L133" s="32">
        <f>IF(COUNTIFS(SL_Income_Log!$B:$B,TEXT(B133,"0000")&amp;"-"&amp;TEXT(A133,"00"),SL_Income_Log!$C:$C,"salary",SL_Income_Log!$E:$E,"H")&gt;0,SUMIFS(SL_Income_Log!$D:$D,SL_Income_Log!$B:$B,TEXT(B133,"0000")&amp;"-"&amp;TEXT(A133,"00"),SL_Income_Log!$C:$C,"salary",SL_Income_Log!$E:$E,"H"),K133*(1-Assumptions!$B$102)-Z133-Y133)</f>
        <v>6359.5248</v>
      </c>
      <c r="M133" s="32">
        <f>RSU_Schedule!H132</f>
        <v>0</v>
      </c>
      <c r="N133" s="32">
        <f>Salary_Schedule!G133</f>
        <v>8739.6</v>
      </c>
      <c r="O133" s="32">
        <f>Assumptions!$B$19</f>
        <v>200</v>
      </c>
      <c r="P133" s="32">
        <f>N133*Assumptions!$B$59</f>
        <v>873.96</v>
      </c>
      <c r="Q133" s="32">
        <f>Salary_Schedule!H133</f>
        <v>0</v>
      </c>
      <c r="R133" s="32">
        <f>Q133*Assumptions!$B$20</f>
        <v>0</v>
      </c>
      <c r="S133" s="54">
        <f t="shared" si="4"/>
        <v>7665.64</v>
      </c>
      <c r="T133" s="32">
        <f>IF(COUNTIFS(SL_Income_Log!$B:$B,TEXT(B133,"0000")&amp;"-"&amp;TEXT(A133,"00"),SL_Income_Log!$C:$C,"salary",SL_Income_Log!$E:$E,"W")&gt;0,SUMIFS(SL_Income_Log!$D:$D,SL_Income_Log!$B:$B,TEXT(B133,"0000")&amp;"-"&amp;TEXT(A133,"00"),SL_Income_Log!$C:$C,"salary",SL_Income_Log!$E:$E,"W"),S133*(1-Assumptions!$B$102)-AC133-AB133)
</f>
        <v>4599.384</v>
      </c>
      <c r="U133" s="32">
        <f>RSU_Schedule!M132</f>
        <v>0</v>
      </c>
      <c r="V133" s="32">
        <f>H133*(1+Assumptions!$B$60)+Assumptions!$B$61</f>
        <v>1699.8768</v>
      </c>
      <c r="W133" s="32">
        <f>P133*(1+Assumptions!$B$60)+Assumptions!$B$61</f>
        <v>1243.544</v>
      </c>
      <c r="X133" s="32">
        <f t="shared" si="5"/>
        <v>2943.4208</v>
      </c>
      <c r="Y133" s="32">
        <v>0.0</v>
      </c>
      <c r="Z133" s="32">
        <v>0.0</v>
      </c>
      <c r="AA133" s="32">
        <v>0.0</v>
      </c>
      <c r="AB133" s="32">
        <v>0.0</v>
      </c>
      <c r="AC133" s="32">
        <v>0.0</v>
      </c>
      <c r="AD133" s="32">
        <v>0.0</v>
      </c>
      <c r="AE133" s="32">
        <f t="shared" ref="AE133:AF133" si="174">Z133+AC133</f>
        <v>0</v>
      </c>
      <c r="AF133" s="32">
        <f t="shared" si="174"/>
        <v>0</v>
      </c>
      <c r="AG133" s="32">
        <f>IF(COUNTIFS(SL_Income_Log!$B:$B,TEXT(B133,"0000")&amp;"-"&amp;TEXT(A133,"00"),SL_Income_Log!$C:$C,"youtube")&gt;0,SUMIFS(SL_Income_Log!$D:$D,SL_Income_Log!$B:$B,TEXT(B133,"0000")&amp;"-"&amp;TEXT(A133,"00"),SL_Income_Log!$C:$C,"youtube"),MIN(Assumptions!$B$49+FLOOR((ROW()-2)/6,1)*Assumptions!$B$50,Assumptions!$B$51))
</f>
        <v>20000</v>
      </c>
      <c r="AH133" s="32">
        <f>AG133*Assumptions!$B$104</f>
        <v>8860</v>
      </c>
      <c r="AI133" s="32">
        <f t="shared" si="7"/>
        <v>11140</v>
      </c>
      <c r="AJ133" s="32">
        <f>SUMIFS(SL_Income_Log!$D:$D,SL_Income_Log!$B:$B,TEXT(B133,"0000")&amp;"-"&amp;TEXT(A133,"00"),SL_Income_Log!$C:$C,"other")</f>
        <v>0</v>
      </c>
      <c r="AK133" s="32">
        <f t="shared" si="27"/>
        <v>10000</v>
      </c>
      <c r="AL133" s="32">
        <f>L133+M133+T133+U133+AI133+AJ133-Y133-Z133-AB133-AC133+IF((Debt_Register!$C$2+Debt_Register!$C$6+Debt_Register!$C$7+Debt_Register!$C$8+Debt_Register!$C$9)&gt;5,X133,0)</f>
        <v>25042.3296</v>
      </c>
      <c r="AM133" s="32">
        <f t="shared" si="8"/>
        <v>35042.3296</v>
      </c>
      <c r="AN133" s="32">
        <f>MAX(Assumptions!$B$94,MIN(Assumptions!$B$93,AM133-AP133-BE133-BO133-BQ133))</f>
        <v>10000</v>
      </c>
      <c r="AO133" s="32">
        <v>0.0</v>
      </c>
      <c r="AP133" s="32">
        <v>0.0</v>
      </c>
      <c r="AQ133" s="32">
        <v>0.0</v>
      </c>
      <c r="AR133" s="32">
        <v>0.0</v>
      </c>
      <c r="AS133" s="32">
        <v>0.0</v>
      </c>
      <c r="AT133" s="32">
        <v>0.0</v>
      </c>
      <c r="AU133" s="32">
        <f t="shared" si="30"/>
        <v>0</v>
      </c>
      <c r="AV133" s="32">
        <f t="shared" si="31"/>
        <v>0</v>
      </c>
      <c r="AW133" s="32">
        <f t="shared" si="32"/>
        <v>0</v>
      </c>
      <c r="AX133" s="32">
        <f t="shared" si="33"/>
        <v>0</v>
      </c>
      <c r="AY133" s="32">
        <f t="shared" si="34"/>
        <v>0</v>
      </c>
      <c r="AZ133" s="32">
        <f t="shared" si="35"/>
        <v>0</v>
      </c>
      <c r="BA133" s="32">
        <f t="shared" si="36"/>
        <v>0</v>
      </c>
      <c r="BB133" s="32">
        <f t="shared" si="37"/>
        <v>0</v>
      </c>
      <c r="BC133" s="32">
        <f t="shared" si="38"/>
        <v>0</v>
      </c>
      <c r="BD133" s="32">
        <f t="shared" si="39"/>
        <v>0</v>
      </c>
      <c r="BE133" s="32">
        <f t="shared" si="11"/>
        <v>0</v>
      </c>
      <c r="BF133" s="32">
        <v>0.0</v>
      </c>
      <c r="BG133" s="32">
        <f t="shared" si="40"/>
        <v>5500</v>
      </c>
      <c r="BH133" s="32">
        <v>0.0</v>
      </c>
      <c r="BI133" s="32">
        <f t="shared" si="41"/>
        <v>5000</v>
      </c>
      <c r="BJ133" s="32">
        <f>IF(OR(B133&lt;Assumptions!$B$111,AND(B133=Assumptions!$B$111,A133&lt;=Assumptions!$B$112)),Assumptions!$B$110,0)</f>
        <v>0</v>
      </c>
      <c r="BK133" s="32">
        <f>IF(B133&lt;2027,Assumptions!$B$116+IF(OR(A133=4,A133=10),Assumptions!$B$117,0),IF(AND(B133=2027,A133&lt;=4),IF(A133=4,MIN(950,Assumptions!$B$116+Assumptions!$B$117),Assumptions!$B$116),0))</f>
        <v>0</v>
      </c>
      <c r="BL133" s="32">
        <f>IF(OR(B133&lt;2030,AND(B133=2030,A133&lt;8)),Assumptions!$B$118,IF(AND(B133=2030,A133=8),MOD(11000,200),0))</f>
        <v>0</v>
      </c>
      <c r="BM133" s="32">
        <f>IF(OR(B133&lt;Assumptions!$B$120,AND(B133=Assumptions!$B$120,A133&lt;=Assumptions!$B$121)),Assumptions!$B$119,0)</f>
        <v>0</v>
      </c>
      <c r="BN133" s="32">
        <f>IF(AND(B133&lt;=Assumptions!$B$123,A133&lt;=Assumptions!$B$124),Assumptions!$B$122,0)</f>
        <v>0</v>
      </c>
      <c r="BO133" s="32">
        <f t="shared" si="12"/>
        <v>0</v>
      </c>
      <c r="BP133" s="32">
        <f>SUMIFS(SL_Budget!$B:$B,SL_Budget!$C:$C,"'"&amp;TEXT(DATE(B133,A133,1),"YYYY-MM"))</f>
        <v>5522</v>
      </c>
      <c r="BQ133" s="32">
        <f>MAX(BP133, IFERROR(SUMIFS(ShadowLedger!D:D, 
  ShadowLedger!C:C, "&gt;="&amp;DATE(B133,A133,1), 
  ShadowLedger!C:C, "&lt;"&amp;EOMONTH(DATE(B133,A133,1),0)+1), 0))
</f>
        <v>5522</v>
      </c>
      <c r="BR133" s="32">
        <f t="shared" si="42"/>
        <v>2203606.812</v>
      </c>
      <c r="BS133" s="32">
        <f t="shared" si="43"/>
        <v>2943.4208</v>
      </c>
      <c r="BT133" s="32">
        <f>IF(BY132&gt;=Assumptions!$B$92,MAX(0,(AM133-BE133-BO133-BQ133)-Assumptions!$B$93),MAX(0,(AM133-BE133-BO133-BQ133)-Assumptions!$B$93)*Assumptions!$B$99)</f>
        <v>19520.3296</v>
      </c>
      <c r="BU133" s="32">
        <f>(BR133+BS133+MAX(0,BT133))*(Assumptions!$B$43-1)</f>
        <v>15177.3491</v>
      </c>
      <c r="BV133" s="32">
        <f t="shared" si="13"/>
        <v>2241247.912</v>
      </c>
      <c r="BW133" s="32">
        <f t="shared" si="44"/>
        <v>15476.04728</v>
      </c>
      <c r="BX133" s="32">
        <f>IF(BY132&lt;Assumptions!$B$92,MAX(0,(AM133-BE133-BO133-BQ133)-Assumptions!$B$93)*Assumptions!$B$98,0)</f>
        <v>0</v>
      </c>
      <c r="BY133" s="32">
        <f t="shared" si="14"/>
        <v>15476.04728</v>
      </c>
      <c r="BZ133" s="32">
        <f t="shared" si="45"/>
        <v>97460</v>
      </c>
      <c r="CA133" s="32">
        <f t="shared" si="15"/>
        <v>8860</v>
      </c>
      <c r="CB133" s="32">
        <f t="shared" si="16"/>
        <v>106320</v>
      </c>
      <c r="CC133" s="55">
        <f>CC132+(G133+J133)/(Salary_Schedule!E133*12/208)</f>
        <v>1838.223534</v>
      </c>
      <c r="CD133" s="55">
        <f>CD132+(O133+R133)/(Salary_Schedule!G133*12/208)</f>
        <v>171.534118</v>
      </c>
      <c r="CE133" s="32">
        <f t="shared" si="17"/>
        <v>2241247.912</v>
      </c>
      <c r="CF133" s="32">
        <f>Assumptions!$B$55*(1+Assumptions!$B$56)^((B133-2025)+(A133-1)/12)</f>
        <v>620950.5467</v>
      </c>
      <c r="CG133" s="32">
        <f t="shared" si="18"/>
        <v>0</v>
      </c>
      <c r="CH133" s="32">
        <f t="shared" si="19"/>
        <v>-10500</v>
      </c>
      <c r="CI133" s="32">
        <f>CC133*(Salary_Schedule!E133/173.33)*(1-Assumptions!$B$28)+CD133*(Salary_Schedule!G133/173.33)*(1-Assumptions!$B$28)</f>
        <v>88337.46511</v>
      </c>
      <c r="CJ133" s="32">
        <f t="shared" si="20"/>
        <v>2940035.924</v>
      </c>
    </row>
    <row r="134" ht="15.0" customHeight="1">
      <c r="A134" s="1">
        <v>1.0</v>
      </c>
      <c r="B134" s="1">
        <v>2037.0</v>
      </c>
      <c r="C134" s="1" t="s">
        <v>803</v>
      </c>
      <c r="D134" s="1" t="str">
        <f t="shared" si="21"/>
        <v>12/2036</v>
      </c>
      <c r="E134" s="1" t="str">
        <f t="shared" si="2"/>
        <v>FAT_RSU</v>
      </c>
      <c r="F134" s="32">
        <f>Salary_Schedule!E134</f>
        <v>12599.07</v>
      </c>
      <c r="G134" s="32">
        <f>Assumptions!$B$8</f>
        <v>200</v>
      </c>
      <c r="H134" s="32">
        <f>F134*Assumptions!$B$58</f>
        <v>1259.907</v>
      </c>
      <c r="I134" s="32">
        <f>Salary_Schedule!F134</f>
        <v>0</v>
      </c>
      <c r="J134" s="32">
        <f>I134*Assumptions!$B$9</f>
        <v>0</v>
      </c>
      <c r="K134" s="54">
        <f t="shared" si="3"/>
        <v>11139.163</v>
      </c>
      <c r="L134" s="32">
        <f>IF(COUNTIFS(SL_Income_Log!$B:$B,TEXT(B134,"0000")&amp;"-"&amp;TEXT(A134,"00"),SL_Income_Log!$C:$C,"salary",SL_Income_Log!$E:$E,"H")&gt;0,SUMIFS(SL_Income_Log!$D:$D,SL_Income_Log!$B:$B,TEXT(B134,"0000")&amp;"-"&amp;TEXT(A134,"00"),SL_Income_Log!$C:$C,"salary",SL_Income_Log!$E:$E,"H"),K134*(1-Assumptions!$B$102)-Z134-Y134)</f>
        <v>6683.4978</v>
      </c>
      <c r="M134" s="32">
        <f>RSU_Schedule!H133</f>
        <v>2784.99</v>
      </c>
      <c r="N134" s="32">
        <f>Salary_Schedule!G134</f>
        <v>9045.49</v>
      </c>
      <c r="O134" s="32">
        <f>Assumptions!$B$19</f>
        <v>200</v>
      </c>
      <c r="P134" s="32">
        <f>N134*Assumptions!$B$59</f>
        <v>904.549</v>
      </c>
      <c r="Q134" s="32">
        <f>Salary_Schedule!H134</f>
        <v>0</v>
      </c>
      <c r="R134" s="32">
        <f>Q134*Assumptions!$B$20</f>
        <v>0</v>
      </c>
      <c r="S134" s="54">
        <f t="shared" si="4"/>
        <v>7940.941</v>
      </c>
      <c r="T134" s="32">
        <f>IF(COUNTIFS(SL_Income_Log!$B:$B,TEXT(B134,"0000")&amp;"-"&amp;TEXT(A134,"00"),SL_Income_Log!$C:$C,"salary",SL_Income_Log!$E:$E,"W")&gt;0,SUMIFS(SL_Income_Log!$D:$D,SL_Income_Log!$B:$B,TEXT(B134,"0000")&amp;"-"&amp;TEXT(A134,"00"),SL_Income_Log!$C:$C,"salary",SL_Income_Log!$E:$E,"W"),S134*(1-Assumptions!$B$102)-AC134-AB134)
</f>
        <v>4764.5646</v>
      </c>
      <c r="U134" s="32">
        <f>RSU_Schedule!M133</f>
        <v>1392.51</v>
      </c>
      <c r="V134" s="32">
        <f>H134*(1+Assumptions!$B$60)+Assumptions!$B$61</f>
        <v>1783.8698</v>
      </c>
      <c r="W134" s="32">
        <f>P134*(1+Assumptions!$B$60)+Assumptions!$B$61</f>
        <v>1286.3686</v>
      </c>
      <c r="X134" s="32">
        <f t="shared" si="5"/>
        <v>3070.2384</v>
      </c>
      <c r="Y134" s="32">
        <v>0.0</v>
      </c>
      <c r="Z134" s="32">
        <v>0.0</v>
      </c>
      <c r="AA134" s="32">
        <v>0.0</v>
      </c>
      <c r="AB134" s="32">
        <v>0.0</v>
      </c>
      <c r="AC134" s="32">
        <v>0.0</v>
      </c>
      <c r="AD134" s="32">
        <v>0.0</v>
      </c>
      <c r="AE134" s="32">
        <f t="shared" ref="AE134:AF134" si="175">Z134+AC134</f>
        <v>0</v>
      </c>
      <c r="AF134" s="32">
        <f t="shared" si="175"/>
        <v>0</v>
      </c>
      <c r="AG134" s="32">
        <f>IF(COUNTIFS(SL_Income_Log!$B:$B,TEXT(B134,"0000")&amp;"-"&amp;TEXT(A134,"00"),SL_Income_Log!$C:$C,"youtube")&gt;0,SUMIFS(SL_Income_Log!$D:$D,SL_Income_Log!$B:$B,TEXT(B134,"0000")&amp;"-"&amp;TEXT(A134,"00"),SL_Income_Log!$C:$C,"youtube"),MIN(Assumptions!$B$49+FLOOR((ROW()-2)/6,1)*Assumptions!$B$50,Assumptions!$B$51))
</f>
        <v>20000</v>
      </c>
      <c r="AH134" s="32">
        <f>AG134*Assumptions!$B$104</f>
        <v>8860</v>
      </c>
      <c r="AI134" s="32">
        <f t="shared" si="7"/>
        <v>11140</v>
      </c>
      <c r="AJ134" s="32">
        <f>SUMIFS(SL_Income_Log!$D:$D,SL_Income_Log!$B:$B,TEXT(B134,"0000")&amp;"-"&amp;TEXT(A134,"00"),SL_Income_Log!$C:$C,"other")</f>
        <v>0</v>
      </c>
      <c r="AK134" s="32">
        <f t="shared" si="27"/>
        <v>10000</v>
      </c>
      <c r="AL134" s="32">
        <f>L134+M134+T134+U134+AI134+AJ134-Y134-Z134-AB134-AC134+IF((Debt_Register!$C$2+Debt_Register!$C$6+Debt_Register!$C$7+Debt_Register!$C$8+Debt_Register!$C$9)&gt;5,X134,0)</f>
        <v>29835.8008</v>
      </c>
      <c r="AM134" s="32">
        <f t="shared" si="8"/>
        <v>39835.8008</v>
      </c>
      <c r="AN134" s="32">
        <f>MAX(Assumptions!$B$94,MIN(Assumptions!$B$93,AM134-AP134-BE134-BO134-BQ134))</f>
        <v>10000</v>
      </c>
      <c r="AO134" s="32">
        <v>0.0</v>
      </c>
      <c r="AP134" s="32">
        <v>0.0</v>
      </c>
      <c r="AQ134" s="32">
        <v>0.0</v>
      </c>
      <c r="AR134" s="32">
        <v>0.0</v>
      </c>
      <c r="AS134" s="32">
        <v>0.0</v>
      </c>
      <c r="AT134" s="32">
        <v>0.0</v>
      </c>
      <c r="AU134" s="32">
        <f t="shared" si="30"/>
        <v>0</v>
      </c>
      <c r="AV134" s="32">
        <f t="shared" si="31"/>
        <v>0</v>
      </c>
      <c r="AW134" s="32">
        <f t="shared" si="32"/>
        <v>0</v>
      </c>
      <c r="AX134" s="32">
        <f t="shared" si="33"/>
        <v>0</v>
      </c>
      <c r="AY134" s="32">
        <f t="shared" si="34"/>
        <v>0</v>
      </c>
      <c r="AZ134" s="32">
        <f t="shared" si="35"/>
        <v>0</v>
      </c>
      <c r="BA134" s="32">
        <f t="shared" si="36"/>
        <v>0</v>
      </c>
      <c r="BB134" s="32">
        <f t="shared" si="37"/>
        <v>0</v>
      </c>
      <c r="BC134" s="32">
        <f t="shared" si="38"/>
        <v>0</v>
      </c>
      <c r="BD134" s="32">
        <f t="shared" si="39"/>
        <v>0</v>
      </c>
      <c r="BE134" s="32">
        <f t="shared" si="11"/>
        <v>0</v>
      </c>
      <c r="BF134" s="32">
        <v>0.0</v>
      </c>
      <c r="BG134" s="32">
        <f t="shared" si="40"/>
        <v>5500</v>
      </c>
      <c r="BH134" s="32">
        <v>0.0</v>
      </c>
      <c r="BI134" s="32">
        <f t="shared" si="41"/>
        <v>5000</v>
      </c>
      <c r="BJ134" s="32">
        <f>IF(OR(B134&lt;Assumptions!$B$111,AND(B134=Assumptions!$B$111,A134&lt;=Assumptions!$B$112)),Assumptions!$B$110,0)</f>
        <v>0</v>
      </c>
      <c r="BK134" s="32">
        <f>IF(B134&lt;2027,Assumptions!$B$116+IF(OR(A134=4,A134=10),Assumptions!$B$117,0),IF(AND(B134=2027,A134&lt;=4),IF(A134=4,MIN(950,Assumptions!$B$116+Assumptions!$B$117),Assumptions!$B$116),0))</f>
        <v>0</v>
      </c>
      <c r="BL134" s="32">
        <f>IF(OR(B134&lt;2030,AND(B134=2030,A134&lt;8)),Assumptions!$B$118,IF(AND(B134=2030,A134=8),MOD(11000,200),0))</f>
        <v>0</v>
      </c>
      <c r="BM134" s="32">
        <f>IF(OR(B134&lt;Assumptions!$B$120,AND(B134=Assumptions!$B$120,A134&lt;=Assumptions!$B$121)),Assumptions!$B$119,0)</f>
        <v>0</v>
      </c>
      <c r="BN134" s="32">
        <f>IF(AND(B134&lt;=Assumptions!$B$123,A134&lt;=Assumptions!$B$124),Assumptions!$B$122,0)</f>
        <v>0</v>
      </c>
      <c r="BO134" s="32">
        <f t="shared" si="12"/>
        <v>0</v>
      </c>
      <c r="BP134" s="32">
        <f>SUMIFS(SL_Budget!$B:$B,SL_Budget!$C:$C,"'"&amp;TEXT(DATE(B134,A134,1),"YYYY-MM"))</f>
        <v>5687</v>
      </c>
      <c r="BQ134" s="32">
        <f>MAX(BP134, IFERROR(SUMIFS(ShadowLedger!D:D, 
  ShadowLedger!C:C, "&gt;="&amp;DATE(B134,A134,1), 
  ShadowLedger!C:C, "&lt;"&amp;EOMONTH(DATE(B134,A134,1),0)+1), 0))
</f>
        <v>5687</v>
      </c>
      <c r="BR134" s="32">
        <f t="shared" si="42"/>
        <v>2241247.912</v>
      </c>
      <c r="BS134" s="32">
        <f t="shared" si="43"/>
        <v>3070.2384</v>
      </c>
      <c r="BT134" s="32">
        <f>IF(BY133&gt;=Assumptions!$B$92,MAX(0,(AM134-BE134-BO134-BQ134)-Assumptions!$B$93),MAX(0,(AM134-BE134-BO134-BQ134)-Assumptions!$B$93)*Assumptions!$B$99)</f>
        <v>24148.8008</v>
      </c>
      <c r="BU134" s="32">
        <f>(BR134+BS134+MAX(0,BT134))*(Assumptions!$B$43-1)</f>
        <v>15466.40767</v>
      </c>
      <c r="BV134" s="32">
        <f t="shared" si="13"/>
        <v>2283933.359</v>
      </c>
      <c r="BW134" s="32">
        <f t="shared" si="44"/>
        <v>15476.04728</v>
      </c>
      <c r="BX134" s="32">
        <f>IF(BY133&lt;Assumptions!$B$92,MAX(0,(AM134-BE134-BO134-BQ134)-Assumptions!$B$93)*Assumptions!$B$98,0)</f>
        <v>0</v>
      </c>
      <c r="BY134" s="32">
        <f t="shared" si="14"/>
        <v>15476.04728</v>
      </c>
      <c r="BZ134" s="32">
        <f t="shared" si="45"/>
        <v>0</v>
      </c>
      <c r="CA134" s="32">
        <f t="shared" si="15"/>
        <v>8860</v>
      </c>
      <c r="CB134" s="32">
        <f t="shared" si="16"/>
        <v>8860</v>
      </c>
      <c r="CC134" s="55">
        <f>CC133+(G134+J134)/(Salary_Schedule!E134*12/208)</f>
        <v>1838.498687</v>
      </c>
      <c r="CD134" s="55">
        <f>CD133+(O134+R134)/(Salary_Schedule!G134*12/208)</f>
        <v>171.9173661</v>
      </c>
      <c r="CE134" s="32">
        <f t="shared" si="17"/>
        <v>2283933.359</v>
      </c>
      <c r="CF134" s="32">
        <f>Assumptions!$B$55*(1+Assumptions!$B$56)^((B134-2025)+(A134-1)/12)</f>
        <v>621721.4492</v>
      </c>
      <c r="CG134" s="32">
        <f t="shared" si="18"/>
        <v>0</v>
      </c>
      <c r="CH134" s="32">
        <f t="shared" si="19"/>
        <v>-10500</v>
      </c>
      <c r="CI134" s="32">
        <f>CC134*(Salary_Schedule!E134/173.33)*(1-Assumptions!$B$28)+CD134*(Salary_Schedule!G134/173.33)*(1-Assumptions!$B$28)</f>
        <v>92695.97186</v>
      </c>
      <c r="CJ134" s="32">
        <f t="shared" si="20"/>
        <v>2987850.78</v>
      </c>
    </row>
    <row r="135" ht="15.0" customHeight="1">
      <c r="A135" s="1">
        <v>2.0</v>
      </c>
      <c r="B135" s="1">
        <v>2037.0</v>
      </c>
      <c r="C135" s="1" t="s">
        <v>804</v>
      </c>
      <c r="D135" s="1" t="str">
        <f t="shared" si="21"/>
        <v>01/2037</v>
      </c>
      <c r="E135" s="1" t="str">
        <f t="shared" si="2"/>
        <v>LEAN</v>
      </c>
      <c r="F135" s="32">
        <f>Salary_Schedule!E135</f>
        <v>12599.07</v>
      </c>
      <c r="G135" s="32">
        <f>Assumptions!$B$8</f>
        <v>200</v>
      </c>
      <c r="H135" s="32">
        <f>F135*Assumptions!$B$58</f>
        <v>1259.907</v>
      </c>
      <c r="I135" s="32">
        <f>Salary_Schedule!F135</f>
        <v>0</v>
      </c>
      <c r="J135" s="32">
        <f>I135*Assumptions!$B$9</f>
        <v>0</v>
      </c>
      <c r="K135" s="54">
        <f t="shared" si="3"/>
        <v>11139.163</v>
      </c>
      <c r="L135" s="32">
        <f>IF(COUNTIFS(SL_Income_Log!$B:$B,TEXT(B135,"0000")&amp;"-"&amp;TEXT(A135,"00"),SL_Income_Log!$C:$C,"salary",SL_Income_Log!$E:$E,"H")&gt;0,SUMIFS(SL_Income_Log!$D:$D,SL_Income_Log!$B:$B,TEXT(B135,"0000")&amp;"-"&amp;TEXT(A135,"00"),SL_Income_Log!$C:$C,"salary",SL_Income_Log!$E:$E,"H"),K135*(1-Assumptions!$B$102)-Z135-Y135)</f>
        <v>6683.4978</v>
      </c>
      <c r="M135" s="32">
        <f>RSU_Schedule!H134</f>
        <v>0</v>
      </c>
      <c r="N135" s="32">
        <f>Salary_Schedule!G135</f>
        <v>9045.49</v>
      </c>
      <c r="O135" s="32">
        <f>Assumptions!$B$19</f>
        <v>200</v>
      </c>
      <c r="P135" s="32">
        <f>N135*Assumptions!$B$59</f>
        <v>904.549</v>
      </c>
      <c r="Q135" s="32">
        <f>Salary_Schedule!H135</f>
        <v>0</v>
      </c>
      <c r="R135" s="32">
        <f>Q135*Assumptions!$B$20</f>
        <v>0</v>
      </c>
      <c r="S135" s="54">
        <f t="shared" si="4"/>
        <v>7940.941</v>
      </c>
      <c r="T135" s="32">
        <f>IF(COUNTIFS(SL_Income_Log!$B:$B,TEXT(B135,"0000")&amp;"-"&amp;TEXT(A135,"00"),SL_Income_Log!$C:$C,"salary",SL_Income_Log!$E:$E,"W")&gt;0,SUMIFS(SL_Income_Log!$D:$D,SL_Income_Log!$B:$B,TEXT(B135,"0000")&amp;"-"&amp;TEXT(A135,"00"),SL_Income_Log!$C:$C,"salary",SL_Income_Log!$E:$E,"W"),S135*(1-Assumptions!$B$102)-AC135-AB135)
</f>
        <v>4764.5646</v>
      </c>
      <c r="U135" s="32">
        <f>RSU_Schedule!M134</f>
        <v>0</v>
      </c>
      <c r="V135" s="32">
        <f>H135*(1+Assumptions!$B$60)+Assumptions!$B$61</f>
        <v>1783.8698</v>
      </c>
      <c r="W135" s="32">
        <f>P135*(1+Assumptions!$B$60)+Assumptions!$B$61</f>
        <v>1286.3686</v>
      </c>
      <c r="X135" s="32">
        <f t="shared" si="5"/>
        <v>3070.2384</v>
      </c>
      <c r="Y135" s="32">
        <v>0.0</v>
      </c>
      <c r="Z135" s="32">
        <v>0.0</v>
      </c>
      <c r="AA135" s="32">
        <v>0.0</v>
      </c>
      <c r="AB135" s="32">
        <v>0.0</v>
      </c>
      <c r="AC135" s="32">
        <v>0.0</v>
      </c>
      <c r="AD135" s="32">
        <v>0.0</v>
      </c>
      <c r="AE135" s="32">
        <f t="shared" ref="AE135:AF135" si="176">Z135+AC135</f>
        <v>0</v>
      </c>
      <c r="AF135" s="32">
        <f t="shared" si="176"/>
        <v>0</v>
      </c>
      <c r="AG135" s="32">
        <f>IF(COUNTIFS(SL_Income_Log!$B:$B,TEXT(B135,"0000")&amp;"-"&amp;TEXT(A135,"00"),SL_Income_Log!$C:$C,"youtube")&gt;0,SUMIFS(SL_Income_Log!$D:$D,SL_Income_Log!$B:$B,TEXT(B135,"0000")&amp;"-"&amp;TEXT(A135,"00"),SL_Income_Log!$C:$C,"youtube"),MIN(Assumptions!$B$49+FLOOR((ROW()-2)/6,1)*Assumptions!$B$50,Assumptions!$B$51))
</f>
        <v>20000</v>
      </c>
      <c r="AH135" s="32">
        <f>AG135*Assumptions!$B$104</f>
        <v>8860</v>
      </c>
      <c r="AI135" s="32">
        <f t="shared" si="7"/>
        <v>11140</v>
      </c>
      <c r="AJ135" s="32">
        <f>SUMIFS(SL_Income_Log!$D:$D,SL_Income_Log!$B:$B,TEXT(B135,"0000")&amp;"-"&amp;TEXT(A135,"00"),SL_Income_Log!$C:$C,"other")</f>
        <v>0</v>
      </c>
      <c r="AK135" s="32">
        <f t="shared" si="27"/>
        <v>10000</v>
      </c>
      <c r="AL135" s="32">
        <f>L135+M135+T135+U135+AI135+AJ135-Y135-Z135-AB135-AC135+IF((Debt_Register!$C$2+Debt_Register!$C$6+Debt_Register!$C$7+Debt_Register!$C$8+Debt_Register!$C$9)&gt;5,X135,0)</f>
        <v>25658.3008</v>
      </c>
      <c r="AM135" s="32">
        <f t="shared" si="8"/>
        <v>35658.3008</v>
      </c>
      <c r="AN135" s="32">
        <f>MAX(Assumptions!$B$94,MIN(Assumptions!$B$93,AM135-AP135-BE135-BO135-BQ135))</f>
        <v>10000</v>
      </c>
      <c r="AO135" s="32">
        <v>0.0</v>
      </c>
      <c r="AP135" s="32">
        <v>0.0</v>
      </c>
      <c r="AQ135" s="32">
        <v>0.0</v>
      </c>
      <c r="AR135" s="32">
        <v>0.0</v>
      </c>
      <c r="AS135" s="32">
        <v>0.0</v>
      </c>
      <c r="AT135" s="32">
        <v>0.0</v>
      </c>
      <c r="AU135" s="32">
        <f t="shared" si="30"/>
        <v>0</v>
      </c>
      <c r="AV135" s="32">
        <f t="shared" si="31"/>
        <v>0</v>
      </c>
      <c r="AW135" s="32">
        <f t="shared" si="32"/>
        <v>0</v>
      </c>
      <c r="AX135" s="32">
        <f t="shared" si="33"/>
        <v>0</v>
      </c>
      <c r="AY135" s="32">
        <f t="shared" si="34"/>
        <v>0</v>
      </c>
      <c r="AZ135" s="32">
        <f t="shared" si="35"/>
        <v>0</v>
      </c>
      <c r="BA135" s="32">
        <f t="shared" si="36"/>
        <v>0</v>
      </c>
      <c r="BB135" s="32">
        <f t="shared" si="37"/>
        <v>0</v>
      </c>
      <c r="BC135" s="32">
        <f t="shared" si="38"/>
        <v>0</v>
      </c>
      <c r="BD135" s="32">
        <f t="shared" si="39"/>
        <v>0</v>
      </c>
      <c r="BE135" s="32">
        <f t="shared" si="11"/>
        <v>0</v>
      </c>
      <c r="BF135" s="32">
        <v>0.0</v>
      </c>
      <c r="BG135" s="32">
        <f t="shared" si="40"/>
        <v>5500</v>
      </c>
      <c r="BH135" s="32">
        <v>0.0</v>
      </c>
      <c r="BI135" s="32">
        <f t="shared" si="41"/>
        <v>5000</v>
      </c>
      <c r="BJ135" s="32">
        <f>IF(OR(B135&lt;Assumptions!$B$111,AND(B135=Assumptions!$B$111,A135&lt;=Assumptions!$B$112)),Assumptions!$B$110,0)</f>
        <v>0</v>
      </c>
      <c r="BK135" s="32">
        <f>IF(B135&lt;2027,Assumptions!$B$116+IF(OR(A135=4,A135=10),Assumptions!$B$117,0),IF(AND(B135=2027,A135&lt;=4),IF(A135=4,MIN(950,Assumptions!$B$116+Assumptions!$B$117),Assumptions!$B$116),0))</f>
        <v>0</v>
      </c>
      <c r="BL135" s="32">
        <f>IF(OR(B135&lt;2030,AND(B135=2030,A135&lt;8)),Assumptions!$B$118,IF(AND(B135=2030,A135=8),MOD(11000,200),0))</f>
        <v>0</v>
      </c>
      <c r="BM135" s="32">
        <f>IF(OR(B135&lt;Assumptions!$B$120,AND(B135=Assumptions!$B$120,A135&lt;=Assumptions!$B$121)),Assumptions!$B$119,0)</f>
        <v>0</v>
      </c>
      <c r="BN135" s="32">
        <f>IF(AND(B135&lt;=Assumptions!$B$123,A135&lt;=Assumptions!$B$124),Assumptions!$B$122,0)</f>
        <v>0</v>
      </c>
      <c r="BO135" s="32">
        <f t="shared" si="12"/>
        <v>0</v>
      </c>
      <c r="BP135" s="32">
        <f>SUMIFS(SL_Budget!$B:$B,SL_Budget!$C:$C,"'"&amp;TEXT(DATE(B135,A135,1),"YYYY-MM"))</f>
        <v>5687</v>
      </c>
      <c r="BQ135" s="32">
        <f>MAX(BP135, IFERROR(SUMIFS(ShadowLedger!D:D, 
  ShadowLedger!C:C, "&gt;="&amp;DATE(B135,A135,1), 
  ShadowLedger!C:C, "&lt;"&amp;EOMONTH(DATE(B135,A135,1),0)+1), 0))
</f>
        <v>5687</v>
      </c>
      <c r="BR135" s="32">
        <f t="shared" si="42"/>
        <v>2283933.359</v>
      </c>
      <c r="BS135" s="32">
        <f t="shared" si="43"/>
        <v>3070.2384</v>
      </c>
      <c r="BT135" s="32">
        <f>IF(BY134&gt;=Assumptions!$B$92,MAX(0,(AM135-BE135-BO135-BQ135)-Assumptions!$B$93),MAX(0,(AM135-BE135-BO135-BQ135)-Assumptions!$B$93)*Assumptions!$B$99)</f>
        <v>19971.3008</v>
      </c>
      <c r="BU135" s="32">
        <f>(BR135+BS135+MAX(0,BT135))*(Assumptions!$B$43-1)</f>
        <v>15728.95485</v>
      </c>
      <c r="BV135" s="32">
        <f t="shared" si="13"/>
        <v>2322703.853</v>
      </c>
      <c r="BW135" s="32">
        <f t="shared" si="44"/>
        <v>15476.04728</v>
      </c>
      <c r="BX135" s="32">
        <f>IF(BY134&lt;Assumptions!$B$92,MAX(0,(AM135-BE135-BO135-BQ135)-Assumptions!$B$93)*Assumptions!$B$98,0)</f>
        <v>0</v>
      </c>
      <c r="BY135" s="32">
        <f t="shared" si="14"/>
        <v>15476.04728</v>
      </c>
      <c r="BZ135" s="32">
        <f t="shared" si="45"/>
        <v>8860</v>
      </c>
      <c r="CA135" s="32">
        <f t="shared" si="15"/>
        <v>8860</v>
      </c>
      <c r="CB135" s="32">
        <f t="shared" si="16"/>
        <v>17720</v>
      </c>
      <c r="CC135" s="55">
        <f>CC134+(G135+J135)/(Salary_Schedule!E135*12/208)</f>
        <v>1838.773839</v>
      </c>
      <c r="CD135" s="55">
        <f>CD134+(O135+R135)/(Salary_Schedule!G135*12/208)</f>
        <v>172.3006142</v>
      </c>
      <c r="CE135" s="32">
        <f t="shared" si="17"/>
        <v>2322703.853</v>
      </c>
      <c r="CF135" s="32">
        <f>Assumptions!$B$55*(1+Assumptions!$B$56)^((B135-2025)+(A135-1)/12)</f>
        <v>622493.3087</v>
      </c>
      <c r="CG135" s="32">
        <f t="shared" si="18"/>
        <v>0</v>
      </c>
      <c r="CH135" s="32">
        <f t="shared" si="19"/>
        <v>-10500</v>
      </c>
      <c r="CI135" s="32">
        <f>CC135*(Salary_Schedule!E135/173.33)*(1-Assumptions!$B$28)+CD135*(Salary_Schedule!G135/173.33)*(1-Assumptions!$B$28)</f>
        <v>92721.97236</v>
      </c>
      <c r="CJ135" s="32">
        <f t="shared" si="20"/>
        <v>3027419.134</v>
      </c>
    </row>
    <row r="136" ht="15.0" customHeight="1">
      <c r="A136" s="1">
        <v>3.0</v>
      </c>
      <c r="B136" s="1">
        <v>2037.0</v>
      </c>
      <c r="C136" s="1" t="s">
        <v>805</v>
      </c>
      <c r="D136" s="1" t="str">
        <f t="shared" si="21"/>
        <v>02/2037</v>
      </c>
      <c r="E136" s="1" t="str">
        <f t="shared" si="2"/>
        <v>LEAN</v>
      </c>
      <c r="F136" s="32">
        <f>Salary_Schedule!E136</f>
        <v>12599.07</v>
      </c>
      <c r="G136" s="32">
        <f>Assumptions!$B$8</f>
        <v>200</v>
      </c>
      <c r="H136" s="32">
        <f>F136*Assumptions!$B$58</f>
        <v>1259.907</v>
      </c>
      <c r="I136" s="32">
        <f>Salary_Schedule!F136</f>
        <v>0</v>
      </c>
      <c r="J136" s="32">
        <f>I136*Assumptions!$B$9</f>
        <v>0</v>
      </c>
      <c r="K136" s="54">
        <f t="shared" si="3"/>
        <v>11139.163</v>
      </c>
      <c r="L136" s="32">
        <f>IF(COUNTIFS(SL_Income_Log!$B:$B,TEXT(B136,"0000")&amp;"-"&amp;TEXT(A136,"00"),SL_Income_Log!$C:$C,"salary",SL_Income_Log!$E:$E,"H")&gt;0,SUMIFS(SL_Income_Log!$D:$D,SL_Income_Log!$B:$B,TEXT(B136,"0000")&amp;"-"&amp;TEXT(A136,"00"),SL_Income_Log!$C:$C,"salary",SL_Income_Log!$E:$E,"H"),K136*(1-Assumptions!$B$102)-Z136-Y136)</f>
        <v>6683.4978</v>
      </c>
      <c r="M136" s="32">
        <f>RSU_Schedule!H135</f>
        <v>0</v>
      </c>
      <c r="N136" s="32">
        <f>Salary_Schedule!G136</f>
        <v>9045.49</v>
      </c>
      <c r="O136" s="32">
        <f>Assumptions!$B$19</f>
        <v>200</v>
      </c>
      <c r="P136" s="32">
        <f>N136*Assumptions!$B$59</f>
        <v>904.549</v>
      </c>
      <c r="Q136" s="32">
        <f>Salary_Schedule!H136</f>
        <v>0</v>
      </c>
      <c r="R136" s="32">
        <f>Q136*Assumptions!$B$20</f>
        <v>0</v>
      </c>
      <c r="S136" s="54">
        <f t="shared" si="4"/>
        <v>7940.941</v>
      </c>
      <c r="T136" s="32">
        <f>IF(COUNTIFS(SL_Income_Log!$B:$B,TEXT(B136,"0000")&amp;"-"&amp;TEXT(A136,"00"),SL_Income_Log!$C:$C,"salary",SL_Income_Log!$E:$E,"W")&gt;0,SUMIFS(SL_Income_Log!$D:$D,SL_Income_Log!$B:$B,TEXT(B136,"0000")&amp;"-"&amp;TEXT(A136,"00"),SL_Income_Log!$C:$C,"salary",SL_Income_Log!$E:$E,"W"),S136*(1-Assumptions!$B$102)-AC136-AB136)
</f>
        <v>4764.5646</v>
      </c>
      <c r="U136" s="32">
        <f>RSU_Schedule!M135</f>
        <v>0</v>
      </c>
      <c r="V136" s="32">
        <f>H136*(1+Assumptions!$B$60)+Assumptions!$B$61</f>
        <v>1783.8698</v>
      </c>
      <c r="W136" s="32">
        <f>P136*(1+Assumptions!$B$60)+Assumptions!$B$61</f>
        <v>1286.3686</v>
      </c>
      <c r="X136" s="32">
        <f t="shared" si="5"/>
        <v>3070.2384</v>
      </c>
      <c r="Y136" s="32">
        <v>0.0</v>
      </c>
      <c r="Z136" s="32">
        <v>0.0</v>
      </c>
      <c r="AA136" s="32">
        <v>0.0</v>
      </c>
      <c r="AB136" s="32">
        <v>0.0</v>
      </c>
      <c r="AC136" s="32">
        <v>0.0</v>
      </c>
      <c r="AD136" s="32">
        <v>0.0</v>
      </c>
      <c r="AE136" s="32">
        <f t="shared" ref="AE136:AF136" si="177">Z136+AC136</f>
        <v>0</v>
      </c>
      <c r="AF136" s="32">
        <f t="shared" si="177"/>
        <v>0</v>
      </c>
      <c r="AG136" s="32">
        <f>IF(COUNTIFS(SL_Income_Log!$B:$B,TEXT(B136,"0000")&amp;"-"&amp;TEXT(A136,"00"),SL_Income_Log!$C:$C,"youtube")&gt;0,SUMIFS(SL_Income_Log!$D:$D,SL_Income_Log!$B:$B,TEXT(B136,"0000")&amp;"-"&amp;TEXT(A136,"00"),SL_Income_Log!$C:$C,"youtube"),MIN(Assumptions!$B$49+FLOOR((ROW()-2)/6,1)*Assumptions!$B$50,Assumptions!$B$51))
</f>
        <v>20000</v>
      </c>
      <c r="AH136" s="32">
        <f>AG136*Assumptions!$B$104</f>
        <v>8860</v>
      </c>
      <c r="AI136" s="32">
        <f t="shared" si="7"/>
        <v>11140</v>
      </c>
      <c r="AJ136" s="32">
        <f>SUMIFS(SL_Income_Log!$D:$D,SL_Income_Log!$B:$B,TEXT(B136,"0000")&amp;"-"&amp;TEXT(A136,"00"),SL_Income_Log!$C:$C,"other")</f>
        <v>0</v>
      </c>
      <c r="AK136" s="32">
        <f t="shared" si="27"/>
        <v>10000</v>
      </c>
      <c r="AL136" s="32">
        <f>L136+M136+T136+U136+AI136+AJ136-Y136-Z136-AB136-AC136+IF((Debt_Register!$C$2+Debt_Register!$C$6+Debt_Register!$C$7+Debt_Register!$C$8+Debt_Register!$C$9)&gt;5,X136,0)</f>
        <v>25658.3008</v>
      </c>
      <c r="AM136" s="32">
        <f t="shared" si="8"/>
        <v>35658.3008</v>
      </c>
      <c r="AN136" s="32">
        <f>MAX(Assumptions!$B$94,MIN(Assumptions!$B$93,AM136-AP136-BE136-BO136-BQ136))</f>
        <v>10000</v>
      </c>
      <c r="AO136" s="32">
        <v>0.0</v>
      </c>
      <c r="AP136" s="32">
        <v>0.0</v>
      </c>
      <c r="AQ136" s="32">
        <v>0.0</v>
      </c>
      <c r="AR136" s="32">
        <v>0.0</v>
      </c>
      <c r="AS136" s="32">
        <v>0.0</v>
      </c>
      <c r="AT136" s="32">
        <v>0.0</v>
      </c>
      <c r="AU136" s="32">
        <f t="shared" si="30"/>
        <v>0</v>
      </c>
      <c r="AV136" s="32">
        <f t="shared" si="31"/>
        <v>0</v>
      </c>
      <c r="AW136" s="32">
        <f t="shared" si="32"/>
        <v>0</v>
      </c>
      <c r="AX136" s="32">
        <f t="shared" si="33"/>
        <v>0</v>
      </c>
      <c r="AY136" s="32">
        <f t="shared" si="34"/>
        <v>0</v>
      </c>
      <c r="AZ136" s="32">
        <f t="shared" si="35"/>
        <v>0</v>
      </c>
      <c r="BA136" s="32">
        <f t="shared" si="36"/>
        <v>0</v>
      </c>
      <c r="BB136" s="32">
        <f t="shared" si="37"/>
        <v>0</v>
      </c>
      <c r="BC136" s="32">
        <f t="shared" si="38"/>
        <v>0</v>
      </c>
      <c r="BD136" s="32">
        <f t="shared" si="39"/>
        <v>0</v>
      </c>
      <c r="BE136" s="32">
        <f t="shared" si="11"/>
        <v>0</v>
      </c>
      <c r="BF136" s="32">
        <v>0.0</v>
      </c>
      <c r="BG136" s="32">
        <f t="shared" si="40"/>
        <v>5500</v>
      </c>
      <c r="BH136" s="32">
        <v>0.0</v>
      </c>
      <c r="BI136" s="32">
        <f t="shared" si="41"/>
        <v>5000</v>
      </c>
      <c r="BJ136" s="32">
        <f>IF(OR(B136&lt;Assumptions!$B$111,AND(B136=Assumptions!$B$111,A136&lt;=Assumptions!$B$112)),Assumptions!$B$110,0)</f>
        <v>0</v>
      </c>
      <c r="BK136" s="32">
        <f>IF(B136&lt;2027,Assumptions!$B$116+IF(OR(A136=4,A136=10),Assumptions!$B$117,0),IF(AND(B136=2027,A136&lt;=4),IF(A136=4,MIN(950,Assumptions!$B$116+Assumptions!$B$117),Assumptions!$B$116),0))</f>
        <v>0</v>
      </c>
      <c r="BL136" s="32">
        <f>IF(OR(B136&lt;2030,AND(B136=2030,A136&lt;8)),Assumptions!$B$118,IF(AND(B136=2030,A136=8),MOD(11000,200),0))</f>
        <v>0</v>
      </c>
      <c r="BM136" s="32">
        <f>IF(OR(B136&lt;Assumptions!$B$120,AND(B136=Assumptions!$B$120,A136&lt;=Assumptions!$B$121)),Assumptions!$B$119,0)</f>
        <v>0</v>
      </c>
      <c r="BN136" s="32">
        <f>IF(AND(B136&lt;=Assumptions!$B$123,A136&lt;=Assumptions!$B$124),Assumptions!$B$122,0)</f>
        <v>0</v>
      </c>
      <c r="BO136" s="32">
        <f t="shared" si="12"/>
        <v>0</v>
      </c>
      <c r="BP136" s="32">
        <f>SUMIFS(SL_Budget!$B:$B,SL_Budget!$C:$C,"'"&amp;TEXT(DATE(B136,A136,1),"YYYY-MM"))</f>
        <v>5687</v>
      </c>
      <c r="BQ136" s="32">
        <f>MAX(BP136, IFERROR(SUMIFS(ShadowLedger!D:D, 
  ShadowLedger!C:C, "&gt;="&amp;DATE(B136,A136,1), 
  ShadowLedger!C:C, "&lt;"&amp;EOMONTH(DATE(B136,A136,1),0)+1), 0))
</f>
        <v>5687</v>
      </c>
      <c r="BR136" s="32">
        <f t="shared" si="42"/>
        <v>2322703.853</v>
      </c>
      <c r="BS136" s="32">
        <f t="shared" si="43"/>
        <v>3070.2384</v>
      </c>
      <c r="BT136" s="32">
        <f>IF(BY135&gt;=Assumptions!$B$92,MAX(0,(AM136-BE136-BO136-BQ136)-Assumptions!$B$93),MAX(0,(AM136-BE136-BO136-BQ136)-Assumptions!$B$93)*Assumptions!$B$99)</f>
        <v>19971.3008</v>
      </c>
      <c r="BU136" s="32">
        <f>(BR136+BS136+MAX(0,BT136))*(Assumptions!$B$43-1)</f>
        <v>15993.29208</v>
      </c>
      <c r="BV136" s="32">
        <f t="shared" si="13"/>
        <v>2361738.684</v>
      </c>
      <c r="BW136" s="32">
        <f t="shared" si="44"/>
        <v>15476.04728</v>
      </c>
      <c r="BX136" s="32">
        <f>IF(BY135&lt;Assumptions!$B$92,MAX(0,(AM136-BE136-BO136-BQ136)-Assumptions!$B$93)*Assumptions!$B$98,0)</f>
        <v>0</v>
      </c>
      <c r="BY136" s="32">
        <f t="shared" si="14"/>
        <v>15476.04728</v>
      </c>
      <c r="BZ136" s="32">
        <f t="shared" si="45"/>
        <v>17720</v>
      </c>
      <c r="CA136" s="32">
        <f t="shared" si="15"/>
        <v>8860</v>
      </c>
      <c r="CB136" s="32">
        <f t="shared" si="16"/>
        <v>26580</v>
      </c>
      <c r="CC136" s="55">
        <f>CC135+(G136+J136)/(Salary_Schedule!E136*12/208)</f>
        <v>1839.048992</v>
      </c>
      <c r="CD136" s="55">
        <f>CD135+(O136+R136)/(Salary_Schedule!G136*12/208)</f>
        <v>172.6838623</v>
      </c>
      <c r="CE136" s="32">
        <f t="shared" si="17"/>
        <v>2361738.684</v>
      </c>
      <c r="CF136" s="32">
        <f>Assumptions!$B$55*(1+Assumptions!$B$56)^((B136-2025)+(A136-1)/12)</f>
        <v>623266.1265</v>
      </c>
      <c r="CG136" s="32">
        <f t="shared" si="18"/>
        <v>0</v>
      </c>
      <c r="CH136" s="32">
        <f t="shared" si="19"/>
        <v>-10500</v>
      </c>
      <c r="CI136" s="32">
        <f>CC136*(Salary_Schedule!E136/173.33)*(1-Assumptions!$B$28)+CD136*(Salary_Schedule!G136/173.33)*(1-Assumptions!$B$28)</f>
        <v>92747.97286</v>
      </c>
      <c r="CJ136" s="32">
        <f t="shared" si="20"/>
        <v>3067252.783</v>
      </c>
    </row>
    <row r="137" ht="15.0" customHeight="1">
      <c r="A137" s="1">
        <v>4.0</v>
      </c>
      <c r="B137" s="1">
        <v>2037.0</v>
      </c>
      <c r="C137" s="1" t="s">
        <v>806</v>
      </c>
      <c r="D137" s="1" t="str">
        <f t="shared" si="21"/>
        <v>03/2037</v>
      </c>
      <c r="E137" s="1" t="str">
        <f t="shared" si="2"/>
        <v>FAT_BONUS</v>
      </c>
      <c r="F137" s="32">
        <f>Salary_Schedule!E137</f>
        <v>12599.07</v>
      </c>
      <c r="G137" s="32">
        <f>Assumptions!$B$8</f>
        <v>200</v>
      </c>
      <c r="H137" s="32">
        <f>F137*Assumptions!$B$58</f>
        <v>1259.907</v>
      </c>
      <c r="I137" s="32">
        <f>Salary_Schedule!F137</f>
        <v>16797.24</v>
      </c>
      <c r="J137" s="32">
        <f>I137*Assumptions!$B$9</f>
        <v>5879.034</v>
      </c>
      <c r="K137" s="54">
        <f t="shared" si="3"/>
        <v>22057.369</v>
      </c>
      <c r="L137" s="32">
        <f>IF(COUNTIFS(SL_Income_Log!$B:$B,TEXT(B137,"0000")&amp;"-"&amp;TEXT(A137,"00"),SL_Income_Log!$C:$C,"salary",SL_Income_Log!$E:$E,"H")&gt;0,SUMIFS(SL_Income_Log!$D:$D,SL_Income_Log!$B:$B,TEXT(B137,"0000")&amp;"-"&amp;TEXT(A137,"00"),SL_Income_Log!$C:$C,"salary",SL_Income_Log!$E:$E,"H"),K137*(1-Assumptions!$B$102)-Z137-Y137)</f>
        <v>13234.4214</v>
      </c>
      <c r="M137" s="32">
        <f>RSU_Schedule!H136</f>
        <v>2784.99</v>
      </c>
      <c r="N137" s="32">
        <f>Salary_Schedule!G137</f>
        <v>9045.49</v>
      </c>
      <c r="O137" s="32">
        <f>Assumptions!$B$19</f>
        <v>200</v>
      </c>
      <c r="P137" s="32">
        <f>N137*Assumptions!$B$59</f>
        <v>904.549</v>
      </c>
      <c r="Q137" s="32">
        <f>Salary_Schedule!H137</f>
        <v>12060.81</v>
      </c>
      <c r="R137" s="32">
        <f>Q137*Assumptions!$B$20</f>
        <v>4221.2835</v>
      </c>
      <c r="S137" s="54">
        <f t="shared" si="4"/>
        <v>15780.4675</v>
      </c>
      <c r="T137" s="32">
        <f>IF(COUNTIFS(SL_Income_Log!$B:$B,TEXT(B137,"0000")&amp;"-"&amp;TEXT(A137,"00"),SL_Income_Log!$C:$C,"salary",SL_Income_Log!$E:$E,"W")&gt;0,SUMIFS(SL_Income_Log!$D:$D,SL_Income_Log!$B:$B,TEXT(B137,"0000")&amp;"-"&amp;TEXT(A137,"00"),SL_Income_Log!$C:$C,"salary",SL_Income_Log!$E:$E,"W"),S137*(1-Assumptions!$B$102)-AC137-AB137)
</f>
        <v>9468.2805</v>
      </c>
      <c r="U137" s="32">
        <f>RSU_Schedule!M136</f>
        <v>1392.51</v>
      </c>
      <c r="V137" s="32">
        <f>H137*(1+Assumptions!$B$60)+Assumptions!$B$61</f>
        <v>1783.8698</v>
      </c>
      <c r="W137" s="32">
        <f>P137*(1+Assumptions!$B$60)+Assumptions!$B$61</f>
        <v>1286.3686</v>
      </c>
      <c r="X137" s="32">
        <f t="shared" si="5"/>
        <v>3070.2384</v>
      </c>
      <c r="Y137" s="32">
        <v>0.0</v>
      </c>
      <c r="Z137" s="32">
        <v>0.0</v>
      </c>
      <c r="AA137" s="32">
        <v>0.0</v>
      </c>
      <c r="AB137" s="32">
        <v>0.0</v>
      </c>
      <c r="AC137" s="32">
        <v>0.0</v>
      </c>
      <c r="AD137" s="32">
        <v>0.0</v>
      </c>
      <c r="AE137" s="32">
        <f t="shared" ref="AE137:AF137" si="178">Z137+AC137</f>
        <v>0</v>
      </c>
      <c r="AF137" s="32">
        <f t="shared" si="178"/>
        <v>0</v>
      </c>
      <c r="AG137" s="32">
        <f>IF(COUNTIFS(SL_Income_Log!$B:$B,TEXT(B137,"0000")&amp;"-"&amp;TEXT(A137,"00"),SL_Income_Log!$C:$C,"youtube")&gt;0,SUMIFS(SL_Income_Log!$D:$D,SL_Income_Log!$B:$B,TEXT(B137,"0000")&amp;"-"&amp;TEXT(A137,"00"),SL_Income_Log!$C:$C,"youtube"),MIN(Assumptions!$B$49+FLOOR((ROW()-2)/6,1)*Assumptions!$B$50,Assumptions!$B$51))
</f>
        <v>20000</v>
      </c>
      <c r="AH137" s="32">
        <f>AG137*Assumptions!$B$104</f>
        <v>8860</v>
      </c>
      <c r="AI137" s="32">
        <f t="shared" si="7"/>
        <v>11140</v>
      </c>
      <c r="AJ137" s="32">
        <f>SUMIFS(SL_Income_Log!$D:$D,SL_Income_Log!$B:$B,TEXT(B137,"0000")&amp;"-"&amp;TEXT(A137,"00"),SL_Income_Log!$C:$C,"other")</f>
        <v>0</v>
      </c>
      <c r="AK137" s="32">
        <f t="shared" si="27"/>
        <v>10000</v>
      </c>
      <c r="AL137" s="32">
        <f>L137+M137+T137+U137+AI137+AJ137-Y137-Z137-AB137-AC137+IF((Debt_Register!$C$2+Debt_Register!$C$6+Debt_Register!$C$7+Debt_Register!$C$8+Debt_Register!$C$9)&gt;5,X137,0)</f>
        <v>41090.4403</v>
      </c>
      <c r="AM137" s="32">
        <f t="shared" si="8"/>
        <v>51090.4403</v>
      </c>
      <c r="AN137" s="32">
        <f>MAX(Assumptions!$B$94,MIN(Assumptions!$B$93,AM137-AP137-BE137-BO137-BQ137))</f>
        <v>10000</v>
      </c>
      <c r="AO137" s="32">
        <v>0.0</v>
      </c>
      <c r="AP137" s="32">
        <v>0.0</v>
      </c>
      <c r="AQ137" s="32">
        <v>0.0</v>
      </c>
      <c r="AR137" s="32">
        <v>0.0</v>
      </c>
      <c r="AS137" s="32">
        <v>0.0</v>
      </c>
      <c r="AT137" s="32">
        <v>0.0</v>
      </c>
      <c r="AU137" s="32">
        <f t="shared" si="30"/>
        <v>0</v>
      </c>
      <c r="AV137" s="32">
        <f t="shared" si="31"/>
        <v>0</v>
      </c>
      <c r="AW137" s="32">
        <f t="shared" si="32"/>
        <v>0</v>
      </c>
      <c r="AX137" s="32">
        <f t="shared" si="33"/>
        <v>0</v>
      </c>
      <c r="AY137" s="32">
        <f t="shared" si="34"/>
        <v>0</v>
      </c>
      <c r="AZ137" s="32">
        <f t="shared" si="35"/>
        <v>0</v>
      </c>
      <c r="BA137" s="32">
        <f t="shared" si="36"/>
        <v>0</v>
      </c>
      <c r="BB137" s="32">
        <f t="shared" si="37"/>
        <v>0</v>
      </c>
      <c r="BC137" s="32">
        <f t="shared" si="38"/>
        <v>0</v>
      </c>
      <c r="BD137" s="32">
        <f t="shared" si="39"/>
        <v>0</v>
      </c>
      <c r="BE137" s="32">
        <f t="shared" si="11"/>
        <v>0</v>
      </c>
      <c r="BF137" s="32">
        <v>0.0</v>
      </c>
      <c r="BG137" s="32">
        <f t="shared" si="40"/>
        <v>5500</v>
      </c>
      <c r="BH137" s="32">
        <v>0.0</v>
      </c>
      <c r="BI137" s="32">
        <f t="shared" si="41"/>
        <v>5000</v>
      </c>
      <c r="BJ137" s="32">
        <f>IF(OR(B137&lt;Assumptions!$B$111,AND(B137=Assumptions!$B$111,A137&lt;=Assumptions!$B$112)),Assumptions!$B$110,0)</f>
        <v>0</v>
      </c>
      <c r="BK137" s="32">
        <f>IF(B137&lt;2027,Assumptions!$B$116+IF(OR(A137=4,A137=10),Assumptions!$B$117,0),IF(AND(B137=2027,A137&lt;=4),IF(A137=4,MIN(950,Assumptions!$B$116+Assumptions!$B$117),Assumptions!$B$116),0))</f>
        <v>0</v>
      </c>
      <c r="BL137" s="32">
        <f>IF(OR(B137&lt;2030,AND(B137=2030,A137&lt;8)),Assumptions!$B$118,IF(AND(B137=2030,A137=8),MOD(11000,200),0))</f>
        <v>0</v>
      </c>
      <c r="BM137" s="32">
        <f>IF(OR(B137&lt;Assumptions!$B$120,AND(B137=Assumptions!$B$120,A137&lt;=Assumptions!$B$121)),Assumptions!$B$119,0)</f>
        <v>0</v>
      </c>
      <c r="BN137" s="32">
        <f>IF(AND(B137&lt;=Assumptions!$B$123,A137&lt;=Assumptions!$B$124),Assumptions!$B$122,0)</f>
        <v>0</v>
      </c>
      <c r="BO137" s="32">
        <f t="shared" si="12"/>
        <v>0</v>
      </c>
      <c r="BP137" s="32">
        <f>SUMIFS(SL_Budget!$B:$B,SL_Budget!$C:$C,"'"&amp;TEXT(DATE(B137,A137,1),"YYYY-MM"))</f>
        <v>5687</v>
      </c>
      <c r="BQ137" s="32">
        <f>MAX(BP137, IFERROR(SUMIFS(ShadowLedger!D:D, 
  ShadowLedger!C:C, "&gt;="&amp;DATE(B137,A137,1), 
  ShadowLedger!C:C, "&lt;"&amp;EOMONTH(DATE(B137,A137,1),0)+1), 0))
</f>
        <v>5687</v>
      </c>
      <c r="BR137" s="32">
        <f t="shared" si="42"/>
        <v>2361738.684</v>
      </c>
      <c r="BS137" s="32">
        <f t="shared" si="43"/>
        <v>3070.2384</v>
      </c>
      <c r="BT137" s="32">
        <f>IF(BY136&gt;=Assumptions!$B$92,MAX(0,(AM137-BE137-BO137-BQ137)-Assumptions!$B$93),MAX(0,(AM137-BE137-BO137-BQ137)-Assumptions!$B$93)*Assumptions!$B$99)</f>
        <v>35403.4403</v>
      </c>
      <c r="BU137" s="32">
        <f>(BR137+BS137+MAX(0,BT137))*(Assumptions!$B$43-1)</f>
        <v>16364.64789</v>
      </c>
      <c r="BV137" s="32">
        <f t="shared" si="13"/>
        <v>2416577.011</v>
      </c>
      <c r="BW137" s="32">
        <f t="shared" si="44"/>
        <v>15476.04728</v>
      </c>
      <c r="BX137" s="32">
        <f>IF(BY136&lt;Assumptions!$B$92,MAX(0,(AM137-BE137-BO137-BQ137)-Assumptions!$B$93)*Assumptions!$B$98,0)</f>
        <v>0</v>
      </c>
      <c r="BY137" s="32">
        <f t="shared" si="14"/>
        <v>15476.04728</v>
      </c>
      <c r="BZ137" s="32">
        <f t="shared" si="45"/>
        <v>26580</v>
      </c>
      <c r="CA137" s="32">
        <f t="shared" si="15"/>
        <v>8860</v>
      </c>
      <c r="CB137" s="32">
        <f t="shared" si="16"/>
        <v>35440</v>
      </c>
      <c r="CC137" s="55">
        <f>CC136+(G137+J137)/(Salary_Schedule!E137*12/208)</f>
        <v>1847.412301</v>
      </c>
      <c r="CD137" s="55">
        <f>CD136+(O137+R137)/(Salary_Schedule!G137*12/208)</f>
        <v>181.1561043</v>
      </c>
      <c r="CE137" s="32">
        <f t="shared" si="17"/>
        <v>2416577.011</v>
      </c>
      <c r="CF137" s="32">
        <f>Assumptions!$B$55*(1+Assumptions!$B$56)^((B137-2025)+(A137-1)/12)</f>
        <v>624039.9037</v>
      </c>
      <c r="CG137" s="32">
        <f t="shared" si="18"/>
        <v>0</v>
      </c>
      <c r="CH137" s="32">
        <f t="shared" si="19"/>
        <v>-10500</v>
      </c>
      <c r="CI137" s="32">
        <f>CC137*(Salary_Schedule!E137/173.33)*(1-Assumptions!$B$28)+CD137*(Salary_Schedule!G137/173.33)*(1-Assumptions!$B$28)</f>
        <v>93430.50662</v>
      </c>
      <c r="CJ137" s="32">
        <f t="shared" si="20"/>
        <v>3123547.421</v>
      </c>
    </row>
    <row r="138" ht="15.0" customHeight="1">
      <c r="A138" s="1">
        <v>5.0</v>
      </c>
      <c r="B138" s="1">
        <v>2037.0</v>
      </c>
      <c r="C138" s="1" t="s">
        <v>807</v>
      </c>
      <c r="D138" s="1" t="str">
        <f t="shared" si="21"/>
        <v>04/2037</v>
      </c>
      <c r="E138" s="1" t="str">
        <f t="shared" si="2"/>
        <v>LEAN</v>
      </c>
      <c r="F138" s="32">
        <f>Salary_Schedule!E138</f>
        <v>12599.07</v>
      </c>
      <c r="G138" s="32">
        <f>Assumptions!$B$8</f>
        <v>200</v>
      </c>
      <c r="H138" s="32">
        <f>F138*Assumptions!$B$58</f>
        <v>1259.907</v>
      </c>
      <c r="I138" s="32">
        <f>Salary_Schedule!F138</f>
        <v>0</v>
      </c>
      <c r="J138" s="32">
        <f>I138*Assumptions!$B$9</f>
        <v>0</v>
      </c>
      <c r="K138" s="54">
        <f t="shared" si="3"/>
        <v>11139.163</v>
      </c>
      <c r="L138" s="32">
        <f>IF(COUNTIFS(SL_Income_Log!$B:$B,TEXT(B138,"0000")&amp;"-"&amp;TEXT(A138,"00"),SL_Income_Log!$C:$C,"salary",SL_Income_Log!$E:$E,"H")&gt;0,SUMIFS(SL_Income_Log!$D:$D,SL_Income_Log!$B:$B,TEXT(B138,"0000")&amp;"-"&amp;TEXT(A138,"00"),SL_Income_Log!$C:$C,"salary",SL_Income_Log!$E:$E,"H"),K138*(1-Assumptions!$B$102)-Z138-Y138)</f>
        <v>6683.4978</v>
      </c>
      <c r="M138" s="32">
        <f>RSU_Schedule!H137</f>
        <v>0</v>
      </c>
      <c r="N138" s="32">
        <f>Salary_Schedule!G138</f>
        <v>9045.49</v>
      </c>
      <c r="O138" s="32">
        <f>Assumptions!$B$19</f>
        <v>200</v>
      </c>
      <c r="P138" s="32">
        <f>N138*Assumptions!$B$59</f>
        <v>904.549</v>
      </c>
      <c r="Q138" s="32">
        <f>Salary_Schedule!H138</f>
        <v>0</v>
      </c>
      <c r="R138" s="32">
        <f>Q138*Assumptions!$B$20</f>
        <v>0</v>
      </c>
      <c r="S138" s="54">
        <f t="shared" si="4"/>
        <v>7940.941</v>
      </c>
      <c r="T138" s="32">
        <f>IF(COUNTIFS(SL_Income_Log!$B:$B,TEXT(B138,"0000")&amp;"-"&amp;TEXT(A138,"00"),SL_Income_Log!$C:$C,"salary",SL_Income_Log!$E:$E,"W")&gt;0,SUMIFS(SL_Income_Log!$D:$D,SL_Income_Log!$B:$B,TEXT(B138,"0000")&amp;"-"&amp;TEXT(A138,"00"),SL_Income_Log!$C:$C,"salary",SL_Income_Log!$E:$E,"W"),S138*(1-Assumptions!$B$102)-AC138-AB138)
</f>
        <v>4764.5646</v>
      </c>
      <c r="U138" s="32">
        <f>RSU_Schedule!M137</f>
        <v>0</v>
      </c>
      <c r="V138" s="32">
        <f>H138*(1+Assumptions!$B$60)+Assumptions!$B$61</f>
        <v>1783.8698</v>
      </c>
      <c r="W138" s="32">
        <f>P138*(1+Assumptions!$B$60)+Assumptions!$B$61</f>
        <v>1286.3686</v>
      </c>
      <c r="X138" s="32">
        <f t="shared" si="5"/>
        <v>3070.2384</v>
      </c>
      <c r="Y138" s="32">
        <v>0.0</v>
      </c>
      <c r="Z138" s="32">
        <v>0.0</v>
      </c>
      <c r="AA138" s="32">
        <v>0.0</v>
      </c>
      <c r="AB138" s="32">
        <v>0.0</v>
      </c>
      <c r="AC138" s="32">
        <v>0.0</v>
      </c>
      <c r="AD138" s="32">
        <v>0.0</v>
      </c>
      <c r="AE138" s="32">
        <f t="shared" ref="AE138:AF138" si="179">Z138+AC138</f>
        <v>0</v>
      </c>
      <c r="AF138" s="32">
        <f t="shared" si="179"/>
        <v>0</v>
      </c>
      <c r="AG138" s="32">
        <f>IF(COUNTIFS(SL_Income_Log!$B:$B,TEXT(B138,"0000")&amp;"-"&amp;TEXT(A138,"00"),SL_Income_Log!$C:$C,"youtube")&gt;0,SUMIFS(SL_Income_Log!$D:$D,SL_Income_Log!$B:$B,TEXT(B138,"0000")&amp;"-"&amp;TEXT(A138,"00"),SL_Income_Log!$C:$C,"youtube"),MIN(Assumptions!$B$49+FLOOR((ROW()-2)/6,1)*Assumptions!$B$50,Assumptions!$B$51))
</f>
        <v>20000</v>
      </c>
      <c r="AH138" s="32">
        <f>AG138*Assumptions!$B$104</f>
        <v>8860</v>
      </c>
      <c r="AI138" s="32">
        <f t="shared" si="7"/>
        <v>11140</v>
      </c>
      <c r="AJ138" s="32">
        <f>SUMIFS(SL_Income_Log!$D:$D,SL_Income_Log!$B:$B,TEXT(B138,"0000")&amp;"-"&amp;TEXT(A138,"00"),SL_Income_Log!$C:$C,"other")</f>
        <v>0</v>
      </c>
      <c r="AK138" s="32">
        <f t="shared" si="27"/>
        <v>10000</v>
      </c>
      <c r="AL138" s="32">
        <f>L138+M138+T138+U138+AI138+AJ138-Y138-Z138-AB138-AC138+IF((Debt_Register!$C$2+Debt_Register!$C$6+Debt_Register!$C$7+Debt_Register!$C$8+Debt_Register!$C$9)&gt;5,X138,0)</f>
        <v>25658.3008</v>
      </c>
      <c r="AM138" s="32">
        <f t="shared" si="8"/>
        <v>35658.3008</v>
      </c>
      <c r="AN138" s="32">
        <f>MAX(Assumptions!$B$94,MIN(Assumptions!$B$93,AM138-AP138-BE138-BO138-BQ138))</f>
        <v>10000</v>
      </c>
      <c r="AO138" s="32">
        <v>0.0</v>
      </c>
      <c r="AP138" s="32">
        <v>0.0</v>
      </c>
      <c r="AQ138" s="32">
        <v>0.0</v>
      </c>
      <c r="AR138" s="32">
        <v>0.0</v>
      </c>
      <c r="AS138" s="32">
        <v>0.0</v>
      </c>
      <c r="AT138" s="32">
        <v>0.0</v>
      </c>
      <c r="AU138" s="32">
        <f t="shared" si="30"/>
        <v>0</v>
      </c>
      <c r="AV138" s="32">
        <f t="shared" si="31"/>
        <v>0</v>
      </c>
      <c r="AW138" s="32">
        <f t="shared" si="32"/>
        <v>0</v>
      </c>
      <c r="AX138" s="32">
        <f t="shared" si="33"/>
        <v>0</v>
      </c>
      <c r="AY138" s="32">
        <f t="shared" si="34"/>
        <v>0</v>
      </c>
      <c r="AZ138" s="32">
        <f t="shared" si="35"/>
        <v>0</v>
      </c>
      <c r="BA138" s="32">
        <f t="shared" si="36"/>
        <v>0</v>
      </c>
      <c r="BB138" s="32">
        <f t="shared" si="37"/>
        <v>0</v>
      </c>
      <c r="BC138" s="32">
        <f t="shared" si="38"/>
        <v>0</v>
      </c>
      <c r="BD138" s="32">
        <f t="shared" si="39"/>
        <v>0</v>
      </c>
      <c r="BE138" s="32">
        <f t="shared" si="11"/>
        <v>0</v>
      </c>
      <c r="BF138" s="32">
        <v>0.0</v>
      </c>
      <c r="BG138" s="32">
        <f t="shared" si="40"/>
        <v>5500</v>
      </c>
      <c r="BH138" s="32">
        <v>0.0</v>
      </c>
      <c r="BI138" s="32">
        <f t="shared" si="41"/>
        <v>5000</v>
      </c>
      <c r="BJ138" s="32">
        <f>IF(OR(B138&lt;Assumptions!$B$111,AND(B138=Assumptions!$B$111,A138&lt;=Assumptions!$B$112)),Assumptions!$B$110,0)</f>
        <v>0</v>
      </c>
      <c r="BK138" s="32">
        <f>IF(B138&lt;2027,Assumptions!$B$116+IF(OR(A138=4,A138=10),Assumptions!$B$117,0),IF(AND(B138=2027,A138&lt;=4),IF(A138=4,MIN(950,Assumptions!$B$116+Assumptions!$B$117),Assumptions!$B$116),0))</f>
        <v>0</v>
      </c>
      <c r="BL138" s="32">
        <f>IF(OR(B138&lt;2030,AND(B138=2030,A138&lt;8)),Assumptions!$B$118,IF(AND(B138=2030,A138=8),MOD(11000,200),0))</f>
        <v>0</v>
      </c>
      <c r="BM138" s="32">
        <f>IF(OR(B138&lt;Assumptions!$B$120,AND(B138=Assumptions!$B$120,A138&lt;=Assumptions!$B$121)),Assumptions!$B$119,0)</f>
        <v>0</v>
      </c>
      <c r="BN138" s="32">
        <f>IF(AND(B138&lt;=Assumptions!$B$123,A138&lt;=Assumptions!$B$124),Assumptions!$B$122,0)</f>
        <v>0</v>
      </c>
      <c r="BO138" s="32">
        <f t="shared" si="12"/>
        <v>0</v>
      </c>
      <c r="BP138" s="32">
        <f>SUMIFS(SL_Budget!$B:$B,SL_Budget!$C:$C,"'"&amp;TEXT(DATE(B138,A138,1),"YYYY-MM"))</f>
        <v>5687</v>
      </c>
      <c r="BQ138" s="32">
        <f>MAX(BP138, IFERROR(SUMIFS(ShadowLedger!D:D, 
  ShadowLedger!C:C, "&gt;="&amp;DATE(B138,A138,1), 
  ShadowLedger!C:C, "&lt;"&amp;EOMONTH(DATE(B138,A138,1),0)+1), 0))
</f>
        <v>5687</v>
      </c>
      <c r="BR138" s="32">
        <f t="shared" si="42"/>
        <v>2416577.011</v>
      </c>
      <c r="BS138" s="32">
        <f t="shared" si="43"/>
        <v>3070.2384</v>
      </c>
      <c r="BT138" s="32">
        <f>IF(BY137&gt;=Assumptions!$B$92,MAX(0,(AM138-BE138-BO138-BQ138)-Assumptions!$B$93),MAX(0,(AM138-BE138-BO138-BQ138)-Assumptions!$B$93)*Assumptions!$B$99)</f>
        <v>19971.3008</v>
      </c>
      <c r="BU138" s="32">
        <f>(BR138+BS138+MAX(0,BT138))*(Assumptions!$B$43-1)</f>
        <v>16633.31927</v>
      </c>
      <c r="BV138" s="32">
        <f t="shared" si="13"/>
        <v>2456251.869</v>
      </c>
      <c r="BW138" s="32">
        <f t="shared" si="44"/>
        <v>15476.04728</v>
      </c>
      <c r="BX138" s="32">
        <f>IF(BY137&lt;Assumptions!$B$92,MAX(0,(AM138-BE138-BO138-BQ138)-Assumptions!$B$93)*Assumptions!$B$98,0)</f>
        <v>0</v>
      </c>
      <c r="BY138" s="32">
        <f t="shared" si="14"/>
        <v>15476.04728</v>
      </c>
      <c r="BZ138" s="32">
        <f t="shared" si="45"/>
        <v>35440</v>
      </c>
      <c r="CA138" s="32">
        <f t="shared" si="15"/>
        <v>8860</v>
      </c>
      <c r="CB138" s="32">
        <f t="shared" si="16"/>
        <v>44300</v>
      </c>
      <c r="CC138" s="55">
        <f>CC137+(G138+J138)/(Salary_Schedule!E138*12/208)</f>
        <v>1847.687454</v>
      </c>
      <c r="CD138" s="55">
        <f>CD137+(O138+R138)/(Salary_Schedule!G138*12/208)</f>
        <v>181.5393524</v>
      </c>
      <c r="CE138" s="32">
        <f t="shared" si="17"/>
        <v>2456251.869</v>
      </c>
      <c r="CF138" s="32">
        <f>Assumptions!$B$55*(1+Assumptions!$B$56)^((B138-2025)+(A138-1)/12)</f>
        <v>624814.6416</v>
      </c>
      <c r="CG138" s="32">
        <f t="shared" si="18"/>
        <v>0</v>
      </c>
      <c r="CH138" s="32">
        <f t="shared" si="19"/>
        <v>-10500</v>
      </c>
      <c r="CI138" s="32">
        <f>CC138*(Salary_Schedule!E138/173.33)*(1-Assumptions!$B$28)+CD138*(Salary_Schedule!G138/173.33)*(1-Assumptions!$B$28)</f>
        <v>93456.50712</v>
      </c>
      <c r="CJ138" s="32">
        <f t="shared" si="20"/>
        <v>3164023.018</v>
      </c>
    </row>
    <row r="139" ht="15.0" customHeight="1">
      <c r="A139" s="1">
        <v>6.0</v>
      </c>
      <c r="B139" s="1">
        <v>2037.0</v>
      </c>
      <c r="C139" s="1" t="s">
        <v>808</v>
      </c>
      <c r="D139" s="1" t="str">
        <f t="shared" si="21"/>
        <v>05/2037</v>
      </c>
      <c r="E139" s="1" t="str">
        <f t="shared" si="2"/>
        <v>LEAN</v>
      </c>
      <c r="F139" s="32">
        <f>Salary_Schedule!E139</f>
        <v>12599.07</v>
      </c>
      <c r="G139" s="32">
        <f>Assumptions!$B$8</f>
        <v>200</v>
      </c>
      <c r="H139" s="32">
        <f>F139*Assumptions!$B$58</f>
        <v>1259.907</v>
      </c>
      <c r="I139" s="32">
        <f>Salary_Schedule!F139</f>
        <v>0</v>
      </c>
      <c r="J139" s="32">
        <f>I139*Assumptions!$B$9</f>
        <v>0</v>
      </c>
      <c r="K139" s="54">
        <f t="shared" si="3"/>
        <v>11139.163</v>
      </c>
      <c r="L139" s="32">
        <f>IF(COUNTIFS(SL_Income_Log!$B:$B,TEXT(B139,"0000")&amp;"-"&amp;TEXT(A139,"00"),SL_Income_Log!$C:$C,"salary",SL_Income_Log!$E:$E,"H")&gt;0,SUMIFS(SL_Income_Log!$D:$D,SL_Income_Log!$B:$B,TEXT(B139,"0000")&amp;"-"&amp;TEXT(A139,"00"),SL_Income_Log!$C:$C,"salary",SL_Income_Log!$E:$E,"H"),K139*(1-Assumptions!$B$102)-Z139-Y139)</f>
        <v>6683.4978</v>
      </c>
      <c r="M139" s="32">
        <f>RSU_Schedule!H138</f>
        <v>0</v>
      </c>
      <c r="N139" s="32">
        <f>Salary_Schedule!G139</f>
        <v>9045.49</v>
      </c>
      <c r="O139" s="32">
        <f>Assumptions!$B$19</f>
        <v>200</v>
      </c>
      <c r="P139" s="32">
        <f>N139*Assumptions!$B$59</f>
        <v>904.549</v>
      </c>
      <c r="Q139" s="32">
        <f>Salary_Schedule!H139</f>
        <v>0</v>
      </c>
      <c r="R139" s="32">
        <f>Q139*Assumptions!$B$20</f>
        <v>0</v>
      </c>
      <c r="S139" s="54">
        <f t="shared" si="4"/>
        <v>7940.941</v>
      </c>
      <c r="T139" s="32">
        <f>IF(COUNTIFS(SL_Income_Log!$B:$B,TEXT(B139,"0000")&amp;"-"&amp;TEXT(A139,"00"),SL_Income_Log!$C:$C,"salary",SL_Income_Log!$E:$E,"W")&gt;0,SUMIFS(SL_Income_Log!$D:$D,SL_Income_Log!$B:$B,TEXT(B139,"0000")&amp;"-"&amp;TEXT(A139,"00"),SL_Income_Log!$C:$C,"salary",SL_Income_Log!$E:$E,"W"),S139*(1-Assumptions!$B$102)-AC139-AB139)
</f>
        <v>4764.5646</v>
      </c>
      <c r="U139" s="32">
        <f>RSU_Schedule!M138</f>
        <v>0</v>
      </c>
      <c r="V139" s="32">
        <f>H139*(1+Assumptions!$B$60)+Assumptions!$B$61</f>
        <v>1783.8698</v>
      </c>
      <c r="W139" s="32">
        <f>P139*(1+Assumptions!$B$60)+Assumptions!$B$61</f>
        <v>1286.3686</v>
      </c>
      <c r="X139" s="32">
        <f t="shared" si="5"/>
        <v>3070.2384</v>
      </c>
      <c r="Y139" s="32">
        <v>0.0</v>
      </c>
      <c r="Z139" s="32">
        <v>0.0</v>
      </c>
      <c r="AA139" s="32">
        <v>0.0</v>
      </c>
      <c r="AB139" s="32">
        <v>0.0</v>
      </c>
      <c r="AC139" s="32">
        <v>0.0</v>
      </c>
      <c r="AD139" s="32">
        <v>0.0</v>
      </c>
      <c r="AE139" s="32">
        <f t="shared" ref="AE139:AF139" si="180">Z139+AC139</f>
        <v>0</v>
      </c>
      <c r="AF139" s="32">
        <f t="shared" si="180"/>
        <v>0</v>
      </c>
      <c r="AG139" s="32">
        <f>IF(COUNTIFS(SL_Income_Log!$B:$B,TEXT(B139,"0000")&amp;"-"&amp;TEXT(A139,"00"),SL_Income_Log!$C:$C,"youtube")&gt;0,SUMIFS(SL_Income_Log!$D:$D,SL_Income_Log!$B:$B,TEXT(B139,"0000")&amp;"-"&amp;TEXT(A139,"00"),SL_Income_Log!$C:$C,"youtube"),MIN(Assumptions!$B$49+FLOOR((ROW()-2)/6,1)*Assumptions!$B$50,Assumptions!$B$51))
</f>
        <v>20000</v>
      </c>
      <c r="AH139" s="32">
        <f>AG139*Assumptions!$B$104</f>
        <v>8860</v>
      </c>
      <c r="AI139" s="32">
        <f t="shared" si="7"/>
        <v>11140</v>
      </c>
      <c r="AJ139" s="32">
        <f>SUMIFS(SL_Income_Log!$D:$D,SL_Income_Log!$B:$B,TEXT(B139,"0000")&amp;"-"&amp;TEXT(A139,"00"),SL_Income_Log!$C:$C,"other")</f>
        <v>0</v>
      </c>
      <c r="AK139" s="32">
        <f t="shared" si="27"/>
        <v>10000</v>
      </c>
      <c r="AL139" s="32">
        <f>L139+M139+T139+U139+AI139+AJ139-Y139-Z139-AB139-AC139+IF((Debt_Register!$C$2+Debt_Register!$C$6+Debt_Register!$C$7+Debt_Register!$C$8+Debt_Register!$C$9)&gt;5,X139,0)</f>
        <v>25658.3008</v>
      </c>
      <c r="AM139" s="32">
        <f t="shared" si="8"/>
        <v>35658.3008</v>
      </c>
      <c r="AN139" s="32">
        <f>MAX(Assumptions!$B$94,MIN(Assumptions!$B$93,AM139-AP139-BE139-BO139-BQ139))</f>
        <v>10000</v>
      </c>
      <c r="AO139" s="32">
        <v>0.0</v>
      </c>
      <c r="AP139" s="32">
        <v>0.0</v>
      </c>
      <c r="AQ139" s="32">
        <v>0.0</v>
      </c>
      <c r="AR139" s="32">
        <v>0.0</v>
      </c>
      <c r="AS139" s="32">
        <v>0.0</v>
      </c>
      <c r="AT139" s="32">
        <v>0.0</v>
      </c>
      <c r="AU139" s="32">
        <f t="shared" si="30"/>
        <v>0</v>
      </c>
      <c r="AV139" s="32">
        <f t="shared" si="31"/>
        <v>0</v>
      </c>
      <c r="AW139" s="32">
        <f t="shared" si="32"/>
        <v>0</v>
      </c>
      <c r="AX139" s="32">
        <f t="shared" si="33"/>
        <v>0</v>
      </c>
      <c r="AY139" s="32">
        <f t="shared" si="34"/>
        <v>0</v>
      </c>
      <c r="AZ139" s="32">
        <f t="shared" si="35"/>
        <v>0</v>
      </c>
      <c r="BA139" s="32">
        <f t="shared" si="36"/>
        <v>0</v>
      </c>
      <c r="BB139" s="32">
        <f t="shared" si="37"/>
        <v>0</v>
      </c>
      <c r="BC139" s="32">
        <f t="shared" si="38"/>
        <v>0</v>
      </c>
      <c r="BD139" s="32">
        <f t="shared" si="39"/>
        <v>0</v>
      </c>
      <c r="BE139" s="32">
        <f t="shared" si="11"/>
        <v>0</v>
      </c>
      <c r="BF139" s="32">
        <v>0.0</v>
      </c>
      <c r="BG139" s="32">
        <f t="shared" si="40"/>
        <v>5500</v>
      </c>
      <c r="BH139" s="32">
        <v>0.0</v>
      </c>
      <c r="BI139" s="32">
        <f t="shared" si="41"/>
        <v>5000</v>
      </c>
      <c r="BJ139" s="32">
        <f>IF(OR(B139&lt;Assumptions!$B$111,AND(B139=Assumptions!$B$111,A139&lt;=Assumptions!$B$112)),Assumptions!$B$110,0)</f>
        <v>0</v>
      </c>
      <c r="BK139" s="32">
        <f>IF(B139&lt;2027,Assumptions!$B$116+IF(OR(A139=4,A139=10),Assumptions!$B$117,0),IF(AND(B139=2027,A139&lt;=4),IF(A139=4,MIN(950,Assumptions!$B$116+Assumptions!$B$117),Assumptions!$B$116),0))</f>
        <v>0</v>
      </c>
      <c r="BL139" s="32">
        <f>IF(OR(B139&lt;2030,AND(B139=2030,A139&lt;8)),Assumptions!$B$118,IF(AND(B139=2030,A139=8),MOD(11000,200),0))</f>
        <v>0</v>
      </c>
      <c r="BM139" s="32">
        <f>IF(OR(B139&lt;Assumptions!$B$120,AND(B139=Assumptions!$B$120,A139&lt;=Assumptions!$B$121)),Assumptions!$B$119,0)</f>
        <v>0</v>
      </c>
      <c r="BN139" s="32">
        <f>IF(AND(B139&lt;=Assumptions!$B$123,A139&lt;=Assumptions!$B$124),Assumptions!$B$122,0)</f>
        <v>0</v>
      </c>
      <c r="BO139" s="32">
        <f t="shared" si="12"/>
        <v>0</v>
      </c>
      <c r="BP139" s="32">
        <f>SUMIFS(SL_Budget!$B:$B,SL_Budget!$C:$C,"'"&amp;TEXT(DATE(B139,A139,1),"YYYY-MM"))</f>
        <v>5687</v>
      </c>
      <c r="BQ139" s="32">
        <f>MAX(BP139, IFERROR(SUMIFS(ShadowLedger!D:D, 
  ShadowLedger!C:C, "&gt;="&amp;DATE(B139,A139,1), 
  ShadowLedger!C:C, "&lt;"&amp;EOMONTH(DATE(B139,A139,1),0)+1), 0))
</f>
        <v>5687</v>
      </c>
      <c r="BR139" s="32">
        <f t="shared" si="42"/>
        <v>2456251.869</v>
      </c>
      <c r="BS139" s="32">
        <f t="shared" si="43"/>
        <v>3070.2384</v>
      </c>
      <c r="BT139" s="32">
        <f>IF(BY138&gt;=Assumptions!$B$92,MAX(0,(AM139-BE139-BO139-BQ139)-Assumptions!$B$93),MAX(0,(AM139-BE139-BO139-BQ139)-Assumptions!$B$93)*Assumptions!$B$99)</f>
        <v>19971.3008</v>
      </c>
      <c r="BU139" s="32">
        <f>(BR139+BS139+MAX(0,BT139))*(Assumptions!$B$43-1)</f>
        <v>16903.82246</v>
      </c>
      <c r="BV139" s="32">
        <f t="shared" si="13"/>
        <v>2496197.231</v>
      </c>
      <c r="BW139" s="32">
        <f t="shared" si="44"/>
        <v>15476.04728</v>
      </c>
      <c r="BX139" s="32">
        <f>IF(BY138&lt;Assumptions!$B$92,MAX(0,(AM139-BE139-BO139-BQ139)-Assumptions!$B$93)*Assumptions!$B$98,0)</f>
        <v>0</v>
      </c>
      <c r="BY139" s="32">
        <f t="shared" si="14"/>
        <v>15476.04728</v>
      </c>
      <c r="BZ139" s="32">
        <f t="shared" si="45"/>
        <v>44300</v>
      </c>
      <c r="CA139" s="32">
        <f t="shared" si="15"/>
        <v>8860</v>
      </c>
      <c r="CB139" s="32">
        <f t="shared" si="16"/>
        <v>53160</v>
      </c>
      <c r="CC139" s="55">
        <f>CC138+(G139+J139)/(Salary_Schedule!E139*12/208)</f>
        <v>1847.962607</v>
      </c>
      <c r="CD139" s="55">
        <f>CD138+(O139+R139)/(Salary_Schedule!G139*12/208)</f>
        <v>181.9226005</v>
      </c>
      <c r="CE139" s="32">
        <f t="shared" si="17"/>
        <v>2496197.231</v>
      </c>
      <c r="CF139" s="32">
        <f>Assumptions!$B$55*(1+Assumptions!$B$56)^((B139-2025)+(A139-1)/12)</f>
        <v>625590.3413</v>
      </c>
      <c r="CG139" s="32">
        <f t="shared" si="18"/>
        <v>0</v>
      </c>
      <c r="CH139" s="32">
        <f t="shared" si="19"/>
        <v>-10500</v>
      </c>
      <c r="CI139" s="32">
        <f>CC139*(Salary_Schedule!E139/173.33)*(1-Assumptions!$B$28)+CD139*(Salary_Schedule!G139/173.33)*(1-Assumptions!$B$28)</f>
        <v>93482.50762</v>
      </c>
      <c r="CJ139" s="32">
        <f t="shared" si="20"/>
        <v>3204770.08</v>
      </c>
    </row>
    <row r="140" ht="15.0" customHeight="1">
      <c r="A140" s="1">
        <v>7.0</v>
      </c>
      <c r="B140" s="1">
        <v>2037.0</v>
      </c>
      <c r="C140" s="1" t="s">
        <v>809</v>
      </c>
      <c r="D140" s="1" t="str">
        <f t="shared" si="21"/>
        <v>06/2037</v>
      </c>
      <c r="E140" s="1" t="str">
        <f t="shared" si="2"/>
        <v>FAT_RSU</v>
      </c>
      <c r="F140" s="32">
        <f>Salary_Schedule!E140</f>
        <v>12599.07</v>
      </c>
      <c r="G140" s="32">
        <f>Assumptions!$B$8</f>
        <v>200</v>
      </c>
      <c r="H140" s="32">
        <f>F140*Assumptions!$B$58</f>
        <v>1259.907</v>
      </c>
      <c r="I140" s="32">
        <f>Salary_Schedule!F140</f>
        <v>0</v>
      </c>
      <c r="J140" s="32">
        <f>I140*Assumptions!$B$9</f>
        <v>0</v>
      </c>
      <c r="K140" s="54">
        <f t="shared" si="3"/>
        <v>11139.163</v>
      </c>
      <c r="L140" s="32">
        <f>IF(COUNTIFS(SL_Income_Log!$B:$B,TEXT(B140,"0000")&amp;"-"&amp;TEXT(A140,"00"),SL_Income_Log!$C:$C,"salary",SL_Income_Log!$E:$E,"H")&gt;0,SUMIFS(SL_Income_Log!$D:$D,SL_Income_Log!$B:$B,TEXT(B140,"0000")&amp;"-"&amp;TEXT(A140,"00"),SL_Income_Log!$C:$C,"salary",SL_Income_Log!$E:$E,"H"),K140*(1-Assumptions!$B$102)-Z140-Y140)</f>
        <v>6683.4978</v>
      </c>
      <c r="M140" s="32">
        <f>RSU_Schedule!H139</f>
        <v>2784.99</v>
      </c>
      <c r="N140" s="32">
        <f>Salary_Schedule!G140</f>
        <v>9045.49</v>
      </c>
      <c r="O140" s="32">
        <f>Assumptions!$B$19</f>
        <v>200</v>
      </c>
      <c r="P140" s="32">
        <f>N140*Assumptions!$B$59</f>
        <v>904.549</v>
      </c>
      <c r="Q140" s="32">
        <f>Salary_Schedule!H140</f>
        <v>0</v>
      </c>
      <c r="R140" s="32">
        <f>Q140*Assumptions!$B$20</f>
        <v>0</v>
      </c>
      <c r="S140" s="54">
        <f t="shared" si="4"/>
        <v>7940.941</v>
      </c>
      <c r="T140" s="32">
        <f>IF(COUNTIFS(SL_Income_Log!$B:$B,TEXT(B140,"0000")&amp;"-"&amp;TEXT(A140,"00"),SL_Income_Log!$C:$C,"salary",SL_Income_Log!$E:$E,"W")&gt;0,SUMIFS(SL_Income_Log!$D:$D,SL_Income_Log!$B:$B,TEXT(B140,"0000")&amp;"-"&amp;TEXT(A140,"00"),SL_Income_Log!$C:$C,"salary",SL_Income_Log!$E:$E,"W"),S140*(1-Assumptions!$B$102)-AC140-AB140)
</f>
        <v>4764.5646</v>
      </c>
      <c r="U140" s="32">
        <f>RSU_Schedule!M139</f>
        <v>1392.51</v>
      </c>
      <c r="V140" s="32">
        <f>H140*(1+Assumptions!$B$60)+Assumptions!$B$61</f>
        <v>1783.8698</v>
      </c>
      <c r="W140" s="32">
        <f>P140*(1+Assumptions!$B$60)+Assumptions!$B$61</f>
        <v>1286.3686</v>
      </c>
      <c r="X140" s="32">
        <f t="shared" si="5"/>
        <v>3070.2384</v>
      </c>
      <c r="Y140" s="32">
        <v>0.0</v>
      </c>
      <c r="Z140" s="32">
        <v>0.0</v>
      </c>
      <c r="AA140" s="32">
        <v>0.0</v>
      </c>
      <c r="AB140" s="32">
        <v>0.0</v>
      </c>
      <c r="AC140" s="32">
        <v>0.0</v>
      </c>
      <c r="AD140" s="32">
        <v>0.0</v>
      </c>
      <c r="AE140" s="32">
        <f t="shared" ref="AE140:AF140" si="181">Z140+AC140</f>
        <v>0</v>
      </c>
      <c r="AF140" s="32">
        <f t="shared" si="181"/>
        <v>0</v>
      </c>
      <c r="AG140" s="32">
        <f>IF(COUNTIFS(SL_Income_Log!$B:$B,TEXT(B140,"0000")&amp;"-"&amp;TEXT(A140,"00"),SL_Income_Log!$C:$C,"youtube")&gt;0,SUMIFS(SL_Income_Log!$D:$D,SL_Income_Log!$B:$B,TEXT(B140,"0000")&amp;"-"&amp;TEXT(A140,"00"),SL_Income_Log!$C:$C,"youtube"),MIN(Assumptions!$B$49+FLOOR((ROW()-2)/6,1)*Assumptions!$B$50,Assumptions!$B$51))
</f>
        <v>20000</v>
      </c>
      <c r="AH140" s="32">
        <f>AG140*Assumptions!$B$104</f>
        <v>8860</v>
      </c>
      <c r="AI140" s="32">
        <f t="shared" si="7"/>
        <v>11140</v>
      </c>
      <c r="AJ140" s="32">
        <f>SUMIFS(SL_Income_Log!$D:$D,SL_Income_Log!$B:$B,TEXT(B140,"0000")&amp;"-"&amp;TEXT(A140,"00"),SL_Income_Log!$C:$C,"other")</f>
        <v>0</v>
      </c>
      <c r="AK140" s="32">
        <f t="shared" si="27"/>
        <v>10000</v>
      </c>
      <c r="AL140" s="32">
        <f>L140+M140+T140+U140+AI140+AJ140-Y140-Z140-AB140-AC140+IF((Debt_Register!$C$2+Debt_Register!$C$6+Debt_Register!$C$7+Debt_Register!$C$8+Debt_Register!$C$9)&gt;5,X140,0)</f>
        <v>29835.8008</v>
      </c>
      <c r="AM140" s="32">
        <f t="shared" si="8"/>
        <v>39835.8008</v>
      </c>
      <c r="AN140" s="32">
        <f>MAX(Assumptions!$B$94,MIN(Assumptions!$B$93,AM140-AP140-BE140-BO140-BQ140))</f>
        <v>10000</v>
      </c>
      <c r="AO140" s="32">
        <v>0.0</v>
      </c>
      <c r="AP140" s="32">
        <v>0.0</v>
      </c>
      <c r="AQ140" s="32">
        <v>0.0</v>
      </c>
      <c r="AR140" s="32">
        <v>0.0</v>
      </c>
      <c r="AS140" s="32">
        <v>0.0</v>
      </c>
      <c r="AT140" s="32">
        <v>0.0</v>
      </c>
      <c r="AU140" s="32">
        <f t="shared" si="30"/>
        <v>0</v>
      </c>
      <c r="AV140" s="32">
        <f t="shared" si="31"/>
        <v>0</v>
      </c>
      <c r="AW140" s="32">
        <f t="shared" si="32"/>
        <v>0</v>
      </c>
      <c r="AX140" s="32">
        <f t="shared" si="33"/>
        <v>0</v>
      </c>
      <c r="AY140" s="32">
        <f t="shared" si="34"/>
        <v>0</v>
      </c>
      <c r="AZ140" s="32">
        <f t="shared" si="35"/>
        <v>0</v>
      </c>
      <c r="BA140" s="32">
        <f t="shared" si="36"/>
        <v>0</v>
      </c>
      <c r="BB140" s="32">
        <f t="shared" si="37"/>
        <v>0</v>
      </c>
      <c r="BC140" s="32">
        <f t="shared" si="38"/>
        <v>0</v>
      </c>
      <c r="BD140" s="32">
        <f t="shared" si="39"/>
        <v>0</v>
      </c>
      <c r="BE140" s="32">
        <f t="shared" si="11"/>
        <v>0</v>
      </c>
      <c r="BF140" s="32">
        <v>0.0</v>
      </c>
      <c r="BG140" s="32">
        <f t="shared" si="40"/>
        <v>5500</v>
      </c>
      <c r="BH140" s="32">
        <v>0.0</v>
      </c>
      <c r="BI140" s="32">
        <f t="shared" si="41"/>
        <v>5000</v>
      </c>
      <c r="BJ140" s="32">
        <f>IF(OR(B140&lt;Assumptions!$B$111,AND(B140=Assumptions!$B$111,A140&lt;=Assumptions!$B$112)),Assumptions!$B$110,0)</f>
        <v>0</v>
      </c>
      <c r="BK140" s="32">
        <f>IF(B140&lt;2027,Assumptions!$B$116+IF(OR(A140=4,A140=10),Assumptions!$B$117,0),IF(AND(B140=2027,A140&lt;=4),IF(A140=4,MIN(950,Assumptions!$B$116+Assumptions!$B$117),Assumptions!$B$116),0))</f>
        <v>0</v>
      </c>
      <c r="BL140" s="32">
        <f>IF(OR(B140&lt;2030,AND(B140=2030,A140&lt;8)),Assumptions!$B$118,IF(AND(B140=2030,A140=8),MOD(11000,200),0))</f>
        <v>0</v>
      </c>
      <c r="BM140" s="32">
        <f>IF(OR(B140&lt;Assumptions!$B$120,AND(B140=Assumptions!$B$120,A140&lt;=Assumptions!$B$121)),Assumptions!$B$119,0)</f>
        <v>0</v>
      </c>
      <c r="BN140" s="32">
        <f>IF(AND(B140&lt;=Assumptions!$B$123,A140&lt;=Assumptions!$B$124),Assumptions!$B$122,0)</f>
        <v>0</v>
      </c>
      <c r="BO140" s="32">
        <f t="shared" si="12"/>
        <v>0</v>
      </c>
      <c r="BP140" s="32">
        <f>SUMIFS(SL_Budget!$B:$B,SL_Budget!$C:$C,"'"&amp;TEXT(DATE(B140,A140,1),"YYYY-MM"))</f>
        <v>5687</v>
      </c>
      <c r="BQ140" s="32">
        <f>MAX(BP140, IFERROR(SUMIFS(ShadowLedger!D:D, 
  ShadowLedger!C:C, "&gt;="&amp;DATE(B140,A140,1), 
  ShadowLedger!C:C, "&lt;"&amp;EOMONTH(DATE(B140,A140,1),0)+1), 0))
</f>
        <v>5687</v>
      </c>
      <c r="BR140" s="32">
        <f t="shared" si="42"/>
        <v>2496197.231</v>
      </c>
      <c r="BS140" s="32">
        <f t="shared" si="43"/>
        <v>3070.2384</v>
      </c>
      <c r="BT140" s="32">
        <f>IF(BY139&gt;=Assumptions!$B$92,MAX(0,(AM140-BE140-BO140-BQ140)-Assumptions!$B$93),MAX(0,(AM140-BE140-BO140-BQ140)-Assumptions!$B$93)*Assumptions!$B$99)</f>
        <v>24148.8008</v>
      </c>
      <c r="BU140" s="32">
        <f>(BR140+BS140+MAX(0,BT140))*(Assumptions!$B$43-1)</f>
        <v>17204.65213</v>
      </c>
      <c r="BV140" s="32">
        <f t="shared" si="13"/>
        <v>2540620.922</v>
      </c>
      <c r="BW140" s="32">
        <f t="shared" si="44"/>
        <v>15476.04728</v>
      </c>
      <c r="BX140" s="32">
        <f>IF(BY139&lt;Assumptions!$B$92,MAX(0,(AM140-BE140-BO140-BQ140)-Assumptions!$B$93)*Assumptions!$B$98,0)</f>
        <v>0</v>
      </c>
      <c r="BY140" s="32">
        <f t="shared" si="14"/>
        <v>15476.04728</v>
      </c>
      <c r="BZ140" s="32">
        <f t="shared" si="45"/>
        <v>53160</v>
      </c>
      <c r="CA140" s="32">
        <f t="shared" si="15"/>
        <v>8860</v>
      </c>
      <c r="CB140" s="32">
        <f t="shared" si="16"/>
        <v>62020</v>
      </c>
      <c r="CC140" s="55">
        <f>CC139+(G140+J140)/(Salary_Schedule!E140*12/208)</f>
        <v>1848.237759</v>
      </c>
      <c r="CD140" s="55">
        <f>CD139+(O140+R140)/(Salary_Schedule!G140*12/208)</f>
        <v>182.3058485</v>
      </c>
      <c r="CE140" s="32">
        <f t="shared" si="17"/>
        <v>2540620.922</v>
      </c>
      <c r="CF140" s="32">
        <f>Assumptions!$B$55*(1+Assumptions!$B$56)^((B140-2025)+(A140-1)/12)</f>
        <v>626367.004</v>
      </c>
      <c r="CG140" s="32">
        <f t="shared" si="18"/>
        <v>0</v>
      </c>
      <c r="CH140" s="32">
        <f t="shared" si="19"/>
        <v>-10500</v>
      </c>
      <c r="CI140" s="32">
        <f>CC140*(Salary_Schedule!E140/173.33)*(1-Assumptions!$B$28)+CD140*(Salary_Schedule!G140/173.33)*(1-Assumptions!$B$28)</f>
        <v>93508.50812</v>
      </c>
      <c r="CJ140" s="32">
        <f t="shared" si="20"/>
        <v>3249996.434</v>
      </c>
    </row>
    <row r="141" ht="15.0" customHeight="1">
      <c r="A141" s="1">
        <v>8.0</v>
      </c>
      <c r="B141" s="1">
        <v>2037.0</v>
      </c>
      <c r="C141" s="1" t="s">
        <v>810</v>
      </c>
      <c r="D141" s="1" t="str">
        <f t="shared" si="21"/>
        <v>07/2037</v>
      </c>
      <c r="E141" s="1" t="str">
        <f t="shared" si="2"/>
        <v>LEAN</v>
      </c>
      <c r="F141" s="32">
        <f>Salary_Schedule!E141</f>
        <v>12599.07</v>
      </c>
      <c r="G141" s="32">
        <f>Assumptions!$B$8</f>
        <v>200</v>
      </c>
      <c r="H141" s="32">
        <f>F141*Assumptions!$B$58</f>
        <v>1259.907</v>
      </c>
      <c r="I141" s="32">
        <f>Salary_Schedule!F141</f>
        <v>0</v>
      </c>
      <c r="J141" s="32">
        <f>I141*Assumptions!$B$9</f>
        <v>0</v>
      </c>
      <c r="K141" s="54">
        <f t="shared" si="3"/>
        <v>11139.163</v>
      </c>
      <c r="L141" s="32">
        <f>IF(COUNTIFS(SL_Income_Log!$B:$B,TEXT(B141,"0000")&amp;"-"&amp;TEXT(A141,"00"),SL_Income_Log!$C:$C,"salary",SL_Income_Log!$E:$E,"H")&gt;0,SUMIFS(SL_Income_Log!$D:$D,SL_Income_Log!$B:$B,TEXT(B141,"0000")&amp;"-"&amp;TEXT(A141,"00"),SL_Income_Log!$C:$C,"salary",SL_Income_Log!$E:$E,"H"),K141*(1-Assumptions!$B$102)-Z141-Y141)</f>
        <v>6683.4978</v>
      </c>
      <c r="M141" s="32">
        <f>RSU_Schedule!H140</f>
        <v>0</v>
      </c>
      <c r="N141" s="32">
        <f>Salary_Schedule!G141</f>
        <v>9045.49</v>
      </c>
      <c r="O141" s="32">
        <f>Assumptions!$B$19</f>
        <v>200</v>
      </c>
      <c r="P141" s="32">
        <f>N141*Assumptions!$B$59</f>
        <v>904.549</v>
      </c>
      <c r="Q141" s="32">
        <f>Salary_Schedule!H141</f>
        <v>0</v>
      </c>
      <c r="R141" s="32">
        <f>Q141*Assumptions!$B$20</f>
        <v>0</v>
      </c>
      <c r="S141" s="54">
        <f t="shared" si="4"/>
        <v>7940.941</v>
      </c>
      <c r="T141" s="32">
        <f>IF(COUNTIFS(SL_Income_Log!$B:$B,TEXT(B141,"0000")&amp;"-"&amp;TEXT(A141,"00"),SL_Income_Log!$C:$C,"salary",SL_Income_Log!$E:$E,"W")&gt;0,SUMIFS(SL_Income_Log!$D:$D,SL_Income_Log!$B:$B,TEXT(B141,"0000")&amp;"-"&amp;TEXT(A141,"00"),SL_Income_Log!$C:$C,"salary",SL_Income_Log!$E:$E,"W"),S141*(1-Assumptions!$B$102)-AC141-AB141)
</f>
        <v>4764.5646</v>
      </c>
      <c r="U141" s="32">
        <f>RSU_Schedule!M140</f>
        <v>0</v>
      </c>
      <c r="V141" s="32">
        <f>H141*(1+Assumptions!$B$60)+Assumptions!$B$61</f>
        <v>1783.8698</v>
      </c>
      <c r="W141" s="32">
        <f>P141*(1+Assumptions!$B$60)+Assumptions!$B$61</f>
        <v>1286.3686</v>
      </c>
      <c r="X141" s="32">
        <f t="shared" si="5"/>
        <v>3070.2384</v>
      </c>
      <c r="Y141" s="32">
        <v>0.0</v>
      </c>
      <c r="Z141" s="32">
        <v>0.0</v>
      </c>
      <c r="AA141" s="32">
        <v>0.0</v>
      </c>
      <c r="AB141" s="32">
        <v>0.0</v>
      </c>
      <c r="AC141" s="32">
        <v>0.0</v>
      </c>
      <c r="AD141" s="32">
        <v>0.0</v>
      </c>
      <c r="AE141" s="32">
        <f t="shared" ref="AE141:AF141" si="182">Z141+AC141</f>
        <v>0</v>
      </c>
      <c r="AF141" s="32">
        <f t="shared" si="182"/>
        <v>0</v>
      </c>
      <c r="AG141" s="32">
        <f>IF(COUNTIFS(SL_Income_Log!$B:$B,TEXT(B141,"0000")&amp;"-"&amp;TEXT(A141,"00"),SL_Income_Log!$C:$C,"youtube")&gt;0,SUMIFS(SL_Income_Log!$D:$D,SL_Income_Log!$B:$B,TEXT(B141,"0000")&amp;"-"&amp;TEXT(A141,"00"),SL_Income_Log!$C:$C,"youtube"),MIN(Assumptions!$B$49+FLOOR((ROW()-2)/6,1)*Assumptions!$B$50,Assumptions!$B$51))
</f>
        <v>20000</v>
      </c>
      <c r="AH141" s="32">
        <f>AG141*Assumptions!$B$104</f>
        <v>8860</v>
      </c>
      <c r="AI141" s="32">
        <f t="shared" si="7"/>
        <v>11140</v>
      </c>
      <c r="AJ141" s="32">
        <f>SUMIFS(SL_Income_Log!$D:$D,SL_Income_Log!$B:$B,TEXT(B141,"0000")&amp;"-"&amp;TEXT(A141,"00"),SL_Income_Log!$C:$C,"other")</f>
        <v>0</v>
      </c>
      <c r="AK141" s="32">
        <f t="shared" si="27"/>
        <v>10000</v>
      </c>
      <c r="AL141" s="32">
        <f>L141+M141+T141+U141+AI141+AJ141-Y141-Z141-AB141-AC141+IF((Debt_Register!$C$2+Debt_Register!$C$6+Debt_Register!$C$7+Debt_Register!$C$8+Debt_Register!$C$9)&gt;5,X141,0)</f>
        <v>25658.3008</v>
      </c>
      <c r="AM141" s="32">
        <f t="shared" si="8"/>
        <v>35658.3008</v>
      </c>
      <c r="AN141" s="32">
        <f>MAX(Assumptions!$B$94,MIN(Assumptions!$B$93,AM141-AP141-BE141-BO141-BQ141))</f>
        <v>10000</v>
      </c>
      <c r="AO141" s="32">
        <v>0.0</v>
      </c>
      <c r="AP141" s="32">
        <v>0.0</v>
      </c>
      <c r="AQ141" s="32">
        <v>0.0</v>
      </c>
      <c r="AR141" s="32">
        <v>0.0</v>
      </c>
      <c r="AS141" s="32">
        <v>0.0</v>
      </c>
      <c r="AT141" s="32">
        <v>0.0</v>
      </c>
      <c r="AU141" s="32">
        <f t="shared" si="30"/>
        <v>0</v>
      </c>
      <c r="AV141" s="32">
        <f t="shared" si="31"/>
        <v>0</v>
      </c>
      <c r="AW141" s="32">
        <f t="shared" si="32"/>
        <v>0</v>
      </c>
      <c r="AX141" s="32">
        <f t="shared" si="33"/>
        <v>0</v>
      </c>
      <c r="AY141" s="32">
        <f t="shared" si="34"/>
        <v>0</v>
      </c>
      <c r="AZ141" s="32">
        <f t="shared" si="35"/>
        <v>0</v>
      </c>
      <c r="BA141" s="32">
        <f t="shared" si="36"/>
        <v>0</v>
      </c>
      <c r="BB141" s="32">
        <f t="shared" si="37"/>
        <v>0</v>
      </c>
      <c r="BC141" s="32">
        <f t="shared" si="38"/>
        <v>0</v>
      </c>
      <c r="BD141" s="32">
        <f t="shared" si="39"/>
        <v>0</v>
      </c>
      <c r="BE141" s="32">
        <f t="shared" si="11"/>
        <v>0</v>
      </c>
      <c r="BF141" s="32">
        <v>0.0</v>
      </c>
      <c r="BG141" s="32">
        <f t="shared" si="40"/>
        <v>5500</v>
      </c>
      <c r="BH141" s="32">
        <v>0.0</v>
      </c>
      <c r="BI141" s="32">
        <f t="shared" si="41"/>
        <v>5000</v>
      </c>
      <c r="BJ141" s="32">
        <f>IF(OR(B141&lt;Assumptions!$B$111,AND(B141=Assumptions!$B$111,A141&lt;=Assumptions!$B$112)),Assumptions!$B$110,0)</f>
        <v>0</v>
      </c>
      <c r="BK141" s="32">
        <f>IF(B141&lt;2027,Assumptions!$B$116+IF(OR(A141=4,A141=10),Assumptions!$B$117,0),IF(AND(B141=2027,A141&lt;=4),IF(A141=4,MIN(950,Assumptions!$B$116+Assumptions!$B$117),Assumptions!$B$116),0))</f>
        <v>0</v>
      </c>
      <c r="BL141" s="32">
        <f>IF(OR(B141&lt;2030,AND(B141=2030,A141&lt;8)),Assumptions!$B$118,IF(AND(B141=2030,A141=8),MOD(11000,200),0))</f>
        <v>0</v>
      </c>
      <c r="BM141" s="32">
        <f>IF(OR(B141&lt;Assumptions!$B$120,AND(B141=Assumptions!$B$120,A141&lt;=Assumptions!$B$121)),Assumptions!$B$119,0)</f>
        <v>0</v>
      </c>
      <c r="BN141" s="32">
        <f>IF(AND(B141&lt;=Assumptions!$B$123,A141&lt;=Assumptions!$B$124),Assumptions!$B$122,0)</f>
        <v>0</v>
      </c>
      <c r="BO141" s="32">
        <f t="shared" si="12"/>
        <v>0</v>
      </c>
      <c r="BP141" s="32">
        <f>SUMIFS(SL_Budget!$B:$B,SL_Budget!$C:$C,"'"&amp;TEXT(DATE(B141,A141,1),"YYYY-MM"))</f>
        <v>5687</v>
      </c>
      <c r="BQ141" s="32">
        <f>MAX(BP141, IFERROR(SUMIFS(ShadowLedger!D:D, 
  ShadowLedger!C:C, "&gt;="&amp;DATE(B141,A141,1), 
  ShadowLedger!C:C, "&lt;"&amp;EOMONTH(DATE(B141,A141,1),0)+1), 0))
</f>
        <v>5687</v>
      </c>
      <c r="BR141" s="32">
        <f t="shared" si="42"/>
        <v>2540620.922</v>
      </c>
      <c r="BS141" s="32">
        <f t="shared" si="43"/>
        <v>3070.2384</v>
      </c>
      <c r="BT141" s="32">
        <f>IF(BY140&gt;=Assumptions!$B$92,MAX(0,(AM141-BE141-BO141-BQ141)-Assumptions!$B$93),MAX(0,(AM141-BE141-BO141-BQ141)-Assumptions!$B$93)*Assumptions!$B$99)</f>
        <v>19971.3008</v>
      </c>
      <c r="BU141" s="32">
        <f>(BR141+BS141+MAX(0,BT141))*(Assumptions!$B$43-1)</f>
        <v>17479.05066</v>
      </c>
      <c r="BV141" s="32">
        <f t="shared" si="13"/>
        <v>2581141.512</v>
      </c>
      <c r="BW141" s="32">
        <f t="shared" si="44"/>
        <v>15476.04728</v>
      </c>
      <c r="BX141" s="32">
        <f>IF(BY140&lt;Assumptions!$B$92,MAX(0,(AM141-BE141-BO141-BQ141)-Assumptions!$B$93)*Assumptions!$B$98,0)</f>
        <v>0</v>
      </c>
      <c r="BY141" s="32">
        <f t="shared" si="14"/>
        <v>15476.04728</v>
      </c>
      <c r="BZ141" s="32">
        <f t="shared" si="45"/>
        <v>62020</v>
      </c>
      <c r="CA141" s="32">
        <f t="shared" si="15"/>
        <v>8860</v>
      </c>
      <c r="CB141" s="32">
        <f t="shared" si="16"/>
        <v>70880</v>
      </c>
      <c r="CC141" s="55">
        <f>CC140+(G141+J141)/(Salary_Schedule!E141*12/208)</f>
        <v>1848.512912</v>
      </c>
      <c r="CD141" s="55">
        <f>CD140+(O141+R141)/(Salary_Schedule!G141*12/208)</f>
        <v>182.6890966</v>
      </c>
      <c r="CE141" s="32">
        <f t="shared" si="17"/>
        <v>2581141.512</v>
      </c>
      <c r="CF141" s="32">
        <f>Assumptions!$B$55*(1+Assumptions!$B$56)^((B141-2025)+(A141-1)/12)</f>
        <v>627144.631</v>
      </c>
      <c r="CG141" s="32">
        <f t="shared" si="18"/>
        <v>0</v>
      </c>
      <c r="CH141" s="32">
        <f t="shared" si="19"/>
        <v>-10500</v>
      </c>
      <c r="CI141" s="32">
        <f>CC141*(Salary_Schedule!E141/173.33)*(1-Assumptions!$B$28)+CD141*(Salary_Schedule!G141/173.33)*(1-Assumptions!$B$28)</f>
        <v>93534.50862</v>
      </c>
      <c r="CJ141" s="32">
        <f t="shared" si="20"/>
        <v>3291320.652</v>
      </c>
    </row>
    <row r="142" ht="15.0" customHeight="1">
      <c r="A142" s="1">
        <v>9.0</v>
      </c>
      <c r="B142" s="1">
        <v>2037.0</v>
      </c>
      <c r="C142" s="1" t="s">
        <v>811</v>
      </c>
      <c r="D142" s="1" t="str">
        <f t="shared" si="21"/>
        <v>08/2037</v>
      </c>
      <c r="E142" s="1" t="str">
        <f t="shared" si="2"/>
        <v>LEAN</v>
      </c>
      <c r="F142" s="32">
        <f>Salary_Schedule!E142</f>
        <v>12599.07</v>
      </c>
      <c r="G142" s="32">
        <f>Assumptions!$B$8</f>
        <v>200</v>
      </c>
      <c r="H142" s="32">
        <f>F142*Assumptions!$B$58</f>
        <v>1259.907</v>
      </c>
      <c r="I142" s="32">
        <f>Salary_Schedule!F142</f>
        <v>0</v>
      </c>
      <c r="J142" s="32">
        <f>I142*Assumptions!$B$9</f>
        <v>0</v>
      </c>
      <c r="K142" s="54">
        <f t="shared" si="3"/>
        <v>11139.163</v>
      </c>
      <c r="L142" s="32">
        <f>IF(COUNTIFS(SL_Income_Log!$B:$B,TEXT(B142,"0000")&amp;"-"&amp;TEXT(A142,"00"),SL_Income_Log!$C:$C,"salary",SL_Income_Log!$E:$E,"H")&gt;0,SUMIFS(SL_Income_Log!$D:$D,SL_Income_Log!$B:$B,TEXT(B142,"0000")&amp;"-"&amp;TEXT(A142,"00"),SL_Income_Log!$C:$C,"salary",SL_Income_Log!$E:$E,"H"),K142*(1-Assumptions!$B$102)-Z142-Y142)</f>
        <v>6683.4978</v>
      </c>
      <c r="M142" s="32">
        <f>RSU_Schedule!H141</f>
        <v>0</v>
      </c>
      <c r="N142" s="32">
        <f>Salary_Schedule!G142</f>
        <v>9045.49</v>
      </c>
      <c r="O142" s="32">
        <f>Assumptions!$B$19</f>
        <v>200</v>
      </c>
      <c r="P142" s="32">
        <f>N142*Assumptions!$B$59</f>
        <v>904.549</v>
      </c>
      <c r="Q142" s="32">
        <f>Salary_Schedule!H142</f>
        <v>0</v>
      </c>
      <c r="R142" s="32">
        <f>Q142*Assumptions!$B$20</f>
        <v>0</v>
      </c>
      <c r="S142" s="54">
        <f t="shared" si="4"/>
        <v>7940.941</v>
      </c>
      <c r="T142" s="32">
        <f>IF(COUNTIFS(SL_Income_Log!$B:$B,TEXT(B142,"0000")&amp;"-"&amp;TEXT(A142,"00"),SL_Income_Log!$C:$C,"salary",SL_Income_Log!$E:$E,"W")&gt;0,SUMIFS(SL_Income_Log!$D:$D,SL_Income_Log!$B:$B,TEXT(B142,"0000")&amp;"-"&amp;TEXT(A142,"00"),SL_Income_Log!$C:$C,"salary",SL_Income_Log!$E:$E,"W"),S142*(1-Assumptions!$B$102)-AC142-AB142)
</f>
        <v>4764.5646</v>
      </c>
      <c r="U142" s="32">
        <f>RSU_Schedule!M141</f>
        <v>0</v>
      </c>
      <c r="V142" s="32">
        <f>H142*(1+Assumptions!$B$60)+Assumptions!$B$61</f>
        <v>1783.8698</v>
      </c>
      <c r="W142" s="32">
        <f>P142*(1+Assumptions!$B$60)+Assumptions!$B$61</f>
        <v>1286.3686</v>
      </c>
      <c r="X142" s="32">
        <f t="shared" si="5"/>
        <v>3070.2384</v>
      </c>
      <c r="Y142" s="32">
        <v>0.0</v>
      </c>
      <c r="Z142" s="32">
        <v>0.0</v>
      </c>
      <c r="AA142" s="32">
        <v>0.0</v>
      </c>
      <c r="AB142" s="32">
        <v>0.0</v>
      </c>
      <c r="AC142" s="32">
        <v>0.0</v>
      </c>
      <c r="AD142" s="32">
        <v>0.0</v>
      </c>
      <c r="AE142" s="32">
        <f t="shared" ref="AE142:AF142" si="183">Z142+AC142</f>
        <v>0</v>
      </c>
      <c r="AF142" s="32">
        <f t="shared" si="183"/>
        <v>0</v>
      </c>
      <c r="AG142" s="32">
        <f>IF(COUNTIFS(SL_Income_Log!$B:$B,TEXT(B142,"0000")&amp;"-"&amp;TEXT(A142,"00"),SL_Income_Log!$C:$C,"youtube")&gt;0,SUMIFS(SL_Income_Log!$D:$D,SL_Income_Log!$B:$B,TEXT(B142,"0000")&amp;"-"&amp;TEXT(A142,"00"),SL_Income_Log!$C:$C,"youtube"),MIN(Assumptions!$B$49+FLOOR((ROW()-2)/6,1)*Assumptions!$B$50,Assumptions!$B$51))
</f>
        <v>20000</v>
      </c>
      <c r="AH142" s="32">
        <f>AG142*Assumptions!$B$104</f>
        <v>8860</v>
      </c>
      <c r="AI142" s="32">
        <f t="shared" si="7"/>
        <v>11140</v>
      </c>
      <c r="AJ142" s="32">
        <f>SUMIFS(SL_Income_Log!$D:$D,SL_Income_Log!$B:$B,TEXT(B142,"0000")&amp;"-"&amp;TEXT(A142,"00"),SL_Income_Log!$C:$C,"other")</f>
        <v>0</v>
      </c>
      <c r="AK142" s="32">
        <f t="shared" si="27"/>
        <v>10000</v>
      </c>
      <c r="AL142" s="32">
        <f>L142+M142+T142+U142+AI142+AJ142-Y142-Z142-AB142-AC142+IF((Debt_Register!$C$2+Debt_Register!$C$6+Debt_Register!$C$7+Debt_Register!$C$8+Debt_Register!$C$9)&gt;5,X142,0)</f>
        <v>25658.3008</v>
      </c>
      <c r="AM142" s="32">
        <f t="shared" si="8"/>
        <v>35658.3008</v>
      </c>
      <c r="AN142" s="32">
        <f>MAX(Assumptions!$B$94,MIN(Assumptions!$B$93,AM142-AP142-BE142-BO142-BQ142))</f>
        <v>10000</v>
      </c>
      <c r="AO142" s="32">
        <v>0.0</v>
      </c>
      <c r="AP142" s="32">
        <v>0.0</v>
      </c>
      <c r="AQ142" s="32">
        <v>0.0</v>
      </c>
      <c r="AR142" s="32">
        <v>0.0</v>
      </c>
      <c r="AS142" s="32">
        <v>0.0</v>
      </c>
      <c r="AT142" s="32">
        <v>0.0</v>
      </c>
      <c r="AU142" s="32">
        <f t="shared" si="30"/>
        <v>0</v>
      </c>
      <c r="AV142" s="32">
        <f t="shared" si="31"/>
        <v>0</v>
      </c>
      <c r="AW142" s="32">
        <f t="shared" si="32"/>
        <v>0</v>
      </c>
      <c r="AX142" s="32">
        <f t="shared" si="33"/>
        <v>0</v>
      </c>
      <c r="AY142" s="32">
        <f t="shared" si="34"/>
        <v>0</v>
      </c>
      <c r="AZ142" s="32">
        <f t="shared" si="35"/>
        <v>0</v>
      </c>
      <c r="BA142" s="32">
        <f t="shared" si="36"/>
        <v>0</v>
      </c>
      <c r="BB142" s="32">
        <f t="shared" si="37"/>
        <v>0</v>
      </c>
      <c r="BC142" s="32">
        <f t="shared" si="38"/>
        <v>0</v>
      </c>
      <c r="BD142" s="32">
        <f t="shared" si="39"/>
        <v>0</v>
      </c>
      <c r="BE142" s="32">
        <f t="shared" si="11"/>
        <v>0</v>
      </c>
      <c r="BF142" s="32">
        <v>0.0</v>
      </c>
      <c r="BG142" s="32">
        <f t="shared" si="40"/>
        <v>5500</v>
      </c>
      <c r="BH142" s="32">
        <v>0.0</v>
      </c>
      <c r="BI142" s="32">
        <f t="shared" si="41"/>
        <v>5000</v>
      </c>
      <c r="BJ142" s="32">
        <f>IF(OR(B142&lt;Assumptions!$B$111,AND(B142=Assumptions!$B$111,A142&lt;=Assumptions!$B$112)),Assumptions!$B$110,0)</f>
        <v>0</v>
      </c>
      <c r="BK142" s="32">
        <f>IF(B142&lt;2027,Assumptions!$B$116+IF(OR(A142=4,A142=10),Assumptions!$B$117,0),IF(AND(B142=2027,A142&lt;=4),IF(A142=4,MIN(950,Assumptions!$B$116+Assumptions!$B$117),Assumptions!$B$116),0))</f>
        <v>0</v>
      </c>
      <c r="BL142" s="32">
        <f>IF(OR(B142&lt;2030,AND(B142=2030,A142&lt;8)),Assumptions!$B$118,IF(AND(B142=2030,A142=8),MOD(11000,200),0))</f>
        <v>0</v>
      </c>
      <c r="BM142" s="32">
        <f>IF(OR(B142&lt;Assumptions!$B$120,AND(B142=Assumptions!$B$120,A142&lt;=Assumptions!$B$121)),Assumptions!$B$119,0)</f>
        <v>0</v>
      </c>
      <c r="BN142" s="32">
        <f>IF(AND(B142&lt;=Assumptions!$B$123,A142&lt;=Assumptions!$B$124),Assumptions!$B$122,0)</f>
        <v>0</v>
      </c>
      <c r="BO142" s="32">
        <f t="shared" si="12"/>
        <v>0</v>
      </c>
      <c r="BP142" s="32">
        <f>SUMIFS(SL_Budget!$B:$B,SL_Budget!$C:$C,"'"&amp;TEXT(DATE(B142,A142,1),"YYYY-MM"))</f>
        <v>5687</v>
      </c>
      <c r="BQ142" s="32">
        <f>MAX(BP142, IFERROR(SUMIFS(ShadowLedger!D:D, 
  ShadowLedger!C:C, "&gt;="&amp;DATE(B142,A142,1), 
  ShadowLedger!C:C, "&lt;"&amp;EOMONTH(DATE(B142,A142,1),0)+1), 0))
</f>
        <v>5687</v>
      </c>
      <c r="BR142" s="32">
        <f t="shared" si="42"/>
        <v>2581141.512</v>
      </c>
      <c r="BS142" s="32">
        <f t="shared" si="43"/>
        <v>3070.2384</v>
      </c>
      <c r="BT142" s="32">
        <f>IF(BY141&gt;=Assumptions!$B$92,MAX(0,(AM142-BE142-BO142-BQ142)-Assumptions!$B$93),MAX(0,(AM142-BE142-BO142-BQ142)-Assumptions!$B$93)*Assumptions!$B$99)</f>
        <v>19971.3008</v>
      </c>
      <c r="BU142" s="32">
        <f>(BR142+BS142+MAX(0,BT142))*(Assumptions!$B$43-1)</f>
        <v>17755.32004</v>
      </c>
      <c r="BV142" s="32">
        <f t="shared" si="13"/>
        <v>2621938.371</v>
      </c>
      <c r="BW142" s="32">
        <f t="shared" si="44"/>
        <v>15476.04728</v>
      </c>
      <c r="BX142" s="32">
        <f>IF(BY141&lt;Assumptions!$B$92,MAX(0,(AM142-BE142-BO142-BQ142)-Assumptions!$B$93)*Assumptions!$B$98,0)</f>
        <v>0</v>
      </c>
      <c r="BY142" s="32">
        <f t="shared" si="14"/>
        <v>15476.04728</v>
      </c>
      <c r="BZ142" s="32">
        <f t="shared" si="45"/>
        <v>70880</v>
      </c>
      <c r="CA142" s="32">
        <f t="shared" si="15"/>
        <v>8860</v>
      </c>
      <c r="CB142" s="32">
        <f t="shared" si="16"/>
        <v>79740</v>
      </c>
      <c r="CC142" s="55">
        <f>CC141+(G142+J142)/(Salary_Schedule!E142*12/208)</f>
        <v>1848.788064</v>
      </c>
      <c r="CD142" s="55">
        <f>CD141+(O142+R142)/(Salary_Schedule!G142*12/208)</f>
        <v>183.0723447</v>
      </c>
      <c r="CE142" s="32">
        <f t="shared" si="17"/>
        <v>2621938.371</v>
      </c>
      <c r="CF142" s="32">
        <f>Assumptions!$B$55*(1+Assumptions!$B$56)^((B142-2025)+(A142-1)/12)</f>
        <v>627923.2233</v>
      </c>
      <c r="CG142" s="32">
        <f t="shared" si="18"/>
        <v>0</v>
      </c>
      <c r="CH142" s="32">
        <f t="shared" si="19"/>
        <v>-10500</v>
      </c>
      <c r="CI142" s="32">
        <f>CC142*(Salary_Schedule!E142/173.33)*(1-Assumptions!$B$28)+CD142*(Salary_Schedule!G142/173.33)*(1-Assumptions!$B$28)</f>
        <v>93560.50912</v>
      </c>
      <c r="CJ142" s="32">
        <f t="shared" si="20"/>
        <v>3332922.104</v>
      </c>
    </row>
    <row r="143" ht="15.0" customHeight="1">
      <c r="A143" s="1">
        <v>10.0</v>
      </c>
      <c r="B143" s="1">
        <v>2037.0</v>
      </c>
      <c r="C143" s="1" t="s">
        <v>812</v>
      </c>
      <c r="D143" s="1" t="str">
        <f t="shared" si="21"/>
        <v>09/2037</v>
      </c>
      <c r="E143" s="1" t="str">
        <f t="shared" si="2"/>
        <v>FAT_RSU</v>
      </c>
      <c r="F143" s="32">
        <f>Salary_Schedule!E143</f>
        <v>12599.07</v>
      </c>
      <c r="G143" s="32">
        <f>Assumptions!$B$8</f>
        <v>200</v>
      </c>
      <c r="H143" s="32">
        <f>F143*Assumptions!$B$58</f>
        <v>1259.907</v>
      </c>
      <c r="I143" s="32">
        <f>Salary_Schedule!F143</f>
        <v>0</v>
      </c>
      <c r="J143" s="32">
        <f>I143*Assumptions!$B$9</f>
        <v>0</v>
      </c>
      <c r="K143" s="54">
        <f t="shared" si="3"/>
        <v>11139.163</v>
      </c>
      <c r="L143" s="32">
        <f>IF(COUNTIFS(SL_Income_Log!$B:$B,TEXT(B143,"0000")&amp;"-"&amp;TEXT(A143,"00"),SL_Income_Log!$C:$C,"salary",SL_Income_Log!$E:$E,"H")&gt;0,SUMIFS(SL_Income_Log!$D:$D,SL_Income_Log!$B:$B,TEXT(B143,"0000")&amp;"-"&amp;TEXT(A143,"00"),SL_Income_Log!$C:$C,"salary",SL_Income_Log!$E:$E,"H"),K143*(1-Assumptions!$B$102)-Z143-Y143)</f>
        <v>6683.4978</v>
      </c>
      <c r="M143" s="32">
        <f>RSU_Schedule!H142</f>
        <v>2784.99</v>
      </c>
      <c r="N143" s="32">
        <f>Salary_Schedule!G143</f>
        <v>9045.49</v>
      </c>
      <c r="O143" s="32">
        <f>Assumptions!$B$19</f>
        <v>200</v>
      </c>
      <c r="P143" s="32">
        <f>N143*Assumptions!$B$59</f>
        <v>904.549</v>
      </c>
      <c r="Q143" s="32">
        <f>Salary_Schedule!H143</f>
        <v>0</v>
      </c>
      <c r="R143" s="32">
        <f>Q143*Assumptions!$B$20</f>
        <v>0</v>
      </c>
      <c r="S143" s="54">
        <f t="shared" si="4"/>
        <v>7940.941</v>
      </c>
      <c r="T143" s="32">
        <f>IF(COUNTIFS(SL_Income_Log!$B:$B,TEXT(B143,"0000")&amp;"-"&amp;TEXT(A143,"00"),SL_Income_Log!$C:$C,"salary",SL_Income_Log!$E:$E,"W")&gt;0,SUMIFS(SL_Income_Log!$D:$D,SL_Income_Log!$B:$B,TEXT(B143,"0000")&amp;"-"&amp;TEXT(A143,"00"),SL_Income_Log!$C:$C,"salary",SL_Income_Log!$E:$E,"W"),S143*(1-Assumptions!$B$102)-AC143-AB143)
</f>
        <v>4764.5646</v>
      </c>
      <c r="U143" s="32">
        <f>RSU_Schedule!M142</f>
        <v>1392.51</v>
      </c>
      <c r="V143" s="32">
        <f>H143*(1+Assumptions!$B$60)+Assumptions!$B$61</f>
        <v>1783.8698</v>
      </c>
      <c r="W143" s="32">
        <f>P143*(1+Assumptions!$B$60)+Assumptions!$B$61</f>
        <v>1286.3686</v>
      </c>
      <c r="X143" s="32">
        <f t="shared" si="5"/>
        <v>3070.2384</v>
      </c>
      <c r="Y143" s="32">
        <v>0.0</v>
      </c>
      <c r="Z143" s="32">
        <v>0.0</v>
      </c>
      <c r="AA143" s="32">
        <v>0.0</v>
      </c>
      <c r="AB143" s="32">
        <v>0.0</v>
      </c>
      <c r="AC143" s="32">
        <v>0.0</v>
      </c>
      <c r="AD143" s="32">
        <v>0.0</v>
      </c>
      <c r="AE143" s="32">
        <f t="shared" ref="AE143:AF143" si="184">Z143+AC143</f>
        <v>0</v>
      </c>
      <c r="AF143" s="32">
        <f t="shared" si="184"/>
        <v>0</v>
      </c>
      <c r="AG143" s="32">
        <f>IF(COUNTIFS(SL_Income_Log!$B:$B,TEXT(B143,"0000")&amp;"-"&amp;TEXT(A143,"00"),SL_Income_Log!$C:$C,"youtube")&gt;0,SUMIFS(SL_Income_Log!$D:$D,SL_Income_Log!$B:$B,TEXT(B143,"0000")&amp;"-"&amp;TEXT(A143,"00"),SL_Income_Log!$C:$C,"youtube"),MIN(Assumptions!$B$49+FLOOR((ROW()-2)/6,1)*Assumptions!$B$50,Assumptions!$B$51))
</f>
        <v>20000</v>
      </c>
      <c r="AH143" s="32">
        <f>AG143*Assumptions!$B$104</f>
        <v>8860</v>
      </c>
      <c r="AI143" s="32">
        <f t="shared" si="7"/>
        <v>11140</v>
      </c>
      <c r="AJ143" s="32">
        <f>SUMIFS(SL_Income_Log!$D:$D,SL_Income_Log!$B:$B,TEXT(B143,"0000")&amp;"-"&amp;TEXT(A143,"00"),SL_Income_Log!$C:$C,"other")</f>
        <v>0</v>
      </c>
      <c r="AK143" s="32">
        <f t="shared" si="27"/>
        <v>10000</v>
      </c>
      <c r="AL143" s="32">
        <f>L143+M143+T143+U143+AI143+AJ143-Y143-Z143-AB143-AC143+IF((Debt_Register!$C$2+Debt_Register!$C$6+Debt_Register!$C$7+Debt_Register!$C$8+Debt_Register!$C$9)&gt;5,X143,0)</f>
        <v>29835.8008</v>
      </c>
      <c r="AM143" s="32">
        <f t="shared" si="8"/>
        <v>39835.8008</v>
      </c>
      <c r="AN143" s="32">
        <f>MAX(Assumptions!$B$94,MIN(Assumptions!$B$93,AM143-AP143-BE143-BO143-BQ143))</f>
        <v>10000</v>
      </c>
      <c r="AO143" s="32">
        <v>0.0</v>
      </c>
      <c r="AP143" s="32">
        <v>0.0</v>
      </c>
      <c r="AQ143" s="32">
        <v>0.0</v>
      </c>
      <c r="AR143" s="32">
        <v>0.0</v>
      </c>
      <c r="AS143" s="32">
        <v>0.0</v>
      </c>
      <c r="AT143" s="32">
        <v>0.0</v>
      </c>
      <c r="AU143" s="32">
        <f t="shared" si="30"/>
        <v>0</v>
      </c>
      <c r="AV143" s="32">
        <f t="shared" si="31"/>
        <v>0</v>
      </c>
      <c r="AW143" s="32">
        <f t="shared" si="32"/>
        <v>0</v>
      </c>
      <c r="AX143" s="32">
        <f t="shared" si="33"/>
        <v>0</v>
      </c>
      <c r="AY143" s="32">
        <f t="shared" si="34"/>
        <v>0</v>
      </c>
      <c r="AZ143" s="32">
        <f t="shared" si="35"/>
        <v>0</v>
      </c>
      <c r="BA143" s="32">
        <f t="shared" si="36"/>
        <v>0</v>
      </c>
      <c r="BB143" s="32">
        <f t="shared" si="37"/>
        <v>0</v>
      </c>
      <c r="BC143" s="32">
        <f t="shared" si="38"/>
        <v>0</v>
      </c>
      <c r="BD143" s="32">
        <f t="shared" si="39"/>
        <v>0</v>
      </c>
      <c r="BE143" s="32">
        <f t="shared" si="11"/>
        <v>0</v>
      </c>
      <c r="BF143" s="32">
        <v>0.0</v>
      </c>
      <c r="BG143" s="32">
        <f t="shared" si="40"/>
        <v>5500</v>
      </c>
      <c r="BH143" s="32">
        <v>0.0</v>
      </c>
      <c r="BI143" s="32">
        <f t="shared" si="41"/>
        <v>5000</v>
      </c>
      <c r="BJ143" s="32">
        <f>IF(OR(B143&lt;Assumptions!$B$111,AND(B143=Assumptions!$B$111,A143&lt;=Assumptions!$B$112)),Assumptions!$B$110,0)</f>
        <v>0</v>
      </c>
      <c r="BK143" s="32">
        <f>IF(B143&lt;2027,Assumptions!$B$116+IF(OR(A143=4,A143=10),Assumptions!$B$117,0),IF(AND(B143=2027,A143&lt;=4),IF(A143=4,MIN(950,Assumptions!$B$116+Assumptions!$B$117),Assumptions!$B$116),0))</f>
        <v>0</v>
      </c>
      <c r="BL143" s="32">
        <f>IF(OR(B143&lt;2030,AND(B143=2030,A143&lt;8)),Assumptions!$B$118,IF(AND(B143=2030,A143=8),MOD(11000,200),0))</f>
        <v>0</v>
      </c>
      <c r="BM143" s="32">
        <f>IF(OR(B143&lt;Assumptions!$B$120,AND(B143=Assumptions!$B$120,A143&lt;=Assumptions!$B$121)),Assumptions!$B$119,0)</f>
        <v>0</v>
      </c>
      <c r="BN143" s="32">
        <f>IF(AND(B143&lt;=Assumptions!$B$123,A143&lt;=Assumptions!$B$124),Assumptions!$B$122,0)</f>
        <v>0</v>
      </c>
      <c r="BO143" s="32">
        <f t="shared" si="12"/>
        <v>0</v>
      </c>
      <c r="BP143" s="32">
        <f>SUMIFS(SL_Budget!$B:$B,SL_Budget!$C:$C,"'"&amp;TEXT(DATE(B143,A143,1),"YYYY-MM"))</f>
        <v>5687</v>
      </c>
      <c r="BQ143" s="32">
        <f>MAX(BP143, IFERROR(SUMIFS(ShadowLedger!D:D, 
  ShadowLedger!C:C, "&gt;="&amp;DATE(B143,A143,1), 
  ShadowLedger!C:C, "&lt;"&amp;EOMONTH(DATE(B143,A143,1),0)+1), 0))
</f>
        <v>5687</v>
      </c>
      <c r="BR143" s="32">
        <f t="shared" si="42"/>
        <v>2621938.371</v>
      </c>
      <c r="BS143" s="32">
        <f t="shared" si="43"/>
        <v>3070.2384</v>
      </c>
      <c r="BT143" s="32">
        <f>IF(BY142&gt;=Assumptions!$B$92,MAX(0,(AM143-BE143-BO143-BQ143)-Assumptions!$B$93),MAX(0,(AM143-BE143-BO143-BQ143)-Assumptions!$B$93)*Assumptions!$B$99)</f>
        <v>24148.8008</v>
      </c>
      <c r="BU143" s="32">
        <f>(BR143+BS143+MAX(0,BT143))*(Assumptions!$B$43-1)</f>
        <v>18061.95522</v>
      </c>
      <c r="BV143" s="32">
        <f t="shared" si="13"/>
        <v>2667219.366</v>
      </c>
      <c r="BW143" s="32">
        <f t="shared" si="44"/>
        <v>15476.04728</v>
      </c>
      <c r="BX143" s="32">
        <f>IF(BY142&lt;Assumptions!$B$92,MAX(0,(AM143-BE143-BO143-BQ143)-Assumptions!$B$93)*Assumptions!$B$98,0)</f>
        <v>0</v>
      </c>
      <c r="BY143" s="32">
        <f t="shared" si="14"/>
        <v>15476.04728</v>
      </c>
      <c r="BZ143" s="32">
        <f t="shared" si="45"/>
        <v>79740</v>
      </c>
      <c r="CA143" s="32">
        <f t="shared" si="15"/>
        <v>8860</v>
      </c>
      <c r="CB143" s="32">
        <f t="shared" si="16"/>
        <v>88600</v>
      </c>
      <c r="CC143" s="55">
        <f>CC142+(G143+J143)/(Salary_Schedule!E143*12/208)</f>
        <v>1849.063217</v>
      </c>
      <c r="CD143" s="55">
        <f>CD142+(O143+R143)/(Salary_Schedule!G143*12/208)</f>
        <v>183.4555928</v>
      </c>
      <c r="CE143" s="32">
        <f t="shared" si="17"/>
        <v>2667219.366</v>
      </c>
      <c r="CF143" s="32">
        <f>Assumptions!$B$55*(1+Assumptions!$B$56)^((B143-2025)+(A143-1)/12)</f>
        <v>628702.7823</v>
      </c>
      <c r="CG143" s="32">
        <f t="shared" si="18"/>
        <v>0</v>
      </c>
      <c r="CH143" s="32">
        <f t="shared" si="19"/>
        <v>-10500</v>
      </c>
      <c r="CI143" s="32">
        <f>CC143*(Salary_Schedule!E143/173.33)*(1-Assumptions!$B$28)+CD143*(Salary_Schedule!G143/173.33)*(1-Assumptions!$B$28)</f>
        <v>93586.50962</v>
      </c>
      <c r="CJ143" s="32">
        <f t="shared" si="20"/>
        <v>3379008.658</v>
      </c>
    </row>
    <row r="144" ht="15.0" customHeight="1">
      <c r="A144" s="1">
        <v>11.0</v>
      </c>
      <c r="B144" s="1">
        <v>2037.0</v>
      </c>
      <c r="C144" s="1" t="s">
        <v>813</v>
      </c>
      <c r="D144" s="1" t="str">
        <f t="shared" si="21"/>
        <v>10/2037</v>
      </c>
      <c r="E144" s="1" t="str">
        <f t="shared" si="2"/>
        <v>LEAN</v>
      </c>
      <c r="F144" s="32">
        <f>Salary_Schedule!E144</f>
        <v>12599.07</v>
      </c>
      <c r="G144" s="32">
        <f>Assumptions!$B$8</f>
        <v>200</v>
      </c>
      <c r="H144" s="32">
        <f>F144*Assumptions!$B$58</f>
        <v>1259.907</v>
      </c>
      <c r="I144" s="32">
        <f>Salary_Schedule!F144</f>
        <v>0</v>
      </c>
      <c r="J144" s="32">
        <f>I144*Assumptions!$B$9</f>
        <v>0</v>
      </c>
      <c r="K144" s="54">
        <f t="shared" si="3"/>
        <v>11139.163</v>
      </c>
      <c r="L144" s="32">
        <f>IF(COUNTIFS(SL_Income_Log!$B:$B,TEXT(B144,"0000")&amp;"-"&amp;TEXT(A144,"00"),SL_Income_Log!$C:$C,"salary",SL_Income_Log!$E:$E,"H")&gt;0,SUMIFS(SL_Income_Log!$D:$D,SL_Income_Log!$B:$B,TEXT(B144,"0000")&amp;"-"&amp;TEXT(A144,"00"),SL_Income_Log!$C:$C,"salary",SL_Income_Log!$E:$E,"H"),K144*(1-Assumptions!$B$102)-Z144-Y144)</f>
        <v>6683.4978</v>
      </c>
      <c r="M144" s="32">
        <f>RSU_Schedule!H143</f>
        <v>0</v>
      </c>
      <c r="N144" s="32">
        <f>Salary_Schedule!G144</f>
        <v>9045.49</v>
      </c>
      <c r="O144" s="32">
        <f>Assumptions!$B$19</f>
        <v>200</v>
      </c>
      <c r="P144" s="32">
        <f>N144*Assumptions!$B$59</f>
        <v>904.549</v>
      </c>
      <c r="Q144" s="32">
        <f>Salary_Schedule!H144</f>
        <v>0</v>
      </c>
      <c r="R144" s="32">
        <f>Q144*Assumptions!$B$20</f>
        <v>0</v>
      </c>
      <c r="S144" s="54">
        <f t="shared" si="4"/>
        <v>7940.941</v>
      </c>
      <c r="T144" s="32">
        <f>IF(COUNTIFS(SL_Income_Log!$B:$B,TEXT(B144,"0000")&amp;"-"&amp;TEXT(A144,"00"),SL_Income_Log!$C:$C,"salary",SL_Income_Log!$E:$E,"W")&gt;0,SUMIFS(SL_Income_Log!$D:$D,SL_Income_Log!$B:$B,TEXT(B144,"0000")&amp;"-"&amp;TEXT(A144,"00"),SL_Income_Log!$C:$C,"salary",SL_Income_Log!$E:$E,"W"),S144*(1-Assumptions!$B$102)-AC144-AB144)
</f>
        <v>4764.5646</v>
      </c>
      <c r="U144" s="32">
        <f>RSU_Schedule!M143</f>
        <v>0</v>
      </c>
      <c r="V144" s="32">
        <f>H144*(1+Assumptions!$B$60)+Assumptions!$B$61</f>
        <v>1783.8698</v>
      </c>
      <c r="W144" s="32">
        <f>P144*(1+Assumptions!$B$60)+Assumptions!$B$61</f>
        <v>1286.3686</v>
      </c>
      <c r="X144" s="32">
        <f t="shared" si="5"/>
        <v>3070.2384</v>
      </c>
      <c r="Y144" s="32">
        <v>0.0</v>
      </c>
      <c r="Z144" s="32">
        <v>0.0</v>
      </c>
      <c r="AA144" s="32">
        <v>0.0</v>
      </c>
      <c r="AB144" s="32">
        <v>0.0</v>
      </c>
      <c r="AC144" s="32">
        <v>0.0</v>
      </c>
      <c r="AD144" s="32">
        <v>0.0</v>
      </c>
      <c r="AE144" s="32">
        <f t="shared" ref="AE144:AF144" si="185">Z144+AC144</f>
        <v>0</v>
      </c>
      <c r="AF144" s="32">
        <f t="shared" si="185"/>
        <v>0</v>
      </c>
      <c r="AG144" s="32">
        <f>IF(COUNTIFS(SL_Income_Log!$B:$B,TEXT(B144,"0000")&amp;"-"&amp;TEXT(A144,"00"),SL_Income_Log!$C:$C,"youtube")&gt;0,SUMIFS(SL_Income_Log!$D:$D,SL_Income_Log!$B:$B,TEXT(B144,"0000")&amp;"-"&amp;TEXT(A144,"00"),SL_Income_Log!$C:$C,"youtube"),MIN(Assumptions!$B$49+FLOOR((ROW()-2)/6,1)*Assumptions!$B$50,Assumptions!$B$51))
</f>
        <v>20000</v>
      </c>
      <c r="AH144" s="32">
        <f>AG144*Assumptions!$B$104</f>
        <v>8860</v>
      </c>
      <c r="AI144" s="32">
        <f t="shared" si="7"/>
        <v>11140</v>
      </c>
      <c r="AJ144" s="32">
        <f>SUMIFS(SL_Income_Log!$D:$D,SL_Income_Log!$B:$B,TEXT(B144,"0000")&amp;"-"&amp;TEXT(A144,"00"),SL_Income_Log!$C:$C,"other")</f>
        <v>0</v>
      </c>
      <c r="AK144" s="32">
        <f t="shared" si="27"/>
        <v>10000</v>
      </c>
      <c r="AL144" s="32">
        <f>L144+M144+T144+U144+AI144+AJ144-Y144-Z144-AB144-AC144+IF((Debt_Register!$C$2+Debt_Register!$C$6+Debt_Register!$C$7+Debt_Register!$C$8+Debt_Register!$C$9)&gt;5,X144,0)</f>
        <v>25658.3008</v>
      </c>
      <c r="AM144" s="32">
        <f t="shared" si="8"/>
        <v>35658.3008</v>
      </c>
      <c r="AN144" s="32">
        <f>MAX(Assumptions!$B$94,MIN(Assumptions!$B$93,AM144-AP144-BE144-BO144-BQ144))</f>
        <v>10000</v>
      </c>
      <c r="AO144" s="32">
        <v>0.0</v>
      </c>
      <c r="AP144" s="32">
        <v>0.0</v>
      </c>
      <c r="AQ144" s="32">
        <v>0.0</v>
      </c>
      <c r="AR144" s="32">
        <v>0.0</v>
      </c>
      <c r="AS144" s="32">
        <v>0.0</v>
      </c>
      <c r="AT144" s="32">
        <v>0.0</v>
      </c>
      <c r="AU144" s="32">
        <f t="shared" si="30"/>
        <v>0</v>
      </c>
      <c r="AV144" s="32">
        <f t="shared" si="31"/>
        <v>0</v>
      </c>
      <c r="AW144" s="32">
        <f t="shared" si="32"/>
        <v>0</v>
      </c>
      <c r="AX144" s="32">
        <f t="shared" si="33"/>
        <v>0</v>
      </c>
      <c r="AY144" s="32">
        <f t="shared" si="34"/>
        <v>0</v>
      </c>
      <c r="AZ144" s="32">
        <f t="shared" si="35"/>
        <v>0</v>
      </c>
      <c r="BA144" s="32">
        <f t="shared" si="36"/>
        <v>0</v>
      </c>
      <c r="BB144" s="32">
        <f t="shared" si="37"/>
        <v>0</v>
      </c>
      <c r="BC144" s="32">
        <f t="shared" si="38"/>
        <v>0</v>
      </c>
      <c r="BD144" s="32">
        <f t="shared" si="39"/>
        <v>0</v>
      </c>
      <c r="BE144" s="32">
        <f t="shared" si="11"/>
        <v>0</v>
      </c>
      <c r="BF144" s="32">
        <v>0.0</v>
      </c>
      <c r="BG144" s="32">
        <f t="shared" si="40"/>
        <v>5500</v>
      </c>
      <c r="BH144" s="32">
        <v>0.0</v>
      </c>
      <c r="BI144" s="32">
        <f t="shared" si="41"/>
        <v>5000</v>
      </c>
      <c r="BJ144" s="32">
        <f>IF(OR(B144&lt;Assumptions!$B$111,AND(B144=Assumptions!$B$111,A144&lt;=Assumptions!$B$112)),Assumptions!$B$110,0)</f>
        <v>0</v>
      </c>
      <c r="BK144" s="32">
        <f>IF(B144&lt;2027,Assumptions!$B$116+IF(OR(A144=4,A144=10),Assumptions!$B$117,0),IF(AND(B144=2027,A144&lt;=4),IF(A144=4,MIN(950,Assumptions!$B$116+Assumptions!$B$117),Assumptions!$B$116),0))</f>
        <v>0</v>
      </c>
      <c r="BL144" s="32">
        <f>IF(OR(B144&lt;2030,AND(B144=2030,A144&lt;8)),Assumptions!$B$118,IF(AND(B144=2030,A144=8),MOD(11000,200),0))</f>
        <v>0</v>
      </c>
      <c r="BM144" s="32">
        <f>IF(OR(B144&lt;Assumptions!$B$120,AND(B144=Assumptions!$B$120,A144&lt;=Assumptions!$B$121)),Assumptions!$B$119,0)</f>
        <v>0</v>
      </c>
      <c r="BN144" s="32">
        <f>IF(AND(B144&lt;=Assumptions!$B$123,A144&lt;=Assumptions!$B$124),Assumptions!$B$122,0)</f>
        <v>0</v>
      </c>
      <c r="BO144" s="32">
        <f t="shared" si="12"/>
        <v>0</v>
      </c>
      <c r="BP144" s="32">
        <f>SUMIFS(SL_Budget!$B:$B,SL_Budget!$C:$C,"'"&amp;TEXT(DATE(B144,A144,1),"YYYY-MM"))</f>
        <v>5687</v>
      </c>
      <c r="BQ144" s="32">
        <f>MAX(BP144, IFERROR(SUMIFS(ShadowLedger!D:D, 
  ShadowLedger!C:C, "&gt;="&amp;DATE(B144,A144,1), 
  ShadowLedger!C:C, "&lt;"&amp;EOMONTH(DATE(B144,A144,1),0)+1), 0))
</f>
        <v>5687</v>
      </c>
      <c r="BR144" s="32">
        <f t="shared" si="42"/>
        <v>2667219.366</v>
      </c>
      <c r="BS144" s="32">
        <f t="shared" si="43"/>
        <v>3070.2384</v>
      </c>
      <c r="BT144" s="32">
        <f>IF(BY143&gt;=Assumptions!$B$92,MAX(0,(AM144-BE144-BO144-BQ144)-Assumptions!$B$93),MAX(0,(AM144-BE144-BO144-BQ144)-Assumptions!$B$93)*Assumptions!$B$99)</f>
        <v>19971.3008</v>
      </c>
      <c r="BU144" s="32">
        <f>(BR144+BS144+MAX(0,BT144))*(Assumptions!$B$43-1)</f>
        <v>18342.19885</v>
      </c>
      <c r="BV144" s="32">
        <f t="shared" si="13"/>
        <v>2708603.104</v>
      </c>
      <c r="BW144" s="32">
        <f t="shared" si="44"/>
        <v>15476.04728</v>
      </c>
      <c r="BX144" s="32">
        <f>IF(BY143&lt;Assumptions!$B$92,MAX(0,(AM144-BE144-BO144-BQ144)-Assumptions!$B$93)*Assumptions!$B$98,0)</f>
        <v>0</v>
      </c>
      <c r="BY144" s="32">
        <f t="shared" si="14"/>
        <v>15476.04728</v>
      </c>
      <c r="BZ144" s="32">
        <f t="shared" si="45"/>
        <v>88600</v>
      </c>
      <c r="CA144" s="32">
        <f t="shared" si="15"/>
        <v>8860</v>
      </c>
      <c r="CB144" s="32">
        <f t="shared" si="16"/>
        <v>97460</v>
      </c>
      <c r="CC144" s="55">
        <f>CC143+(G144+J144)/(Salary_Schedule!E144*12/208)</f>
        <v>1849.33837</v>
      </c>
      <c r="CD144" s="55">
        <f>CD143+(O144+R144)/(Salary_Schedule!G144*12/208)</f>
        <v>183.8388409</v>
      </c>
      <c r="CE144" s="32">
        <f t="shared" si="17"/>
        <v>2708603.104</v>
      </c>
      <c r="CF144" s="32">
        <f>Assumptions!$B$55*(1+Assumptions!$B$56)^((B144-2025)+(A144-1)/12)</f>
        <v>629483.3091</v>
      </c>
      <c r="CG144" s="32">
        <f t="shared" si="18"/>
        <v>0</v>
      </c>
      <c r="CH144" s="32">
        <f t="shared" si="19"/>
        <v>-10500</v>
      </c>
      <c r="CI144" s="32">
        <f>CC144*(Salary_Schedule!E144/173.33)*(1-Assumptions!$B$28)+CD144*(Salary_Schedule!G144/173.33)*(1-Assumptions!$B$28)</f>
        <v>93612.51012</v>
      </c>
      <c r="CJ144" s="32">
        <f t="shared" si="20"/>
        <v>3421198.923</v>
      </c>
    </row>
    <row r="145" ht="15.0" customHeight="1">
      <c r="A145" s="1">
        <v>12.0</v>
      </c>
      <c r="B145" s="1">
        <v>2037.0</v>
      </c>
      <c r="C145" s="1" t="s">
        <v>814</v>
      </c>
      <c r="D145" s="1" t="str">
        <f t="shared" si="21"/>
        <v>11/2037</v>
      </c>
      <c r="E145" s="1" t="str">
        <f t="shared" si="2"/>
        <v>LEAN</v>
      </c>
      <c r="F145" s="32">
        <f>Salary_Schedule!E145</f>
        <v>12599.07</v>
      </c>
      <c r="G145" s="32">
        <f>Assumptions!$B$8</f>
        <v>200</v>
      </c>
      <c r="H145" s="32">
        <f>F145*Assumptions!$B$58</f>
        <v>1259.907</v>
      </c>
      <c r="I145" s="32">
        <f>Salary_Schedule!F145</f>
        <v>0</v>
      </c>
      <c r="J145" s="32">
        <f>I145*Assumptions!$B$9</f>
        <v>0</v>
      </c>
      <c r="K145" s="54">
        <f t="shared" si="3"/>
        <v>11139.163</v>
      </c>
      <c r="L145" s="32">
        <f>IF(COUNTIFS(SL_Income_Log!$B:$B,TEXT(B145,"0000")&amp;"-"&amp;TEXT(A145,"00"),SL_Income_Log!$C:$C,"salary",SL_Income_Log!$E:$E,"H")&gt;0,SUMIFS(SL_Income_Log!$D:$D,SL_Income_Log!$B:$B,TEXT(B145,"0000")&amp;"-"&amp;TEXT(A145,"00"),SL_Income_Log!$C:$C,"salary",SL_Income_Log!$E:$E,"H"),K145*(1-Assumptions!$B$102)-Z145-Y145)</f>
        <v>6683.4978</v>
      </c>
      <c r="M145" s="32">
        <f>RSU_Schedule!H144</f>
        <v>0</v>
      </c>
      <c r="N145" s="32">
        <f>Salary_Schedule!G145</f>
        <v>9045.49</v>
      </c>
      <c r="O145" s="32">
        <f>Assumptions!$B$19</f>
        <v>200</v>
      </c>
      <c r="P145" s="32">
        <f>N145*Assumptions!$B$59</f>
        <v>904.549</v>
      </c>
      <c r="Q145" s="32">
        <f>Salary_Schedule!H145</f>
        <v>0</v>
      </c>
      <c r="R145" s="32">
        <f>Q145*Assumptions!$B$20</f>
        <v>0</v>
      </c>
      <c r="S145" s="54">
        <f t="shared" si="4"/>
        <v>7940.941</v>
      </c>
      <c r="T145" s="32">
        <f>IF(COUNTIFS(SL_Income_Log!$B:$B,TEXT(B145,"0000")&amp;"-"&amp;TEXT(A145,"00"),SL_Income_Log!$C:$C,"salary",SL_Income_Log!$E:$E,"W")&gt;0,SUMIFS(SL_Income_Log!$D:$D,SL_Income_Log!$B:$B,TEXT(B145,"0000")&amp;"-"&amp;TEXT(A145,"00"),SL_Income_Log!$C:$C,"salary",SL_Income_Log!$E:$E,"W"),S145*(1-Assumptions!$B$102)-AC145-AB145)
</f>
        <v>4764.5646</v>
      </c>
      <c r="U145" s="32">
        <f>RSU_Schedule!M144</f>
        <v>0</v>
      </c>
      <c r="V145" s="32">
        <f>H145*(1+Assumptions!$B$60)+Assumptions!$B$61</f>
        <v>1783.8698</v>
      </c>
      <c r="W145" s="32">
        <f>P145*(1+Assumptions!$B$60)+Assumptions!$B$61</f>
        <v>1286.3686</v>
      </c>
      <c r="X145" s="32">
        <f t="shared" si="5"/>
        <v>3070.2384</v>
      </c>
      <c r="Y145" s="32">
        <v>0.0</v>
      </c>
      <c r="Z145" s="32">
        <v>0.0</v>
      </c>
      <c r="AA145" s="32">
        <v>0.0</v>
      </c>
      <c r="AB145" s="32">
        <v>0.0</v>
      </c>
      <c r="AC145" s="32">
        <v>0.0</v>
      </c>
      <c r="AD145" s="32">
        <v>0.0</v>
      </c>
      <c r="AE145" s="32">
        <f t="shared" ref="AE145:AF145" si="186">Z145+AC145</f>
        <v>0</v>
      </c>
      <c r="AF145" s="32">
        <f t="shared" si="186"/>
        <v>0</v>
      </c>
      <c r="AG145" s="32">
        <f>IF(COUNTIFS(SL_Income_Log!$B:$B,TEXT(B145,"0000")&amp;"-"&amp;TEXT(A145,"00"),SL_Income_Log!$C:$C,"youtube")&gt;0,SUMIFS(SL_Income_Log!$D:$D,SL_Income_Log!$B:$B,TEXT(B145,"0000")&amp;"-"&amp;TEXT(A145,"00"),SL_Income_Log!$C:$C,"youtube"),MIN(Assumptions!$B$49+FLOOR((ROW()-2)/6,1)*Assumptions!$B$50,Assumptions!$B$51))
</f>
        <v>20000</v>
      </c>
      <c r="AH145" s="32">
        <f>AG145*Assumptions!$B$104</f>
        <v>8860</v>
      </c>
      <c r="AI145" s="32">
        <f t="shared" si="7"/>
        <v>11140</v>
      </c>
      <c r="AJ145" s="32">
        <f>SUMIFS(SL_Income_Log!$D:$D,SL_Income_Log!$B:$B,TEXT(B145,"0000")&amp;"-"&amp;TEXT(A145,"00"),SL_Income_Log!$C:$C,"other")</f>
        <v>0</v>
      </c>
      <c r="AK145" s="32">
        <f t="shared" si="27"/>
        <v>10000</v>
      </c>
      <c r="AL145" s="32">
        <f>L145+M145+T145+U145+AI145+AJ145-Y145-Z145-AB145-AC145+IF((Debt_Register!$C$2+Debt_Register!$C$6+Debt_Register!$C$7+Debt_Register!$C$8+Debt_Register!$C$9)&gt;5,X145,0)</f>
        <v>25658.3008</v>
      </c>
      <c r="AM145" s="32">
        <f t="shared" si="8"/>
        <v>35658.3008</v>
      </c>
      <c r="AN145" s="32">
        <f>MAX(Assumptions!$B$94,MIN(Assumptions!$B$93,AM145-AP145-BE145-BO145-BQ145))</f>
        <v>10000</v>
      </c>
      <c r="AO145" s="32">
        <v>0.0</v>
      </c>
      <c r="AP145" s="32">
        <v>0.0</v>
      </c>
      <c r="AQ145" s="32">
        <v>0.0</v>
      </c>
      <c r="AR145" s="32">
        <v>0.0</v>
      </c>
      <c r="AS145" s="32">
        <v>0.0</v>
      </c>
      <c r="AT145" s="32">
        <v>0.0</v>
      </c>
      <c r="AU145" s="32">
        <f t="shared" si="30"/>
        <v>0</v>
      </c>
      <c r="AV145" s="32">
        <f t="shared" si="31"/>
        <v>0</v>
      </c>
      <c r="AW145" s="32">
        <f t="shared" si="32"/>
        <v>0</v>
      </c>
      <c r="AX145" s="32">
        <f t="shared" si="33"/>
        <v>0</v>
      </c>
      <c r="AY145" s="32">
        <f t="shared" si="34"/>
        <v>0</v>
      </c>
      <c r="AZ145" s="32">
        <f t="shared" si="35"/>
        <v>0</v>
      </c>
      <c r="BA145" s="32">
        <f t="shared" si="36"/>
        <v>0</v>
      </c>
      <c r="BB145" s="32">
        <f t="shared" si="37"/>
        <v>0</v>
      </c>
      <c r="BC145" s="32">
        <f t="shared" si="38"/>
        <v>0</v>
      </c>
      <c r="BD145" s="32">
        <f t="shared" si="39"/>
        <v>0</v>
      </c>
      <c r="BE145" s="32">
        <f t="shared" si="11"/>
        <v>0</v>
      </c>
      <c r="BF145" s="32">
        <v>0.0</v>
      </c>
      <c r="BG145" s="32">
        <f t="shared" si="40"/>
        <v>5500</v>
      </c>
      <c r="BH145" s="32">
        <v>0.0</v>
      </c>
      <c r="BI145" s="32">
        <f t="shared" si="41"/>
        <v>5000</v>
      </c>
      <c r="BJ145" s="32">
        <f>IF(OR(B145&lt;Assumptions!$B$111,AND(B145=Assumptions!$B$111,A145&lt;=Assumptions!$B$112)),Assumptions!$B$110,0)</f>
        <v>0</v>
      </c>
      <c r="BK145" s="32">
        <f>IF(B145&lt;2027,Assumptions!$B$116+IF(OR(A145=4,A145=10),Assumptions!$B$117,0),IF(AND(B145=2027,A145&lt;=4),IF(A145=4,MIN(950,Assumptions!$B$116+Assumptions!$B$117),Assumptions!$B$116),0))</f>
        <v>0</v>
      </c>
      <c r="BL145" s="32">
        <f>IF(OR(B145&lt;2030,AND(B145=2030,A145&lt;8)),Assumptions!$B$118,IF(AND(B145=2030,A145=8),MOD(11000,200),0))</f>
        <v>0</v>
      </c>
      <c r="BM145" s="32">
        <f>IF(OR(B145&lt;Assumptions!$B$120,AND(B145=Assumptions!$B$120,A145&lt;=Assumptions!$B$121)),Assumptions!$B$119,0)</f>
        <v>0</v>
      </c>
      <c r="BN145" s="32">
        <f>IF(AND(B145&lt;=Assumptions!$B$123,A145&lt;=Assumptions!$B$124),Assumptions!$B$122,0)</f>
        <v>0</v>
      </c>
      <c r="BO145" s="32">
        <f t="shared" si="12"/>
        <v>0</v>
      </c>
      <c r="BP145" s="32">
        <f>SUMIFS(SL_Budget!$B:$B,SL_Budget!$C:$C,"'"&amp;TEXT(DATE(B145,A145,1),"YYYY-MM"))</f>
        <v>5687</v>
      </c>
      <c r="BQ145" s="32">
        <f>MAX(BP145, IFERROR(SUMIFS(ShadowLedger!D:D, 
  ShadowLedger!C:C, "&gt;="&amp;DATE(B145,A145,1), 
  ShadowLedger!C:C, "&lt;"&amp;EOMONTH(DATE(B145,A145,1),0)+1), 0))
</f>
        <v>5687</v>
      </c>
      <c r="BR145" s="32">
        <f t="shared" si="42"/>
        <v>2708603.104</v>
      </c>
      <c r="BS145" s="32">
        <f t="shared" si="43"/>
        <v>3070.2384</v>
      </c>
      <c r="BT145" s="32">
        <f>IF(BY144&gt;=Assumptions!$B$92,MAX(0,(AM145-BE145-BO145-BQ145)-Assumptions!$B$93),MAX(0,(AM145-BE145-BO145-BQ145)-Assumptions!$B$93)*Assumptions!$B$99)</f>
        <v>19971.3008</v>
      </c>
      <c r="BU145" s="32">
        <f>(BR145+BS145+MAX(0,BT145))*(Assumptions!$B$43-1)</f>
        <v>18624.35318</v>
      </c>
      <c r="BV145" s="32">
        <f t="shared" si="13"/>
        <v>2750268.996</v>
      </c>
      <c r="BW145" s="32">
        <f t="shared" si="44"/>
        <v>15476.04728</v>
      </c>
      <c r="BX145" s="32">
        <f>IF(BY144&lt;Assumptions!$B$92,MAX(0,(AM145-BE145-BO145-BQ145)-Assumptions!$B$93)*Assumptions!$B$98,0)</f>
        <v>0</v>
      </c>
      <c r="BY145" s="32">
        <f t="shared" si="14"/>
        <v>15476.04728</v>
      </c>
      <c r="BZ145" s="32">
        <f t="shared" si="45"/>
        <v>97460</v>
      </c>
      <c r="CA145" s="32">
        <f t="shared" si="15"/>
        <v>8860</v>
      </c>
      <c r="CB145" s="32">
        <f t="shared" si="16"/>
        <v>106320</v>
      </c>
      <c r="CC145" s="55">
        <f>CC144+(G145+J145)/(Salary_Schedule!E145*12/208)</f>
        <v>1849.613522</v>
      </c>
      <c r="CD145" s="55">
        <f>CD144+(O145+R145)/(Salary_Schedule!G145*12/208)</f>
        <v>184.2220889</v>
      </c>
      <c r="CE145" s="32">
        <f t="shared" si="17"/>
        <v>2750268.996</v>
      </c>
      <c r="CF145" s="32">
        <f>Assumptions!$B$55*(1+Assumptions!$B$56)^((B145-2025)+(A145-1)/12)</f>
        <v>630264.8049</v>
      </c>
      <c r="CG145" s="32">
        <f t="shared" si="18"/>
        <v>0</v>
      </c>
      <c r="CH145" s="32">
        <f t="shared" si="19"/>
        <v>-10500</v>
      </c>
      <c r="CI145" s="32">
        <f>CC145*(Salary_Schedule!E145/173.33)*(1-Assumptions!$B$28)+CD145*(Salary_Schedule!G145/173.33)*(1-Assumptions!$B$28)</f>
        <v>93638.51062</v>
      </c>
      <c r="CJ145" s="32">
        <f t="shared" si="20"/>
        <v>3463672.312</v>
      </c>
    </row>
    <row r="146" ht="15.0" customHeight="1">
      <c r="A146" s="1">
        <v>1.0</v>
      </c>
      <c r="B146" s="1">
        <v>2038.0</v>
      </c>
      <c r="C146" s="1" t="s">
        <v>815</v>
      </c>
      <c r="D146" s="1" t="str">
        <f t="shared" si="21"/>
        <v>12/2037</v>
      </c>
      <c r="E146" s="1" t="str">
        <f t="shared" si="2"/>
        <v>FAT_RSU</v>
      </c>
      <c r="F146" s="32">
        <f>Salary_Schedule!E146</f>
        <v>13229.03</v>
      </c>
      <c r="G146" s="32">
        <f>Assumptions!$B$8</f>
        <v>200</v>
      </c>
      <c r="H146" s="32">
        <f>F146*Assumptions!$B$58</f>
        <v>1322.903</v>
      </c>
      <c r="I146" s="32">
        <f>Salary_Schedule!F146</f>
        <v>0</v>
      </c>
      <c r="J146" s="32">
        <f>I146*Assumptions!$B$9</f>
        <v>0</v>
      </c>
      <c r="K146" s="54">
        <f t="shared" si="3"/>
        <v>11706.127</v>
      </c>
      <c r="L146" s="32">
        <f>IF(COUNTIFS(SL_Income_Log!$B:$B,TEXT(B146,"0000")&amp;"-"&amp;TEXT(A146,"00"),SL_Income_Log!$C:$C,"salary",SL_Income_Log!$E:$E,"H")&gt;0,SUMIFS(SL_Income_Log!$D:$D,SL_Income_Log!$B:$B,TEXT(B146,"0000")&amp;"-"&amp;TEXT(A146,"00"),SL_Income_Log!$C:$C,"salary",SL_Income_Log!$E:$E,"H"),K146*(1-Assumptions!$B$102)-Z146-Y146)</f>
        <v>7023.6762</v>
      </c>
      <c r="M146" s="32">
        <f>RSU_Schedule!H145</f>
        <v>2784.99</v>
      </c>
      <c r="N146" s="32">
        <f>Salary_Schedule!G146</f>
        <v>9362.08</v>
      </c>
      <c r="O146" s="32">
        <f>Assumptions!$B$19</f>
        <v>200</v>
      </c>
      <c r="P146" s="32">
        <f>N146*Assumptions!$B$59</f>
        <v>936.208</v>
      </c>
      <c r="Q146" s="32">
        <f>Salary_Schedule!H146</f>
        <v>0</v>
      </c>
      <c r="R146" s="32">
        <f>Q146*Assumptions!$B$20</f>
        <v>0</v>
      </c>
      <c r="S146" s="54">
        <f t="shared" si="4"/>
        <v>8225.872</v>
      </c>
      <c r="T146" s="32">
        <f>IF(COUNTIFS(SL_Income_Log!$B:$B,TEXT(B146,"0000")&amp;"-"&amp;TEXT(A146,"00"),SL_Income_Log!$C:$C,"salary",SL_Income_Log!$E:$E,"W")&gt;0,SUMIFS(SL_Income_Log!$D:$D,SL_Income_Log!$B:$B,TEXT(B146,"0000")&amp;"-"&amp;TEXT(A146,"00"),SL_Income_Log!$C:$C,"salary",SL_Income_Log!$E:$E,"W"),S146*(1-Assumptions!$B$102)-AC146-AB146)
</f>
        <v>4935.5232</v>
      </c>
      <c r="U146" s="32">
        <f>RSU_Schedule!M145</f>
        <v>1392.51</v>
      </c>
      <c r="V146" s="32">
        <f>H146*(1+Assumptions!$B$60)+Assumptions!$B$61</f>
        <v>1872.0642</v>
      </c>
      <c r="W146" s="32">
        <f>P146*(1+Assumptions!$B$60)+Assumptions!$B$61</f>
        <v>1330.6912</v>
      </c>
      <c r="X146" s="32">
        <f t="shared" si="5"/>
        <v>3202.7554</v>
      </c>
      <c r="Y146" s="32">
        <v>0.0</v>
      </c>
      <c r="Z146" s="32">
        <v>0.0</v>
      </c>
      <c r="AA146" s="32">
        <v>0.0</v>
      </c>
      <c r="AB146" s="32">
        <v>0.0</v>
      </c>
      <c r="AC146" s="32">
        <v>0.0</v>
      </c>
      <c r="AD146" s="32">
        <v>0.0</v>
      </c>
      <c r="AE146" s="32">
        <f t="shared" ref="AE146:AF146" si="187">Z146+AC146</f>
        <v>0</v>
      </c>
      <c r="AF146" s="32">
        <f t="shared" si="187"/>
        <v>0</v>
      </c>
      <c r="AG146" s="32">
        <f>IF(COUNTIFS(SL_Income_Log!$B:$B,TEXT(B146,"0000")&amp;"-"&amp;TEXT(A146,"00"),SL_Income_Log!$C:$C,"youtube")&gt;0,SUMIFS(SL_Income_Log!$D:$D,SL_Income_Log!$B:$B,TEXT(B146,"0000")&amp;"-"&amp;TEXT(A146,"00"),SL_Income_Log!$C:$C,"youtube"),MIN(Assumptions!$B$49+FLOOR((ROW()-2)/6,1)*Assumptions!$B$50,Assumptions!$B$51))
</f>
        <v>20000</v>
      </c>
      <c r="AH146" s="32">
        <f>AG146*Assumptions!$B$104</f>
        <v>8860</v>
      </c>
      <c r="AI146" s="32">
        <f t="shared" si="7"/>
        <v>11140</v>
      </c>
      <c r="AJ146" s="32">
        <f>SUMIFS(SL_Income_Log!$D:$D,SL_Income_Log!$B:$B,TEXT(B146,"0000")&amp;"-"&amp;TEXT(A146,"00"),SL_Income_Log!$C:$C,"other")</f>
        <v>0</v>
      </c>
      <c r="AK146" s="32">
        <f t="shared" si="27"/>
        <v>10000</v>
      </c>
      <c r="AL146" s="32">
        <f>L146+M146+T146+U146+AI146+AJ146-Y146-Z146-AB146-AC146+IF((Debt_Register!$C$2+Debt_Register!$C$6+Debt_Register!$C$7+Debt_Register!$C$8+Debt_Register!$C$9)&gt;5,X146,0)</f>
        <v>30479.4548</v>
      </c>
      <c r="AM146" s="32">
        <f t="shared" si="8"/>
        <v>40479.4548</v>
      </c>
      <c r="AN146" s="32">
        <f>MAX(Assumptions!$B$94,MIN(Assumptions!$B$93,AM146-AP146-BE146-BO146-BQ146))</f>
        <v>10000</v>
      </c>
      <c r="AO146" s="32">
        <v>0.0</v>
      </c>
      <c r="AP146" s="32">
        <v>0.0</v>
      </c>
      <c r="AQ146" s="32">
        <v>0.0</v>
      </c>
      <c r="AR146" s="32">
        <v>0.0</v>
      </c>
      <c r="AS146" s="32">
        <v>0.0</v>
      </c>
      <c r="AT146" s="32">
        <v>0.0</v>
      </c>
      <c r="AU146" s="32">
        <f t="shared" si="30"/>
        <v>0</v>
      </c>
      <c r="AV146" s="32">
        <f t="shared" si="31"/>
        <v>0</v>
      </c>
      <c r="AW146" s="32">
        <f t="shared" si="32"/>
        <v>0</v>
      </c>
      <c r="AX146" s="32">
        <f t="shared" si="33"/>
        <v>0</v>
      </c>
      <c r="AY146" s="32">
        <f t="shared" si="34"/>
        <v>0</v>
      </c>
      <c r="AZ146" s="32">
        <f t="shared" si="35"/>
        <v>0</v>
      </c>
      <c r="BA146" s="32">
        <f t="shared" si="36"/>
        <v>0</v>
      </c>
      <c r="BB146" s="32">
        <f t="shared" si="37"/>
        <v>0</v>
      </c>
      <c r="BC146" s="32">
        <f t="shared" si="38"/>
        <v>0</v>
      </c>
      <c r="BD146" s="32">
        <f t="shared" si="39"/>
        <v>0</v>
      </c>
      <c r="BE146" s="32">
        <f t="shared" si="11"/>
        <v>0</v>
      </c>
      <c r="BF146" s="32">
        <v>0.0</v>
      </c>
      <c r="BG146" s="32">
        <f t="shared" si="40"/>
        <v>5500</v>
      </c>
      <c r="BH146" s="32">
        <v>0.0</v>
      </c>
      <c r="BI146" s="32">
        <f t="shared" si="41"/>
        <v>5000</v>
      </c>
      <c r="BJ146" s="32">
        <f>IF(OR(B146&lt;Assumptions!$B$111,AND(B146=Assumptions!$B$111,A146&lt;=Assumptions!$B$112)),Assumptions!$B$110,0)</f>
        <v>0</v>
      </c>
      <c r="BK146" s="32">
        <f>IF(B146&lt;2027,Assumptions!$B$116+IF(OR(A146=4,A146=10),Assumptions!$B$117,0),IF(AND(B146=2027,A146&lt;=4),IF(A146=4,MIN(950,Assumptions!$B$116+Assumptions!$B$117),Assumptions!$B$116),0))</f>
        <v>0</v>
      </c>
      <c r="BL146" s="32">
        <f>IF(OR(B146&lt;2030,AND(B146=2030,A146&lt;8)),Assumptions!$B$118,IF(AND(B146=2030,A146=8),MOD(11000,200),0))</f>
        <v>0</v>
      </c>
      <c r="BM146" s="32">
        <f>IF(OR(B146&lt;Assumptions!$B$120,AND(B146=Assumptions!$B$120,A146&lt;=Assumptions!$B$121)),Assumptions!$B$119,0)</f>
        <v>0</v>
      </c>
      <c r="BN146" s="32">
        <f>IF(AND(B146&lt;=Assumptions!$B$123,A146&lt;=Assumptions!$B$124),Assumptions!$B$122,0)</f>
        <v>0</v>
      </c>
      <c r="BO146" s="32">
        <f t="shared" si="12"/>
        <v>0</v>
      </c>
      <c r="BP146" s="32">
        <f>SUMIFS(SL_Budget!$B:$B,SL_Budget!$C:$C,"'"&amp;TEXT(DATE(B146,A146,1),"YYYY-MM"))</f>
        <v>5860</v>
      </c>
      <c r="BQ146" s="32">
        <f>MAX(BP146, IFERROR(SUMIFS(ShadowLedger!D:D, 
  ShadowLedger!C:C, "&gt;="&amp;DATE(B146,A146,1), 
  ShadowLedger!C:C, "&lt;"&amp;EOMONTH(DATE(B146,A146,1),0)+1), 0))
</f>
        <v>5860</v>
      </c>
      <c r="BR146" s="32">
        <f t="shared" si="42"/>
        <v>2750268.996</v>
      </c>
      <c r="BS146" s="32">
        <f t="shared" si="43"/>
        <v>3202.7554</v>
      </c>
      <c r="BT146" s="32">
        <f>IF(BY145&gt;=Assumptions!$B$92,MAX(0,(AM146-BE146-BO146-BQ146)-Assumptions!$B$93),MAX(0,(AM146-BE146-BO146-BQ146)-Assumptions!$B$93)*Assumptions!$B$99)</f>
        <v>24619.4548</v>
      </c>
      <c r="BU146" s="32">
        <f>(BR146+BS146+MAX(0,BT146))*(Assumptions!$B$43-1)</f>
        <v>18941.02584</v>
      </c>
      <c r="BV146" s="32">
        <f t="shared" si="13"/>
        <v>2797032.232</v>
      </c>
      <c r="BW146" s="32">
        <f t="shared" si="44"/>
        <v>15476.04728</v>
      </c>
      <c r="BX146" s="32">
        <f>IF(BY145&lt;Assumptions!$B$92,MAX(0,(AM146-BE146-BO146-BQ146)-Assumptions!$B$93)*Assumptions!$B$98,0)</f>
        <v>0</v>
      </c>
      <c r="BY146" s="32">
        <f t="shared" si="14"/>
        <v>15476.04728</v>
      </c>
      <c r="BZ146" s="32">
        <f t="shared" si="45"/>
        <v>0</v>
      </c>
      <c r="CA146" s="32">
        <f t="shared" si="15"/>
        <v>8860</v>
      </c>
      <c r="CB146" s="32">
        <f t="shared" si="16"/>
        <v>8860</v>
      </c>
      <c r="CC146" s="55">
        <f>CC145+(G146+J146)/(Salary_Schedule!E146*12/208)</f>
        <v>1849.875572</v>
      </c>
      <c r="CD146" s="55">
        <f>CD145+(O146+R146)/(Salary_Schedule!G146*12/208)</f>
        <v>184.592377</v>
      </c>
      <c r="CE146" s="32">
        <f t="shared" si="17"/>
        <v>2797032.232</v>
      </c>
      <c r="CF146" s="32">
        <f>Assumptions!$B$55*(1+Assumptions!$B$56)^((B146-2025)+(A146-1)/12)</f>
        <v>631047.2709</v>
      </c>
      <c r="CG146" s="32">
        <f t="shared" si="18"/>
        <v>0</v>
      </c>
      <c r="CH146" s="32">
        <f t="shared" si="19"/>
        <v>-10500</v>
      </c>
      <c r="CI146" s="32">
        <f>CC146*(Salary_Schedule!E146/173.33)*(1-Assumptions!$B$28)+CD146*(Salary_Schedule!G146/173.33)*(1-Assumptions!$B$28)</f>
        <v>98252.74463</v>
      </c>
      <c r="CJ146" s="32">
        <f t="shared" si="20"/>
        <v>3515832.248</v>
      </c>
    </row>
    <row r="147" ht="15.0" customHeight="1">
      <c r="A147" s="1">
        <v>2.0</v>
      </c>
      <c r="B147" s="1">
        <v>2038.0</v>
      </c>
      <c r="C147" s="1" t="s">
        <v>816</v>
      </c>
      <c r="D147" s="1" t="str">
        <f t="shared" si="21"/>
        <v>01/2038</v>
      </c>
      <c r="E147" s="1" t="str">
        <f t="shared" si="2"/>
        <v>LEAN</v>
      </c>
      <c r="F147" s="32">
        <f>Salary_Schedule!E147</f>
        <v>13229.03</v>
      </c>
      <c r="G147" s="32">
        <f>Assumptions!$B$8</f>
        <v>200</v>
      </c>
      <c r="H147" s="32">
        <f>F147*Assumptions!$B$58</f>
        <v>1322.903</v>
      </c>
      <c r="I147" s="32">
        <f>Salary_Schedule!F147</f>
        <v>0</v>
      </c>
      <c r="J147" s="32">
        <f>I147*Assumptions!$B$9</f>
        <v>0</v>
      </c>
      <c r="K147" s="54">
        <f t="shared" si="3"/>
        <v>11706.127</v>
      </c>
      <c r="L147" s="32">
        <f>IF(COUNTIFS(SL_Income_Log!$B:$B,TEXT(B147,"0000")&amp;"-"&amp;TEXT(A147,"00"),SL_Income_Log!$C:$C,"salary",SL_Income_Log!$E:$E,"H")&gt;0,SUMIFS(SL_Income_Log!$D:$D,SL_Income_Log!$B:$B,TEXT(B147,"0000")&amp;"-"&amp;TEXT(A147,"00"),SL_Income_Log!$C:$C,"salary",SL_Income_Log!$E:$E,"H"),K147*(1-Assumptions!$B$102)-Z147-Y147)</f>
        <v>7023.6762</v>
      </c>
      <c r="M147" s="32">
        <f>RSU_Schedule!H146</f>
        <v>0</v>
      </c>
      <c r="N147" s="32">
        <f>Salary_Schedule!G147</f>
        <v>9362.08</v>
      </c>
      <c r="O147" s="32">
        <f>Assumptions!$B$19</f>
        <v>200</v>
      </c>
      <c r="P147" s="32">
        <f>N147*Assumptions!$B$59</f>
        <v>936.208</v>
      </c>
      <c r="Q147" s="32">
        <f>Salary_Schedule!H147</f>
        <v>0</v>
      </c>
      <c r="R147" s="32">
        <f>Q147*Assumptions!$B$20</f>
        <v>0</v>
      </c>
      <c r="S147" s="54">
        <f t="shared" si="4"/>
        <v>8225.872</v>
      </c>
      <c r="T147" s="32">
        <f>IF(COUNTIFS(SL_Income_Log!$B:$B,TEXT(B147,"0000")&amp;"-"&amp;TEXT(A147,"00"),SL_Income_Log!$C:$C,"salary",SL_Income_Log!$E:$E,"W")&gt;0,SUMIFS(SL_Income_Log!$D:$D,SL_Income_Log!$B:$B,TEXT(B147,"0000")&amp;"-"&amp;TEXT(A147,"00"),SL_Income_Log!$C:$C,"salary",SL_Income_Log!$E:$E,"W"),S147*(1-Assumptions!$B$102)-AC147-AB147)
</f>
        <v>4935.5232</v>
      </c>
      <c r="U147" s="32">
        <f>RSU_Schedule!M146</f>
        <v>0</v>
      </c>
      <c r="V147" s="32">
        <f>H147*(1+Assumptions!$B$60)+Assumptions!$B$61</f>
        <v>1872.0642</v>
      </c>
      <c r="W147" s="32">
        <f>P147*(1+Assumptions!$B$60)+Assumptions!$B$61</f>
        <v>1330.6912</v>
      </c>
      <c r="X147" s="32">
        <f t="shared" si="5"/>
        <v>3202.7554</v>
      </c>
      <c r="Y147" s="32">
        <v>0.0</v>
      </c>
      <c r="Z147" s="32">
        <v>0.0</v>
      </c>
      <c r="AA147" s="32">
        <v>0.0</v>
      </c>
      <c r="AB147" s="32">
        <v>0.0</v>
      </c>
      <c r="AC147" s="32">
        <v>0.0</v>
      </c>
      <c r="AD147" s="32">
        <v>0.0</v>
      </c>
      <c r="AE147" s="32">
        <f t="shared" ref="AE147:AF147" si="188">Z147+AC147</f>
        <v>0</v>
      </c>
      <c r="AF147" s="32">
        <f t="shared" si="188"/>
        <v>0</v>
      </c>
      <c r="AG147" s="32">
        <f>IF(COUNTIFS(SL_Income_Log!$B:$B,TEXT(B147,"0000")&amp;"-"&amp;TEXT(A147,"00"),SL_Income_Log!$C:$C,"youtube")&gt;0,SUMIFS(SL_Income_Log!$D:$D,SL_Income_Log!$B:$B,TEXT(B147,"0000")&amp;"-"&amp;TEXT(A147,"00"),SL_Income_Log!$C:$C,"youtube"),MIN(Assumptions!$B$49+FLOOR((ROW()-2)/6,1)*Assumptions!$B$50,Assumptions!$B$51))
</f>
        <v>20000</v>
      </c>
      <c r="AH147" s="32">
        <f>AG147*Assumptions!$B$104</f>
        <v>8860</v>
      </c>
      <c r="AI147" s="32">
        <f t="shared" si="7"/>
        <v>11140</v>
      </c>
      <c r="AJ147" s="32">
        <f>SUMIFS(SL_Income_Log!$D:$D,SL_Income_Log!$B:$B,TEXT(B147,"0000")&amp;"-"&amp;TEXT(A147,"00"),SL_Income_Log!$C:$C,"other")</f>
        <v>0</v>
      </c>
      <c r="AK147" s="32">
        <f t="shared" si="27"/>
        <v>10000</v>
      </c>
      <c r="AL147" s="32">
        <f>L147+M147+T147+U147+AI147+AJ147-Y147-Z147-AB147-AC147+IF((Debt_Register!$C$2+Debt_Register!$C$6+Debt_Register!$C$7+Debt_Register!$C$8+Debt_Register!$C$9)&gt;5,X147,0)</f>
        <v>26301.9548</v>
      </c>
      <c r="AM147" s="32">
        <f t="shared" si="8"/>
        <v>36301.9548</v>
      </c>
      <c r="AN147" s="32">
        <f>MAX(Assumptions!$B$94,MIN(Assumptions!$B$93,AM147-AP147-BE147-BO147-BQ147))</f>
        <v>10000</v>
      </c>
      <c r="AO147" s="32">
        <v>0.0</v>
      </c>
      <c r="AP147" s="32">
        <v>0.0</v>
      </c>
      <c r="AQ147" s="32">
        <v>0.0</v>
      </c>
      <c r="AR147" s="32">
        <v>0.0</v>
      </c>
      <c r="AS147" s="32">
        <v>0.0</v>
      </c>
      <c r="AT147" s="32">
        <v>0.0</v>
      </c>
      <c r="AU147" s="32">
        <f t="shared" si="30"/>
        <v>0</v>
      </c>
      <c r="AV147" s="32">
        <f t="shared" si="31"/>
        <v>0</v>
      </c>
      <c r="AW147" s="32">
        <f t="shared" si="32"/>
        <v>0</v>
      </c>
      <c r="AX147" s="32">
        <f t="shared" si="33"/>
        <v>0</v>
      </c>
      <c r="AY147" s="32">
        <f t="shared" si="34"/>
        <v>0</v>
      </c>
      <c r="AZ147" s="32">
        <f t="shared" si="35"/>
        <v>0</v>
      </c>
      <c r="BA147" s="32">
        <f t="shared" si="36"/>
        <v>0</v>
      </c>
      <c r="BB147" s="32">
        <f t="shared" si="37"/>
        <v>0</v>
      </c>
      <c r="BC147" s="32">
        <f t="shared" si="38"/>
        <v>0</v>
      </c>
      <c r="BD147" s="32">
        <f t="shared" si="39"/>
        <v>0</v>
      </c>
      <c r="BE147" s="32">
        <f t="shared" si="11"/>
        <v>0</v>
      </c>
      <c r="BF147" s="32">
        <v>0.0</v>
      </c>
      <c r="BG147" s="32">
        <f t="shared" si="40"/>
        <v>5500</v>
      </c>
      <c r="BH147" s="32">
        <v>0.0</v>
      </c>
      <c r="BI147" s="32">
        <f t="shared" si="41"/>
        <v>5000</v>
      </c>
      <c r="BJ147" s="32">
        <f>IF(OR(B147&lt;Assumptions!$B$111,AND(B147=Assumptions!$B$111,A147&lt;=Assumptions!$B$112)),Assumptions!$B$110,0)</f>
        <v>0</v>
      </c>
      <c r="BK147" s="32">
        <f>IF(B147&lt;2027,Assumptions!$B$116+IF(OR(A147=4,A147=10),Assumptions!$B$117,0),IF(AND(B147=2027,A147&lt;=4),IF(A147=4,MIN(950,Assumptions!$B$116+Assumptions!$B$117),Assumptions!$B$116),0))</f>
        <v>0</v>
      </c>
      <c r="BL147" s="32">
        <f>IF(OR(B147&lt;2030,AND(B147=2030,A147&lt;8)),Assumptions!$B$118,IF(AND(B147=2030,A147=8),MOD(11000,200),0))</f>
        <v>0</v>
      </c>
      <c r="BM147" s="32">
        <f>IF(OR(B147&lt;Assumptions!$B$120,AND(B147=Assumptions!$B$120,A147&lt;=Assumptions!$B$121)),Assumptions!$B$119,0)</f>
        <v>0</v>
      </c>
      <c r="BN147" s="32">
        <f>IF(AND(B147&lt;=Assumptions!$B$123,A147&lt;=Assumptions!$B$124),Assumptions!$B$122,0)</f>
        <v>0</v>
      </c>
      <c r="BO147" s="32">
        <f t="shared" si="12"/>
        <v>0</v>
      </c>
      <c r="BP147" s="32">
        <f>SUMIFS(SL_Budget!$B:$B,SL_Budget!$C:$C,"'"&amp;TEXT(DATE(B147,A147,1),"YYYY-MM"))</f>
        <v>5860</v>
      </c>
      <c r="BQ147" s="32">
        <f>MAX(BP147, IFERROR(SUMIFS(ShadowLedger!D:D, 
  ShadowLedger!C:C, "&gt;="&amp;DATE(B147,A147,1), 
  ShadowLedger!C:C, "&lt;"&amp;EOMONTH(DATE(B147,A147,1),0)+1), 0))
</f>
        <v>5860</v>
      </c>
      <c r="BR147" s="32">
        <f t="shared" si="42"/>
        <v>2797032.232</v>
      </c>
      <c r="BS147" s="32">
        <f t="shared" si="43"/>
        <v>3202.7554</v>
      </c>
      <c r="BT147" s="32">
        <f>IF(BY146&gt;=Assumptions!$B$92,MAX(0,(AM147-BE147-BO147-BQ147)-Assumptions!$B$93),MAX(0,(AM147-BE147-BO147-BQ147)-Assumptions!$B$93)*Assumptions!$B$99)</f>
        <v>20441.9548</v>
      </c>
      <c r="BU147" s="32">
        <f>(BR147+BS147+MAX(0,BT147))*(Assumptions!$B$43-1)</f>
        <v>19231.37539</v>
      </c>
      <c r="BV147" s="32">
        <f t="shared" si="13"/>
        <v>2839908.318</v>
      </c>
      <c r="BW147" s="32">
        <f t="shared" si="44"/>
        <v>15476.04728</v>
      </c>
      <c r="BX147" s="32">
        <f>IF(BY146&lt;Assumptions!$B$92,MAX(0,(AM147-BE147-BO147-BQ147)-Assumptions!$B$93)*Assumptions!$B$98,0)</f>
        <v>0</v>
      </c>
      <c r="BY147" s="32">
        <f t="shared" si="14"/>
        <v>15476.04728</v>
      </c>
      <c r="BZ147" s="32">
        <f t="shared" si="45"/>
        <v>8860</v>
      </c>
      <c r="CA147" s="32">
        <f t="shared" si="15"/>
        <v>8860</v>
      </c>
      <c r="CB147" s="32">
        <f t="shared" si="16"/>
        <v>17720</v>
      </c>
      <c r="CC147" s="55">
        <f>CC146+(G147+J147)/(Salary_Schedule!E147*12/208)</f>
        <v>1850.137622</v>
      </c>
      <c r="CD147" s="55">
        <f>CD146+(O147+R147)/(Salary_Schedule!G147*12/208)</f>
        <v>184.9626651</v>
      </c>
      <c r="CE147" s="32">
        <f t="shared" si="17"/>
        <v>2839908.318</v>
      </c>
      <c r="CF147" s="32">
        <f>Assumptions!$B$55*(1+Assumptions!$B$56)^((B147-2025)+(A147-1)/12)</f>
        <v>631830.7083</v>
      </c>
      <c r="CG147" s="32">
        <f t="shared" si="18"/>
        <v>0</v>
      </c>
      <c r="CH147" s="32">
        <f t="shared" si="19"/>
        <v>-10500</v>
      </c>
      <c r="CI147" s="32">
        <f>CC147*(Salary_Schedule!E147/173.33)*(1-Assumptions!$B$28)+CD147*(Salary_Schedule!G147/173.33)*(1-Assumptions!$B$28)</f>
        <v>98278.74513</v>
      </c>
      <c r="CJ147" s="32">
        <f t="shared" si="20"/>
        <v>3559517.771</v>
      </c>
    </row>
    <row r="148" ht="15.0" customHeight="1">
      <c r="A148" s="1">
        <v>3.0</v>
      </c>
      <c r="B148" s="1">
        <v>2038.0</v>
      </c>
      <c r="C148" s="1" t="s">
        <v>817</v>
      </c>
      <c r="D148" s="1" t="str">
        <f t="shared" si="21"/>
        <v>02/2038</v>
      </c>
      <c r="E148" s="1" t="str">
        <f t="shared" si="2"/>
        <v>LEAN</v>
      </c>
      <c r="F148" s="32">
        <f>Salary_Schedule!E148</f>
        <v>13229.03</v>
      </c>
      <c r="G148" s="32">
        <f>Assumptions!$B$8</f>
        <v>200</v>
      </c>
      <c r="H148" s="32">
        <f>F148*Assumptions!$B$58</f>
        <v>1322.903</v>
      </c>
      <c r="I148" s="32">
        <f>Salary_Schedule!F148</f>
        <v>0</v>
      </c>
      <c r="J148" s="32">
        <f>I148*Assumptions!$B$9</f>
        <v>0</v>
      </c>
      <c r="K148" s="54">
        <f t="shared" si="3"/>
        <v>11706.127</v>
      </c>
      <c r="L148" s="32">
        <f>IF(COUNTIFS(SL_Income_Log!$B:$B,TEXT(B148,"0000")&amp;"-"&amp;TEXT(A148,"00"),SL_Income_Log!$C:$C,"salary",SL_Income_Log!$E:$E,"H")&gt;0,SUMIFS(SL_Income_Log!$D:$D,SL_Income_Log!$B:$B,TEXT(B148,"0000")&amp;"-"&amp;TEXT(A148,"00"),SL_Income_Log!$C:$C,"salary",SL_Income_Log!$E:$E,"H"),K148*(1-Assumptions!$B$102)-Z148-Y148)</f>
        <v>7023.6762</v>
      </c>
      <c r="M148" s="32">
        <f>RSU_Schedule!H147</f>
        <v>0</v>
      </c>
      <c r="N148" s="32">
        <f>Salary_Schedule!G148</f>
        <v>9362.08</v>
      </c>
      <c r="O148" s="32">
        <f>Assumptions!$B$19</f>
        <v>200</v>
      </c>
      <c r="P148" s="32">
        <f>N148*Assumptions!$B$59</f>
        <v>936.208</v>
      </c>
      <c r="Q148" s="32">
        <f>Salary_Schedule!H148</f>
        <v>0</v>
      </c>
      <c r="R148" s="32">
        <f>Q148*Assumptions!$B$20</f>
        <v>0</v>
      </c>
      <c r="S148" s="54">
        <f t="shared" si="4"/>
        <v>8225.872</v>
      </c>
      <c r="T148" s="32">
        <f>IF(COUNTIFS(SL_Income_Log!$B:$B,TEXT(B148,"0000")&amp;"-"&amp;TEXT(A148,"00"),SL_Income_Log!$C:$C,"salary",SL_Income_Log!$E:$E,"W")&gt;0,SUMIFS(SL_Income_Log!$D:$D,SL_Income_Log!$B:$B,TEXT(B148,"0000")&amp;"-"&amp;TEXT(A148,"00"),SL_Income_Log!$C:$C,"salary",SL_Income_Log!$E:$E,"W"),S148*(1-Assumptions!$B$102)-AC148-AB148)
</f>
        <v>4935.5232</v>
      </c>
      <c r="U148" s="32">
        <f>RSU_Schedule!M147</f>
        <v>0</v>
      </c>
      <c r="V148" s="32">
        <f>H148*(1+Assumptions!$B$60)+Assumptions!$B$61</f>
        <v>1872.0642</v>
      </c>
      <c r="W148" s="32">
        <f>P148*(1+Assumptions!$B$60)+Assumptions!$B$61</f>
        <v>1330.6912</v>
      </c>
      <c r="X148" s="32">
        <f t="shared" si="5"/>
        <v>3202.7554</v>
      </c>
      <c r="Y148" s="32">
        <v>0.0</v>
      </c>
      <c r="Z148" s="32">
        <v>0.0</v>
      </c>
      <c r="AA148" s="32">
        <v>0.0</v>
      </c>
      <c r="AB148" s="32">
        <v>0.0</v>
      </c>
      <c r="AC148" s="32">
        <v>0.0</v>
      </c>
      <c r="AD148" s="32">
        <v>0.0</v>
      </c>
      <c r="AE148" s="32">
        <f t="shared" ref="AE148:AF148" si="189">Z148+AC148</f>
        <v>0</v>
      </c>
      <c r="AF148" s="32">
        <f t="shared" si="189"/>
        <v>0</v>
      </c>
      <c r="AG148" s="32">
        <f>IF(COUNTIFS(SL_Income_Log!$B:$B,TEXT(B148,"0000")&amp;"-"&amp;TEXT(A148,"00"),SL_Income_Log!$C:$C,"youtube")&gt;0,SUMIFS(SL_Income_Log!$D:$D,SL_Income_Log!$B:$B,TEXT(B148,"0000")&amp;"-"&amp;TEXT(A148,"00"),SL_Income_Log!$C:$C,"youtube"),MIN(Assumptions!$B$49+FLOOR((ROW()-2)/6,1)*Assumptions!$B$50,Assumptions!$B$51))
</f>
        <v>20000</v>
      </c>
      <c r="AH148" s="32">
        <f>AG148*Assumptions!$B$104</f>
        <v>8860</v>
      </c>
      <c r="AI148" s="32">
        <f t="shared" si="7"/>
        <v>11140</v>
      </c>
      <c r="AJ148" s="32">
        <f>SUMIFS(SL_Income_Log!$D:$D,SL_Income_Log!$B:$B,TEXT(B148,"0000")&amp;"-"&amp;TEXT(A148,"00"),SL_Income_Log!$C:$C,"other")</f>
        <v>0</v>
      </c>
      <c r="AK148" s="32">
        <f t="shared" si="27"/>
        <v>10000</v>
      </c>
      <c r="AL148" s="32">
        <f>L148+M148+T148+U148+AI148+AJ148-Y148-Z148-AB148-AC148+IF((Debt_Register!$C$2+Debt_Register!$C$6+Debt_Register!$C$7+Debt_Register!$C$8+Debt_Register!$C$9)&gt;5,X148,0)</f>
        <v>26301.9548</v>
      </c>
      <c r="AM148" s="32">
        <f t="shared" si="8"/>
        <v>36301.9548</v>
      </c>
      <c r="AN148" s="32">
        <f>MAX(Assumptions!$B$94,MIN(Assumptions!$B$93,AM148-AP148-BE148-BO148-BQ148))</f>
        <v>10000</v>
      </c>
      <c r="AO148" s="32">
        <v>0.0</v>
      </c>
      <c r="AP148" s="32">
        <v>0.0</v>
      </c>
      <c r="AQ148" s="32">
        <v>0.0</v>
      </c>
      <c r="AR148" s="32">
        <v>0.0</v>
      </c>
      <c r="AS148" s="32">
        <v>0.0</v>
      </c>
      <c r="AT148" s="32">
        <v>0.0</v>
      </c>
      <c r="AU148" s="32">
        <f t="shared" si="30"/>
        <v>0</v>
      </c>
      <c r="AV148" s="32">
        <f t="shared" si="31"/>
        <v>0</v>
      </c>
      <c r="AW148" s="32">
        <f t="shared" si="32"/>
        <v>0</v>
      </c>
      <c r="AX148" s="32">
        <f t="shared" si="33"/>
        <v>0</v>
      </c>
      <c r="AY148" s="32">
        <f t="shared" si="34"/>
        <v>0</v>
      </c>
      <c r="AZ148" s="32">
        <f t="shared" si="35"/>
        <v>0</v>
      </c>
      <c r="BA148" s="32">
        <f t="shared" si="36"/>
        <v>0</v>
      </c>
      <c r="BB148" s="32">
        <f t="shared" si="37"/>
        <v>0</v>
      </c>
      <c r="BC148" s="32">
        <f t="shared" si="38"/>
        <v>0</v>
      </c>
      <c r="BD148" s="32">
        <f t="shared" si="39"/>
        <v>0</v>
      </c>
      <c r="BE148" s="32">
        <f t="shared" si="11"/>
        <v>0</v>
      </c>
      <c r="BF148" s="32">
        <v>0.0</v>
      </c>
      <c r="BG148" s="32">
        <f t="shared" si="40"/>
        <v>5500</v>
      </c>
      <c r="BH148" s="32">
        <v>0.0</v>
      </c>
      <c r="BI148" s="32">
        <f t="shared" si="41"/>
        <v>5000</v>
      </c>
      <c r="BJ148" s="32">
        <f>IF(OR(B148&lt;Assumptions!$B$111,AND(B148=Assumptions!$B$111,A148&lt;=Assumptions!$B$112)),Assumptions!$B$110,0)</f>
        <v>0</v>
      </c>
      <c r="BK148" s="32">
        <f>IF(B148&lt;2027,Assumptions!$B$116+IF(OR(A148=4,A148=10),Assumptions!$B$117,0),IF(AND(B148=2027,A148&lt;=4),IF(A148=4,MIN(950,Assumptions!$B$116+Assumptions!$B$117),Assumptions!$B$116),0))</f>
        <v>0</v>
      </c>
      <c r="BL148" s="32">
        <f>IF(OR(B148&lt;2030,AND(B148=2030,A148&lt;8)),Assumptions!$B$118,IF(AND(B148=2030,A148=8),MOD(11000,200),0))</f>
        <v>0</v>
      </c>
      <c r="BM148" s="32">
        <f>IF(OR(B148&lt;Assumptions!$B$120,AND(B148=Assumptions!$B$120,A148&lt;=Assumptions!$B$121)),Assumptions!$B$119,0)</f>
        <v>0</v>
      </c>
      <c r="BN148" s="32">
        <f>IF(AND(B148&lt;=Assumptions!$B$123,A148&lt;=Assumptions!$B$124),Assumptions!$B$122,0)</f>
        <v>0</v>
      </c>
      <c r="BO148" s="32">
        <f t="shared" si="12"/>
        <v>0</v>
      </c>
      <c r="BP148" s="32">
        <f>SUMIFS(SL_Budget!$B:$B,SL_Budget!$C:$C,"'"&amp;TEXT(DATE(B148,A148,1),"YYYY-MM"))</f>
        <v>5860</v>
      </c>
      <c r="BQ148" s="32">
        <f>MAX(BP148, IFERROR(SUMIFS(ShadowLedger!D:D, 
  ShadowLedger!C:C, "&gt;="&amp;DATE(B148,A148,1), 
  ShadowLedger!C:C, "&lt;"&amp;EOMONTH(DATE(B148,A148,1),0)+1), 0))
</f>
        <v>5860</v>
      </c>
      <c r="BR148" s="32">
        <f t="shared" si="42"/>
        <v>2839908.318</v>
      </c>
      <c r="BS148" s="32">
        <f t="shared" si="43"/>
        <v>3202.7554</v>
      </c>
      <c r="BT148" s="32">
        <f>IF(BY147&gt;=Assumptions!$B$92,MAX(0,(AM148-BE148-BO148-BQ148)-Assumptions!$B$93),MAX(0,(AM148-BE148-BO148-BQ148)-Assumptions!$B$93)*Assumptions!$B$99)</f>
        <v>20441.9548</v>
      </c>
      <c r="BU148" s="32">
        <f>(BR148+BS148+MAX(0,BT148))*(Assumptions!$B$43-1)</f>
        <v>19523.70454</v>
      </c>
      <c r="BV148" s="32">
        <f t="shared" si="13"/>
        <v>2883076.733</v>
      </c>
      <c r="BW148" s="32">
        <f t="shared" si="44"/>
        <v>15476.04728</v>
      </c>
      <c r="BX148" s="32">
        <f>IF(BY147&lt;Assumptions!$B$92,MAX(0,(AM148-BE148-BO148-BQ148)-Assumptions!$B$93)*Assumptions!$B$98,0)</f>
        <v>0</v>
      </c>
      <c r="BY148" s="32">
        <f t="shared" si="14"/>
        <v>15476.04728</v>
      </c>
      <c r="BZ148" s="32">
        <f t="shared" si="45"/>
        <v>17720</v>
      </c>
      <c r="CA148" s="32">
        <f t="shared" si="15"/>
        <v>8860</v>
      </c>
      <c r="CB148" s="32">
        <f t="shared" si="16"/>
        <v>26580</v>
      </c>
      <c r="CC148" s="55">
        <f>CC147+(G148+J148)/(Salary_Schedule!E148*12/208)</f>
        <v>1850.399672</v>
      </c>
      <c r="CD148" s="55">
        <f>CD147+(O148+R148)/(Salary_Schedule!G148*12/208)</f>
        <v>185.3329532</v>
      </c>
      <c r="CE148" s="32">
        <f t="shared" si="17"/>
        <v>2883076.733</v>
      </c>
      <c r="CF148" s="32">
        <f>Assumptions!$B$55*(1+Assumptions!$B$56)^((B148-2025)+(A148-1)/12)</f>
        <v>632615.1184</v>
      </c>
      <c r="CG148" s="32">
        <f t="shared" si="18"/>
        <v>0</v>
      </c>
      <c r="CH148" s="32">
        <f t="shared" si="19"/>
        <v>-10500</v>
      </c>
      <c r="CI148" s="32">
        <f>CC148*(Salary_Schedule!E148/173.33)*(1-Assumptions!$B$28)+CD148*(Salary_Schedule!G148/173.33)*(1-Assumptions!$B$28)</f>
        <v>98304.74563</v>
      </c>
      <c r="CJ148" s="32">
        <f t="shared" si="20"/>
        <v>3603496.597</v>
      </c>
    </row>
    <row r="149" ht="15.0" customHeight="1">
      <c r="A149" s="1">
        <v>4.0</v>
      </c>
      <c r="B149" s="1">
        <v>2038.0</v>
      </c>
      <c r="C149" s="1" t="s">
        <v>818</v>
      </c>
      <c r="D149" s="1" t="str">
        <f t="shared" si="21"/>
        <v>03/2038</v>
      </c>
      <c r="E149" s="1" t="str">
        <f t="shared" si="2"/>
        <v>FAT_BONUS</v>
      </c>
      <c r="F149" s="32">
        <f>Salary_Schedule!E149</f>
        <v>13229.03</v>
      </c>
      <c r="G149" s="32">
        <f>Assumptions!$B$8</f>
        <v>200</v>
      </c>
      <c r="H149" s="32">
        <f>F149*Assumptions!$B$58</f>
        <v>1322.903</v>
      </c>
      <c r="I149" s="32">
        <f>Salary_Schedule!F149</f>
        <v>17637.1</v>
      </c>
      <c r="J149" s="32">
        <f>I149*Assumptions!$B$9</f>
        <v>6172.985</v>
      </c>
      <c r="K149" s="54">
        <f t="shared" si="3"/>
        <v>23170.242</v>
      </c>
      <c r="L149" s="32">
        <f>IF(COUNTIFS(SL_Income_Log!$B:$B,TEXT(B149,"0000")&amp;"-"&amp;TEXT(A149,"00"),SL_Income_Log!$C:$C,"salary",SL_Income_Log!$E:$E,"H")&gt;0,SUMIFS(SL_Income_Log!$D:$D,SL_Income_Log!$B:$B,TEXT(B149,"0000")&amp;"-"&amp;TEXT(A149,"00"),SL_Income_Log!$C:$C,"salary",SL_Income_Log!$E:$E,"H"),K149*(1-Assumptions!$B$102)-Z149-Y149)</f>
        <v>13902.1452</v>
      </c>
      <c r="M149" s="32">
        <f>RSU_Schedule!H148</f>
        <v>2784.99</v>
      </c>
      <c r="N149" s="32">
        <f>Salary_Schedule!G149</f>
        <v>9362.08</v>
      </c>
      <c r="O149" s="32">
        <f>Assumptions!$B$19</f>
        <v>200</v>
      </c>
      <c r="P149" s="32">
        <f>N149*Assumptions!$B$59</f>
        <v>936.208</v>
      </c>
      <c r="Q149" s="32">
        <f>Salary_Schedule!H149</f>
        <v>12482.94</v>
      </c>
      <c r="R149" s="32">
        <f>Q149*Assumptions!$B$20</f>
        <v>4369.029</v>
      </c>
      <c r="S149" s="54">
        <f t="shared" si="4"/>
        <v>16339.783</v>
      </c>
      <c r="T149" s="32">
        <f>IF(COUNTIFS(SL_Income_Log!$B:$B,TEXT(B149,"0000")&amp;"-"&amp;TEXT(A149,"00"),SL_Income_Log!$C:$C,"salary",SL_Income_Log!$E:$E,"W")&gt;0,SUMIFS(SL_Income_Log!$D:$D,SL_Income_Log!$B:$B,TEXT(B149,"0000")&amp;"-"&amp;TEXT(A149,"00"),SL_Income_Log!$C:$C,"salary",SL_Income_Log!$E:$E,"W"),S149*(1-Assumptions!$B$102)-AC149-AB149)
</f>
        <v>9803.8698</v>
      </c>
      <c r="U149" s="32">
        <f>RSU_Schedule!M148</f>
        <v>1392.51</v>
      </c>
      <c r="V149" s="32">
        <f>H149*(1+Assumptions!$B$60)+Assumptions!$B$61</f>
        <v>1872.0642</v>
      </c>
      <c r="W149" s="32">
        <f>P149*(1+Assumptions!$B$60)+Assumptions!$B$61</f>
        <v>1330.6912</v>
      </c>
      <c r="X149" s="32">
        <f t="shared" si="5"/>
        <v>3202.7554</v>
      </c>
      <c r="Y149" s="32">
        <v>0.0</v>
      </c>
      <c r="Z149" s="32">
        <v>0.0</v>
      </c>
      <c r="AA149" s="32">
        <v>0.0</v>
      </c>
      <c r="AB149" s="32">
        <v>0.0</v>
      </c>
      <c r="AC149" s="32">
        <v>0.0</v>
      </c>
      <c r="AD149" s="32">
        <v>0.0</v>
      </c>
      <c r="AE149" s="32">
        <f t="shared" ref="AE149:AF149" si="190">Z149+AC149</f>
        <v>0</v>
      </c>
      <c r="AF149" s="32">
        <f t="shared" si="190"/>
        <v>0</v>
      </c>
      <c r="AG149" s="32">
        <f>IF(COUNTIFS(SL_Income_Log!$B:$B,TEXT(B149,"0000")&amp;"-"&amp;TEXT(A149,"00"),SL_Income_Log!$C:$C,"youtube")&gt;0,SUMIFS(SL_Income_Log!$D:$D,SL_Income_Log!$B:$B,TEXT(B149,"0000")&amp;"-"&amp;TEXT(A149,"00"),SL_Income_Log!$C:$C,"youtube"),MIN(Assumptions!$B$49+FLOOR((ROW()-2)/6,1)*Assumptions!$B$50,Assumptions!$B$51))
</f>
        <v>20000</v>
      </c>
      <c r="AH149" s="32">
        <f>AG149*Assumptions!$B$104</f>
        <v>8860</v>
      </c>
      <c r="AI149" s="32">
        <f t="shared" si="7"/>
        <v>11140</v>
      </c>
      <c r="AJ149" s="32">
        <f>SUMIFS(SL_Income_Log!$D:$D,SL_Income_Log!$B:$B,TEXT(B149,"0000")&amp;"-"&amp;TEXT(A149,"00"),SL_Income_Log!$C:$C,"other")</f>
        <v>0</v>
      </c>
      <c r="AK149" s="32">
        <f t="shared" si="27"/>
        <v>10000</v>
      </c>
      <c r="AL149" s="32">
        <f>L149+M149+T149+U149+AI149+AJ149-Y149-Z149-AB149-AC149+IF((Debt_Register!$C$2+Debt_Register!$C$6+Debt_Register!$C$7+Debt_Register!$C$8+Debt_Register!$C$9)&gt;5,X149,0)</f>
        <v>42226.2704</v>
      </c>
      <c r="AM149" s="32">
        <f t="shared" si="8"/>
        <v>52226.2704</v>
      </c>
      <c r="AN149" s="32">
        <f>MAX(Assumptions!$B$94,MIN(Assumptions!$B$93,AM149-AP149-BE149-BO149-BQ149))</f>
        <v>10000</v>
      </c>
      <c r="AO149" s="32">
        <v>0.0</v>
      </c>
      <c r="AP149" s="32">
        <v>0.0</v>
      </c>
      <c r="AQ149" s="32">
        <v>0.0</v>
      </c>
      <c r="AR149" s="32">
        <v>0.0</v>
      </c>
      <c r="AS149" s="32">
        <v>0.0</v>
      </c>
      <c r="AT149" s="32">
        <v>0.0</v>
      </c>
      <c r="AU149" s="32">
        <f t="shared" si="30"/>
        <v>0</v>
      </c>
      <c r="AV149" s="32">
        <f t="shared" si="31"/>
        <v>0</v>
      </c>
      <c r="AW149" s="32">
        <f t="shared" si="32"/>
        <v>0</v>
      </c>
      <c r="AX149" s="32">
        <f t="shared" si="33"/>
        <v>0</v>
      </c>
      <c r="AY149" s="32">
        <f t="shared" si="34"/>
        <v>0</v>
      </c>
      <c r="AZ149" s="32">
        <f t="shared" si="35"/>
        <v>0</v>
      </c>
      <c r="BA149" s="32">
        <f t="shared" si="36"/>
        <v>0</v>
      </c>
      <c r="BB149" s="32">
        <f t="shared" si="37"/>
        <v>0</v>
      </c>
      <c r="BC149" s="32">
        <f t="shared" si="38"/>
        <v>0</v>
      </c>
      <c r="BD149" s="32">
        <f t="shared" si="39"/>
        <v>0</v>
      </c>
      <c r="BE149" s="32">
        <f t="shared" si="11"/>
        <v>0</v>
      </c>
      <c r="BF149" s="32">
        <v>0.0</v>
      </c>
      <c r="BG149" s="32">
        <f t="shared" si="40"/>
        <v>5500</v>
      </c>
      <c r="BH149" s="32">
        <v>0.0</v>
      </c>
      <c r="BI149" s="32">
        <f t="shared" si="41"/>
        <v>5000</v>
      </c>
      <c r="BJ149" s="32">
        <f>IF(OR(B149&lt;Assumptions!$B$111,AND(B149=Assumptions!$B$111,A149&lt;=Assumptions!$B$112)),Assumptions!$B$110,0)</f>
        <v>0</v>
      </c>
      <c r="BK149" s="32">
        <f>IF(B149&lt;2027,Assumptions!$B$116+IF(OR(A149=4,A149=10),Assumptions!$B$117,0),IF(AND(B149=2027,A149&lt;=4),IF(A149=4,MIN(950,Assumptions!$B$116+Assumptions!$B$117),Assumptions!$B$116),0))</f>
        <v>0</v>
      </c>
      <c r="BL149" s="32">
        <f>IF(OR(B149&lt;2030,AND(B149=2030,A149&lt;8)),Assumptions!$B$118,IF(AND(B149=2030,A149=8),MOD(11000,200),0))</f>
        <v>0</v>
      </c>
      <c r="BM149" s="32">
        <f>IF(OR(B149&lt;Assumptions!$B$120,AND(B149=Assumptions!$B$120,A149&lt;=Assumptions!$B$121)),Assumptions!$B$119,0)</f>
        <v>0</v>
      </c>
      <c r="BN149" s="32">
        <f>IF(AND(B149&lt;=Assumptions!$B$123,A149&lt;=Assumptions!$B$124),Assumptions!$B$122,0)</f>
        <v>0</v>
      </c>
      <c r="BO149" s="32">
        <f t="shared" si="12"/>
        <v>0</v>
      </c>
      <c r="BP149" s="32">
        <f>SUMIFS(SL_Budget!$B:$B,SL_Budget!$C:$C,"'"&amp;TEXT(DATE(B149,A149,1),"YYYY-MM"))</f>
        <v>5860</v>
      </c>
      <c r="BQ149" s="32">
        <f>MAX(BP149, IFERROR(SUMIFS(ShadowLedger!D:D, 
  ShadowLedger!C:C, "&gt;="&amp;DATE(B149,A149,1), 
  ShadowLedger!C:C, "&lt;"&amp;EOMONTH(DATE(B149,A149,1),0)+1), 0))
</f>
        <v>5860</v>
      </c>
      <c r="BR149" s="32">
        <f t="shared" si="42"/>
        <v>2883076.733</v>
      </c>
      <c r="BS149" s="32">
        <f t="shared" si="43"/>
        <v>3202.7554</v>
      </c>
      <c r="BT149" s="32">
        <f>IF(BY148&gt;=Assumptions!$B$92,MAX(0,(AM149-BE149-BO149-BQ149)-Assumptions!$B$93),MAX(0,(AM149-BE149-BO149-BQ149)-Assumptions!$B$93)*Assumptions!$B$99)</f>
        <v>36366.2704</v>
      </c>
      <c r="BU149" s="32">
        <f>(BR149+BS149+MAX(0,BT149))*(Assumptions!$B$43-1)</f>
        <v>19926.59878</v>
      </c>
      <c r="BV149" s="32">
        <f t="shared" si="13"/>
        <v>2942572.357</v>
      </c>
      <c r="BW149" s="32">
        <f t="shared" si="44"/>
        <v>15476.04728</v>
      </c>
      <c r="BX149" s="32">
        <f>IF(BY148&lt;Assumptions!$B$92,MAX(0,(AM149-BE149-BO149-BQ149)-Assumptions!$B$93)*Assumptions!$B$98,0)</f>
        <v>0</v>
      </c>
      <c r="BY149" s="32">
        <f t="shared" si="14"/>
        <v>15476.04728</v>
      </c>
      <c r="BZ149" s="32">
        <f t="shared" si="45"/>
        <v>26580</v>
      </c>
      <c r="CA149" s="32">
        <f t="shared" si="15"/>
        <v>8860</v>
      </c>
      <c r="CB149" s="32">
        <f t="shared" si="16"/>
        <v>35440</v>
      </c>
      <c r="CC149" s="55">
        <f>CC148+(G149+J149)/(Salary_Schedule!E149*12/208)</f>
        <v>1858.749874</v>
      </c>
      <c r="CD149" s="55">
        <f>CD148+(O149+R149)/(Salary_Schedule!G149*12/208)</f>
        <v>193.7922382</v>
      </c>
      <c r="CE149" s="32">
        <f t="shared" si="17"/>
        <v>2942572.357</v>
      </c>
      <c r="CF149" s="32">
        <f>Assumptions!$B$55*(1+Assumptions!$B$56)^((B149-2025)+(A149-1)/12)</f>
        <v>633400.5023</v>
      </c>
      <c r="CG149" s="32">
        <f t="shared" si="18"/>
        <v>0</v>
      </c>
      <c r="CH149" s="32">
        <f t="shared" si="19"/>
        <v>-10500</v>
      </c>
      <c r="CI149" s="32">
        <f>CC149*(Salary_Schedule!E149/173.33)*(1-Assumptions!$B$28)+CD149*(Salary_Schedule!G149/173.33)*(1-Assumptions!$B$28)</f>
        <v>99015.99022</v>
      </c>
      <c r="CJ149" s="32">
        <f t="shared" si="20"/>
        <v>3664488.85</v>
      </c>
    </row>
    <row r="150" ht="15.0" customHeight="1">
      <c r="A150" s="1">
        <v>5.0</v>
      </c>
      <c r="B150" s="1">
        <v>2038.0</v>
      </c>
      <c r="C150" s="1" t="s">
        <v>819</v>
      </c>
      <c r="D150" s="1" t="str">
        <f t="shared" si="21"/>
        <v>04/2038</v>
      </c>
      <c r="E150" s="1" t="str">
        <f t="shared" si="2"/>
        <v>LEAN</v>
      </c>
      <c r="F150" s="32">
        <f>Salary_Schedule!E150</f>
        <v>13229.03</v>
      </c>
      <c r="G150" s="32">
        <f>Assumptions!$B$8</f>
        <v>200</v>
      </c>
      <c r="H150" s="32">
        <f>F150*Assumptions!$B$58</f>
        <v>1322.903</v>
      </c>
      <c r="I150" s="32">
        <f>Salary_Schedule!F150</f>
        <v>0</v>
      </c>
      <c r="J150" s="32">
        <f>I150*Assumptions!$B$9</f>
        <v>0</v>
      </c>
      <c r="K150" s="54">
        <f t="shared" si="3"/>
        <v>11706.127</v>
      </c>
      <c r="L150" s="32">
        <f>IF(COUNTIFS(SL_Income_Log!$B:$B,TEXT(B150,"0000")&amp;"-"&amp;TEXT(A150,"00"),SL_Income_Log!$C:$C,"salary",SL_Income_Log!$E:$E,"H")&gt;0,SUMIFS(SL_Income_Log!$D:$D,SL_Income_Log!$B:$B,TEXT(B150,"0000")&amp;"-"&amp;TEXT(A150,"00"),SL_Income_Log!$C:$C,"salary",SL_Income_Log!$E:$E,"H"),K150*(1-Assumptions!$B$102)-Z150-Y150)</f>
        <v>7023.6762</v>
      </c>
      <c r="M150" s="32">
        <f>RSU_Schedule!H149</f>
        <v>0</v>
      </c>
      <c r="N150" s="32">
        <f>Salary_Schedule!G150</f>
        <v>9362.08</v>
      </c>
      <c r="O150" s="32">
        <f>Assumptions!$B$19</f>
        <v>200</v>
      </c>
      <c r="P150" s="32">
        <f>N150*Assumptions!$B$59</f>
        <v>936.208</v>
      </c>
      <c r="Q150" s="32">
        <f>Salary_Schedule!H150</f>
        <v>0</v>
      </c>
      <c r="R150" s="32">
        <f>Q150*Assumptions!$B$20</f>
        <v>0</v>
      </c>
      <c r="S150" s="54">
        <f t="shared" si="4"/>
        <v>8225.872</v>
      </c>
      <c r="T150" s="32">
        <f>IF(COUNTIFS(SL_Income_Log!$B:$B,TEXT(B150,"0000")&amp;"-"&amp;TEXT(A150,"00"),SL_Income_Log!$C:$C,"salary",SL_Income_Log!$E:$E,"W")&gt;0,SUMIFS(SL_Income_Log!$D:$D,SL_Income_Log!$B:$B,TEXT(B150,"0000")&amp;"-"&amp;TEXT(A150,"00"),SL_Income_Log!$C:$C,"salary",SL_Income_Log!$E:$E,"W"),S150*(1-Assumptions!$B$102)-AC150-AB150)
</f>
        <v>4935.5232</v>
      </c>
      <c r="U150" s="32">
        <f>RSU_Schedule!M149</f>
        <v>0</v>
      </c>
      <c r="V150" s="32">
        <f>H150*(1+Assumptions!$B$60)+Assumptions!$B$61</f>
        <v>1872.0642</v>
      </c>
      <c r="W150" s="32">
        <f>P150*(1+Assumptions!$B$60)+Assumptions!$B$61</f>
        <v>1330.6912</v>
      </c>
      <c r="X150" s="32">
        <f t="shared" si="5"/>
        <v>3202.7554</v>
      </c>
      <c r="Y150" s="32">
        <v>0.0</v>
      </c>
      <c r="Z150" s="32">
        <v>0.0</v>
      </c>
      <c r="AA150" s="32">
        <v>0.0</v>
      </c>
      <c r="AB150" s="32">
        <v>0.0</v>
      </c>
      <c r="AC150" s="32">
        <v>0.0</v>
      </c>
      <c r="AD150" s="32">
        <v>0.0</v>
      </c>
      <c r="AE150" s="32">
        <f t="shared" ref="AE150:AF150" si="191">Z150+AC150</f>
        <v>0</v>
      </c>
      <c r="AF150" s="32">
        <f t="shared" si="191"/>
        <v>0</v>
      </c>
      <c r="AG150" s="32">
        <f>IF(COUNTIFS(SL_Income_Log!$B:$B,TEXT(B150,"0000")&amp;"-"&amp;TEXT(A150,"00"),SL_Income_Log!$C:$C,"youtube")&gt;0,SUMIFS(SL_Income_Log!$D:$D,SL_Income_Log!$B:$B,TEXT(B150,"0000")&amp;"-"&amp;TEXT(A150,"00"),SL_Income_Log!$C:$C,"youtube"),MIN(Assumptions!$B$49+FLOOR((ROW()-2)/6,1)*Assumptions!$B$50,Assumptions!$B$51))
</f>
        <v>20000</v>
      </c>
      <c r="AH150" s="32">
        <f>AG150*Assumptions!$B$104</f>
        <v>8860</v>
      </c>
      <c r="AI150" s="32">
        <f t="shared" si="7"/>
        <v>11140</v>
      </c>
      <c r="AJ150" s="32">
        <f>SUMIFS(SL_Income_Log!$D:$D,SL_Income_Log!$B:$B,TEXT(B150,"0000")&amp;"-"&amp;TEXT(A150,"00"),SL_Income_Log!$C:$C,"other")</f>
        <v>0</v>
      </c>
      <c r="AK150" s="32">
        <f t="shared" si="27"/>
        <v>10000</v>
      </c>
      <c r="AL150" s="32">
        <f>L150+M150+T150+U150+AI150+AJ150-Y150-Z150-AB150-AC150+IF((Debt_Register!$C$2+Debt_Register!$C$6+Debt_Register!$C$7+Debt_Register!$C$8+Debt_Register!$C$9)&gt;5,X150,0)</f>
        <v>26301.9548</v>
      </c>
      <c r="AM150" s="32">
        <f t="shared" si="8"/>
        <v>36301.9548</v>
      </c>
      <c r="AN150" s="32">
        <f>MAX(Assumptions!$B$94,MIN(Assumptions!$B$93,AM150-AP150-BE150-BO150-BQ150))</f>
        <v>10000</v>
      </c>
      <c r="AO150" s="32">
        <v>0.0</v>
      </c>
      <c r="AP150" s="32">
        <v>0.0</v>
      </c>
      <c r="AQ150" s="32">
        <v>0.0</v>
      </c>
      <c r="AR150" s="32">
        <v>0.0</v>
      </c>
      <c r="AS150" s="32">
        <v>0.0</v>
      </c>
      <c r="AT150" s="32">
        <v>0.0</v>
      </c>
      <c r="AU150" s="32">
        <f t="shared" si="30"/>
        <v>0</v>
      </c>
      <c r="AV150" s="32">
        <f t="shared" si="31"/>
        <v>0</v>
      </c>
      <c r="AW150" s="32">
        <f t="shared" si="32"/>
        <v>0</v>
      </c>
      <c r="AX150" s="32">
        <f t="shared" si="33"/>
        <v>0</v>
      </c>
      <c r="AY150" s="32">
        <f t="shared" si="34"/>
        <v>0</v>
      </c>
      <c r="AZ150" s="32">
        <f t="shared" si="35"/>
        <v>0</v>
      </c>
      <c r="BA150" s="32">
        <f t="shared" si="36"/>
        <v>0</v>
      </c>
      <c r="BB150" s="32">
        <f t="shared" si="37"/>
        <v>0</v>
      </c>
      <c r="BC150" s="32">
        <f t="shared" si="38"/>
        <v>0</v>
      </c>
      <c r="BD150" s="32">
        <f t="shared" si="39"/>
        <v>0</v>
      </c>
      <c r="BE150" s="32">
        <f t="shared" si="11"/>
        <v>0</v>
      </c>
      <c r="BF150" s="32">
        <v>0.0</v>
      </c>
      <c r="BG150" s="32">
        <f t="shared" si="40"/>
        <v>5500</v>
      </c>
      <c r="BH150" s="32">
        <v>0.0</v>
      </c>
      <c r="BI150" s="32">
        <f t="shared" si="41"/>
        <v>5000</v>
      </c>
      <c r="BJ150" s="32">
        <f>IF(OR(B150&lt;Assumptions!$B$111,AND(B150=Assumptions!$B$111,A150&lt;=Assumptions!$B$112)),Assumptions!$B$110,0)</f>
        <v>0</v>
      </c>
      <c r="BK150" s="32">
        <f>IF(B150&lt;2027,Assumptions!$B$116+IF(OR(A150=4,A150=10),Assumptions!$B$117,0),IF(AND(B150=2027,A150&lt;=4),IF(A150=4,MIN(950,Assumptions!$B$116+Assumptions!$B$117),Assumptions!$B$116),0))</f>
        <v>0</v>
      </c>
      <c r="BL150" s="32">
        <f>IF(OR(B150&lt;2030,AND(B150=2030,A150&lt;8)),Assumptions!$B$118,IF(AND(B150=2030,A150=8),MOD(11000,200),0))</f>
        <v>0</v>
      </c>
      <c r="BM150" s="32">
        <f>IF(OR(B150&lt;Assumptions!$B$120,AND(B150=Assumptions!$B$120,A150&lt;=Assumptions!$B$121)),Assumptions!$B$119,0)</f>
        <v>0</v>
      </c>
      <c r="BN150" s="32">
        <f>IF(AND(B150&lt;=Assumptions!$B$123,A150&lt;=Assumptions!$B$124),Assumptions!$B$122,0)</f>
        <v>0</v>
      </c>
      <c r="BO150" s="32">
        <f t="shared" si="12"/>
        <v>0</v>
      </c>
      <c r="BP150" s="32">
        <f>SUMIFS(SL_Budget!$B:$B,SL_Budget!$C:$C,"'"&amp;TEXT(DATE(B150,A150,1),"YYYY-MM"))</f>
        <v>5860</v>
      </c>
      <c r="BQ150" s="32">
        <f>MAX(BP150, IFERROR(SUMIFS(ShadowLedger!D:D, 
  ShadowLedger!C:C, "&gt;="&amp;DATE(B150,A150,1), 
  ShadowLedger!C:C, "&lt;"&amp;EOMONTH(DATE(B150,A150,1),0)+1), 0))
</f>
        <v>5860</v>
      </c>
      <c r="BR150" s="32">
        <f t="shared" si="42"/>
        <v>2942572.357</v>
      </c>
      <c r="BS150" s="32">
        <f t="shared" si="43"/>
        <v>3202.7554</v>
      </c>
      <c r="BT150" s="32">
        <f>IF(BY149&gt;=Assumptions!$B$92,MAX(0,(AM150-BE150-BO150-BQ150)-Assumptions!$B$93),MAX(0,(AM150-BE150-BO150-BQ150)-Assumptions!$B$93)*Assumptions!$B$99)</f>
        <v>20441.9548</v>
      </c>
      <c r="BU150" s="32">
        <f>(BR150+BS150+MAX(0,BT150))*(Assumptions!$B$43-1)</f>
        <v>20223.66796</v>
      </c>
      <c r="BV150" s="32">
        <f t="shared" si="13"/>
        <v>2986440.735</v>
      </c>
      <c r="BW150" s="32">
        <f t="shared" si="44"/>
        <v>15476.04728</v>
      </c>
      <c r="BX150" s="32">
        <f>IF(BY149&lt;Assumptions!$B$92,MAX(0,(AM150-BE150-BO150-BQ150)-Assumptions!$B$93)*Assumptions!$B$98,0)</f>
        <v>0</v>
      </c>
      <c r="BY150" s="32">
        <f t="shared" si="14"/>
        <v>15476.04728</v>
      </c>
      <c r="BZ150" s="32">
        <f t="shared" si="45"/>
        <v>35440</v>
      </c>
      <c r="CA150" s="32">
        <f t="shared" si="15"/>
        <v>8860</v>
      </c>
      <c r="CB150" s="32">
        <f t="shared" si="16"/>
        <v>44300</v>
      </c>
      <c r="CC150" s="55">
        <f>CC149+(G150+J150)/(Salary_Schedule!E150*12/208)</f>
        <v>1859.011924</v>
      </c>
      <c r="CD150" s="55">
        <f>CD149+(O150+R150)/(Salary_Schedule!G150*12/208)</f>
        <v>194.1625263</v>
      </c>
      <c r="CE150" s="32">
        <f t="shared" si="17"/>
        <v>2986440.735</v>
      </c>
      <c r="CF150" s="32">
        <f>Assumptions!$B$55*(1+Assumptions!$B$56)^((B150-2025)+(A150-1)/12)</f>
        <v>634186.8612</v>
      </c>
      <c r="CG150" s="32">
        <f t="shared" si="18"/>
        <v>0</v>
      </c>
      <c r="CH150" s="32">
        <f t="shared" si="19"/>
        <v>-10500</v>
      </c>
      <c r="CI150" s="32">
        <f>CC150*(Salary_Schedule!E150/173.33)*(1-Assumptions!$B$28)+CD150*(Salary_Schedule!G150/173.33)*(1-Assumptions!$B$28)</f>
        <v>99041.99072</v>
      </c>
      <c r="CJ150" s="32">
        <f t="shared" si="20"/>
        <v>3709169.587</v>
      </c>
    </row>
    <row r="151" ht="15.0" customHeight="1">
      <c r="A151" s="1">
        <v>6.0</v>
      </c>
      <c r="B151" s="1">
        <v>2038.0</v>
      </c>
      <c r="C151" s="1" t="s">
        <v>820</v>
      </c>
      <c r="D151" s="1" t="str">
        <f t="shared" si="21"/>
        <v>05/2038</v>
      </c>
      <c r="E151" s="1" t="str">
        <f t="shared" si="2"/>
        <v>LEAN</v>
      </c>
      <c r="F151" s="32">
        <f>Salary_Schedule!E151</f>
        <v>13229.03</v>
      </c>
      <c r="G151" s="32">
        <f>Assumptions!$B$8</f>
        <v>200</v>
      </c>
      <c r="H151" s="32">
        <f>F151*Assumptions!$B$58</f>
        <v>1322.903</v>
      </c>
      <c r="I151" s="32">
        <f>Salary_Schedule!F151</f>
        <v>0</v>
      </c>
      <c r="J151" s="32">
        <f>I151*Assumptions!$B$9</f>
        <v>0</v>
      </c>
      <c r="K151" s="54">
        <f t="shared" si="3"/>
        <v>11706.127</v>
      </c>
      <c r="L151" s="32">
        <f>IF(COUNTIFS(SL_Income_Log!$B:$B,TEXT(B151,"0000")&amp;"-"&amp;TEXT(A151,"00"),SL_Income_Log!$C:$C,"salary",SL_Income_Log!$E:$E,"H")&gt;0,SUMIFS(SL_Income_Log!$D:$D,SL_Income_Log!$B:$B,TEXT(B151,"0000")&amp;"-"&amp;TEXT(A151,"00"),SL_Income_Log!$C:$C,"salary",SL_Income_Log!$E:$E,"H"),K151*(1-Assumptions!$B$102)-Z151-Y151)</f>
        <v>7023.6762</v>
      </c>
      <c r="M151" s="32">
        <f>RSU_Schedule!H150</f>
        <v>0</v>
      </c>
      <c r="N151" s="32">
        <f>Salary_Schedule!G151</f>
        <v>9362.08</v>
      </c>
      <c r="O151" s="32">
        <f>Assumptions!$B$19</f>
        <v>200</v>
      </c>
      <c r="P151" s="32">
        <f>N151*Assumptions!$B$59</f>
        <v>936.208</v>
      </c>
      <c r="Q151" s="32">
        <f>Salary_Schedule!H151</f>
        <v>0</v>
      </c>
      <c r="R151" s="32">
        <f>Q151*Assumptions!$B$20</f>
        <v>0</v>
      </c>
      <c r="S151" s="54">
        <f t="shared" si="4"/>
        <v>8225.872</v>
      </c>
      <c r="T151" s="32">
        <f>IF(COUNTIFS(SL_Income_Log!$B:$B,TEXT(B151,"0000")&amp;"-"&amp;TEXT(A151,"00"),SL_Income_Log!$C:$C,"salary",SL_Income_Log!$E:$E,"W")&gt;0,SUMIFS(SL_Income_Log!$D:$D,SL_Income_Log!$B:$B,TEXT(B151,"0000")&amp;"-"&amp;TEXT(A151,"00"),SL_Income_Log!$C:$C,"salary",SL_Income_Log!$E:$E,"W"),S151*(1-Assumptions!$B$102)-AC151-AB151)
</f>
        <v>4935.5232</v>
      </c>
      <c r="U151" s="32">
        <f>RSU_Schedule!M150</f>
        <v>0</v>
      </c>
      <c r="V151" s="32">
        <f>H151*(1+Assumptions!$B$60)+Assumptions!$B$61</f>
        <v>1872.0642</v>
      </c>
      <c r="W151" s="32">
        <f>P151*(1+Assumptions!$B$60)+Assumptions!$B$61</f>
        <v>1330.6912</v>
      </c>
      <c r="X151" s="32">
        <f t="shared" si="5"/>
        <v>3202.7554</v>
      </c>
      <c r="Y151" s="32">
        <v>0.0</v>
      </c>
      <c r="Z151" s="32">
        <v>0.0</v>
      </c>
      <c r="AA151" s="32">
        <v>0.0</v>
      </c>
      <c r="AB151" s="32">
        <v>0.0</v>
      </c>
      <c r="AC151" s="32">
        <v>0.0</v>
      </c>
      <c r="AD151" s="32">
        <v>0.0</v>
      </c>
      <c r="AE151" s="32">
        <f t="shared" ref="AE151:AF151" si="192">Z151+AC151</f>
        <v>0</v>
      </c>
      <c r="AF151" s="32">
        <f t="shared" si="192"/>
        <v>0</v>
      </c>
      <c r="AG151" s="32">
        <f>IF(COUNTIFS(SL_Income_Log!$B:$B,TEXT(B151,"0000")&amp;"-"&amp;TEXT(A151,"00"),SL_Income_Log!$C:$C,"youtube")&gt;0,SUMIFS(SL_Income_Log!$D:$D,SL_Income_Log!$B:$B,TEXT(B151,"0000")&amp;"-"&amp;TEXT(A151,"00"),SL_Income_Log!$C:$C,"youtube"),MIN(Assumptions!$B$49+FLOOR((ROW()-2)/6,1)*Assumptions!$B$50,Assumptions!$B$51))
</f>
        <v>20000</v>
      </c>
      <c r="AH151" s="32">
        <f>AG151*Assumptions!$B$104</f>
        <v>8860</v>
      </c>
      <c r="AI151" s="32">
        <f t="shared" si="7"/>
        <v>11140</v>
      </c>
      <c r="AJ151" s="32">
        <f>SUMIFS(SL_Income_Log!$D:$D,SL_Income_Log!$B:$B,TEXT(B151,"0000")&amp;"-"&amp;TEXT(A151,"00"),SL_Income_Log!$C:$C,"other")</f>
        <v>0</v>
      </c>
      <c r="AK151" s="32">
        <f t="shared" si="27"/>
        <v>10000</v>
      </c>
      <c r="AL151" s="32">
        <f>L151+M151+T151+U151+AI151+AJ151-Y151-Z151-AB151-AC151+IF((Debt_Register!$C$2+Debt_Register!$C$6+Debt_Register!$C$7+Debt_Register!$C$8+Debt_Register!$C$9)&gt;5,X151,0)</f>
        <v>26301.9548</v>
      </c>
      <c r="AM151" s="32">
        <f t="shared" si="8"/>
        <v>36301.9548</v>
      </c>
      <c r="AN151" s="32">
        <f>MAX(Assumptions!$B$94,MIN(Assumptions!$B$93,AM151-AP151-BE151-BO151-BQ151))</f>
        <v>10000</v>
      </c>
      <c r="AO151" s="32">
        <v>0.0</v>
      </c>
      <c r="AP151" s="32">
        <v>0.0</v>
      </c>
      <c r="AQ151" s="32">
        <v>0.0</v>
      </c>
      <c r="AR151" s="32">
        <v>0.0</v>
      </c>
      <c r="AS151" s="32">
        <v>0.0</v>
      </c>
      <c r="AT151" s="32">
        <v>0.0</v>
      </c>
      <c r="AU151" s="32">
        <f t="shared" si="30"/>
        <v>0</v>
      </c>
      <c r="AV151" s="32">
        <f t="shared" si="31"/>
        <v>0</v>
      </c>
      <c r="AW151" s="32">
        <f t="shared" si="32"/>
        <v>0</v>
      </c>
      <c r="AX151" s="32">
        <f t="shared" si="33"/>
        <v>0</v>
      </c>
      <c r="AY151" s="32">
        <f t="shared" si="34"/>
        <v>0</v>
      </c>
      <c r="AZ151" s="32">
        <f t="shared" si="35"/>
        <v>0</v>
      </c>
      <c r="BA151" s="32">
        <f t="shared" si="36"/>
        <v>0</v>
      </c>
      <c r="BB151" s="32">
        <f t="shared" si="37"/>
        <v>0</v>
      </c>
      <c r="BC151" s="32">
        <f t="shared" si="38"/>
        <v>0</v>
      </c>
      <c r="BD151" s="32">
        <f t="shared" si="39"/>
        <v>0</v>
      </c>
      <c r="BE151" s="32">
        <f t="shared" si="11"/>
        <v>0</v>
      </c>
      <c r="BF151" s="32">
        <v>0.0</v>
      </c>
      <c r="BG151" s="32">
        <f t="shared" si="40"/>
        <v>5500</v>
      </c>
      <c r="BH151" s="32">
        <v>0.0</v>
      </c>
      <c r="BI151" s="32">
        <f t="shared" si="41"/>
        <v>5000</v>
      </c>
      <c r="BJ151" s="32">
        <f>IF(OR(B151&lt;Assumptions!$B$111,AND(B151=Assumptions!$B$111,A151&lt;=Assumptions!$B$112)),Assumptions!$B$110,0)</f>
        <v>0</v>
      </c>
      <c r="BK151" s="32">
        <f>IF(B151&lt;2027,Assumptions!$B$116+IF(OR(A151=4,A151=10),Assumptions!$B$117,0),IF(AND(B151=2027,A151&lt;=4),IF(A151=4,MIN(950,Assumptions!$B$116+Assumptions!$B$117),Assumptions!$B$116),0))</f>
        <v>0</v>
      </c>
      <c r="BL151" s="32">
        <f>IF(OR(B151&lt;2030,AND(B151=2030,A151&lt;8)),Assumptions!$B$118,IF(AND(B151=2030,A151=8),MOD(11000,200),0))</f>
        <v>0</v>
      </c>
      <c r="BM151" s="32">
        <f>IF(OR(B151&lt;Assumptions!$B$120,AND(B151=Assumptions!$B$120,A151&lt;=Assumptions!$B$121)),Assumptions!$B$119,0)</f>
        <v>0</v>
      </c>
      <c r="BN151" s="32">
        <f>IF(AND(B151&lt;=Assumptions!$B$123,A151&lt;=Assumptions!$B$124),Assumptions!$B$122,0)</f>
        <v>0</v>
      </c>
      <c r="BO151" s="32">
        <f t="shared" si="12"/>
        <v>0</v>
      </c>
      <c r="BP151" s="32">
        <f>SUMIFS(SL_Budget!$B:$B,SL_Budget!$C:$C,"'"&amp;TEXT(DATE(B151,A151,1),"YYYY-MM"))</f>
        <v>5860</v>
      </c>
      <c r="BQ151" s="32">
        <f>MAX(BP151, IFERROR(SUMIFS(ShadowLedger!D:D, 
  ShadowLedger!C:C, "&gt;="&amp;DATE(B151,A151,1), 
  ShadowLedger!C:C, "&lt;"&amp;EOMONTH(DATE(B151,A151,1),0)+1), 0))
</f>
        <v>5860</v>
      </c>
      <c r="BR151" s="32">
        <f t="shared" si="42"/>
        <v>2986440.735</v>
      </c>
      <c r="BS151" s="32">
        <f t="shared" si="43"/>
        <v>3202.7554</v>
      </c>
      <c r="BT151" s="32">
        <f>IF(BY150&gt;=Assumptions!$B$92,MAX(0,(AM151-BE151-BO151-BQ151)-Assumptions!$B$93),MAX(0,(AM151-BE151-BO151-BQ151)-Assumptions!$B$93)*Assumptions!$B$99)</f>
        <v>20441.9548</v>
      </c>
      <c r="BU151" s="32">
        <f>(BR151+BS151+MAX(0,BT151))*(Assumptions!$B$43-1)</f>
        <v>20522.76257</v>
      </c>
      <c r="BV151" s="32">
        <f t="shared" si="13"/>
        <v>3030608.208</v>
      </c>
      <c r="BW151" s="32">
        <f t="shared" si="44"/>
        <v>15476.04728</v>
      </c>
      <c r="BX151" s="32">
        <f>IF(BY150&lt;Assumptions!$B$92,MAX(0,(AM151-BE151-BO151-BQ151)-Assumptions!$B$93)*Assumptions!$B$98,0)</f>
        <v>0</v>
      </c>
      <c r="BY151" s="32">
        <f t="shared" si="14"/>
        <v>15476.04728</v>
      </c>
      <c r="BZ151" s="32">
        <f t="shared" si="45"/>
        <v>44300</v>
      </c>
      <c r="CA151" s="32">
        <f t="shared" si="15"/>
        <v>8860</v>
      </c>
      <c r="CB151" s="32">
        <f t="shared" si="16"/>
        <v>53160</v>
      </c>
      <c r="CC151" s="55">
        <f>CC150+(G151+J151)/(Salary_Schedule!E151*12/208)</f>
        <v>1859.273974</v>
      </c>
      <c r="CD151" s="55">
        <f>CD150+(O151+R151)/(Salary_Schedule!G151*12/208)</f>
        <v>194.5328143</v>
      </c>
      <c r="CE151" s="32">
        <f t="shared" si="17"/>
        <v>3030608.208</v>
      </c>
      <c r="CF151" s="32">
        <f>Assumptions!$B$55*(1+Assumptions!$B$56)^((B151-2025)+(A151-1)/12)</f>
        <v>634974.1964</v>
      </c>
      <c r="CG151" s="32">
        <f t="shared" si="18"/>
        <v>0</v>
      </c>
      <c r="CH151" s="32">
        <f t="shared" si="19"/>
        <v>-10500</v>
      </c>
      <c r="CI151" s="32">
        <f>CC151*(Salary_Schedule!E151/173.33)*(1-Assumptions!$B$28)+CD151*(Salary_Schedule!G151/173.33)*(1-Assumptions!$B$28)</f>
        <v>99067.99122</v>
      </c>
      <c r="CJ151" s="32">
        <f t="shared" si="20"/>
        <v>3754150.396</v>
      </c>
    </row>
    <row r="152" ht="15.0" customHeight="1">
      <c r="A152" s="1">
        <v>7.0</v>
      </c>
      <c r="B152" s="1">
        <v>2038.0</v>
      </c>
      <c r="C152" s="1" t="s">
        <v>821</v>
      </c>
      <c r="D152" s="1" t="str">
        <f t="shared" si="21"/>
        <v>06/2038</v>
      </c>
      <c r="E152" s="1" t="str">
        <f t="shared" si="2"/>
        <v>FAT_RSU</v>
      </c>
      <c r="F152" s="32">
        <f>Salary_Schedule!E152</f>
        <v>13229.03</v>
      </c>
      <c r="G152" s="32">
        <f>Assumptions!$B$8</f>
        <v>200</v>
      </c>
      <c r="H152" s="32">
        <f>F152*Assumptions!$B$58</f>
        <v>1322.903</v>
      </c>
      <c r="I152" s="32">
        <f>Salary_Schedule!F152</f>
        <v>0</v>
      </c>
      <c r="J152" s="32">
        <f>I152*Assumptions!$B$9</f>
        <v>0</v>
      </c>
      <c r="K152" s="54">
        <f t="shared" si="3"/>
        <v>11706.127</v>
      </c>
      <c r="L152" s="32">
        <f>IF(COUNTIFS(SL_Income_Log!$B:$B,TEXT(B152,"0000")&amp;"-"&amp;TEXT(A152,"00"),SL_Income_Log!$C:$C,"salary",SL_Income_Log!$E:$E,"H")&gt;0,SUMIFS(SL_Income_Log!$D:$D,SL_Income_Log!$B:$B,TEXT(B152,"0000")&amp;"-"&amp;TEXT(A152,"00"),SL_Income_Log!$C:$C,"salary",SL_Income_Log!$E:$E,"H"),K152*(1-Assumptions!$B$102)-Z152-Y152)</f>
        <v>7023.6762</v>
      </c>
      <c r="M152" s="32">
        <f>RSU_Schedule!H151</f>
        <v>2784.99</v>
      </c>
      <c r="N152" s="32">
        <f>Salary_Schedule!G152</f>
        <v>9362.08</v>
      </c>
      <c r="O152" s="32">
        <f>Assumptions!$B$19</f>
        <v>200</v>
      </c>
      <c r="P152" s="32">
        <f>N152*Assumptions!$B$59</f>
        <v>936.208</v>
      </c>
      <c r="Q152" s="32">
        <f>Salary_Schedule!H152</f>
        <v>0</v>
      </c>
      <c r="R152" s="32">
        <f>Q152*Assumptions!$B$20</f>
        <v>0</v>
      </c>
      <c r="S152" s="54">
        <f t="shared" si="4"/>
        <v>8225.872</v>
      </c>
      <c r="T152" s="32">
        <f>IF(COUNTIFS(SL_Income_Log!$B:$B,TEXT(B152,"0000")&amp;"-"&amp;TEXT(A152,"00"),SL_Income_Log!$C:$C,"salary",SL_Income_Log!$E:$E,"W")&gt;0,SUMIFS(SL_Income_Log!$D:$D,SL_Income_Log!$B:$B,TEXT(B152,"0000")&amp;"-"&amp;TEXT(A152,"00"),SL_Income_Log!$C:$C,"salary",SL_Income_Log!$E:$E,"W"),S152*(1-Assumptions!$B$102)-AC152-AB152)
</f>
        <v>4935.5232</v>
      </c>
      <c r="U152" s="32">
        <f>RSU_Schedule!M151</f>
        <v>1392.51</v>
      </c>
      <c r="V152" s="32">
        <f>H152*(1+Assumptions!$B$60)+Assumptions!$B$61</f>
        <v>1872.0642</v>
      </c>
      <c r="W152" s="32">
        <f>P152*(1+Assumptions!$B$60)+Assumptions!$B$61</f>
        <v>1330.6912</v>
      </c>
      <c r="X152" s="32">
        <f t="shared" si="5"/>
        <v>3202.7554</v>
      </c>
      <c r="Y152" s="32">
        <v>0.0</v>
      </c>
      <c r="Z152" s="32">
        <v>0.0</v>
      </c>
      <c r="AA152" s="32">
        <v>0.0</v>
      </c>
      <c r="AB152" s="32">
        <v>0.0</v>
      </c>
      <c r="AC152" s="32">
        <v>0.0</v>
      </c>
      <c r="AD152" s="32">
        <v>0.0</v>
      </c>
      <c r="AE152" s="32">
        <f t="shared" ref="AE152:AF152" si="193">Z152+AC152</f>
        <v>0</v>
      </c>
      <c r="AF152" s="32">
        <f t="shared" si="193"/>
        <v>0</v>
      </c>
      <c r="AG152" s="32">
        <f>IF(COUNTIFS(SL_Income_Log!$B:$B,TEXT(B152,"0000")&amp;"-"&amp;TEXT(A152,"00"),SL_Income_Log!$C:$C,"youtube")&gt;0,SUMIFS(SL_Income_Log!$D:$D,SL_Income_Log!$B:$B,TEXT(B152,"0000")&amp;"-"&amp;TEXT(A152,"00"),SL_Income_Log!$C:$C,"youtube"),MIN(Assumptions!$B$49+FLOOR((ROW()-2)/6,1)*Assumptions!$B$50,Assumptions!$B$51))
</f>
        <v>20000</v>
      </c>
      <c r="AH152" s="32">
        <f>AG152*Assumptions!$B$104</f>
        <v>8860</v>
      </c>
      <c r="AI152" s="32">
        <f t="shared" si="7"/>
        <v>11140</v>
      </c>
      <c r="AJ152" s="32">
        <f>SUMIFS(SL_Income_Log!$D:$D,SL_Income_Log!$B:$B,TEXT(B152,"0000")&amp;"-"&amp;TEXT(A152,"00"),SL_Income_Log!$C:$C,"other")</f>
        <v>0</v>
      </c>
      <c r="AK152" s="32">
        <f t="shared" si="27"/>
        <v>10000</v>
      </c>
      <c r="AL152" s="32">
        <f>L152+M152+T152+U152+AI152+AJ152-Y152-Z152-AB152-AC152+IF((Debt_Register!$C$2+Debt_Register!$C$6+Debt_Register!$C$7+Debt_Register!$C$8+Debt_Register!$C$9)&gt;5,X152,0)</f>
        <v>30479.4548</v>
      </c>
      <c r="AM152" s="32">
        <f t="shared" si="8"/>
        <v>40479.4548</v>
      </c>
      <c r="AN152" s="32">
        <f>MAX(Assumptions!$B$94,MIN(Assumptions!$B$93,AM152-AP152-BE152-BO152-BQ152))</f>
        <v>10000</v>
      </c>
      <c r="AO152" s="32">
        <v>0.0</v>
      </c>
      <c r="AP152" s="32">
        <v>0.0</v>
      </c>
      <c r="AQ152" s="32">
        <v>0.0</v>
      </c>
      <c r="AR152" s="32">
        <v>0.0</v>
      </c>
      <c r="AS152" s="32">
        <v>0.0</v>
      </c>
      <c r="AT152" s="32">
        <v>0.0</v>
      </c>
      <c r="AU152" s="32">
        <f t="shared" si="30"/>
        <v>0</v>
      </c>
      <c r="AV152" s="32">
        <f t="shared" si="31"/>
        <v>0</v>
      </c>
      <c r="AW152" s="32">
        <f t="shared" si="32"/>
        <v>0</v>
      </c>
      <c r="AX152" s="32">
        <f t="shared" si="33"/>
        <v>0</v>
      </c>
      <c r="AY152" s="32">
        <f t="shared" si="34"/>
        <v>0</v>
      </c>
      <c r="AZ152" s="32">
        <f t="shared" si="35"/>
        <v>0</v>
      </c>
      <c r="BA152" s="32">
        <f t="shared" si="36"/>
        <v>0</v>
      </c>
      <c r="BB152" s="32">
        <f t="shared" si="37"/>
        <v>0</v>
      </c>
      <c r="BC152" s="32">
        <f t="shared" si="38"/>
        <v>0</v>
      </c>
      <c r="BD152" s="32">
        <f t="shared" si="39"/>
        <v>0</v>
      </c>
      <c r="BE152" s="32">
        <f t="shared" si="11"/>
        <v>0</v>
      </c>
      <c r="BF152" s="32">
        <v>0.0</v>
      </c>
      <c r="BG152" s="32">
        <f t="shared" si="40"/>
        <v>5500</v>
      </c>
      <c r="BH152" s="32">
        <v>0.0</v>
      </c>
      <c r="BI152" s="32">
        <f t="shared" si="41"/>
        <v>5000</v>
      </c>
      <c r="BJ152" s="32">
        <f>IF(OR(B152&lt;Assumptions!$B$111,AND(B152=Assumptions!$B$111,A152&lt;=Assumptions!$B$112)),Assumptions!$B$110,0)</f>
        <v>0</v>
      </c>
      <c r="BK152" s="32">
        <f>IF(B152&lt;2027,Assumptions!$B$116+IF(OR(A152=4,A152=10),Assumptions!$B$117,0),IF(AND(B152=2027,A152&lt;=4),IF(A152=4,MIN(950,Assumptions!$B$116+Assumptions!$B$117),Assumptions!$B$116),0))</f>
        <v>0</v>
      </c>
      <c r="BL152" s="32">
        <f>IF(OR(B152&lt;2030,AND(B152=2030,A152&lt;8)),Assumptions!$B$118,IF(AND(B152=2030,A152=8),MOD(11000,200),0))</f>
        <v>0</v>
      </c>
      <c r="BM152" s="32">
        <f>IF(OR(B152&lt;Assumptions!$B$120,AND(B152=Assumptions!$B$120,A152&lt;=Assumptions!$B$121)),Assumptions!$B$119,0)</f>
        <v>0</v>
      </c>
      <c r="BN152" s="32">
        <f>IF(AND(B152&lt;=Assumptions!$B$123,A152&lt;=Assumptions!$B$124),Assumptions!$B$122,0)</f>
        <v>0</v>
      </c>
      <c r="BO152" s="32">
        <f t="shared" si="12"/>
        <v>0</v>
      </c>
      <c r="BP152" s="32">
        <f>SUMIFS(SL_Budget!$B:$B,SL_Budget!$C:$C,"'"&amp;TEXT(DATE(B152,A152,1),"YYYY-MM"))</f>
        <v>5860</v>
      </c>
      <c r="BQ152" s="32">
        <f>MAX(BP152, IFERROR(SUMIFS(ShadowLedger!D:D, 
  ShadowLedger!C:C, "&gt;="&amp;DATE(B152,A152,1), 
  ShadowLedger!C:C, "&lt;"&amp;EOMONTH(DATE(B152,A152,1),0)+1), 0))
</f>
        <v>5860</v>
      </c>
      <c r="BR152" s="32">
        <f t="shared" si="42"/>
        <v>3030608.208</v>
      </c>
      <c r="BS152" s="32">
        <f t="shared" si="43"/>
        <v>3202.7554</v>
      </c>
      <c r="BT152" s="32">
        <f>IF(BY151&gt;=Assumptions!$B$92,MAX(0,(AM152-BE152-BO152-BQ152)-Assumptions!$B$93),MAX(0,(AM152-BE152-BO152-BQ152)-Assumptions!$B$93)*Assumptions!$B$99)</f>
        <v>24619.4548</v>
      </c>
      <c r="BU152" s="32">
        <f>(BR152+BS152+MAX(0,BT152))*(Assumptions!$B$43-1)</f>
        <v>20852.37859</v>
      </c>
      <c r="BV152" s="32">
        <f t="shared" si="13"/>
        <v>3079282.797</v>
      </c>
      <c r="BW152" s="32">
        <f t="shared" si="44"/>
        <v>15476.04728</v>
      </c>
      <c r="BX152" s="32">
        <f>IF(BY151&lt;Assumptions!$B$92,MAX(0,(AM152-BE152-BO152-BQ152)-Assumptions!$B$93)*Assumptions!$B$98,0)</f>
        <v>0</v>
      </c>
      <c r="BY152" s="32">
        <f t="shared" si="14"/>
        <v>15476.04728</v>
      </c>
      <c r="BZ152" s="32">
        <f t="shared" si="45"/>
        <v>53160</v>
      </c>
      <c r="CA152" s="32">
        <f t="shared" si="15"/>
        <v>8860</v>
      </c>
      <c r="CB152" s="32">
        <f t="shared" si="16"/>
        <v>62020</v>
      </c>
      <c r="CC152" s="55">
        <f>CC151+(G152+J152)/(Salary_Schedule!E152*12/208)</f>
        <v>1859.536024</v>
      </c>
      <c r="CD152" s="55">
        <f>CD151+(O152+R152)/(Salary_Schedule!G152*12/208)</f>
        <v>194.9031024</v>
      </c>
      <c r="CE152" s="32">
        <f t="shared" si="17"/>
        <v>3079282.797</v>
      </c>
      <c r="CF152" s="32">
        <f>Assumptions!$B$55*(1+Assumptions!$B$56)^((B152-2025)+(A152-1)/12)</f>
        <v>635762.5091</v>
      </c>
      <c r="CG152" s="32">
        <f t="shared" si="18"/>
        <v>0</v>
      </c>
      <c r="CH152" s="32">
        <f t="shared" si="19"/>
        <v>-10500</v>
      </c>
      <c r="CI152" s="32">
        <f>CC152*(Salary_Schedule!E152/173.33)*(1-Assumptions!$B$28)+CD152*(Salary_Schedule!G152/173.33)*(1-Assumptions!$B$28)</f>
        <v>99093.99172</v>
      </c>
      <c r="CJ152" s="32">
        <f t="shared" si="20"/>
        <v>3803639.298</v>
      </c>
    </row>
    <row r="153" ht="15.0" customHeight="1">
      <c r="A153" s="1">
        <v>8.0</v>
      </c>
      <c r="B153" s="1">
        <v>2038.0</v>
      </c>
      <c r="C153" s="1" t="s">
        <v>822</v>
      </c>
      <c r="D153" s="1" t="str">
        <f t="shared" si="21"/>
        <v>07/2038</v>
      </c>
      <c r="E153" s="1" t="str">
        <f t="shared" si="2"/>
        <v>LEAN</v>
      </c>
      <c r="F153" s="32">
        <f>Salary_Schedule!E153</f>
        <v>13229.03</v>
      </c>
      <c r="G153" s="32">
        <f>Assumptions!$B$8</f>
        <v>200</v>
      </c>
      <c r="H153" s="32">
        <f>F153*Assumptions!$B$58</f>
        <v>1322.903</v>
      </c>
      <c r="I153" s="32">
        <f>Salary_Schedule!F153</f>
        <v>0</v>
      </c>
      <c r="J153" s="32">
        <f>I153*Assumptions!$B$9</f>
        <v>0</v>
      </c>
      <c r="K153" s="54">
        <f t="shared" si="3"/>
        <v>11706.127</v>
      </c>
      <c r="L153" s="32">
        <f>IF(COUNTIFS(SL_Income_Log!$B:$B,TEXT(B153,"0000")&amp;"-"&amp;TEXT(A153,"00"),SL_Income_Log!$C:$C,"salary",SL_Income_Log!$E:$E,"H")&gt;0,SUMIFS(SL_Income_Log!$D:$D,SL_Income_Log!$B:$B,TEXT(B153,"0000")&amp;"-"&amp;TEXT(A153,"00"),SL_Income_Log!$C:$C,"salary",SL_Income_Log!$E:$E,"H"),K153*(1-Assumptions!$B$102)-Z153-Y153)</f>
        <v>7023.6762</v>
      </c>
      <c r="M153" s="32">
        <f>RSU_Schedule!H152</f>
        <v>0</v>
      </c>
      <c r="N153" s="32">
        <f>Salary_Schedule!G153</f>
        <v>9362.08</v>
      </c>
      <c r="O153" s="32">
        <f>Assumptions!$B$19</f>
        <v>200</v>
      </c>
      <c r="P153" s="32">
        <f>N153*Assumptions!$B$59</f>
        <v>936.208</v>
      </c>
      <c r="Q153" s="32">
        <f>Salary_Schedule!H153</f>
        <v>0</v>
      </c>
      <c r="R153" s="32">
        <f>Q153*Assumptions!$B$20</f>
        <v>0</v>
      </c>
      <c r="S153" s="54">
        <f t="shared" si="4"/>
        <v>8225.872</v>
      </c>
      <c r="T153" s="32">
        <f>IF(COUNTIFS(SL_Income_Log!$B:$B,TEXT(B153,"0000")&amp;"-"&amp;TEXT(A153,"00"),SL_Income_Log!$C:$C,"salary",SL_Income_Log!$E:$E,"W")&gt;0,SUMIFS(SL_Income_Log!$D:$D,SL_Income_Log!$B:$B,TEXT(B153,"0000")&amp;"-"&amp;TEXT(A153,"00"),SL_Income_Log!$C:$C,"salary",SL_Income_Log!$E:$E,"W"),S153*(1-Assumptions!$B$102)-AC153-AB153)
</f>
        <v>4935.5232</v>
      </c>
      <c r="U153" s="32">
        <f>RSU_Schedule!M152</f>
        <v>0</v>
      </c>
      <c r="V153" s="32">
        <f>H153*(1+Assumptions!$B$60)+Assumptions!$B$61</f>
        <v>1872.0642</v>
      </c>
      <c r="W153" s="32">
        <f>P153*(1+Assumptions!$B$60)+Assumptions!$B$61</f>
        <v>1330.6912</v>
      </c>
      <c r="X153" s="32">
        <f t="shared" si="5"/>
        <v>3202.7554</v>
      </c>
      <c r="Y153" s="32">
        <v>0.0</v>
      </c>
      <c r="Z153" s="32">
        <v>0.0</v>
      </c>
      <c r="AA153" s="32">
        <v>0.0</v>
      </c>
      <c r="AB153" s="32">
        <v>0.0</v>
      </c>
      <c r="AC153" s="32">
        <v>0.0</v>
      </c>
      <c r="AD153" s="32">
        <v>0.0</v>
      </c>
      <c r="AE153" s="32">
        <f t="shared" ref="AE153:AF153" si="194">Z153+AC153</f>
        <v>0</v>
      </c>
      <c r="AF153" s="32">
        <f t="shared" si="194"/>
        <v>0</v>
      </c>
      <c r="AG153" s="32">
        <f>IF(COUNTIFS(SL_Income_Log!$B:$B,TEXT(B153,"0000")&amp;"-"&amp;TEXT(A153,"00"),SL_Income_Log!$C:$C,"youtube")&gt;0,SUMIFS(SL_Income_Log!$D:$D,SL_Income_Log!$B:$B,TEXT(B153,"0000")&amp;"-"&amp;TEXT(A153,"00"),SL_Income_Log!$C:$C,"youtube"),MIN(Assumptions!$B$49+FLOOR((ROW()-2)/6,1)*Assumptions!$B$50,Assumptions!$B$51))
</f>
        <v>20000</v>
      </c>
      <c r="AH153" s="32">
        <f>AG153*Assumptions!$B$104</f>
        <v>8860</v>
      </c>
      <c r="AI153" s="32">
        <f t="shared" si="7"/>
        <v>11140</v>
      </c>
      <c r="AJ153" s="32">
        <f>SUMIFS(SL_Income_Log!$D:$D,SL_Income_Log!$B:$B,TEXT(B153,"0000")&amp;"-"&amp;TEXT(A153,"00"),SL_Income_Log!$C:$C,"other")</f>
        <v>0</v>
      </c>
      <c r="AK153" s="32">
        <f t="shared" si="27"/>
        <v>10000</v>
      </c>
      <c r="AL153" s="32">
        <f>L153+M153+T153+U153+AI153+AJ153-Y153-Z153-AB153-AC153+IF((Debt_Register!$C$2+Debt_Register!$C$6+Debt_Register!$C$7+Debt_Register!$C$8+Debt_Register!$C$9)&gt;5,X153,0)</f>
        <v>26301.9548</v>
      </c>
      <c r="AM153" s="32">
        <f t="shared" si="8"/>
        <v>36301.9548</v>
      </c>
      <c r="AN153" s="32">
        <f>MAX(Assumptions!$B$94,MIN(Assumptions!$B$93,AM153-AP153-BE153-BO153-BQ153))</f>
        <v>10000</v>
      </c>
      <c r="AO153" s="32">
        <v>0.0</v>
      </c>
      <c r="AP153" s="32">
        <v>0.0</v>
      </c>
      <c r="AQ153" s="32">
        <v>0.0</v>
      </c>
      <c r="AR153" s="32">
        <v>0.0</v>
      </c>
      <c r="AS153" s="32">
        <v>0.0</v>
      </c>
      <c r="AT153" s="32">
        <v>0.0</v>
      </c>
      <c r="AU153" s="32">
        <f t="shared" si="30"/>
        <v>0</v>
      </c>
      <c r="AV153" s="32">
        <f t="shared" si="31"/>
        <v>0</v>
      </c>
      <c r="AW153" s="32">
        <f t="shared" si="32"/>
        <v>0</v>
      </c>
      <c r="AX153" s="32">
        <f t="shared" si="33"/>
        <v>0</v>
      </c>
      <c r="AY153" s="32">
        <f t="shared" si="34"/>
        <v>0</v>
      </c>
      <c r="AZ153" s="32">
        <f t="shared" si="35"/>
        <v>0</v>
      </c>
      <c r="BA153" s="32">
        <f t="shared" si="36"/>
        <v>0</v>
      </c>
      <c r="BB153" s="32">
        <f t="shared" si="37"/>
        <v>0</v>
      </c>
      <c r="BC153" s="32">
        <f t="shared" si="38"/>
        <v>0</v>
      </c>
      <c r="BD153" s="32">
        <f t="shared" si="39"/>
        <v>0</v>
      </c>
      <c r="BE153" s="32">
        <f t="shared" si="11"/>
        <v>0</v>
      </c>
      <c r="BF153" s="32">
        <v>0.0</v>
      </c>
      <c r="BG153" s="32">
        <f t="shared" si="40"/>
        <v>5500</v>
      </c>
      <c r="BH153" s="32">
        <v>0.0</v>
      </c>
      <c r="BI153" s="32">
        <f t="shared" si="41"/>
        <v>5000</v>
      </c>
      <c r="BJ153" s="32">
        <f>IF(OR(B153&lt;Assumptions!$B$111,AND(B153=Assumptions!$B$111,A153&lt;=Assumptions!$B$112)),Assumptions!$B$110,0)</f>
        <v>0</v>
      </c>
      <c r="BK153" s="32">
        <f>IF(B153&lt;2027,Assumptions!$B$116+IF(OR(A153=4,A153=10),Assumptions!$B$117,0),IF(AND(B153=2027,A153&lt;=4),IF(A153=4,MIN(950,Assumptions!$B$116+Assumptions!$B$117),Assumptions!$B$116),0))</f>
        <v>0</v>
      </c>
      <c r="BL153" s="32">
        <f>IF(OR(B153&lt;2030,AND(B153=2030,A153&lt;8)),Assumptions!$B$118,IF(AND(B153=2030,A153=8),MOD(11000,200),0))</f>
        <v>0</v>
      </c>
      <c r="BM153" s="32">
        <f>IF(OR(B153&lt;Assumptions!$B$120,AND(B153=Assumptions!$B$120,A153&lt;=Assumptions!$B$121)),Assumptions!$B$119,0)</f>
        <v>0</v>
      </c>
      <c r="BN153" s="32">
        <f>IF(AND(B153&lt;=Assumptions!$B$123,A153&lt;=Assumptions!$B$124),Assumptions!$B$122,0)</f>
        <v>0</v>
      </c>
      <c r="BO153" s="32">
        <f t="shared" si="12"/>
        <v>0</v>
      </c>
      <c r="BP153" s="32">
        <f>SUMIFS(SL_Budget!$B:$B,SL_Budget!$C:$C,"'"&amp;TEXT(DATE(B153,A153,1),"YYYY-MM"))</f>
        <v>5860</v>
      </c>
      <c r="BQ153" s="32">
        <f>MAX(BP153, IFERROR(SUMIFS(ShadowLedger!D:D, 
  ShadowLedger!C:C, "&gt;="&amp;DATE(B153,A153,1), 
  ShadowLedger!C:C, "&lt;"&amp;EOMONTH(DATE(B153,A153,1),0)+1), 0))
</f>
        <v>5860</v>
      </c>
      <c r="BR153" s="32">
        <f t="shared" si="42"/>
        <v>3079282.797</v>
      </c>
      <c r="BS153" s="32">
        <f t="shared" si="43"/>
        <v>3202.7554</v>
      </c>
      <c r="BT153" s="32">
        <f>IF(BY152&gt;=Assumptions!$B$92,MAX(0,(AM153-BE153-BO153-BQ153)-Assumptions!$B$93),MAX(0,(AM153-BE153-BO153-BQ153)-Assumptions!$B$93)*Assumptions!$B$99)</f>
        <v>20441.9548</v>
      </c>
      <c r="BU153" s="32">
        <f>(BR153+BS153+MAX(0,BT153))*(Assumptions!$B$43-1)</f>
        <v>21155.75974</v>
      </c>
      <c r="BV153" s="32">
        <f t="shared" si="13"/>
        <v>3124083.267</v>
      </c>
      <c r="BW153" s="32">
        <f t="shared" si="44"/>
        <v>15476.04728</v>
      </c>
      <c r="BX153" s="32">
        <f>IF(BY152&lt;Assumptions!$B$92,MAX(0,(AM153-BE153-BO153-BQ153)-Assumptions!$B$93)*Assumptions!$B$98,0)</f>
        <v>0</v>
      </c>
      <c r="BY153" s="32">
        <f t="shared" si="14"/>
        <v>15476.04728</v>
      </c>
      <c r="BZ153" s="32">
        <f t="shared" si="45"/>
        <v>62020</v>
      </c>
      <c r="CA153" s="32">
        <f t="shared" si="15"/>
        <v>8860</v>
      </c>
      <c r="CB153" s="32">
        <f t="shared" si="16"/>
        <v>70880</v>
      </c>
      <c r="CC153" s="55">
        <f>CC152+(G153+J153)/(Salary_Schedule!E153*12/208)</f>
        <v>1859.798074</v>
      </c>
      <c r="CD153" s="55">
        <f>CD152+(O153+R153)/(Salary_Schedule!G153*12/208)</f>
        <v>195.2733905</v>
      </c>
      <c r="CE153" s="32">
        <f t="shared" si="17"/>
        <v>3124083.267</v>
      </c>
      <c r="CF153" s="32">
        <f>Assumptions!$B$55*(1+Assumptions!$B$56)^((B153-2025)+(A153-1)/12)</f>
        <v>636551.8004</v>
      </c>
      <c r="CG153" s="32">
        <f t="shared" si="18"/>
        <v>0</v>
      </c>
      <c r="CH153" s="32">
        <f t="shared" si="19"/>
        <v>-10500</v>
      </c>
      <c r="CI153" s="32">
        <f>CC153*(Salary_Schedule!E153/173.33)*(1-Assumptions!$B$28)+CD153*(Salary_Schedule!G153/173.33)*(1-Assumptions!$B$28)</f>
        <v>99119.99222</v>
      </c>
      <c r="CJ153" s="32">
        <f t="shared" si="20"/>
        <v>3849255.059</v>
      </c>
    </row>
    <row r="154" ht="15.0" customHeight="1">
      <c r="A154" s="1">
        <v>9.0</v>
      </c>
      <c r="B154" s="1">
        <v>2038.0</v>
      </c>
      <c r="C154" s="1" t="s">
        <v>823</v>
      </c>
      <c r="D154" s="1" t="str">
        <f t="shared" si="21"/>
        <v>08/2038</v>
      </c>
      <c r="E154" s="1" t="str">
        <f t="shared" si="2"/>
        <v>LEAN</v>
      </c>
      <c r="F154" s="32">
        <f>Salary_Schedule!E154</f>
        <v>13229.03</v>
      </c>
      <c r="G154" s="32">
        <f>Assumptions!$B$8</f>
        <v>200</v>
      </c>
      <c r="H154" s="32">
        <f>F154*Assumptions!$B$58</f>
        <v>1322.903</v>
      </c>
      <c r="I154" s="32">
        <f>Salary_Schedule!F154</f>
        <v>0</v>
      </c>
      <c r="J154" s="32">
        <f>I154*Assumptions!$B$9</f>
        <v>0</v>
      </c>
      <c r="K154" s="54">
        <f t="shared" si="3"/>
        <v>11706.127</v>
      </c>
      <c r="L154" s="32">
        <f>IF(COUNTIFS(SL_Income_Log!$B:$B,TEXT(B154,"0000")&amp;"-"&amp;TEXT(A154,"00"),SL_Income_Log!$C:$C,"salary",SL_Income_Log!$E:$E,"H")&gt;0,SUMIFS(SL_Income_Log!$D:$D,SL_Income_Log!$B:$B,TEXT(B154,"0000")&amp;"-"&amp;TEXT(A154,"00"),SL_Income_Log!$C:$C,"salary",SL_Income_Log!$E:$E,"H"),K154*(1-Assumptions!$B$102)-Z154-Y154)</f>
        <v>7023.6762</v>
      </c>
      <c r="M154" s="32">
        <f>RSU_Schedule!H153</f>
        <v>0</v>
      </c>
      <c r="N154" s="32">
        <f>Salary_Schedule!G154</f>
        <v>9362.08</v>
      </c>
      <c r="O154" s="32">
        <f>Assumptions!$B$19</f>
        <v>200</v>
      </c>
      <c r="P154" s="32">
        <f>N154*Assumptions!$B$59</f>
        <v>936.208</v>
      </c>
      <c r="Q154" s="32">
        <f>Salary_Schedule!H154</f>
        <v>0</v>
      </c>
      <c r="R154" s="32">
        <f>Q154*Assumptions!$B$20</f>
        <v>0</v>
      </c>
      <c r="S154" s="54">
        <f t="shared" si="4"/>
        <v>8225.872</v>
      </c>
      <c r="T154" s="32">
        <f>IF(COUNTIFS(SL_Income_Log!$B:$B,TEXT(B154,"0000")&amp;"-"&amp;TEXT(A154,"00"),SL_Income_Log!$C:$C,"salary",SL_Income_Log!$E:$E,"W")&gt;0,SUMIFS(SL_Income_Log!$D:$D,SL_Income_Log!$B:$B,TEXT(B154,"0000")&amp;"-"&amp;TEXT(A154,"00"),SL_Income_Log!$C:$C,"salary",SL_Income_Log!$E:$E,"W"),S154*(1-Assumptions!$B$102)-AC154-AB154)
</f>
        <v>4935.5232</v>
      </c>
      <c r="U154" s="32">
        <f>RSU_Schedule!M153</f>
        <v>0</v>
      </c>
      <c r="V154" s="32">
        <f>H154*(1+Assumptions!$B$60)+Assumptions!$B$61</f>
        <v>1872.0642</v>
      </c>
      <c r="W154" s="32">
        <f>P154*(1+Assumptions!$B$60)+Assumptions!$B$61</f>
        <v>1330.6912</v>
      </c>
      <c r="X154" s="32">
        <f t="shared" si="5"/>
        <v>3202.7554</v>
      </c>
      <c r="Y154" s="32">
        <v>0.0</v>
      </c>
      <c r="Z154" s="32">
        <v>0.0</v>
      </c>
      <c r="AA154" s="32">
        <v>0.0</v>
      </c>
      <c r="AB154" s="32">
        <v>0.0</v>
      </c>
      <c r="AC154" s="32">
        <v>0.0</v>
      </c>
      <c r="AD154" s="32">
        <v>0.0</v>
      </c>
      <c r="AE154" s="32">
        <f t="shared" ref="AE154:AF154" si="195">Z154+AC154</f>
        <v>0</v>
      </c>
      <c r="AF154" s="32">
        <f t="shared" si="195"/>
        <v>0</v>
      </c>
      <c r="AG154" s="32">
        <f>IF(COUNTIFS(SL_Income_Log!$B:$B,TEXT(B154,"0000")&amp;"-"&amp;TEXT(A154,"00"),SL_Income_Log!$C:$C,"youtube")&gt;0,SUMIFS(SL_Income_Log!$D:$D,SL_Income_Log!$B:$B,TEXT(B154,"0000")&amp;"-"&amp;TEXT(A154,"00"),SL_Income_Log!$C:$C,"youtube"),MIN(Assumptions!$B$49+FLOOR((ROW()-2)/6,1)*Assumptions!$B$50,Assumptions!$B$51))
</f>
        <v>20000</v>
      </c>
      <c r="AH154" s="32">
        <f>AG154*Assumptions!$B$104</f>
        <v>8860</v>
      </c>
      <c r="AI154" s="32">
        <f t="shared" si="7"/>
        <v>11140</v>
      </c>
      <c r="AJ154" s="32">
        <f>SUMIFS(SL_Income_Log!$D:$D,SL_Income_Log!$B:$B,TEXT(B154,"0000")&amp;"-"&amp;TEXT(A154,"00"),SL_Income_Log!$C:$C,"other")</f>
        <v>0</v>
      </c>
      <c r="AK154" s="32">
        <f t="shared" si="27"/>
        <v>10000</v>
      </c>
      <c r="AL154" s="32">
        <f>L154+M154+T154+U154+AI154+AJ154-Y154-Z154-AB154-AC154+IF((Debt_Register!$C$2+Debt_Register!$C$6+Debt_Register!$C$7+Debt_Register!$C$8+Debt_Register!$C$9)&gt;5,X154,0)</f>
        <v>26301.9548</v>
      </c>
      <c r="AM154" s="32">
        <f t="shared" si="8"/>
        <v>36301.9548</v>
      </c>
      <c r="AN154" s="32">
        <f>MAX(Assumptions!$B$94,MIN(Assumptions!$B$93,AM154-AP154-BE154-BO154-BQ154))</f>
        <v>10000</v>
      </c>
      <c r="AO154" s="32">
        <v>0.0</v>
      </c>
      <c r="AP154" s="32">
        <v>0.0</v>
      </c>
      <c r="AQ154" s="32">
        <v>0.0</v>
      </c>
      <c r="AR154" s="32">
        <v>0.0</v>
      </c>
      <c r="AS154" s="32">
        <v>0.0</v>
      </c>
      <c r="AT154" s="32">
        <v>0.0</v>
      </c>
      <c r="AU154" s="32">
        <f t="shared" si="30"/>
        <v>0</v>
      </c>
      <c r="AV154" s="32">
        <f t="shared" si="31"/>
        <v>0</v>
      </c>
      <c r="AW154" s="32">
        <f t="shared" si="32"/>
        <v>0</v>
      </c>
      <c r="AX154" s="32">
        <f t="shared" si="33"/>
        <v>0</v>
      </c>
      <c r="AY154" s="32">
        <f t="shared" si="34"/>
        <v>0</v>
      </c>
      <c r="AZ154" s="32">
        <f t="shared" si="35"/>
        <v>0</v>
      </c>
      <c r="BA154" s="32">
        <f t="shared" si="36"/>
        <v>0</v>
      </c>
      <c r="BB154" s="32">
        <f t="shared" si="37"/>
        <v>0</v>
      </c>
      <c r="BC154" s="32">
        <f t="shared" si="38"/>
        <v>0</v>
      </c>
      <c r="BD154" s="32">
        <f t="shared" si="39"/>
        <v>0</v>
      </c>
      <c r="BE154" s="32">
        <f t="shared" si="11"/>
        <v>0</v>
      </c>
      <c r="BF154" s="32">
        <v>0.0</v>
      </c>
      <c r="BG154" s="32">
        <f t="shared" si="40"/>
        <v>5500</v>
      </c>
      <c r="BH154" s="32">
        <v>0.0</v>
      </c>
      <c r="BI154" s="32">
        <f t="shared" si="41"/>
        <v>5000</v>
      </c>
      <c r="BJ154" s="32">
        <f>IF(OR(B154&lt;Assumptions!$B$111,AND(B154=Assumptions!$B$111,A154&lt;=Assumptions!$B$112)),Assumptions!$B$110,0)</f>
        <v>0</v>
      </c>
      <c r="BK154" s="32">
        <f>IF(B154&lt;2027,Assumptions!$B$116+IF(OR(A154=4,A154=10),Assumptions!$B$117,0),IF(AND(B154=2027,A154&lt;=4),IF(A154=4,MIN(950,Assumptions!$B$116+Assumptions!$B$117),Assumptions!$B$116),0))</f>
        <v>0</v>
      </c>
      <c r="BL154" s="32">
        <f>IF(OR(B154&lt;2030,AND(B154=2030,A154&lt;8)),Assumptions!$B$118,IF(AND(B154=2030,A154=8),MOD(11000,200),0))</f>
        <v>0</v>
      </c>
      <c r="BM154" s="32">
        <f>IF(OR(B154&lt;Assumptions!$B$120,AND(B154=Assumptions!$B$120,A154&lt;=Assumptions!$B$121)),Assumptions!$B$119,0)</f>
        <v>0</v>
      </c>
      <c r="BN154" s="32">
        <f>IF(AND(B154&lt;=Assumptions!$B$123,A154&lt;=Assumptions!$B$124),Assumptions!$B$122,0)</f>
        <v>0</v>
      </c>
      <c r="BO154" s="32">
        <f t="shared" si="12"/>
        <v>0</v>
      </c>
      <c r="BP154" s="32">
        <f>SUMIFS(SL_Budget!$B:$B,SL_Budget!$C:$C,"'"&amp;TEXT(DATE(B154,A154,1),"YYYY-MM"))</f>
        <v>5860</v>
      </c>
      <c r="BQ154" s="32">
        <f>MAX(BP154, IFERROR(SUMIFS(ShadowLedger!D:D, 
  ShadowLedger!C:C, "&gt;="&amp;DATE(B154,A154,1), 
  ShadowLedger!C:C, "&lt;"&amp;EOMONTH(DATE(B154,A154,1),0)+1), 0))
</f>
        <v>5860</v>
      </c>
      <c r="BR154" s="32">
        <f t="shared" si="42"/>
        <v>3124083.267</v>
      </c>
      <c r="BS154" s="32">
        <f t="shared" si="43"/>
        <v>3202.7554</v>
      </c>
      <c r="BT154" s="32">
        <f>IF(BY153&gt;=Assumptions!$B$92,MAX(0,(AM154-BE154-BO154-BQ154)-Assumptions!$B$93),MAX(0,(AM154-BE154-BO154-BQ154)-Assumptions!$B$93)*Assumptions!$B$99)</f>
        <v>20441.9548</v>
      </c>
      <c r="BU154" s="32">
        <f>(BR154+BS154+MAX(0,BT154))*(Assumptions!$B$43-1)</f>
        <v>21461.20935</v>
      </c>
      <c r="BV154" s="32">
        <f t="shared" si="13"/>
        <v>3169189.186</v>
      </c>
      <c r="BW154" s="32">
        <f t="shared" si="44"/>
        <v>15476.04728</v>
      </c>
      <c r="BX154" s="32">
        <f>IF(BY153&lt;Assumptions!$B$92,MAX(0,(AM154-BE154-BO154-BQ154)-Assumptions!$B$93)*Assumptions!$B$98,0)</f>
        <v>0</v>
      </c>
      <c r="BY154" s="32">
        <f t="shared" si="14"/>
        <v>15476.04728</v>
      </c>
      <c r="BZ154" s="32">
        <f t="shared" si="45"/>
        <v>70880</v>
      </c>
      <c r="CA154" s="32">
        <f t="shared" si="15"/>
        <v>8860</v>
      </c>
      <c r="CB154" s="32">
        <f t="shared" si="16"/>
        <v>79740</v>
      </c>
      <c r="CC154" s="55">
        <f>CC153+(G154+J154)/(Salary_Schedule!E154*12/208)</f>
        <v>1860.060124</v>
      </c>
      <c r="CD154" s="55">
        <f>CD153+(O154+R154)/(Salary_Schedule!G154*12/208)</f>
        <v>195.6436786</v>
      </c>
      <c r="CE154" s="32">
        <f t="shared" si="17"/>
        <v>3169189.186</v>
      </c>
      <c r="CF154" s="32">
        <f>Assumptions!$B$55*(1+Assumptions!$B$56)^((B154-2025)+(A154-1)/12)</f>
        <v>637342.0717</v>
      </c>
      <c r="CG154" s="32">
        <f t="shared" si="18"/>
        <v>0</v>
      </c>
      <c r="CH154" s="32">
        <f t="shared" si="19"/>
        <v>-10500</v>
      </c>
      <c r="CI154" s="32">
        <f>CC154*(Salary_Schedule!E154/173.33)*(1-Assumptions!$B$28)+CD154*(Salary_Schedule!G154/173.33)*(1-Assumptions!$B$28)</f>
        <v>99145.99272</v>
      </c>
      <c r="CJ154" s="32">
        <f t="shared" si="20"/>
        <v>3895177.251</v>
      </c>
    </row>
    <row r="155" ht="15.0" customHeight="1">
      <c r="A155" s="1">
        <v>10.0</v>
      </c>
      <c r="B155" s="1">
        <v>2038.0</v>
      </c>
      <c r="C155" s="1" t="s">
        <v>824</v>
      </c>
      <c r="D155" s="1" t="str">
        <f t="shared" si="21"/>
        <v>09/2038</v>
      </c>
      <c r="E155" s="1" t="str">
        <f t="shared" si="2"/>
        <v>FAT_RSU</v>
      </c>
      <c r="F155" s="32">
        <f>Salary_Schedule!E155</f>
        <v>13229.03</v>
      </c>
      <c r="G155" s="32">
        <f>Assumptions!$B$8</f>
        <v>200</v>
      </c>
      <c r="H155" s="32">
        <f>F155*Assumptions!$B$58</f>
        <v>1322.903</v>
      </c>
      <c r="I155" s="32">
        <f>Salary_Schedule!F155</f>
        <v>0</v>
      </c>
      <c r="J155" s="32">
        <f>I155*Assumptions!$B$9</f>
        <v>0</v>
      </c>
      <c r="K155" s="54">
        <f t="shared" si="3"/>
        <v>11706.127</v>
      </c>
      <c r="L155" s="32">
        <f>IF(COUNTIFS(SL_Income_Log!$B:$B,TEXT(B155,"0000")&amp;"-"&amp;TEXT(A155,"00"),SL_Income_Log!$C:$C,"salary",SL_Income_Log!$E:$E,"H")&gt;0,SUMIFS(SL_Income_Log!$D:$D,SL_Income_Log!$B:$B,TEXT(B155,"0000")&amp;"-"&amp;TEXT(A155,"00"),SL_Income_Log!$C:$C,"salary",SL_Income_Log!$E:$E,"H"),K155*(1-Assumptions!$B$102)-Z155-Y155)</f>
        <v>7023.6762</v>
      </c>
      <c r="M155" s="32">
        <f>RSU_Schedule!H154</f>
        <v>2784.99</v>
      </c>
      <c r="N155" s="32">
        <f>Salary_Schedule!G155</f>
        <v>9362.08</v>
      </c>
      <c r="O155" s="32">
        <f>Assumptions!$B$19</f>
        <v>200</v>
      </c>
      <c r="P155" s="32">
        <f>N155*Assumptions!$B$59</f>
        <v>936.208</v>
      </c>
      <c r="Q155" s="32">
        <f>Salary_Schedule!H155</f>
        <v>0</v>
      </c>
      <c r="R155" s="32">
        <f>Q155*Assumptions!$B$20</f>
        <v>0</v>
      </c>
      <c r="S155" s="54">
        <f t="shared" si="4"/>
        <v>8225.872</v>
      </c>
      <c r="T155" s="32">
        <f>IF(COUNTIFS(SL_Income_Log!$B:$B,TEXT(B155,"0000")&amp;"-"&amp;TEXT(A155,"00"),SL_Income_Log!$C:$C,"salary",SL_Income_Log!$E:$E,"W")&gt;0,SUMIFS(SL_Income_Log!$D:$D,SL_Income_Log!$B:$B,TEXT(B155,"0000")&amp;"-"&amp;TEXT(A155,"00"),SL_Income_Log!$C:$C,"salary",SL_Income_Log!$E:$E,"W"),S155*(1-Assumptions!$B$102)-AC155-AB155)
</f>
        <v>4935.5232</v>
      </c>
      <c r="U155" s="32">
        <f>RSU_Schedule!M154</f>
        <v>1392.51</v>
      </c>
      <c r="V155" s="32">
        <f>H155*(1+Assumptions!$B$60)+Assumptions!$B$61</f>
        <v>1872.0642</v>
      </c>
      <c r="W155" s="32">
        <f>P155*(1+Assumptions!$B$60)+Assumptions!$B$61</f>
        <v>1330.6912</v>
      </c>
      <c r="X155" s="32">
        <f t="shared" si="5"/>
        <v>3202.7554</v>
      </c>
      <c r="Y155" s="32">
        <v>0.0</v>
      </c>
      <c r="Z155" s="32">
        <v>0.0</v>
      </c>
      <c r="AA155" s="32">
        <v>0.0</v>
      </c>
      <c r="AB155" s="32">
        <v>0.0</v>
      </c>
      <c r="AC155" s="32">
        <v>0.0</v>
      </c>
      <c r="AD155" s="32">
        <v>0.0</v>
      </c>
      <c r="AE155" s="32">
        <f t="shared" ref="AE155:AF155" si="196">Z155+AC155</f>
        <v>0</v>
      </c>
      <c r="AF155" s="32">
        <f t="shared" si="196"/>
        <v>0</v>
      </c>
      <c r="AG155" s="32">
        <f>IF(COUNTIFS(SL_Income_Log!$B:$B,TEXT(B155,"0000")&amp;"-"&amp;TEXT(A155,"00"),SL_Income_Log!$C:$C,"youtube")&gt;0,SUMIFS(SL_Income_Log!$D:$D,SL_Income_Log!$B:$B,TEXT(B155,"0000")&amp;"-"&amp;TEXT(A155,"00"),SL_Income_Log!$C:$C,"youtube"),MIN(Assumptions!$B$49+FLOOR((ROW()-2)/6,1)*Assumptions!$B$50,Assumptions!$B$51))
</f>
        <v>20000</v>
      </c>
      <c r="AH155" s="32">
        <f>AG155*Assumptions!$B$104</f>
        <v>8860</v>
      </c>
      <c r="AI155" s="32">
        <f t="shared" si="7"/>
        <v>11140</v>
      </c>
      <c r="AJ155" s="32">
        <f>SUMIFS(SL_Income_Log!$D:$D,SL_Income_Log!$B:$B,TEXT(B155,"0000")&amp;"-"&amp;TEXT(A155,"00"),SL_Income_Log!$C:$C,"other")</f>
        <v>0</v>
      </c>
      <c r="AK155" s="32">
        <f t="shared" si="27"/>
        <v>10000</v>
      </c>
      <c r="AL155" s="32">
        <f>L155+M155+T155+U155+AI155+AJ155-Y155-Z155-AB155-AC155+IF((Debt_Register!$C$2+Debt_Register!$C$6+Debt_Register!$C$7+Debt_Register!$C$8+Debt_Register!$C$9)&gt;5,X155,0)</f>
        <v>30479.4548</v>
      </c>
      <c r="AM155" s="32">
        <f t="shared" si="8"/>
        <v>40479.4548</v>
      </c>
      <c r="AN155" s="32">
        <f>MAX(Assumptions!$B$94,MIN(Assumptions!$B$93,AM155-AP155-BE155-BO155-BQ155))</f>
        <v>10000</v>
      </c>
      <c r="AO155" s="32">
        <v>0.0</v>
      </c>
      <c r="AP155" s="32">
        <v>0.0</v>
      </c>
      <c r="AQ155" s="32">
        <v>0.0</v>
      </c>
      <c r="AR155" s="32">
        <v>0.0</v>
      </c>
      <c r="AS155" s="32">
        <v>0.0</v>
      </c>
      <c r="AT155" s="32">
        <v>0.0</v>
      </c>
      <c r="AU155" s="32">
        <f t="shared" si="30"/>
        <v>0</v>
      </c>
      <c r="AV155" s="32">
        <f t="shared" si="31"/>
        <v>0</v>
      </c>
      <c r="AW155" s="32">
        <f t="shared" si="32"/>
        <v>0</v>
      </c>
      <c r="AX155" s="32">
        <f t="shared" si="33"/>
        <v>0</v>
      </c>
      <c r="AY155" s="32">
        <f t="shared" si="34"/>
        <v>0</v>
      </c>
      <c r="AZ155" s="32">
        <f t="shared" si="35"/>
        <v>0</v>
      </c>
      <c r="BA155" s="32">
        <f t="shared" si="36"/>
        <v>0</v>
      </c>
      <c r="BB155" s="32">
        <f t="shared" si="37"/>
        <v>0</v>
      </c>
      <c r="BC155" s="32">
        <f t="shared" si="38"/>
        <v>0</v>
      </c>
      <c r="BD155" s="32">
        <f t="shared" si="39"/>
        <v>0</v>
      </c>
      <c r="BE155" s="32">
        <f t="shared" si="11"/>
        <v>0</v>
      </c>
      <c r="BF155" s="32">
        <v>0.0</v>
      </c>
      <c r="BG155" s="32">
        <f t="shared" si="40"/>
        <v>5500</v>
      </c>
      <c r="BH155" s="32">
        <v>0.0</v>
      </c>
      <c r="BI155" s="32">
        <f t="shared" si="41"/>
        <v>5000</v>
      </c>
      <c r="BJ155" s="32">
        <f>IF(OR(B155&lt;Assumptions!$B$111,AND(B155=Assumptions!$B$111,A155&lt;=Assumptions!$B$112)),Assumptions!$B$110,0)</f>
        <v>0</v>
      </c>
      <c r="BK155" s="32">
        <f>IF(B155&lt;2027,Assumptions!$B$116+IF(OR(A155=4,A155=10),Assumptions!$B$117,0),IF(AND(B155=2027,A155&lt;=4),IF(A155=4,MIN(950,Assumptions!$B$116+Assumptions!$B$117),Assumptions!$B$116),0))</f>
        <v>0</v>
      </c>
      <c r="BL155" s="32">
        <f>IF(OR(B155&lt;2030,AND(B155=2030,A155&lt;8)),Assumptions!$B$118,IF(AND(B155=2030,A155=8),MOD(11000,200),0))</f>
        <v>0</v>
      </c>
      <c r="BM155" s="32">
        <f>IF(OR(B155&lt;Assumptions!$B$120,AND(B155=Assumptions!$B$120,A155&lt;=Assumptions!$B$121)),Assumptions!$B$119,0)</f>
        <v>0</v>
      </c>
      <c r="BN155" s="32">
        <f>IF(AND(B155&lt;=Assumptions!$B$123,A155&lt;=Assumptions!$B$124),Assumptions!$B$122,0)</f>
        <v>0</v>
      </c>
      <c r="BO155" s="32">
        <f t="shared" si="12"/>
        <v>0</v>
      </c>
      <c r="BP155" s="32">
        <f>SUMIFS(SL_Budget!$B:$B,SL_Budget!$C:$C,"'"&amp;TEXT(DATE(B155,A155,1),"YYYY-MM"))</f>
        <v>5860</v>
      </c>
      <c r="BQ155" s="32">
        <f>MAX(BP155, IFERROR(SUMIFS(ShadowLedger!D:D, 
  ShadowLedger!C:C, "&gt;="&amp;DATE(B155,A155,1), 
  ShadowLedger!C:C, "&lt;"&amp;EOMONTH(DATE(B155,A155,1),0)+1), 0))
</f>
        <v>5860</v>
      </c>
      <c r="BR155" s="32">
        <f t="shared" si="42"/>
        <v>3169189.186</v>
      </c>
      <c r="BS155" s="32">
        <f t="shared" si="43"/>
        <v>3202.7554</v>
      </c>
      <c r="BT155" s="32">
        <f>IF(BY154&gt;=Assumptions!$B$92,MAX(0,(AM155-BE155-BO155-BQ155)-Assumptions!$B$93),MAX(0,(AM155-BE155-BO155-BQ155)-Assumptions!$B$93)*Assumptions!$B$99)</f>
        <v>24619.4548</v>
      </c>
      <c r="BU155" s="32">
        <f>(BR155+BS155+MAX(0,BT155))*(Assumptions!$B$43-1)</f>
        <v>21797.2237</v>
      </c>
      <c r="BV155" s="32">
        <f t="shared" si="13"/>
        <v>3218808.62</v>
      </c>
      <c r="BW155" s="32">
        <f t="shared" si="44"/>
        <v>15476.04728</v>
      </c>
      <c r="BX155" s="32">
        <f>IF(BY154&lt;Assumptions!$B$92,MAX(0,(AM155-BE155-BO155-BQ155)-Assumptions!$B$93)*Assumptions!$B$98,0)</f>
        <v>0</v>
      </c>
      <c r="BY155" s="32">
        <f t="shared" si="14"/>
        <v>15476.04728</v>
      </c>
      <c r="BZ155" s="32">
        <f t="shared" si="45"/>
        <v>79740</v>
      </c>
      <c r="CA155" s="32">
        <f t="shared" si="15"/>
        <v>8860</v>
      </c>
      <c r="CB155" s="32">
        <f t="shared" si="16"/>
        <v>88600</v>
      </c>
      <c r="CC155" s="55">
        <f>CC154+(G155+J155)/(Salary_Schedule!E155*12/208)</f>
        <v>1860.322174</v>
      </c>
      <c r="CD155" s="55">
        <f>CD154+(O155+R155)/(Salary_Schedule!G155*12/208)</f>
        <v>196.0139667</v>
      </c>
      <c r="CE155" s="32">
        <f t="shared" si="17"/>
        <v>3218808.62</v>
      </c>
      <c r="CF155" s="32">
        <f>Assumptions!$B$55*(1+Assumptions!$B$56)^((B155-2025)+(A155-1)/12)</f>
        <v>638133.324</v>
      </c>
      <c r="CG155" s="32">
        <f t="shared" si="18"/>
        <v>0</v>
      </c>
      <c r="CH155" s="32">
        <f t="shared" si="19"/>
        <v>-10500</v>
      </c>
      <c r="CI155" s="32">
        <f>CC155*(Salary_Schedule!E155/173.33)*(1-Assumptions!$B$28)+CD155*(Salary_Schedule!G155/173.33)*(1-Assumptions!$B$28)</f>
        <v>99171.99322</v>
      </c>
      <c r="CJ155" s="32">
        <f t="shared" si="20"/>
        <v>3945613.937</v>
      </c>
    </row>
    <row r="156" ht="15.0" customHeight="1">
      <c r="A156" s="1">
        <v>11.0</v>
      </c>
      <c r="B156" s="1">
        <v>2038.0</v>
      </c>
      <c r="C156" s="1" t="s">
        <v>825</v>
      </c>
      <c r="D156" s="1" t="str">
        <f t="shared" si="21"/>
        <v>10/2038</v>
      </c>
      <c r="E156" s="1" t="str">
        <f t="shared" si="2"/>
        <v>LEAN</v>
      </c>
      <c r="F156" s="32">
        <f>Salary_Schedule!E156</f>
        <v>13229.03</v>
      </c>
      <c r="G156" s="32">
        <f>Assumptions!$B$8</f>
        <v>200</v>
      </c>
      <c r="H156" s="32">
        <f>F156*Assumptions!$B$58</f>
        <v>1322.903</v>
      </c>
      <c r="I156" s="32">
        <f>Salary_Schedule!F156</f>
        <v>0</v>
      </c>
      <c r="J156" s="32">
        <f>I156*Assumptions!$B$9</f>
        <v>0</v>
      </c>
      <c r="K156" s="54">
        <f t="shared" si="3"/>
        <v>11706.127</v>
      </c>
      <c r="L156" s="32">
        <f>IF(COUNTIFS(SL_Income_Log!$B:$B,TEXT(B156,"0000")&amp;"-"&amp;TEXT(A156,"00"),SL_Income_Log!$C:$C,"salary",SL_Income_Log!$E:$E,"H")&gt;0,SUMIFS(SL_Income_Log!$D:$D,SL_Income_Log!$B:$B,TEXT(B156,"0000")&amp;"-"&amp;TEXT(A156,"00"),SL_Income_Log!$C:$C,"salary",SL_Income_Log!$E:$E,"H"),K156*(1-Assumptions!$B$102)-Z156-Y156)</f>
        <v>7023.6762</v>
      </c>
      <c r="M156" s="32">
        <f>RSU_Schedule!H155</f>
        <v>0</v>
      </c>
      <c r="N156" s="32">
        <f>Salary_Schedule!G156</f>
        <v>9362.08</v>
      </c>
      <c r="O156" s="32">
        <f>Assumptions!$B$19</f>
        <v>200</v>
      </c>
      <c r="P156" s="32">
        <f>N156*Assumptions!$B$59</f>
        <v>936.208</v>
      </c>
      <c r="Q156" s="32">
        <f>Salary_Schedule!H156</f>
        <v>0</v>
      </c>
      <c r="R156" s="32">
        <f>Q156*Assumptions!$B$20</f>
        <v>0</v>
      </c>
      <c r="S156" s="54">
        <f t="shared" si="4"/>
        <v>8225.872</v>
      </c>
      <c r="T156" s="32">
        <f>IF(COUNTIFS(SL_Income_Log!$B:$B,TEXT(B156,"0000")&amp;"-"&amp;TEXT(A156,"00"),SL_Income_Log!$C:$C,"salary",SL_Income_Log!$E:$E,"W")&gt;0,SUMIFS(SL_Income_Log!$D:$D,SL_Income_Log!$B:$B,TEXT(B156,"0000")&amp;"-"&amp;TEXT(A156,"00"),SL_Income_Log!$C:$C,"salary",SL_Income_Log!$E:$E,"W"),S156*(1-Assumptions!$B$102)-AC156-AB156)
</f>
        <v>4935.5232</v>
      </c>
      <c r="U156" s="32">
        <f>RSU_Schedule!M155</f>
        <v>0</v>
      </c>
      <c r="V156" s="32">
        <f>H156*(1+Assumptions!$B$60)+Assumptions!$B$61</f>
        <v>1872.0642</v>
      </c>
      <c r="W156" s="32">
        <f>P156*(1+Assumptions!$B$60)+Assumptions!$B$61</f>
        <v>1330.6912</v>
      </c>
      <c r="X156" s="32">
        <f t="shared" si="5"/>
        <v>3202.7554</v>
      </c>
      <c r="Y156" s="32">
        <v>0.0</v>
      </c>
      <c r="Z156" s="32">
        <v>0.0</v>
      </c>
      <c r="AA156" s="32">
        <v>0.0</v>
      </c>
      <c r="AB156" s="32">
        <v>0.0</v>
      </c>
      <c r="AC156" s="32">
        <v>0.0</v>
      </c>
      <c r="AD156" s="32">
        <v>0.0</v>
      </c>
      <c r="AE156" s="32">
        <f t="shared" ref="AE156:AF156" si="197">Z156+AC156</f>
        <v>0</v>
      </c>
      <c r="AF156" s="32">
        <f t="shared" si="197"/>
        <v>0</v>
      </c>
      <c r="AG156" s="32">
        <f>IF(COUNTIFS(SL_Income_Log!$B:$B,TEXT(B156,"0000")&amp;"-"&amp;TEXT(A156,"00"),SL_Income_Log!$C:$C,"youtube")&gt;0,SUMIFS(SL_Income_Log!$D:$D,SL_Income_Log!$B:$B,TEXT(B156,"0000")&amp;"-"&amp;TEXT(A156,"00"),SL_Income_Log!$C:$C,"youtube"),MIN(Assumptions!$B$49+FLOOR((ROW()-2)/6,1)*Assumptions!$B$50,Assumptions!$B$51))
</f>
        <v>20000</v>
      </c>
      <c r="AH156" s="32">
        <f>AG156*Assumptions!$B$104</f>
        <v>8860</v>
      </c>
      <c r="AI156" s="32">
        <f t="shared" si="7"/>
        <v>11140</v>
      </c>
      <c r="AJ156" s="32">
        <f>SUMIFS(SL_Income_Log!$D:$D,SL_Income_Log!$B:$B,TEXT(B156,"0000")&amp;"-"&amp;TEXT(A156,"00"),SL_Income_Log!$C:$C,"other")</f>
        <v>0</v>
      </c>
      <c r="AK156" s="32">
        <f t="shared" si="27"/>
        <v>10000</v>
      </c>
      <c r="AL156" s="32">
        <f>L156+M156+T156+U156+AI156+AJ156-Y156-Z156-AB156-AC156+IF((Debt_Register!$C$2+Debt_Register!$C$6+Debt_Register!$C$7+Debt_Register!$C$8+Debt_Register!$C$9)&gt;5,X156,0)</f>
        <v>26301.9548</v>
      </c>
      <c r="AM156" s="32">
        <f t="shared" si="8"/>
        <v>36301.9548</v>
      </c>
      <c r="AN156" s="32">
        <f>MAX(Assumptions!$B$94,MIN(Assumptions!$B$93,AM156-AP156-BE156-BO156-BQ156))</f>
        <v>10000</v>
      </c>
      <c r="AO156" s="32">
        <v>0.0</v>
      </c>
      <c r="AP156" s="32">
        <v>0.0</v>
      </c>
      <c r="AQ156" s="32">
        <v>0.0</v>
      </c>
      <c r="AR156" s="32">
        <v>0.0</v>
      </c>
      <c r="AS156" s="32">
        <v>0.0</v>
      </c>
      <c r="AT156" s="32">
        <v>0.0</v>
      </c>
      <c r="AU156" s="32">
        <f t="shared" si="30"/>
        <v>0</v>
      </c>
      <c r="AV156" s="32">
        <f t="shared" si="31"/>
        <v>0</v>
      </c>
      <c r="AW156" s="32">
        <f t="shared" si="32"/>
        <v>0</v>
      </c>
      <c r="AX156" s="32">
        <f t="shared" si="33"/>
        <v>0</v>
      </c>
      <c r="AY156" s="32">
        <f t="shared" si="34"/>
        <v>0</v>
      </c>
      <c r="AZ156" s="32">
        <f t="shared" si="35"/>
        <v>0</v>
      </c>
      <c r="BA156" s="32">
        <f t="shared" si="36"/>
        <v>0</v>
      </c>
      <c r="BB156" s="32">
        <f t="shared" si="37"/>
        <v>0</v>
      </c>
      <c r="BC156" s="32">
        <f t="shared" si="38"/>
        <v>0</v>
      </c>
      <c r="BD156" s="32">
        <f t="shared" si="39"/>
        <v>0</v>
      </c>
      <c r="BE156" s="32">
        <f t="shared" si="11"/>
        <v>0</v>
      </c>
      <c r="BF156" s="32">
        <v>0.0</v>
      </c>
      <c r="BG156" s="32">
        <f t="shared" si="40"/>
        <v>5500</v>
      </c>
      <c r="BH156" s="32">
        <v>0.0</v>
      </c>
      <c r="BI156" s="32">
        <f t="shared" si="41"/>
        <v>5000</v>
      </c>
      <c r="BJ156" s="32">
        <f>IF(OR(B156&lt;Assumptions!$B$111,AND(B156=Assumptions!$B$111,A156&lt;=Assumptions!$B$112)),Assumptions!$B$110,0)</f>
        <v>0</v>
      </c>
      <c r="BK156" s="32">
        <f>IF(B156&lt;2027,Assumptions!$B$116+IF(OR(A156=4,A156=10),Assumptions!$B$117,0),IF(AND(B156=2027,A156&lt;=4),IF(A156=4,MIN(950,Assumptions!$B$116+Assumptions!$B$117),Assumptions!$B$116),0))</f>
        <v>0</v>
      </c>
      <c r="BL156" s="32">
        <f>IF(OR(B156&lt;2030,AND(B156=2030,A156&lt;8)),Assumptions!$B$118,IF(AND(B156=2030,A156=8),MOD(11000,200),0))</f>
        <v>0</v>
      </c>
      <c r="BM156" s="32">
        <f>IF(OR(B156&lt;Assumptions!$B$120,AND(B156=Assumptions!$B$120,A156&lt;=Assumptions!$B$121)),Assumptions!$B$119,0)</f>
        <v>0</v>
      </c>
      <c r="BN156" s="32">
        <f>IF(AND(B156&lt;=Assumptions!$B$123,A156&lt;=Assumptions!$B$124),Assumptions!$B$122,0)</f>
        <v>0</v>
      </c>
      <c r="BO156" s="32">
        <f t="shared" si="12"/>
        <v>0</v>
      </c>
      <c r="BP156" s="32">
        <f>SUMIFS(SL_Budget!$B:$B,SL_Budget!$C:$C,"'"&amp;TEXT(DATE(B156,A156,1),"YYYY-MM"))</f>
        <v>5860</v>
      </c>
      <c r="BQ156" s="32">
        <f>MAX(BP156, IFERROR(SUMIFS(ShadowLedger!D:D, 
  ShadowLedger!C:C, "&gt;="&amp;DATE(B156,A156,1), 
  ShadowLedger!C:C, "&lt;"&amp;EOMONTH(DATE(B156,A156,1),0)+1), 0))
</f>
        <v>5860</v>
      </c>
      <c r="BR156" s="32">
        <f t="shared" si="42"/>
        <v>3218808.62</v>
      </c>
      <c r="BS156" s="32">
        <f t="shared" si="43"/>
        <v>3202.7554</v>
      </c>
      <c r="BT156" s="32">
        <f>IF(BY155&gt;=Assumptions!$B$92,MAX(0,(AM156-BE156-BO156-BQ156)-Assumptions!$B$93),MAX(0,(AM156-BE156-BO156-BQ156)-Assumptions!$B$93)*Assumptions!$B$99)</f>
        <v>20441.9548</v>
      </c>
      <c r="BU156" s="32">
        <f>(BR156+BS156+MAX(0,BT156))*(Assumptions!$B$43-1)</f>
        <v>22107.04681</v>
      </c>
      <c r="BV156" s="32">
        <f t="shared" si="13"/>
        <v>3264560.377</v>
      </c>
      <c r="BW156" s="32">
        <f t="shared" si="44"/>
        <v>15476.04728</v>
      </c>
      <c r="BX156" s="32">
        <f>IF(BY155&lt;Assumptions!$B$92,MAX(0,(AM156-BE156-BO156-BQ156)-Assumptions!$B$93)*Assumptions!$B$98,0)</f>
        <v>0</v>
      </c>
      <c r="BY156" s="32">
        <f t="shared" si="14"/>
        <v>15476.04728</v>
      </c>
      <c r="BZ156" s="32">
        <f t="shared" si="45"/>
        <v>88600</v>
      </c>
      <c r="CA156" s="32">
        <f t="shared" si="15"/>
        <v>8860</v>
      </c>
      <c r="CB156" s="32">
        <f t="shared" si="16"/>
        <v>97460</v>
      </c>
      <c r="CC156" s="55">
        <f>CC155+(G156+J156)/(Salary_Schedule!E156*12/208)</f>
        <v>1860.584224</v>
      </c>
      <c r="CD156" s="55">
        <f>CD155+(O156+R156)/(Salary_Schedule!G156*12/208)</f>
        <v>196.3842548</v>
      </c>
      <c r="CE156" s="32">
        <f t="shared" si="17"/>
        <v>3264560.377</v>
      </c>
      <c r="CF156" s="32">
        <f>Assumptions!$B$55*(1+Assumptions!$B$56)^((B156-2025)+(A156-1)/12)</f>
        <v>638925.5587</v>
      </c>
      <c r="CG156" s="32">
        <f t="shared" si="18"/>
        <v>0</v>
      </c>
      <c r="CH156" s="32">
        <f t="shared" si="19"/>
        <v>-10500</v>
      </c>
      <c r="CI156" s="32">
        <f>CC156*(Salary_Schedule!E156/173.33)*(1-Assumptions!$B$28)+CD156*(Salary_Schedule!G156/173.33)*(1-Assumptions!$B$28)</f>
        <v>99197.99372</v>
      </c>
      <c r="CJ156" s="32">
        <f t="shared" si="20"/>
        <v>3992183.93</v>
      </c>
    </row>
    <row r="157" ht="15.0" customHeight="1">
      <c r="A157" s="1">
        <v>12.0</v>
      </c>
      <c r="B157" s="1">
        <v>2038.0</v>
      </c>
      <c r="C157" s="1" t="s">
        <v>826</v>
      </c>
      <c r="D157" s="1" t="str">
        <f t="shared" si="21"/>
        <v>11/2038</v>
      </c>
      <c r="E157" s="1" t="str">
        <f t="shared" si="2"/>
        <v>LEAN</v>
      </c>
      <c r="F157" s="32">
        <f>Salary_Schedule!E157</f>
        <v>13229.03</v>
      </c>
      <c r="G157" s="32">
        <f>Assumptions!$B$8</f>
        <v>200</v>
      </c>
      <c r="H157" s="32">
        <f>F157*Assumptions!$B$58</f>
        <v>1322.903</v>
      </c>
      <c r="I157" s="32">
        <f>Salary_Schedule!F157</f>
        <v>0</v>
      </c>
      <c r="J157" s="32">
        <f>I157*Assumptions!$B$9</f>
        <v>0</v>
      </c>
      <c r="K157" s="54">
        <f t="shared" si="3"/>
        <v>11706.127</v>
      </c>
      <c r="L157" s="32">
        <f>IF(COUNTIFS(SL_Income_Log!$B:$B,TEXT(B157,"0000")&amp;"-"&amp;TEXT(A157,"00"),SL_Income_Log!$C:$C,"salary",SL_Income_Log!$E:$E,"H")&gt;0,SUMIFS(SL_Income_Log!$D:$D,SL_Income_Log!$B:$B,TEXT(B157,"0000")&amp;"-"&amp;TEXT(A157,"00"),SL_Income_Log!$C:$C,"salary",SL_Income_Log!$E:$E,"H"),K157*(1-Assumptions!$B$102)-Z157-Y157)</f>
        <v>7023.6762</v>
      </c>
      <c r="M157" s="32">
        <f>RSU_Schedule!H156</f>
        <v>0</v>
      </c>
      <c r="N157" s="32">
        <f>Salary_Schedule!G157</f>
        <v>9362.08</v>
      </c>
      <c r="O157" s="32">
        <f>Assumptions!$B$19</f>
        <v>200</v>
      </c>
      <c r="P157" s="32">
        <f>N157*Assumptions!$B$59</f>
        <v>936.208</v>
      </c>
      <c r="Q157" s="32">
        <f>Salary_Schedule!H157</f>
        <v>0</v>
      </c>
      <c r="R157" s="32">
        <f>Q157*Assumptions!$B$20</f>
        <v>0</v>
      </c>
      <c r="S157" s="54">
        <f t="shared" si="4"/>
        <v>8225.872</v>
      </c>
      <c r="T157" s="32">
        <f>IF(COUNTIFS(SL_Income_Log!$B:$B,TEXT(B157,"0000")&amp;"-"&amp;TEXT(A157,"00"),SL_Income_Log!$C:$C,"salary",SL_Income_Log!$E:$E,"W")&gt;0,SUMIFS(SL_Income_Log!$D:$D,SL_Income_Log!$B:$B,TEXT(B157,"0000")&amp;"-"&amp;TEXT(A157,"00"),SL_Income_Log!$C:$C,"salary",SL_Income_Log!$E:$E,"W"),S157*(1-Assumptions!$B$102)-AC157-AB157)
</f>
        <v>4935.5232</v>
      </c>
      <c r="U157" s="32">
        <f>RSU_Schedule!M156</f>
        <v>0</v>
      </c>
      <c r="V157" s="32">
        <f>H157*(1+Assumptions!$B$60)+Assumptions!$B$61</f>
        <v>1872.0642</v>
      </c>
      <c r="W157" s="32">
        <f>P157*(1+Assumptions!$B$60)+Assumptions!$B$61</f>
        <v>1330.6912</v>
      </c>
      <c r="X157" s="32">
        <f t="shared" si="5"/>
        <v>3202.7554</v>
      </c>
      <c r="Y157" s="32">
        <v>0.0</v>
      </c>
      <c r="Z157" s="32">
        <v>0.0</v>
      </c>
      <c r="AA157" s="32">
        <v>0.0</v>
      </c>
      <c r="AB157" s="32">
        <v>0.0</v>
      </c>
      <c r="AC157" s="32">
        <v>0.0</v>
      </c>
      <c r="AD157" s="32">
        <v>0.0</v>
      </c>
      <c r="AE157" s="32">
        <f t="shared" ref="AE157:AF157" si="198">Z157+AC157</f>
        <v>0</v>
      </c>
      <c r="AF157" s="32">
        <f t="shared" si="198"/>
        <v>0</v>
      </c>
      <c r="AG157" s="32">
        <f>IF(COUNTIFS(SL_Income_Log!$B:$B,TEXT(B157,"0000")&amp;"-"&amp;TEXT(A157,"00"),SL_Income_Log!$C:$C,"youtube")&gt;0,SUMIFS(SL_Income_Log!$D:$D,SL_Income_Log!$B:$B,TEXT(B157,"0000")&amp;"-"&amp;TEXT(A157,"00"),SL_Income_Log!$C:$C,"youtube"),MIN(Assumptions!$B$49+FLOOR((ROW()-2)/6,1)*Assumptions!$B$50,Assumptions!$B$51))
</f>
        <v>20000</v>
      </c>
      <c r="AH157" s="32">
        <f>AG157*Assumptions!$B$104</f>
        <v>8860</v>
      </c>
      <c r="AI157" s="32">
        <f t="shared" si="7"/>
        <v>11140</v>
      </c>
      <c r="AJ157" s="32">
        <f>SUMIFS(SL_Income_Log!$D:$D,SL_Income_Log!$B:$B,TEXT(B157,"0000")&amp;"-"&amp;TEXT(A157,"00"),SL_Income_Log!$C:$C,"other")</f>
        <v>0</v>
      </c>
      <c r="AK157" s="32">
        <f t="shared" si="27"/>
        <v>10000</v>
      </c>
      <c r="AL157" s="32">
        <f>L157+M157+T157+U157+AI157+AJ157-Y157-Z157-AB157-AC157+IF((Debt_Register!$C$2+Debt_Register!$C$6+Debt_Register!$C$7+Debt_Register!$C$8+Debt_Register!$C$9)&gt;5,X157,0)</f>
        <v>26301.9548</v>
      </c>
      <c r="AM157" s="32">
        <f t="shared" si="8"/>
        <v>36301.9548</v>
      </c>
      <c r="AN157" s="32">
        <f>MAX(Assumptions!$B$94,MIN(Assumptions!$B$93,AM157-AP157-BE157-BO157-BQ157))</f>
        <v>10000</v>
      </c>
      <c r="AO157" s="32">
        <v>0.0</v>
      </c>
      <c r="AP157" s="32">
        <v>0.0</v>
      </c>
      <c r="AQ157" s="32">
        <v>0.0</v>
      </c>
      <c r="AR157" s="32">
        <v>0.0</v>
      </c>
      <c r="AS157" s="32">
        <v>0.0</v>
      </c>
      <c r="AT157" s="32">
        <v>0.0</v>
      </c>
      <c r="AU157" s="32">
        <f t="shared" si="30"/>
        <v>0</v>
      </c>
      <c r="AV157" s="32">
        <f t="shared" si="31"/>
        <v>0</v>
      </c>
      <c r="AW157" s="32">
        <f t="shared" si="32"/>
        <v>0</v>
      </c>
      <c r="AX157" s="32">
        <f t="shared" si="33"/>
        <v>0</v>
      </c>
      <c r="AY157" s="32">
        <f t="shared" si="34"/>
        <v>0</v>
      </c>
      <c r="AZ157" s="32">
        <f t="shared" si="35"/>
        <v>0</v>
      </c>
      <c r="BA157" s="32">
        <f t="shared" si="36"/>
        <v>0</v>
      </c>
      <c r="BB157" s="32">
        <f t="shared" si="37"/>
        <v>0</v>
      </c>
      <c r="BC157" s="32">
        <f t="shared" si="38"/>
        <v>0</v>
      </c>
      <c r="BD157" s="32">
        <f t="shared" si="39"/>
        <v>0</v>
      </c>
      <c r="BE157" s="32">
        <f t="shared" si="11"/>
        <v>0</v>
      </c>
      <c r="BF157" s="32">
        <v>0.0</v>
      </c>
      <c r="BG157" s="32">
        <f t="shared" si="40"/>
        <v>5500</v>
      </c>
      <c r="BH157" s="32">
        <v>0.0</v>
      </c>
      <c r="BI157" s="32">
        <f t="shared" si="41"/>
        <v>5000</v>
      </c>
      <c r="BJ157" s="32">
        <f>IF(OR(B157&lt;Assumptions!$B$111,AND(B157=Assumptions!$B$111,A157&lt;=Assumptions!$B$112)),Assumptions!$B$110,0)</f>
        <v>0</v>
      </c>
      <c r="BK157" s="32">
        <f>IF(B157&lt;2027,Assumptions!$B$116+IF(OR(A157=4,A157=10),Assumptions!$B$117,0),IF(AND(B157=2027,A157&lt;=4),IF(A157=4,MIN(950,Assumptions!$B$116+Assumptions!$B$117),Assumptions!$B$116),0))</f>
        <v>0</v>
      </c>
      <c r="BL157" s="32">
        <f>IF(OR(B157&lt;2030,AND(B157=2030,A157&lt;8)),Assumptions!$B$118,IF(AND(B157=2030,A157=8),MOD(11000,200),0))</f>
        <v>0</v>
      </c>
      <c r="BM157" s="32">
        <f>IF(OR(B157&lt;Assumptions!$B$120,AND(B157=Assumptions!$B$120,A157&lt;=Assumptions!$B$121)),Assumptions!$B$119,0)</f>
        <v>0</v>
      </c>
      <c r="BN157" s="32">
        <f>IF(AND(B157&lt;=Assumptions!$B$123,A157&lt;=Assumptions!$B$124),Assumptions!$B$122,0)</f>
        <v>0</v>
      </c>
      <c r="BO157" s="32">
        <f t="shared" si="12"/>
        <v>0</v>
      </c>
      <c r="BP157" s="32">
        <f>SUMIFS(SL_Budget!$B:$B,SL_Budget!$C:$C,"'"&amp;TEXT(DATE(B157,A157,1),"YYYY-MM"))</f>
        <v>5860</v>
      </c>
      <c r="BQ157" s="32">
        <f>MAX(BP157, IFERROR(SUMIFS(ShadowLedger!D:D, 
  ShadowLedger!C:C, "&gt;="&amp;DATE(B157,A157,1), 
  ShadowLedger!C:C, "&lt;"&amp;EOMONTH(DATE(B157,A157,1),0)+1), 0))
</f>
        <v>5860</v>
      </c>
      <c r="BR157" s="32">
        <f t="shared" si="42"/>
        <v>3264560.377</v>
      </c>
      <c r="BS157" s="32">
        <f t="shared" si="43"/>
        <v>3202.7554</v>
      </c>
      <c r="BT157" s="32">
        <f>IF(BY156&gt;=Assumptions!$B$92,MAX(0,(AM157-BE157-BO157-BQ157)-Assumptions!$B$93),MAX(0,(AM157-BE157-BO157-BQ157)-Assumptions!$B$93)*Assumptions!$B$99)</f>
        <v>20441.9548</v>
      </c>
      <c r="BU157" s="32">
        <f>(BR157+BS157+MAX(0,BT157))*(Assumptions!$B$43-1)</f>
        <v>22418.98229</v>
      </c>
      <c r="BV157" s="32">
        <f t="shared" si="13"/>
        <v>3310624.07</v>
      </c>
      <c r="BW157" s="32">
        <f t="shared" si="44"/>
        <v>15476.04728</v>
      </c>
      <c r="BX157" s="32">
        <f>IF(BY156&lt;Assumptions!$B$92,MAX(0,(AM157-BE157-BO157-BQ157)-Assumptions!$B$93)*Assumptions!$B$98,0)</f>
        <v>0</v>
      </c>
      <c r="BY157" s="32">
        <f t="shared" si="14"/>
        <v>15476.04728</v>
      </c>
      <c r="BZ157" s="32">
        <f t="shared" si="45"/>
        <v>97460</v>
      </c>
      <c r="CA157" s="32">
        <f t="shared" si="15"/>
        <v>8860</v>
      </c>
      <c r="CB157" s="32">
        <f t="shared" si="16"/>
        <v>106320</v>
      </c>
      <c r="CC157" s="55">
        <f>CC156+(G157+J157)/(Salary_Schedule!E157*12/208)</f>
        <v>1860.846274</v>
      </c>
      <c r="CD157" s="55">
        <f>CD156+(O157+R157)/(Salary_Schedule!G157*12/208)</f>
        <v>196.7545428</v>
      </c>
      <c r="CE157" s="32">
        <f t="shared" si="17"/>
        <v>3310624.07</v>
      </c>
      <c r="CF157" s="32">
        <f>Assumptions!$B$55*(1+Assumptions!$B$56)^((B157-2025)+(A157-1)/12)</f>
        <v>639718.777</v>
      </c>
      <c r="CG157" s="32">
        <f t="shared" si="18"/>
        <v>0</v>
      </c>
      <c r="CH157" s="32">
        <f t="shared" si="19"/>
        <v>-10500</v>
      </c>
      <c r="CI157" s="32">
        <f>CC157*(Salary_Schedule!E157/173.33)*(1-Assumptions!$B$28)+CD157*(Salary_Schedule!G157/173.33)*(1-Assumptions!$B$28)</f>
        <v>99223.99422</v>
      </c>
      <c r="CJ157" s="32">
        <f t="shared" si="20"/>
        <v>4039066.841</v>
      </c>
    </row>
    <row r="158" ht="15.0" customHeight="1">
      <c r="A158" s="1">
        <v>1.0</v>
      </c>
      <c r="B158" s="1">
        <v>2039.0</v>
      </c>
      <c r="C158" s="1" t="s">
        <v>827</v>
      </c>
      <c r="D158" s="1" t="str">
        <f t="shared" si="21"/>
        <v>12/2038</v>
      </c>
      <c r="E158" s="1" t="str">
        <f t="shared" si="2"/>
        <v>FAT_RSU</v>
      </c>
      <c r="F158" s="32">
        <f>Salary_Schedule!E158</f>
        <v>13890.48</v>
      </c>
      <c r="G158" s="32">
        <f>Assumptions!$B$8</f>
        <v>200</v>
      </c>
      <c r="H158" s="32">
        <f>F158*Assumptions!$B$58</f>
        <v>1389.048</v>
      </c>
      <c r="I158" s="32">
        <f>Salary_Schedule!F158</f>
        <v>0</v>
      </c>
      <c r="J158" s="32">
        <f>I158*Assumptions!$B$9</f>
        <v>0</v>
      </c>
      <c r="K158" s="54">
        <f t="shared" si="3"/>
        <v>12301.432</v>
      </c>
      <c r="L158" s="32">
        <f>IF(COUNTIFS(SL_Income_Log!$B:$B,TEXT(B158,"0000")&amp;"-"&amp;TEXT(A158,"00"),SL_Income_Log!$C:$C,"salary",SL_Income_Log!$E:$E,"H")&gt;0,SUMIFS(SL_Income_Log!$D:$D,SL_Income_Log!$B:$B,TEXT(B158,"0000")&amp;"-"&amp;TEXT(A158,"00"),SL_Income_Log!$C:$C,"salary",SL_Income_Log!$E:$E,"H"),K158*(1-Assumptions!$B$102)-Z158-Y158)</f>
        <v>7380.8592</v>
      </c>
      <c r="M158" s="32">
        <f>RSU_Schedule!H157</f>
        <v>2784.99</v>
      </c>
      <c r="N158" s="32">
        <f>Salary_Schedule!G158</f>
        <v>9689.75</v>
      </c>
      <c r="O158" s="32">
        <f>Assumptions!$B$19</f>
        <v>200</v>
      </c>
      <c r="P158" s="32">
        <f>N158*Assumptions!$B$59</f>
        <v>968.975</v>
      </c>
      <c r="Q158" s="32">
        <f>Salary_Schedule!H158</f>
        <v>0</v>
      </c>
      <c r="R158" s="32">
        <f>Q158*Assumptions!$B$20</f>
        <v>0</v>
      </c>
      <c r="S158" s="54">
        <f t="shared" si="4"/>
        <v>8520.775</v>
      </c>
      <c r="T158" s="32">
        <f>IF(COUNTIFS(SL_Income_Log!$B:$B,TEXT(B158,"0000")&amp;"-"&amp;TEXT(A158,"00"),SL_Income_Log!$C:$C,"salary",SL_Income_Log!$E:$E,"W")&gt;0,SUMIFS(SL_Income_Log!$D:$D,SL_Income_Log!$B:$B,TEXT(B158,"0000")&amp;"-"&amp;TEXT(A158,"00"),SL_Income_Log!$C:$C,"salary",SL_Income_Log!$E:$E,"W"),S158*(1-Assumptions!$B$102)-AC158-AB158)
</f>
        <v>5112.465</v>
      </c>
      <c r="U158" s="32">
        <f>RSU_Schedule!M157</f>
        <v>1392.51</v>
      </c>
      <c r="V158" s="32">
        <f>H158*(1+Assumptions!$B$60)+Assumptions!$B$61</f>
        <v>1964.6672</v>
      </c>
      <c r="W158" s="32">
        <f>P158*(1+Assumptions!$B$60)+Assumptions!$B$61</f>
        <v>1376.565</v>
      </c>
      <c r="X158" s="32">
        <f t="shared" si="5"/>
        <v>3341.2322</v>
      </c>
      <c r="Y158" s="32">
        <v>0.0</v>
      </c>
      <c r="Z158" s="32">
        <v>0.0</v>
      </c>
      <c r="AA158" s="32">
        <v>0.0</v>
      </c>
      <c r="AB158" s="32">
        <v>0.0</v>
      </c>
      <c r="AC158" s="32">
        <v>0.0</v>
      </c>
      <c r="AD158" s="32">
        <v>0.0</v>
      </c>
      <c r="AE158" s="32">
        <f t="shared" ref="AE158:AF158" si="199">Z158+AC158</f>
        <v>0</v>
      </c>
      <c r="AF158" s="32">
        <f t="shared" si="199"/>
        <v>0</v>
      </c>
      <c r="AG158" s="32">
        <f>IF(COUNTIFS(SL_Income_Log!$B:$B,TEXT(B158,"0000")&amp;"-"&amp;TEXT(A158,"00"),SL_Income_Log!$C:$C,"youtube")&gt;0,SUMIFS(SL_Income_Log!$D:$D,SL_Income_Log!$B:$B,TEXT(B158,"0000")&amp;"-"&amp;TEXT(A158,"00"),SL_Income_Log!$C:$C,"youtube"),MIN(Assumptions!$B$49+FLOOR((ROW()-2)/6,1)*Assumptions!$B$50,Assumptions!$B$51))
</f>
        <v>20000</v>
      </c>
      <c r="AH158" s="32">
        <f>AG158*Assumptions!$B$104</f>
        <v>8860</v>
      </c>
      <c r="AI158" s="32">
        <f t="shared" si="7"/>
        <v>11140</v>
      </c>
      <c r="AJ158" s="32">
        <f>SUMIFS(SL_Income_Log!$D:$D,SL_Income_Log!$B:$B,TEXT(B158,"0000")&amp;"-"&amp;TEXT(A158,"00"),SL_Income_Log!$C:$C,"other")</f>
        <v>0</v>
      </c>
      <c r="AK158" s="32">
        <f t="shared" si="27"/>
        <v>10000</v>
      </c>
      <c r="AL158" s="32">
        <f>L158+M158+T158+U158+AI158+AJ158-Y158-Z158-AB158-AC158+IF((Debt_Register!$C$2+Debt_Register!$C$6+Debt_Register!$C$7+Debt_Register!$C$8+Debt_Register!$C$9)&gt;5,X158,0)</f>
        <v>31152.0564</v>
      </c>
      <c r="AM158" s="32">
        <f t="shared" si="8"/>
        <v>41152.0564</v>
      </c>
      <c r="AN158" s="32">
        <f>MAX(Assumptions!$B$94,MIN(Assumptions!$B$93,AM158-AP158-BE158-BO158-BQ158))</f>
        <v>10000</v>
      </c>
      <c r="AO158" s="32">
        <v>0.0</v>
      </c>
      <c r="AP158" s="32">
        <v>0.0</v>
      </c>
      <c r="AQ158" s="32">
        <v>0.0</v>
      </c>
      <c r="AR158" s="32">
        <v>0.0</v>
      </c>
      <c r="AS158" s="32">
        <v>0.0</v>
      </c>
      <c r="AT158" s="32">
        <v>0.0</v>
      </c>
      <c r="AU158" s="32">
        <f t="shared" si="30"/>
        <v>0</v>
      </c>
      <c r="AV158" s="32">
        <f t="shared" si="31"/>
        <v>0</v>
      </c>
      <c r="AW158" s="32">
        <f t="shared" si="32"/>
        <v>0</v>
      </c>
      <c r="AX158" s="32">
        <f t="shared" si="33"/>
        <v>0</v>
      </c>
      <c r="AY158" s="32">
        <f t="shared" si="34"/>
        <v>0</v>
      </c>
      <c r="AZ158" s="32">
        <f t="shared" si="35"/>
        <v>0</v>
      </c>
      <c r="BA158" s="32">
        <f t="shared" si="36"/>
        <v>0</v>
      </c>
      <c r="BB158" s="32">
        <f t="shared" si="37"/>
        <v>0</v>
      </c>
      <c r="BC158" s="32">
        <f t="shared" si="38"/>
        <v>0</v>
      </c>
      <c r="BD158" s="32">
        <f t="shared" si="39"/>
        <v>0</v>
      </c>
      <c r="BE158" s="32">
        <f t="shared" si="11"/>
        <v>0</v>
      </c>
      <c r="BF158" s="32">
        <v>0.0</v>
      </c>
      <c r="BG158" s="32">
        <f t="shared" si="40"/>
        <v>5500</v>
      </c>
      <c r="BH158" s="32">
        <v>0.0</v>
      </c>
      <c r="BI158" s="32">
        <f t="shared" si="41"/>
        <v>5000</v>
      </c>
      <c r="BJ158" s="32">
        <f>IF(OR(B158&lt;Assumptions!$B$111,AND(B158=Assumptions!$B$111,A158&lt;=Assumptions!$B$112)),Assumptions!$B$110,0)</f>
        <v>0</v>
      </c>
      <c r="BK158" s="32">
        <f>IF(B158&lt;2027,Assumptions!$B$116+IF(OR(A158=4,A158=10),Assumptions!$B$117,0),IF(AND(B158=2027,A158&lt;=4),IF(A158=4,MIN(950,Assumptions!$B$116+Assumptions!$B$117),Assumptions!$B$116),0))</f>
        <v>0</v>
      </c>
      <c r="BL158" s="32">
        <f>IF(OR(B158&lt;2030,AND(B158=2030,A158&lt;8)),Assumptions!$B$118,IF(AND(B158=2030,A158=8),MOD(11000,200),0))</f>
        <v>0</v>
      </c>
      <c r="BM158" s="32">
        <f>IF(OR(B158&lt;Assumptions!$B$120,AND(B158=Assumptions!$B$120,A158&lt;=Assumptions!$B$121)),Assumptions!$B$119,0)</f>
        <v>0</v>
      </c>
      <c r="BN158" s="32">
        <f>IF(AND(B158&lt;=Assumptions!$B$123,A158&lt;=Assumptions!$B$124),Assumptions!$B$122,0)</f>
        <v>0</v>
      </c>
      <c r="BO158" s="32">
        <f t="shared" si="12"/>
        <v>0</v>
      </c>
      <c r="BP158" s="32">
        <f>SUMIFS(SL_Budget!$B:$B,SL_Budget!$C:$C,"'"&amp;TEXT(DATE(B158,A158,1),"YYYY-MM"))</f>
        <v>6033</v>
      </c>
      <c r="BQ158" s="32">
        <f>MAX(BP158, IFERROR(SUMIFS(ShadowLedger!D:D, 
  ShadowLedger!C:C, "&gt;="&amp;DATE(B158,A158,1), 
  ShadowLedger!C:C, "&lt;"&amp;EOMONTH(DATE(B158,A158,1),0)+1), 0))
</f>
        <v>6033</v>
      </c>
      <c r="BR158" s="32">
        <f t="shared" si="42"/>
        <v>3310624.07</v>
      </c>
      <c r="BS158" s="32">
        <f t="shared" si="43"/>
        <v>3341.2322</v>
      </c>
      <c r="BT158" s="32">
        <f>IF(BY157&gt;=Assumptions!$B$92,MAX(0,(AM158-BE158-BO158-BQ158)-Assumptions!$B$93),MAX(0,(AM158-BE158-BO158-BQ158)-Assumptions!$B$93)*Assumptions!$B$99)</f>
        <v>25119.0564</v>
      </c>
      <c r="BU158" s="32">
        <f>(BR158+BS158+MAX(0,BT158))*(Assumptions!$B$43-1)</f>
        <v>22765.87715</v>
      </c>
      <c r="BV158" s="32">
        <f t="shared" si="13"/>
        <v>3361850.235</v>
      </c>
      <c r="BW158" s="32">
        <f t="shared" si="44"/>
        <v>15476.04728</v>
      </c>
      <c r="BX158" s="32">
        <f>IF(BY157&lt;Assumptions!$B$92,MAX(0,(AM158-BE158-BO158-BQ158)-Assumptions!$B$93)*Assumptions!$B$98,0)</f>
        <v>0</v>
      </c>
      <c r="BY158" s="32">
        <f t="shared" si="14"/>
        <v>15476.04728</v>
      </c>
      <c r="BZ158" s="32">
        <f t="shared" si="45"/>
        <v>0</v>
      </c>
      <c r="CA158" s="32">
        <f t="shared" si="15"/>
        <v>8860</v>
      </c>
      <c r="CB158" s="32">
        <f t="shared" si="16"/>
        <v>8860</v>
      </c>
      <c r="CC158" s="55">
        <f>CC157+(G158+J158)/(Salary_Schedule!E158*12/208)</f>
        <v>1861.095845</v>
      </c>
      <c r="CD158" s="55">
        <f>CD157+(O158+R158)/(Salary_Schedule!G158*12/208)</f>
        <v>197.1123092</v>
      </c>
      <c r="CE158" s="32">
        <f t="shared" si="17"/>
        <v>3361850.235</v>
      </c>
      <c r="CF158" s="32">
        <f>Assumptions!$B$55*(1+Assumptions!$B$56)^((B158-2025)+(A158-1)/12)</f>
        <v>640512.98</v>
      </c>
      <c r="CG158" s="32">
        <f t="shared" si="18"/>
        <v>0</v>
      </c>
      <c r="CH158" s="32">
        <f t="shared" si="19"/>
        <v>-10500</v>
      </c>
      <c r="CI158" s="32">
        <f>CC158*(Salary_Schedule!E158/173.33)*(1-Assumptions!$B$28)+CD158*(Salary_Schedule!G158/173.33)*(1-Assumptions!$B$28)</f>
        <v>104107.5656</v>
      </c>
      <c r="CJ158" s="32">
        <f t="shared" si="20"/>
        <v>4095970.781</v>
      </c>
    </row>
    <row r="159" ht="15.0" customHeight="1">
      <c r="A159" s="1">
        <v>2.0</v>
      </c>
      <c r="B159" s="1">
        <v>2039.0</v>
      </c>
      <c r="C159" s="1" t="s">
        <v>828</v>
      </c>
      <c r="D159" s="1" t="str">
        <f t="shared" si="21"/>
        <v>01/2039</v>
      </c>
      <c r="E159" s="1" t="str">
        <f t="shared" si="2"/>
        <v>LEAN</v>
      </c>
      <c r="F159" s="32">
        <f>Salary_Schedule!E159</f>
        <v>13890.48</v>
      </c>
      <c r="G159" s="32">
        <f>Assumptions!$B$8</f>
        <v>200</v>
      </c>
      <c r="H159" s="32">
        <f>F159*Assumptions!$B$58</f>
        <v>1389.048</v>
      </c>
      <c r="I159" s="32">
        <f>Salary_Schedule!F159</f>
        <v>0</v>
      </c>
      <c r="J159" s="32">
        <f>I159*Assumptions!$B$9</f>
        <v>0</v>
      </c>
      <c r="K159" s="54">
        <f t="shared" si="3"/>
        <v>12301.432</v>
      </c>
      <c r="L159" s="32">
        <f>IF(COUNTIFS(SL_Income_Log!$B:$B,TEXT(B159,"0000")&amp;"-"&amp;TEXT(A159,"00"),SL_Income_Log!$C:$C,"salary",SL_Income_Log!$E:$E,"H")&gt;0,SUMIFS(SL_Income_Log!$D:$D,SL_Income_Log!$B:$B,TEXT(B159,"0000")&amp;"-"&amp;TEXT(A159,"00"),SL_Income_Log!$C:$C,"salary",SL_Income_Log!$E:$E,"H"),K159*(1-Assumptions!$B$102)-Z159-Y159)</f>
        <v>7380.8592</v>
      </c>
      <c r="M159" s="32">
        <f>RSU_Schedule!H158</f>
        <v>0</v>
      </c>
      <c r="N159" s="32">
        <f>Salary_Schedule!G159</f>
        <v>9689.75</v>
      </c>
      <c r="O159" s="32">
        <f>Assumptions!$B$19</f>
        <v>200</v>
      </c>
      <c r="P159" s="32">
        <f>N159*Assumptions!$B$59</f>
        <v>968.975</v>
      </c>
      <c r="Q159" s="32">
        <f>Salary_Schedule!H159</f>
        <v>0</v>
      </c>
      <c r="R159" s="32">
        <f>Q159*Assumptions!$B$20</f>
        <v>0</v>
      </c>
      <c r="S159" s="54">
        <f t="shared" si="4"/>
        <v>8520.775</v>
      </c>
      <c r="T159" s="32">
        <f>IF(COUNTIFS(SL_Income_Log!$B:$B,TEXT(B159,"0000")&amp;"-"&amp;TEXT(A159,"00"),SL_Income_Log!$C:$C,"salary",SL_Income_Log!$E:$E,"W")&gt;0,SUMIFS(SL_Income_Log!$D:$D,SL_Income_Log!$B:$B,TEXT(B159,"0000")&amp;"-"&amp;TEXT(A159,"00"),SL_Income_Log!$C:$C,"salary",SL_Income_Log!$E:$E,"W"),S159*(1-Assumptions!$B$102)-AC159-AB159)
</f>
        <v>5112.465</v>
      </c>
      <c r="U159" s="32">
        <f>RSU_Schedule!M158</f>
        <v>0</v>
      </c>
      <c r="V159" s="32">
        <f>H159*(1+Assumptions!$B$60)+Assumptions!$B$61</f>
        <v>1964.6672</v>
      </c>
      <c r="W159" s="32">
        <f>P159*(1+Assumptions!$B$60)+Assumptions!$B$61</f>
        <v>1376.565</v>
      </c>
      <c r="X159" s="32">
        <f t="shared" si="5"/>
        <v>3341.2322</v>
      </c>
      <c r="Y159" s="32">
        <v>0.0</v>
      </c>
      <c r="Z159" s="32">
        <v>0.0</v>
      </c>
      <c r="AA159" s="32">
        <v>0.0</v>
      </c>
      <c r="AB159" s="32">
        <v>0.0</v>
      </c>
      <c r="AC159" s="32">
        <v>0.0</v>
      </c>
      <c r="AD159" s="32">
        <v>0.0</v>
      </c>
      <c r="AE159" s="32">
        <f t="shared" ref="AE159:AF159" si="200">Z159+AC159</f>
        <v>0</v>
      </c>
      <c r="AF159" s="32">
        <f t="shared" si="200"/>
        <v>0</v>
      </c>
      <c r="AG159" s="32">
        <f>IF(COUNTIFS(SL_Income_Log!$B:$B,TEXT(B159,"0000")&amp;"-"&amp;TEXT(A159,"00"),SL_Income_Log!$C:$C,"youtube")&gt;0,SUMIFS(SL_Income_Log!$D:$D,SL_Income_Log!$B:$B,TEXT(B159,"0000")&amp;"-"&amp;TEXT(A159,"00"),SL_Income_Log!$C:$C,"youtube"),MIN(Assumptions!$B$49+FLOOR((ROW()-2)/6,1)*Assumptions!$B$50,Assumptions!$B$51))
</f>
        <v>20000</v>
      </c>
      <c r="AH159" s="32">
        <f>AG159*Assumptions!$B$104</f>
        <v>8860</v>
      </c>
      <c r="AI159" s="32">
        <f t="shared" si="7"/>
        <v>11140</v>
      </c>
      <c r="AJ159" s="32">
        <f>SUMIFS(SL_Income_Log!$D:$D,SL_Income_Log!$B:$B,TEXT(B159,"0000")&amp;"-"&amp;TEXT(A159,"00"),SL_Income_Log!$C:$C,"other")</f>
        <v>0</v>
      </c>
      <c r="AK159" s="32">
        <f t="shared" si="27"/>
        <v>10000</v>
      </c>
      <c r="AL159" s="32">
        <f>L159+M159+T159+U159+AI159+AJ159-Y159-Z159-AB159-AC159+IF((Debt_Register!$C$2+Debt_Register!$C$6+Debt_Register!$C$7+Debt_Register!$C$8+Debt_Register!$C$9)&gt;5,X159,0)</f>
        <v>26974.5564</v>
      </c>
      <c r="AM159" s="32">
        <f t="shared" si="8"/>
        <v>36974.5564</v>
      </c>
      <c r="AN159" s="32">
        <f>MAX(Assumptions!$B$94,MIN(Assumptions!$B$93,AM159-AP159-BE159-BO159-BQ159))</f>
        <v>10000</v>
      </c>
      <c r="AO159" s="32">
        <v>0.0</v>
      </c>
      <c r="AP159" s="32">
        <v>0.0</v>
      </c>
      <c r="AQ159" s="32">
        <v>0.0</v>
      </c>
      <c r="AR159" s="32">
        <v>0.0</v>
      </c>
      <c r="AS159" s="32">
        <v>0.0</v>
      </c>
      <c r="AT159" s="32">
        <v>0.0</v>
      </c>
      <c r="AU159" s="32">
        <f t="shared" si="30"/>
        <v>0</v>
      </c>
      <c r="AV159" s="32">
        <f t="shared" si="31"/>
        <v>0</v>
      </c>
      <c r="AW159" s="32">
        <f t="shared" si="32"/>
        <v>0</v>
      </c>
      <c r="AX159" s="32">
        <f t="shared" si="33"/>
        <v>0</v>
      </c>
      <c r="AY159" s="32">
        <f t="shared" si="34"/>
        <v>0</v>
      </c>
      <c r="AZ159" s="32">
        <f t="shared" si="35"/>
        <v>0</v>
      </c>
      <c r="BA159" s="32">
        <f t="shared" si="36"/>
        <v>0</v>
      </c>
      <c r="BB159" s="32">
        <f t="shared" si="37"/>
        <v>0</v>
      </c>
      <c r="BC159" s="32">
        <f t="shared" si="38"/>
        <v>0</v>
      </c>
      <c r="BD159" s="32">
        <f t="shared" si="39"/>
        <v>0</v>
      </c>
      <c r="BE159" s="32">
        <f t="shared" si="11"/>
        <v>0</v>
      </c>
      <c r="BF159" s="32">
        <v>0.0</v>
      </c>
      <c r="BG159" s="32">
        <f t="shared" si="40"/>
        <v>5500</v>
      </c>
      <c r="BH159" s="32">
        <v>0.0</v>
      </c>
      <c r="BI159" s="32">
        <f t="shared" si="41"/>
        <v>5000</v>
      </c>
      <c r="BJ159" s="32">
        <f>IF(OR(B159&lt;Assumptions!$B$111,AND(B159=Assumptions!$B$111,A159&lt;=Assumptions!$B$112)),Assumptions!$B$110,0)</f>
        <v>0</v>
      </c>
      <c r="BK159" s="32">
        <f>IF(B159&lt;2027,Assumptions!$B$116+IF(OR(A159=4,A159=10),Assumptions!$B$117,0),IF(AND(B159=2027,A159&lt;=4),IF(A159=4,MIN(950,Assumptions!$B$116+Assumptions!$B$117),Assumptions!$B$116),0))</f>
        <v>0</v>
      </c>
      <c r="BL159" s="32">
        <f>IF(OR(B159&lt;2030,AND(B159=2030,A159&lt;8)),Assumptions!$B$118,IF(AND(B159=2030,A159=8),MOD(11000,200),0))</f>
        <v>0</v>
      </c>
      <c r="BM159" s="32">
        <f>IF(OR(B159&lt;Assumptions!$B$120,AND(B159=Assumptions!$B$120,A159&lt;=Assumptions!$B$121)),Assumptions!$B$119,0)</f>
        <v>0</v>
      </c>
      <c r="BN159" s="32">
        <f>IF(AND(B159&lt;=Assumptions!$B$123,A159&lt;=Assumptions!$B$124),Assumptions!$B$122,0)</f>
        <v>0</v>
      </c>
      <c r="BO159" s="32">
        <f t="shared" si="12"/>
        <v>0</v>
      </c>
      <c r="BP159" s="32">
        <f>SUMIFS(SL_Budget!$B:$B,SL_Budget!$C:$C,"'"&amp;TEXT(DATE(B159,A159,1),"YYYY-MM"))</f>
        <v>6033</v>
      </c>
      <c r="BQ159" s="32">
        <f>MAX(BP159, IFERROR(SUMIFS(ShadowLedger!D:D, 
  ShadowLedger!C:C, "&gt;="&amp;DATE(B159,A159,1), 
  ShadowLedger!C:C, "&lt;"&amp;EOMONTH(DATE(B159,A159,1),0)+1), 0))
</f>
        <v>6033</v>
      </c>
      <c r="BR159" s="32">
        <f t="shared" si="42"/>
        <v>3361850.235</v>
      </c>
      <c r="BS159" s="32">
        <f t="shared" si="43"/>
        <v>3341.2322</v>
      </c>
      <c r="BT159" s="32">
        <f>IF(BY158&gt;=Assumptions!$B$92,MAX(0,(AM159-BE159-BO159-BQ159)-Assumptions!$B$93),MAX(0,(AM159-BE159-BO159-BQ159)-Assumptions!$B$93)*Assumptions!$B$99)</f>
        <v>20941.5564</v>
      </c>
      <c r="BU159" s="32">
        <f>(BR159+BS159+MAX(0,BT159))*(Assumptions!$B$43-1)</f>
        <v>23086.65496</v>
      </c>
      <c r="BV159" s="32">
        <f t="shared" si="13"/>
        <v>3409219.679</v>
      </c>
      <c r="BW159" s="32">
        <f t="shared" si="44"/>
        <v>15476.04728</v>
      </c>
      <c r="BX159" s="32">
        <f>IF(BY158&lt;Assumptions!$B$92,MAX(0,(AM159-BE159-BO159-BQ159)-Assumptions!$B$93)*Assumptions!$B$98,0)</f>
        <v>0</v>
      </c>
      <c r="BY159" s="32">
        <f t="shared" si="14"/>
        <v>15476.04728</v>
      </c>
      <c r="BZ159" s="32">
        <f t="shared" si="45"/>
        <v>8860</v>
      </c>
      <c r="CA159" s="32">
        <f t="shared" si="15"/>
        <v>8860</v>
      </c>
      <c r="CB159" s="32">
        <f t="shared" si="16"/>
        <v>17720</v>
      </c>
      <c r="CC159" s="55">
        <f>CC158+(G159+J159)/(Salary_Schedule!E159*12/208)</f>
        <v>1861.345416</v>
      </c>
      <c r="CD159" s="55">
        <f>CD158+(O159+R159)/(Salary_Schedule!G159*12/208)</f>
        <v>197.4700756</v>
      </c>
      <c r="CE159" s="32">
        <f t="shared" si="17"/>
        <v>3409219.679</v>
      </c>
      <c r="CF159" s="32">
        <f>Assumptions!$B$55*(1+Assumptions!$B$56)^((B159-2025)+(A159-1)/12)</f>
        <v>641308.169</v>
      </c>
      <c r="CG159" s="32">
        <f t="shared" si="18"/>
        <v>0</v>
      </c>
      <c r="CH159" s="32">
        <f t="shared" si="19"/>
        <v>-10500</v>
      </c>
      <c r="CI159" s="32">
        <f>CC159*(Salary_Schedule!E159/173.33)*(1-Assumptions!$B$28)+CD159*(Salary_Schedule!G159/173.33)*(1-Assumptions!$B$28)</f>
        <v>104133.5661</v>
      </c>
      <c r="CJ159" s="32">
        <f t="shared" si="20"/>
        <v>4144161.414</v>
      </c>
    </row>
    <row r="160" ht="15.0" customHeight="1">
      <c r="A160" s="1">
        <v>3.0</v>
      </c>
      <c r="B160" s="1">
        <v>2039.0</v>
      </c>
      <c r="C160" s="1" t="s">
        <v>829</v>
      </c>
      <c r="D160" s="1" t="str">
        <f t="shared" si="21"/>
        <v>02/2039</v>
      </c>
      <c r="E160" s="1" t="str">
        <f t="shared" si="2"/>
        <v>LEAN</v>
      </c>
      <c r="F160" s="32">
        <f>Salary_Schedule!E160</f>
        <v>13890.48</v>
      </c>
      <c r="G160" s="32">
        <f>Assumptions!$B$8</f>
        <v>200</v>
      </c>
      <c r="H160" s="32">
        <f>F160*Assumptions!$B$58</f>
        <v>1389.048</v>
      </c>
      <c r="I160" s="32">
        <f>Salary_Schedule!F160</f>
        <v>0</v>
      </c>
      <c r="J160" s="32">
        <f>I160*Assumptions!$B$9</f>
        <v>0</v>
      </c>
      <c r="K160" s="54">
        <f t="shared" si="3"/>
        <v>12301.432</v>
      </c>
      <c r="L160" s="32">
        <f>IF(COUNTIFS(SL_Income_Log!$B:$B,TEXT(B160,"0000")&amp;"-"&amp;TEXT(A160,"00"),SL_Income_Log!$C:$C,"salary",SL_Income_Log!$E:$E,"H")&gt;0,SUMIFS(SL_Income_Log!$D:$D,SL_Income_Log!$B:$B,TEXT(B160,"0000")&amp;"-"&amp;TEXT(A160,"00"),SL_Income_Log!$C:$C,"salary",SL_Income_Log!$E:$E,"H"),K160*(1-Assumptions!$B$102)-Z160-Y160)</f>
        <v>7380.8592</v>
      </c>
      <c r="M160" s="32">
        <f>RSU_Schedule!H159</f>
        <v>0</v>
      </c>
      <c r="N160" s="32">
        <f>Salary_Schedule!G160</f>
        <v>9689.75</v>
      </c>
      <c r="O160" s="32">
        <f>Assumptions!$B$19</f>
        <v>200</v>
      </c>
      <c r="P160" s="32">
        <f>N160*Assumptions!$B$59</f>
        <v>968.975</v>
      </c>
      <c r="Q160" s="32">
        <f>Salary_Schedule!H160</f>
        <v>0</v>
      </c>
      <c r="R160" s="32">
        <f>Q160*Assumptions!$B$20</f>
        <v>0</v>
      </c>
      <c r="S160" s="54">
        <f t="shared" si="4"/>
        <v>8520.775</v>
      </c>
      <c r="T160" s="32">
        <f>IF(COUNTIFS(SL_Income_Log!$B:$B,TEXT(B160,"0000")&amp;"-"&amp;TEXT(A160,"00"),SL_Income_Log!$C:$C,"salary",SL_Income_Log!$E:$E,"W")&gt;0,SUMIFS(SL_Income_Log!$D:$D,SL_Income_Log!$B:$B,TEXT(B160,"0000")&amp;"-"&amp;TEXT(A160,"00"),SL_Income_Log!$C:$C,"salary",SL_Income_Log!$E:$E,"W"),S160*(1-Assumptions!$B$102)-AC160-AB160)
</f>
        <v>5112.465</v>
      </c>
      <c r="U160" s="32">
        <f>RSU_Schedule!M159</f>
        <v>0</v>
      </c>
      <c r="V160" s="32">
        <f>H160*(1+Assumptions!$B$60)+Assumptions!$B$61</f>
        <v>1964.6672</v>
      </c>
      <c r="W160" s="32">
        <f>P160*(1+Assumptions!$B$60)+Assumptions!$B$61</f>
        <v>1376.565</v>
      </c>
      <c r="X160" s="32">
        <f t="shared" si="5"/>
        <v>3341.2322</v>
      </c>
      <c r="Y160" s="32">
        <v>0.0</v>
      </c>
      <c r="Z160" s="32">
        <v>0.0</v>
      </c>
      <c r="AA160" s="32">
        <v>0.0</v>
      </c>
      <c r="AB160" s="32">
        <v>0.0</v>
      </c>
      <c r="AC160" s="32">
        <v>0.0</v>
      </c>
      <c r="AD160" s="32">
        <v>0.0</v>
      </c>
      <c r="AE160" s="32">
        <f t="shared" ref="AE160:AF160" si="201">Z160+AC160</f>
        <v>0</v>
      </c>
      <c r="AF160" s="32">
        <f t="shared" si="201"/>
        <v>0</v>
      </c>
      <c r="AG160" s="32">
        <f>IF(COUNTIFS(SL_Income_Log!$B:$B,TEXT(B160,"0000")&amp;"-"&amp;TEXT(A160,"00"),SL_Income_Log!$C:$C,"youtube")&gt;0,SUMIFS(SL_Income_Log!$D:$D,SL_Income_Log!$B:$B,TEXT(B160,"0000")&amp;"-"&amp;TEXT(A160,"00"),SL_Income_Log!$C:$C,"youtube"),MIN(Assumptions!$B$49+FLOOR((ROW()-2)/6,1)*Assumptions!$B$50,Assumptions!$B$51))
</f>
        <v>20000</v>
      </c>
      <c r="AH160" s="32">
        <f>AG160*Assumptions!$B$104</f>
        <v>8860</v>
      </c>
      <c r="AI160" s="32">
        <f t="shared" si="7"/>
        <v>11140</v>
      </c>
      <c r="AJ160" s="32">
        <f>SUMIFS(SL_Income_Log!$D:$D,SL_Income_Log!$B:$B,TEXT(B160,"0000")&amp;"-"&amp;TEXT(A160,"00"),SL_Income_Log!$C:$C,"other")</f>
        <v>0</v>
      </c>
      <c r="AK160" s="32">
        <f t="shared" si="27"/>
        <v>10000</v>
      </c>
      <c r="AL160" s="32">
        <f>L160+M160+T160+U160+AI160+AJ160-Y160-Z160-AB160-AC160+IF((Debt_Register!$C$2+Debt_Register!$C$6+Debt_Register!$C$7+Debt_Register!$C$8+Debt_Register!$C$9)&gt;5,X160,0)</f>
        <v>26974.5564</v>
      </c>
      <c r="AM160" s="32">
        <f t="shared" si="8"/>
        <v>36974.5564</v>
      </c>
      <c r="AN160" s="32">
        <f>MAX(Assumptions!$B$94,MIN(Assumptions!$B$93,AM160-AP160-BE160-BO160-BQ160))</f>
        <v>10000</v>
      </c>
      <c r="AO160" s="32">
        <v>0.0</v>
      </c>
      <c r="AP160" s="32">
        <v>0.0</v>
      </c>
      <c r="AQ160" s="32">
        <v>0.0</v>
      </c>
      <c r="AR160" s="32">
        <v>0.0</v>
      </c>
      <c r="AS160" s="32">
        <v>0.0</v>
      </c>
      <c r="AT160" s="32">
        <v>0.0</v>
      </c>
      <c r="AU160" s="32">
        <f t="shared" si="30"/>
        <v>0</v>
      </c>
      <c r="AV160" s="32">
        <f t="shared" si="31"/>
        <v>0</v>
      </c>
      <c r="AW160" s="32">
        <f t="shared" si="32"/>
        <v>0</v>
      </c>
      <c r="AX160" s="32">
        <f t="shared" si="33"/>
        <v>0</v>
      </c>
      <c r="AY160" s="32">
        <f t="shared" si="34"/>
        <v>0</v>
      </c>
      <c r="AZ160" s="32">
        <f t="shared" si="35"/>
        <v>0</v>
      </c>
      <c r="BA160" s="32">
        <f t="shared" si="36"/>
        <v>0</v>
      </c>
      <c r="BB160" s="32">
        <f t="shared" si="37"/>
        <v>0</v>
      </c>
      <c r="BC160" s="32">
        <f t="shared" si="38"/>
        <v>0</v>
      </c>
      <c r="BD160" s="32">
        <f t="shared" si="39"/>
        <v>0</v>
      </c>
      <c r="BE160" s="32">
        <f t="shared" si="11"/>
        <v>0</v>
      </c>
      <c r="BF160" s="32">
        <v>0.0</v>
      </c>
      <c r="BG160" s="32">
        <f t="shared" si="40"/>
        <v>5500</v>
      </c>
      <c r="BH160" s="32">
        <v>0.0</v>
      </c>
      <c r="BI160" s="32">
        <f t="shared" si="41"/>
        <v>5000</v>
      </c>
      <c r="BJ160" s="32">
        <f>IF(OR(B160&lt;Assumptions!$B$111,AND(B160=Assumptions!$B$111,A160&lt;=Assumptions!$B$112)),Assumptions!$B$110,0)</f>
        <v>0</v>
      </c>
      <c r="BK160" s="32">
        <f>IF(B160&lt;2027,Assumptions!$B$116+IF(OR(A160=4,A160=10),Assumptions!$B$117,0),IF(AND(B160=2027,A160&lt;=4),IF(A160=4,MIN(950,Assumptions!$B$116+Assumptions!$B$117),Assumptions!$B$116),0))</f>
        <v>0</v>
      </c>
      <c r="BL160" s="32">
        <f>IF(OR(B160&lt;2030,AND(B160=2030,A160&lt;8)),Assumptions!$B$118,IF(AND(B160=2030,A160=8),MOD(11000,200),0))</f>
        <v>0</v>
      </c>
      <c r="BM160" s="32">
        <f>IF(OR(B160&lt;Assumptions!$B$120,AND(B160=Assumptions!$B$120,A160&lt;=Assumptions!$B$121)),Assumptions!$B$119,0)</f>
        <v>0</v>
      </c>
      <c r="BN160" s="32">
        <f>IF(AND(B160&lt;=Assumptions!$B$123,A160&lt;=Assumptions!$B$124),Assumptions!$B$122,0)</f>
        <v>0</v>
      </c>
      <c r="BO160" s="32">
        <f t="shared" si="12"/>
        <v>0</v>
      </c>
      <c r="BP160" s="32">
        <f>SUMIFS(SL_Budget!$B:$B,SL_Budget!$C:$C,"'"&amp;TEXT(DATE(B160,A160,1),"YYYY-MM"))</f>
        <v>6033</v>
      </c>
      <c r="BQ160" s="32">
        <f>MAX(BP160, IFERROR(SUMIFS(ShadowLedger!D:D, 
  ShadowLedger!C:C, "&gt;="&amp;DATE(B160,A160,1), 
  ShadowLedger!C:C, "&lt;"&amp;EOMONTH(DATE(B160,A160,1),0)+1), 0))
</f>
        <v>6033</v>
      </c>
      <c r="BR160" s="32">
        <f t="shared" si="42"/>
        <v>3409219.679</v>
      </c>
      <c r="BS160" s="32">
        <f t="shared" si="43"/>
        <v>3341.2322</v>
      </c>
      <c r="BT160" s="32">
        <f>IF(BY159&gt;=Assumptions!$B$92,MAX(0,(AM160-BE160-BO160-BQ160)-Assumptions!$B$93),MAX(0,(AM160-BE160-BO160-BQ160)-Assumptions!$B$93)*Assumptions!$B$99)</f>
        <v>20941.5564</v>
      </c>
      <c r="BU160" s="32">
        <f>(BR160+BS160+MAX(0,BT160))*(Assumptions!$B$43-1)</f>
        <v>23409.61982</v>
      </c>
      <c r="BV160" s="32">
        <f t="shared" si="13"/>
        <v>3456912.087</v>
      </c>
      <c r="BW160" s="32">
        <f t="shared" si="44"/>
        <v>15476.04728</v>
      </c>
      <c r="BX160" s="32">
        <f>IF(BY159&lt;Assumptions!$B$92,MAX(0,(AM160-BE160-BO160-BQ160)-Assumptions!$B$93)*Assumptions!$B$98,0)</f>
        <v>0</v>
      </c>
      <c r="BY160" s="32">
        <f t="shared" si="14"/>
        <v>15476.04728</v>
      </c>
      <c r="BZ160" s="32">
        <f t="shared" si="45"/>
        <v>17720</v>
      </c>
      <c r="CA160" s="32">
        <f t="shared" si="15"/>
        <v>8860</v>
      </c>
      <c r="CB160" s="32">
        <f t="shared" si="16"/>
        <v>26580</v>
      </c>
      <c r="CC160" s="55">
        <f>CC159+(G160+J160)/(Salary_Schedule!E160*12/208)</f>
        <v>1861.594988</v>
      </c>
      <c r="CD160" s="55">
        <f>CD159+(O160+R160)/(Salary_Schedule!G160*12/208)</f>
        <v>197.8278419</v>
      </c>
      <c r="CE160" s="32">
        <f t="shared" si="17"/>
        <v>3456912.087</v>
      </c>
      <c r="CF160" s="32">
        <f>Assumptions!$B$55*(1+Assumptions!$B$56)^((B160-2025)+(A160-1)/12)</f>
        <v>642104.3452</v>
      </c>
      <c r="CG160" s="32">
        <f t="shared" si="18"/>
        <v>0</v>
      </c>
      <c r="CH160" s="32">
        <f t="shared" si="19"/>
        <v>-10500</v>
      </c>
      <c r="CI160" s="32">
        <f>CC160*(Salary_Schedule!E160/173.33)*(1-Assumptions!$B$28)+CD160*(Salary_Schedule!G160/173.33)*(1-Assumptions!$B$28)</f>
        <v>104159.5666</v>
      </c>
      <c r="CJ160" s="32">
        <f t="shared" si="20"/>
        <v>4192675.999</v>
      </c>
    </row>
    <row r="161" ht="15.0" customHeight="1">
      <c r="A161" s="1">
        <v>4.0</v>
      </c>
      <c r="B161" s="1">
        <v>2039.0</v>
      </c>
      <c r="C161" s="1" t="s">
        <v>830</v>
      </c>
      <c r="D161" s="1" t="str">
        <f t="shared" si="21"/>
        <v>03/2039</v>
      </c>
      <c r="E161" s="1" t="str">
        <f t="shared" si="2"/>
        <v>FAT_BONUS</v>
      </c>
      <c r="F161" s="32">
        <f>Salary_Schedule!E161</f>
        <v>13890.48</v>
      </c>
      <c r="G161" s="32">
        <f>Assumptions!$B$8</f>
        <v>200</v>
      </c>
      <c r="H161" s="32">
        <f>F161*Assumptions!$B$58</f>
        <v>1389.048</v>
      </c>
      <c r="I161" s="32">
        <f>Salary_Schedule!F161</f>
        <v>18518.96</v>
      </c>
      <c r="J161" s="32">
        <f>I161*Assumptions!$B$9</f>
        <v>6481.636</v>
      </c>
      <c r="K161" s="54">
        <f t="shared" si="3"/>
        <v>24338.756</v>
      </c>
      <c r="L161" s="32">
        <f>IF(COUNTIFS(SL_Income_Log!$B:$B,TEXT(B161,"0000")&amp;"-"&amp;TEXT(A161,"00"),SL_Income_Log!$C:$C,"salary",SL_Income_Log!$E:$E,"H")&gt;0,SUMIFS(SL_Income_Log!$D:$D,SL_Income_Log!$B:$B,TEXT(B161,"0000")&amp;"-"&amp;TEXT(A161,"00"),SL_Income_Log!$C:$C,"salary",SL_Income_Log!$E:$E,"H"),K161*(1-Assumptions!$B$102)-Z161-Y161)</f>
        <v>14603.2536</v>
      </c>
      <c r="M161" s="32">
        <f>RSU_Schedule!H160</f>
        <v>2784.99</v>
      </c>
      <c r="N161" s="32">
        <f>Salary_Schedule!G161</f>
        <v>9689.75</v>
      </c>
      <c r="O161" s="32">
        <f>Assumptions!$B$19</f>
        <v>200</v>
      </c>
      <c r="P161" s="32">
        <f>N161*Assumptions!$B$59</f>
        <v>968.975</v>
      </c>
      <c r="Q161" s="32">
        <f>Salary_Schedule!H161</f>
        <v>12919.84</v>
      </c>
      <c r="R161" s="32">
        <f>Q161*Assumptions!$B$20</f>
        <v>4521.944</v>
      </c>
      <c r="S161" s="54">
        <f t="shared" si="4"/>
        <v>16918.671</v>
      </c>
      <c r="T161" s="32">
        <f>IF(COUNTIFS(SL_Income_Log!$B:$B,TEXT(B161,"0000")&amp;"-"&amp;TEXT(A161,"00"),SL_Income_Log!$C:$C,"salary",SL_Income_Log!$E:$E,"W")&gt;0,SUMIFS(SL_Income_Log!$D:$D,SL_Income_Log!$B:$B,TEXT(B161,"0000")&amp;"-"&amp;TEXT(A161,"00"),SL_Income_Log!$C:$C,"salary",SL_Income_Log!$E:$E,"W"),S161*(1-Assumptions!$B$102)-AC161-AB161)
</f>
        <v>10151.2026</v>
      </c>
      <c r="U161" s="32">
        <f>RSU_Schedule!M160</f>
        <v>1392.51</v>
      </c>
      <c r="V161" s="32">
        <f>H161*(1+Assumptions!$B$60)+Assumptions!$B$61</f>
        <v>1964.6672</v>
      </c>
      <c r="W161" s="32">
        <f>P161*(1+Assumptions!$B$60)+Assumptions!$B$61</f>
        <v>1376.565</v>
      </c>
      <c r="X161" s="32">
        <f t="shared" si="5"/>
        <v>3341.2322</v>
      </c>
      <c r="Y161" s="32">
        <v>0.0</v>
      </c>
      <c r="Z161" s="32">
        <v>0.0</v>
      </c>
      <c r="AA161" s="32">
        <v>0.0</v>
      </c>
      <c r="AB161" s="32">
        <v>0.0</v>
      </c>
      <c r="AC161" s="32">
        <v>0.0</v>
      </c>
      <c r="AD161" s="32">
        <v>0.0</v>
      </c>
      <c r="AE161" s="32">
        <f t="shared" ref="AE161:AF161" si="202">Z161+AC161</f>
        <v>0</v>
      </c>
      <c r="AF161" s="32">
        <f t="shared" si="202"/>
        <v>0</v>
      </c>
      <c r="AG161" s="32">
        <f>IF(COUNTIFS(SL_Income_Log!$B:$B,TEXT(B161,"0000")&amp;"-"&amp;TEXT(A161,"00"),SL_Income_Log!$C:$C,"youtube")&gt;0,SUMIFS(SL_Income_Log!$D:$D,SL_Income_Log!$B:$B,TEXT(B161,"0000")&amp;"-"&amp;TEXT(A161,"00"),SL_Income_Log!$C:$C,"youtube"),MIN(Assumptions!$B$49+FLOOR((ROW()-2)/6,1)*Assumptions!$B$50,Assumptions!$B$51))
</f>
        <v>20000</v>
      </c>
      <c r="AH161" s="32">
        <f>AG161*Assumptions!$B$104</f>
        <v>8860</v>
      </c>
      <c r="AI161" s="32">
        <f t="shared" si="7"/>
        <v>11140</v>
      </c>
      <c r="AJ161" s="32">
        <f>SUMIFS(SL_Income_Log!$D:$D,SL_Income_Log!$B:$B,TEXT(B161,"0000")&amp;"-"&amp;TEXT(A161,"00"),SL_Income_Log!$C:$C,"other")</f>
        <v>0</v>
      </c>
      <c r="AK161" s="32">
        <f t="shared" si="27"/>
        <v>10000</v>
      </c>
      <c r="AL161" s="32">
        <f>L161+M161+T161+U161+AI161+AJ161-Y161-Z161-AB161-AC161+IF((Debt_Register!$C$2+Debt_Register!$C$6+Debt_Register!$C$7+Debt_Register!$C$8+Debt_Register!$C$9)&gt;5,X161,0)</f>
        <v>43413.1884</v>
      </c>
      <c r="AM161" s="32">
        <f t="shared" si="8"/>
        <v>53413.1884</v>
      </c>
      <c r="AN161" s="32">
        <f>MAX(Assumptions!$B$94,MIN(Assumptions!$B$93,AM161-AP161-BE161-BO161-BQ161))</f>
        <v>10000</v>
      </c>
      <c r="AO161" s="32">
        <v>0.0</v>
      </c>
      <c r="AP161" s="32">
        <v>0.0</v>
      </c>
      <c r="AQ161" s="32">
        <v>0.0</v>
      </c>
      <c r="AR161" s="32">
        <v>0.0</v>
      </c>
      <c r="AS161" s="32">
        <v>0.0</v>
      </c>
      <c r="AT161" s="32">
        <v>0.0</v>
      </c>
      <c r="AU161" s="32">
        <f t="shared" si="30"/>
        <v>0</v>
      </c>
      <c r="AV161" s="32">
        <f t="shared" si="31"/>
        <v>0</v>
      </c>
      <c r="AW161" s="32">
        <f t="shared" si="32"/>
        <v>0</v>
      </c>
      <c r="AX161" s="32">
        <f t="shared" si="33"/>
        <v>0</v>
      </c>
      <c r="AY161" s="32">
        <f t="shared" si="34"/>
        <v>0</v>
      </c>
      <c r="AZ161" s="32">
        <f t="shared" si="35"/>
        <v>0</v>
      </c>
      <c r="BA161" s="32">
        <f t="shared" si="36"/>
        <v>0</v>
      </c>
      <c r="BB161" s="32">
        <f t="shared" si="37"/>
        <v>0</v>
      </c>
      <c r="BC161" s="32">
        <f t="shared" si="38"/>
        <v>0</v>
      </c>
      <c r="BD161" s="32">
        <f t="shared" si="39"/>
        <v>0</v>
      </c>
      <c r="BE161" s="32">
        <f t="shared" si="11"/>
        <v>0</v>
      </c>
      <c r="BF161" s="32">
        <v>0.0</v>
      </c>
      <c r="BG161" s="32">
        <f t="shared" si="40"/>
        <v>5500</v>
      </c>
      <c r="BH161" s="32">
        <v>0.0</v>
      </c>
      <c r="BI161" s="32">
        <f t="shared" si="41"/>
        <v>5000</v>
      </c>
      <c r="BJ161" s="32">
        <f>IF(OR(B161&lt;Assumptions!$B$111,AND(B161=Assumptions!$B$111,A161&lt;=Assumptions!$B$112)),Assumptions!$B$110,0)</f>
        <v>0</v>
      </c>
      <c r="BK161" s="32">
        <f>IF(B161&lt;2027,Assumptions!$B$116+IF(OR(A161=4,A161=10),Assumptions!$B$117,0),IF(AND(B161=2027,A161&lt;=4),IF(A161=4,MIN(950,Assumptions!$B$116+Assumptions!$B$117),Assumptions!$B$116),0))</f>
        <v>0</v>
      </c>
      <c r="BL161" s="32">
        <f>IF(OR(B161&lt;2030,AND(B161=2030,A161&lt;8)),Assumptions!$B$118,IF(AND(B161=2030,A161=8),MOD(11000,200),0))</f>
        <v>0</v>
      </c>
      <c r="BM161" s="32">
        <f>IF(OR(B161&lt;Assumptions!$B$120,AND(B161=Assumptions!$B$120,A161&lt;=Assumptions!$B$121)),Assumptions!$B$119,0)</f>
        <v>0</v>
      </c>
      <c r="BN161" s="32">
        <f>IF(AND(B161&lt;=Assumptions!$B$123,A161&lt;=Assumptions!$B$124),Assumptions!$B$122,0)</f>
        <v>0</v>
      </c>
      <c r="BO161" s="32">
        <f t="shared" si="12"/>
        <v>0</v>
      </c>
      <c r="BP161" s="32">
        <f>SUMIFS(SL_Budget!$B:$B,SL_Budget!$C:$C,"'"&amp;TEXT(DATE(B161,A161,1),"YYYY-MM"))</f>
        <v>6033</v>
      </c>
      <c r="BQ161" s="32">
        <f>MAX(BP161, IFERROR(SUMIFS(ShadowLedger!D:D, 
  ShadowLedger!C:C, "&gt;="&amp;DATE(B161,A161,1), 
  ShadowLedger!C:C, "&lt;"&amp;EOMONTH(DATE(B161,A161,1),0)+1), 0))
</f>
        <v>6033</v>
      </c>
      <c r="BR161" s="32">
        <f t="shared" si="42"/>
        <v>3456912.087</v>
      </c>
      <c r="BS161" s="32">
        <f t="shared" si="43"/>
        <v>3341.2322</v>
      </c>
      <c r="BT161" s="32">
        <f>IF(BY160&gt;=Assumptions!$B$92,MAX(0,(AM161-BE161-BO161-BQ161)-Assumptions!$B$93),MAX(0,(AM161-BE161-BO161-BQ161)-Assumptions!$B$93)*Assumptions!$B$99)</f>
        <v>37380.1884</v>
      </c>
      <c r="BU161" s="32">
        <f>(BR161+BS161+MAX(0,BT161))*(Assumptions!$B$43-1)</f>
        <v>23846.86526</v>
      </c>
      <c r="BV161" s="32">
        <f t="shared" si="13"/>
        <v>3521480.373</v>
      </c>
      <c r="BW161" s="32">
        <f t="shared" si="44"/>
        <v>15476.04728</v>
      </c>
      <c r="BX161" s="32">
        <f>IF(BY160&lt;Assumptions!$B$92,MAX(0,(AM161-BE161-BO161-BQ161)-Assumptions!$B$93)*Assumptions!$B$98,0)</f>
        <v>0</v>
      </c>
      <c r="BY161" s="32">
        <f t="shared" si="14"/>
        <v>15476.04728</v>
      </c>
      <c r="BZ161" s="32">
        <f t="shared" si="45"/>
        <v>26580</v>
      </c>
      <c r="CA161" s="32">
        <f t="shared" si="15"/>
        <v>8860</v>
      </c>
      <c r="CB161" s="32">
        <f t="shared" si="16"/>
        <v>35440</v>
      </c>
      <c r="CC161" s="55">
        <f>CC160+(G161+J161)/(Salary_Schedule!E161*12/208)</f>
        <v>1869.932714</v>
      </c>
      <c r="CD161" s="55">
        <f>CD160+(O161+R161)/(Salary_Schedule!G161*12/208)</f>
        <v>206.2746057</v>
      </c>
      <c r="CE161" s="32">
        <f t="shared" si="17"/>
        <v>3521480.373</v>
      </c>
      <c r="CF161" s="32">
        <f>Assumptions!$B$55*(1+Assumptions!$B$56)^((B161-2025)+(A161-1)/12)</f>
        <v>642901.5098</v>
      </c>
      <c r="CG161" s="32">
        <f t="shared" si="18"/>
        <v>0</v>
      </c>
      <c r="CH161" s="32">
        <f t="shared" si="19"/>
        <v>-10500</v>
      </c>
      <c r="CI161" s="32">
        <f>CC161*(Salary_Schedule!E161/173.33)*(1-Assumptions!$B$28)+CD161*(Salary_Schedule!G161/173.33)*(1-Assumptions!$B$28)</f>
        <v>104900.8136</v>
      </c>
      <c r="CJ161" s="32">
        <f t="shared" si="20"/>
        <v>4258782.697</v>
      </c>
    </row>
    <row r="162" ht="15.0" customHeight="1">
      <c r="A162" s="1">
        <v>5.0</v>
      </c>
      <c r="B162" s="1">
        <v>2039.0</v>
      </c>
      <c r="C162" s="1" t="s">
        <v>831</v>
      </c>
      <c r="D162" s="1" t="str">
        <f t="shared" si="21"/>
        <v>04/2039</v>
      </c>
      <c r="E162" s="1" t="str">
        <f t="shared" si="2"/>
        <v>LEAN</v>
      </c>
      <c r="F162" s="32">
        <f>Salary_Schedule!E162</f>
        <v>13890.48</v>
      </c>
      <c r="G162" s="32">
        <f>Assumptions!$B$8</f>
        <v>200</v>
      </c>
      <c r="H162" s="32">
        <f>F162*Assumptions!$B$58</f>
        <v>1389.048</v>
      </c>
      <c r="I162" s="32">
        <f>Salary_Schedule!F162</f>
        <v>0</v>
      </c>
      <c r="J162" s="32">
        <f>I162*Assumptions!$B$9</f>
        <v>0</v>
      </c>
      <c r="K162" s="54">
        <f t="shared" si="3"/>
        <v>12301.432</v>
      </c>
      <c r="L162" s="32">
        <f>IF(COUNTIFS(SL_Income_Log!$B:$B,TEXT(B162,"0000")&amp;"-"&amp;TEXT(A162,"00"),SL_Income_Log!$C:$C,"salary",SL_Income_Log!$E:$E,"H")&gt;0,SUMIFS(SL_Income_Log!$D:$D,SL_Income_Log!$B:$B,TEXT(B162,"0000")&amp;"-"&amp;TEXT(A162,"00"),SL_Income_Log!$C:$C,"salary",SL_Income_Log!$E:$E,"H"),K162*(1-Assumptions!$B$102)-Z162-Y162)</f>
        <v>7380.8592</v>
      </c>
      <c r="M162" s="32">
        <f>RSU_Schedule!H161</f>
        <v>0</v>
      </c>
      <c r="N162" s="32">
        <f>Salary_Schedule!G162</f>
        <v>9689.75</v>
      </c>
      <c r="O162" s="32">
        <f>Assumptions!$B$19</f>
        <v>200</v>
      </c>
      <c r="P162" s="32">
        <f>N162*Assumptions!$B$59</f>
        <v>968.975</v>
      </c>
      <c r="Q162" s="32">
        <f>Salary_Schedule!H162</f>
        <v>0</v>
      </c>
      <c r="R162" s="32">
        <f>Q162*Assumptions!$B$20</f>
        <v>0</v>
      </c>
      <c r="S162" s="54">
        <f t="shared" si="4"/>
        <v>8520.775</v>
      </c>
      <c r="T162" s="32">
        <f>IF(COUNTIFS(SL_Income_Log!$B:$B,TEXT(B162,"0000")&amp;"-"&amp;TEXT(A162,"00"),SL_Income_Log!$C:$C,"salary",SL_Income_Log!$E:$E,"W")&gt;0,SUMIFS(SL_Income_Log!$D:$D,SL_Income_Log!$B:$B,TEXT(B162,"0000")&amp;"-"&amp;TEXT(A162,"00"),SL_Income_Log!$C:$C,"salary",SL_Income_Log!$E:$E,"W"),S162*(1-Assumptions!$B$102)-AC162-AB162)
</f>
        <v>5112.465</v>
      </c>
      <c r="U162" s="32">
        <f>RSU_Schedule!M161</f>
        <v>0</v>
      </c>
      <c r="V162" s="32">
        <f>H162*(1+Assumptions!$B$60)+Assumptions!$B$61</f>
        <v>1964.6672</v>
      </c>
      <c r="W162" s="32">
        <f>P162*(1+Assumptions!$B$60)+Assumptions!$B$61</f>
        <v>1376.565</v>
      </c>
      <c r="X162" s="32">
        <f t="shared" si="5"/>
        <v>3341.2322</v>
      </c>
      <c r="Y162" s="32">
        <v>0.0</v>
      </c>
      <c r="Z162" s="32">
        <v>0.0</v>
      </c>
      <c r="AA162" s="32">
        <v>0.0</v>
      </c>
      <c r="AB162" s="32">
        <v>0.0</v>
      </c>
      <c r="AC162" s="32">
        <v>0.0</v>
      </c>
      <c r="AD162" s="32">
        <v>0.0</v>
      </c>
      <c r="AE162" s="32">
        <f t="shared" ref="AE162:AF162" si="203">Z162+AC162</f>
        <v>0</v>
      </c>
      <c r="AF162" s="32">
        <f t="shared" si="203"/>
        <v>0</v>
      </c>
      <c r="AG162" s="32">
        <f>IF(COUNTIFS(SL_Income_Log!$B:$B,TEXT(B162,"0000")&amp;"-"&amp;TEXT(A162,"00"),SL_Income_Log!$C:$C,"youtube")&gt;0,SUMIFS(SL_Income_Log!$D:$D,SL_Income_Log!$B:$B,TEXT(B162,"0000")&amp;"-"&amp;TEXT(A162,"00"),SL_Income_Log!$C:$C,"youtube"),MIN(Assumptions!$B$49+FLOOR((ROW()-2)/6,1)*Assumptions!$B$50,Assumptions!$B$51))
</f>
        <v>20000</v>
      </c>
      <c r="AH162" s="32">
        <f>AG162*Assumptions!$B$104</f>
        <v>8860</v>
      </c>
      <c r="AI162" s="32">
        <f t="shared" si="7"/>
        <v>11140</v>
      </c>
      <c r="AJ162" s="32">
        <f>SUMIFS(SL_Income_Log!$D:$D,SL_Income_Log!$B:$B,TEXT(B162,"0000")&amp;"-"&amp;TEXT(A162,"00"),SL_Income_Log!$C:$C,"other")</f>
        <v>0</v>
      </c>
      <c r="AK162" s="32">
        <f t="shared" si="27"/>
        <v>10000</v>
      </c>
      <c r="AL162" s="32">
        <f>L162+M162+T162+U162+AI162+AJ162-Y162-Z162-AB162-AC162+IF((Debt_Register!$C$2+Debt_Register!$C$6+Debt_Register!$C$7+Debt_Register!$C$8+Debt_Register!$C$9)&gt;5,X162,0)</f>
        <v>26974.5564</v>
      </c>
      <c r="AM162" s="32">
        <f t="shared" si="8"/>
        <v>36974.5564</v>
      </c>
      <c r="AN162" s="32">
        <f>MAX(Assumptions!$B$94,MIN(Assumptions!$B$93,AM162-AP162-BE162-BO162-BQ162))</f>
        <v>10000</v>
      </c>
      <c r="AO162" s="32">
        <v>0.0</v>
      </c>
      <c r="AP162" s="32">
        <v>0.0</v>
      </c>
      <c r="AQ162" s="32">
        <v>0.0</v>
      </c>
      <c r="AR162" s="32">
        <v>0.0</v>
      </c>
      <c r="AS162" s="32">
        <v>0.0</v>
      </c>
      <c r="AT162" s="32">
        <v>0.0</v>
      </c>
      <c r="AU162" s="32">
        <f t="shared" si="30"/>
        <v>0</v>
      </c>
      <c r="AV162" s="32">
        <f t="shared" si="31"/>
        <v>0</v>
      </c>
      <c r="AW162" s="32">
        <f t="shared" si="32"/>
        <v>0</v>
      </c>
      <c r="AX162" s="32">
        <f t="shared" si="33"/>
        <v>0</v>
      </c>
      <c r="AY162" s="32">
        <f t="shared" si="34"/>
        <v>0</v>
      </c>
      <c r="AZ162" s="32">
        <f t="shared" si="35"/>
        <v>0</v>
      </c>
      <c r="BA162" s="32">
        <f t="shared" si="36"/>
        <v>0</v>
      </c>
      <c r="BB162" s="32">
        <f t="shared" si="37"/>
        <v>0</v>
      </c>
      <c r="BC162" s="32">
        <f t="shared" si="38"/>
        <v>0</v>
      </c>
      <c r="BD162" s="32">
        <f t="shared" si="39"/>
        <v>0</v>
      </c>
      <c r="BE162" s="32">
        <f t="shared" si="11"/>
        <v>0</v>
      </c>
      <c r="BF162" s="32">
        <v>0.0</v>
      </c>
      <c r="BG162" s="32">
        <f t="shared" si="40"/>
        <v>5500</v>
      </c>
      <c r="BH162" s="32">
        <v>0.0</v>
      </c>
      <c r="BI162" s="32">
        <f t="shared" si="41"/>
        <v>5000</v>
      </c>
      <c r="BJ162" s="32">
        <f>IF(OR(B162&lt;Assumptions!$B$111,AND(B162=Assumptions!$B$111,A162&lt;=Assumptions!$B$112)),Assumptions!$B$110,0)</f>
        <v>0</v>
      </c>
      <c r="BK162" s="32">
        <f>IF(B162&lt;2027,Assumptions!$B$116+IF(OR(A162=4,A162=10),Assumptions!$B$117,0),IF(AND(B162=2027,A162&lt;=4),IF(A162=4,MIN(950,Assumptions!$B$116+Assumptions!$B$117),Assumptions!$B$116),0))</f>
        <v>0</v>
      </c>
      <c r="BL162" s="32">
        <f>IF(OR(B162&lt;2030,AND(B162=2030,A162&lt;8)),Assumptions!$B$118,IF(AND(B162=2030,A162=8),MOD(11000,200),0))</f>
        <v>0</v>
      </c>
      <c r="BM162" s="32">
        <f>IF(OR(B162&lt;Assumptions!$B$120,AND(B162=Assumptions!$B$120,A162&lt;=Assumptions!$B$121)),Assumptions!$B$119,0)</f>
        <v>0</v>
      </c>
      <c r="BN162" s="32">
        <f>IF(AND(B162&lt;=Assumptions!$B$123,A162&lt;=Assumptions!$B$124),Assumptions!$B$122,0)</f>
        <v>0</v>
      </c>
      <c r="BO162" s="32">
        <f t="shared" si="12"/>
        <v>0</v>
      </c>
      <c r="BP162" s="32">
        <f>SUMIFS(SL_Budget!$B:$B,SL_Budget!$C:$C,"'"&amp;TEXT(DATE(B162,A162,1),"YYYY-MM"))</f>
        <v>6033</v>
      </c>
      <c r="BQ162" s="32">
        <f>MAX(BP162, IFERROR(SUMIFS(ShadowLedger!D:D, 
  ShadowLedger!C:C, "&gt;="&amp;DATE(B162,A162,1), 
  ShadowLedger!C:C, "&lt;"&amp;EOMONTH(DATE(B162,A162,1),0)+1), 0))
</f>
        <v>6033</v>
      </c>
      <c r="BR162" s="32">
        <f t="shared" si="42"/>
        <v>3521480.373</v>
      </c>
      <c r="BS162" s="32">
        <f t="shared" si="43"/>
        <v>3341.2322</v>
      </c>
      <c r="BT162" s="32">
        <f>IF(BY161&gt;=Assumptions!$B$92,MAX(0,(AM162-BE162-BO162-BQ162)-Assumptions!$B$93),MAX(0,(AM162-BE162-BO162-BQ162)-Assumptions!$B$93)*Assumptions!$B$99)</f>
        <v>20941.5564</v>
      </c>
      <c r="BU162" s="32">
        <f>(BR162+BS162+MAX(0,BT162))*(Assumptions!$B$43-1)</f>
        <v>24175.01324</v>
      </c>
      <c r="BV162" s="32">
        <f t="shared" si="13"/>
        <v>3569938.175</v>
      </c>
      <c r="BW162" s="32">
        <f t="shared" si="44"/>
        <v>15476.04728</v>
      </c>
      <c r="BX162" s="32">
        <f>IF(BY161&lt;Assumptions!$B$92,MAX(0,(AM162-BE162-BO162-BQ162)-Assumptions!$B$93)*Assumptions!$B$98,0)</f>
        <v>0</v>
      </c>
      <c r="BY162" s="32">
        <f t="shared" si="14"/>
        <v>15476.04728</v>
      </c>
      <c r="BZ162" s="32">
        <f t="shared" si="45"/>
        <v>35440</v>
      </c>
      <c r="CA162" s="32">
        <f t="shared" si="15"/>
        <v>8860</v>
      </c>
      <c r="CB162" s="32">
        <f t="shared" si="16"/>
        <v>44300</v>
      </c>
      <c r="CC162" s="55">
        <f>CC161+(G162+J162)/(Salary_Schedule!E162*12/208)</f>
        <v>1870.182286</v>
      </c>
      <c r="CD162" s="55">
        <f>CD161+(O162+R162)/(Salary_Schedule!G162*12/208)</f>
        <v>206.6323721</v>
      </c>
      <c r="CE162" s="32">
        <f t="shared" si="17"/>
        <v>3569938.175</v>
      </c>
      <c r="CF162" s="32">
        <f>Assumptions!$B$55*(1+Assumptions!$B$56)^((B162-2025)+(A162-1)/12)</f>
        <v>643699.6642</v>
      </c>
      <c r="CG162" s="32">
        <f t="shared" si="18"/>
        <v>0</v>
      </c>
      <c r="CH162" s="32">
        <f t="shared" si="19"/>
        <v>-10500</v>
      </c>
      <c r="CI162" s="32">
        <f>CC162*(Salary_Schedule!E162/173.33)*(1-Assumptions!$B$28)+CD162*(Salary_Schedule!G162/173.33)*(1-Assumptions!$B$28)</f>
        <v>104926.8141</v>
      </c>
      <c r="CJ162" s="32">
        <f t="shared" si="20"/>
        <v>4308064.653</v>
      </c>
    </row>
    <row r="163" ht="15.0" customHeight="1">
      <c r="A163" s="1">
        <v>6.0</v>
      </c>
      <c r="B163" s="1">
        <v>2039.0</v>
      </c>
      <c r="C163" s="1" t="s">
        <v>832</v>
      </c>
      <c r="D163" s="1" t="str">
        <f t="shared" si="21"/>
        <v>05/2039</v>
      </c>
      <c r="E163" s="1" t="str">
        <f t="shared" si="2"/>
        <v>LEAN</v>
      </c>
      <c r="F163" s="32">
        <f>Salary_Schedule!E163</f>
        <v>13890.48</v>
      </c>
      <c r="G163" s="32">
        <f>Assumptions!$B$8</f>
        <v>200</v>
      </c>
      <c r="H163" s="32">
        <f>F163*Assumptions!$B$58</f>
        <v>1389.048</v>
      </c>
      <c r="I163" s="32">
        <f>Salary_Schedule!F163</f>
        <v>0</v>
      </c>
      <c r="J163" s="32">
        <f>I163*Assumptions!$B$9</f>
        <v>0</v>
      </c>
      <c r="K163" s="54">
        <f t="shared" si="3"/>
        <v>12301.432</v>
      </c>
      <c r="L163" s="32">
        <f>IF(COUNTIFS(SL_Income_Log!$B:$B,TEXT(B163,"0000")&amp;"-"&amp;TEXT(A163,"00"),SL_Income_Log!$C:$C,"salary",SL_Income_Log!$E:$E,"H")&gt;0,SUMIFS(SL_Income_Log!$D:$D,SL_Income_Log!$B:$B,TEXT(B163,"0000")&amp;"-"&amp;TEXT(A163,"00"),SL_Income_Log!$C:$C,"salary",SL_Income_Log!$E:$E,"H"),K163*(1-Assumptions!$B$102)-Z163-Y163)</f>
        <v>7380.8592</v>
      </c>
      <c r="M163" s="32">
        <f>RSU_Schedule!H162</f>
        <v>0</v>
      </c>
      <c r="N163" s="32">
        <f>Salary_Schedule!G163</f>
        <v>9689.75</v>
      </c>
      <c r="O163" s="32">
        <f>Assumptions!$B$19</f>
        <v>200</v>
      </c>
      <c r="P163" s="32">
        <f>N163*Assumptions!$B$59</f>
        <v>968.975</v>
      </c>
      <c r="Q163" s="32">
        <f>Salary_Schedule!H163</f>
        <v>0</v>
      </c>
      <c r="R163" s="32">
        <f>Q163*Assumptions!$B$20</f>
        <v>0</v>
      </c>
      <c r="S163" s="54">
        <f t="shared" si="4"/>
        <v>8520.775</v>
      </c>
      <c r="T163" s="32">
        <f>IF(COUNTIFS(SL_Income_Log!$B:$B,TEXT(B163,"0000")&amp;"-"&amp;TEXT(A163,"00"),SL_Income_Log!$C:$C,"salary",SL_Income_Log!$E:$E,"W")&gt;0,SUMIFS(SL_Income_Log!$D:$D,SL_Income_Log!$B:$B,TEXT(B163,"0000")&amp;"-"&amp;TEXT(A163,"00"),SL_Income_Log!$C:$C,"salary",SL_Income_Log!$E:$E,"W"),S163*(1-Assumptions!$B$102)-AC163-AB163)
</f>
        <v>5112.465</v>
      </c>
      <c r="U163" s="32">
        <f>RSU_Schedule!M162</f>
        <v>0</v>
      </c>
      <c r="V163" s="32">
        <f>H163*(1+Assumptions!$B$60)+Assumptions!$B$61</f>
        <v>1964.6672</v>
      </c>
      <c r="W163" s="32">
        <f>P163*(1+Assumptions!$B$60)+Assumptions!$B$61</f>
        <v>1376.565</v>
      </c>
      <c r="X163" s="32">
        <f t="shared" si="5"/>
        <v>3341.2322</v>
      </c>
      <c r="Y163" s="32">
        <v>0.0</v>
      </c>
      <c r="Z163" s="32">
        <v>0.0</v>
      </c>
      <c r="AA163" s="32">
        <v>0.0</v>
      </c>
      <c r="AB163" s="32">
        <v>0.0</v>
      </c>
      <c r="AC163" s="32">
        <v>0.0</v>
      </c>
      <c r="AD163" s="32">
        <v>0.0</v>
      </c>
      <c r="AE163" s="32">
        <f t="shared" ref="AE163:AF163" si="204">Z163+AC163</f>
        <v>0</v>
      </c>
      <c r="AF163" s="32">
        <f t="shared" si="204"/>
        <v>0</v>
      </c>
      <c r="AG163" s="32">
        <f>IF(COUNTIFS(SL_Income_Log!$B:$B,TEXT(B163,"0000")&amp;"-"&amp;TEXT(A163,"00"),SL_Income_Log!$C:$C,"youtube")&gt;0,SUMIFS(SL_Income_Log!$D:$D,SL_Income_Log!$B:$B,TEXT(B163,"0000")&amp;"-"&amp;TEXT(A163,"00"),SL_Income_Log!$C:$C,"youtube"),MIN(Assumptions!$B$49+FLOOR((ROW()-2)/6,1)*Assumptions!$B$50,Assumptions!$B$51))
</f>
        <v>20000</v>
      </c>
      <c r="AH163" s="32">
        <f>AG163*Assumptions!$B$104</f>
        <v>8860</v>
      </c>
      <c r="AI163" s="32">
        <f t="shared" si="7"/>
        <v>11140</v>
      </c>
      <c r="AJ163" s="32">
        <f>SUMIFS(SL_Income_Log!$D:$D,SL_Income_Log!$B:$B,TEXT(B163,"0000")&amp;"-"&amp;TEXT(A163,"00"),SL_Income_Log!$C:$C,"other")</f>
        <v>0</v>
      </c>
      <c r="AK163" s="32">
        <f t="shared" si="27"/>
        <v>10000</v>
      </c>
      <c r="AL163" s="32">
        <f>L163+M163+T163+U163+AI163+AJ163-Y163-Z163-AB163-AC163+IF((Debt_Register!$C$2+Debt_Register!$C$6+Debt_Register!$C$7+Debt_Register!$C$8+Debt_Register!$C$9)&gt;5,X163,0)</f>
        <v>26974.5564</v>
      </c>
      <c r="AM163" s="32">
        <f t="shared" si="8"/>
        <v>36974.5564</v>
      </c>
      <c r="AN163" s="32">
        <f>MAX(Assumptions!$B$94,MIN(Assumptions!$B$93,AM163-AP163-BE163-BO163-BQ163))</f>
        <v>10000</v>
      </c>
      <c r="AO163" s="32">
        <v>0.0</v>
      </c>
      <c r="AP163" s="32">
        <v>0.0</v>
      </c>
      <c r="AQ163" s="32">
        <v>0.0</v>
      </c>
      <c r="AR163" s="32">
        <v>0.0</v>
      </c>
      <c r="AS163" s="32">
        <v>0.0</v>
      </c>
      <c r="AT163" s="32">
        <v>0.0</v>
      </c>
      <c r="AU163" s="32">
        <f t="shared" si="30"/>
        <v>0</v>
      </c>
      <c r="AV163" s="32">
        <f t="shared" si="31"/>
        <v>0</v>
      </c>
      <c r="AW163" s="32">
        <f t="shared" si="32"/>
        <v>0</v>
      </c>
      <c r="AX163" s="32">
        <f t="shared" si="33"/>
        <v>0</v>
      </c>
      <c r="AY163" s="32">
        <f t="shared" si="34"/>
        <v>0</v>
      </c>
      <c r="AZ163" s="32">
        <f t="shared" si="35"/>
        <v>0</v>
      </c>
      <c r="BA163" s="32">
        <f t="shared" si="36"/>
        <v>0</v>
      </c>
      <c r="BB163" s="32">
        <f t="shared" si="37"/>
        <v>0</v>
      </c>
      <c r="BC163" s="32">
        <f t="shared" si="38"/>
        <v>0</v>
      </c>
      <c r="BD163" s="32">
        <f t="shared" si="39"/>
        <v>0</v>
      </c>
      <c r="BE163" s="32">
        <f t="shared" si="11"/>
        <v>0</v>
      </c>
      <c r="BF163" s="32">
        <v>0.0</v>
      </c>
      <c r="BG163" s="32">
        <f t="shared" si="40"/>
        <v>5500</v>
      </c>
      <c r="BH163" s="32">
        <v>0.0</v>
      </c>
      <c r="BI163" s="32">
        <f t="shared" si="41"/>
        <v>5000</v>
      </c>
      <c r="BJ163" s="32">
        <f>IF(OR(B163&lt;Assumptions!$B$111,AND(B163=Assumptions!$B$111,A163&lt;=Assumptions!$B$112)),Assumptions!$B$110,0)</f>
        <v>0</v>
      </c>
      <c r="BK163" s="32">
        <f>IF(B163&lt;2027,Assumptions!$B$116+IF(OR(A163=4,A163=10),Assumptions!$B$117,0),IF(AND(B163=2027,A163&lt;=4),IF(A163=4,MIN(950,Assumptions!$B$116+Assumptions!$B$117),Assumptions!$B$116),0))</f>
        <v>0</v>
      </c>
      <c r="BL163" s="32">
        <f>IF(OR(B163&lt;2030,AND(B163=2030,A163&lt;8)),Assumptions!$B$118,IF(AND(B163=2030,A163=8),MOD(11000,200),0))</f>
        <v>0</v>
      </c>
      <c r="BM163" s="32">
        <f>IF(OR(B163&lt;Assumptions!$B$120,AND(B163=Assumptions!$B$120,A163&lt;=Assumptions!$B$121)),Assumptions!$B$119,0)</f>
        <v>0</v>
      </c>
      <c r="BN163" s="32">
        <f>IF(AND(B163&lt;=Assumptions!$B$123,A163&lt;=Assumptions!$B$124),Assumptions!$B$122,0)</f>
        <v>0</v>
      </c>
      <c r="BO163" s="32">
        <f t="shared" si="12"/>
        <v>0</v>
      </c>
      <c r="BP163" s="32">
        <f>SUMIFS(SL_Budget!$B:$B,SL_Budget!$C:$C,"'"&amp;TEXT(DATE(B163,A163,1),"YYYY-MM"))</f>
        <v>6033</v>
      </c>
      <c r="BQ163" s="32">
        <f>MAX(BP163, IFERROR(SUMIFS(ShadowLedger!D:D, 
  ShadowLedger!C:C, "&gt;="&amp;DATE(B163,A163,1), 
  ShadowLedger!C:C, "&lt;"&amp;EOMONTH(DATE(B163,A163,1),0)+1), 0))
</f>
        <v>6033</v>
      </c>
      <c r="BR163" s="32">
        <f t="shared" si="42"/>
        <v>3569938.175</v>
      </c>
      <c r="BS163" s="32">
        <f t="shared" si="43"/>
        <v>3341.2322</v>
      </c>
      <c r="BT163" s="32">
        <f>IF(BY162&gt;=Assumptions!$B$92,MAX(0,(AM163-BE163-BO163-BQ163)-Assumptions!$B$93),MAX(0,(AM163-BE163-BO163-BQ163)-Assumptions!$B$93)*Assumptions!$B$99)</f>
        <v>20941.5564</v>
      </c>
      <c r="BU163" s="32">
        <f>(BR163+BS163+MAX(0,BT163))*(Assumptions!$B$43-1)</f>
        <v>24505.39853</v>
      </c>
      <c r="BV163" s="32">
        <f t="shared" si="13"/>
        <v>3618726.362</v>
      </c>
      <c r="BW163" s="32">
        <f t="shared" si="44"/>
        <v>15476.04728</v>
      </c>
      <c r="BX163" s="32">
        <f>IF(BY162&lt;Assumptions!$B$92,MAX(0,(AM163-BE163-BO163-BQ163)-Assumptions!$B$93)*Assumptions!$B$98,0)</f>
        <v>0</v>
      </c>
      <c r="BY163" s="32">
        <f t="shared" si="14"/>
        <v>15476.04728</v>
      </c>
      <c r="BZ163" s="32">
        <f t="shared" si="45"/>
        <v>44300</v>
      </c>
      <c r="CA163" s="32">
        <f t="shared" si="15"/>
        <v>8860</v>
      </c>
      <c r="CB163" s="32">
        <f t="shared" si="16"/>
        <v>53160</v>
      </c>
      <c r="CC163" s="55">
        <f>CC162+(G163+J163)/(Salary_Schedule!E163*12/208)</f>
        <v>1870.431857</v>
      </c>
      <c r="CD163" s="55">
        <f>CD162+(O163+R163)/(Salary_Schedule!G163*12/208)</f>
        <v>206.9901385</v>
      </c>
      <c r="CE163" s="32">
        <f t="shared" si="17"/>
        <v>3618726.362</v>
      </c>
      <c r="CF163" s="32">
        <f>Assumptions!$B$55*(1+Assumptions!$B$56)^((B163-2025)+(A163-1)/12)</f>
        <v>644498.8094</v>
      </c>
      <c r="CG163" s="32">
        <f t="shared" si="18"/>
        <v>0</v>
      </c>
      <c r="CH163" s="32">
        <f t="shared" si="19"/>
        <v>-10500</v>
      </c>
      <c r="CI163" s="32">
        <f>CC163*(Salary_Schedule!E163/173.33)*(1-Assumptions!$B$28)+CD163*(Salary_Schedule!G163/173.33)*(1-Assumptions!$B$28)</f>
        <v>104952.8146</v>
      </c>
      <c r="CJ163" s="32">
        <f t="shared" si="20"/>
        <v>4357677.986</v>
      </c>
    </row>
    <row r="164" ht="15.0" customHeight="1">
      <c r="A164" s="1">
        <v>7.0</v>
      </c>
      <c r="B164" s="1">
        <v>2039.0</v>
      </c>
      <c r="C164" s="1" t="s">
        <v>833</v>
      </c>
      <c r="D164" s="1" t="str">
        <f t="shared" si="21"/>
        <v>06/2039</v>
      </c>
      <c r="E164" s="1" t="str">
        <f t="shared" si="2"/>
        <v>FAT_RSU</v>
      </c>
      <c r="F164" s="32">
        <f>Salary_Schedule!E164</f>
        <v>13890.48</v>
      </c>
      <c r="G164" s="32">
        <f>Assumptions!$B$8</f>
        <v>200</v>
      </c>
      <c r="H164" s="32">
        <f>F164*Assumptions!$B$58</f>
        <v>1389.048</v>
      </c>
      <c r="I164" s="32">
        <f>Salary_Schedule!F164</f>
        <v>0</v>
      </c>
      <c r="J164" s="32">
        <f>I164*Assumptions!$B$9</f>
        <v>0</v>
      </c>
      <c r="K164" s="54">
        <f t="shared" si="3"/>
        <v>12301.432</v>
      </c>
      <c r="L164" s="32">
        <f>IF(COUNTIFS(SL_Income_Log!$B:$B,TEXT(B164,"0000")&amp;"-"&amp;TEXT(A164,"00"),SL_Income_Log!$C:$C,"salary",SL_Income_Log!$E:$E,"H")&gt;0,SUMIFS(SL_Income_Log!$D:$D,SL_Income_Log!$B:$B,TEXT(B164,"0000")&amp;"-"&amp;TEXT(A164,"00"),SL_Income_Log!$C:$C,"salary",SL_Income_Log!$E:$E,"H"),K164*(1-Assumptions!$B$102)-Z164-Y164)</f>
        <v>7380.8592</v>
      </c>
      <c r="M164" s="32">
        <f>RSU_Schedule!H163</f>
        <v>2784.99</v>
      </c>
      <c r="N164" s="32">
        <f>Salary_Schedule!G164</f>
        <v>9689.75</v>
      </c>
      <c r="O164" s="32">
        <f>Assumptions!$B$19</f>
        <v>200</v>
      </c>
      <c r="P164" s="32">
        <f>N164*Assumptions!$B$59</f>
        <v>968.975</v>
      </c>
      <c r="Q164" s="32">
        <f>Salary_Schedule!H164</f>
        <v>0</v>
      </c>
      <c r="R164" s="32">
        <f>Q164*Assumptions!$B$20</f>
        <v>0</v>
      </c>
      <c r="S164" s="54">
        <f t="shared" si="4"/>
        <v>8520.775</v>
      </c>
      <c r="T164" s="32">
        <f>IF(COUNTIFS(SL_Income_Log!$B:$B,TEXT(B164,"0000")&amp;"-"&amp;TEXT(A164,"00"),SL_Income_Log!$C:$C,"salary",SL_Income_Log!$E:$E,"W")&gt;0,SUMIFS(SL_Income_Log!$D:$D,SL_Income_Log!$B:$B,TEXT(B164,"0000")&amp;"-"&amp;TEXT(A164,"00"),SL_Income_Log!$C:$C,"salary",SL_Income_Log!$E:$E,"W"),S164*(1-Assumptions!$B$102)-AC164-AB164)
</f>
        <v>5112.465</v>
      </c>
      <c r="U164" s="32">
        <f>RSU_Schedule!M163</f>
        <v>1392.51</v>
      </c>
      <c r="V164" s="32">
        <f>H164*(1+Assumptions!$B$60)+Assumptions!$B$61</f>
        <v>1964.6672</v>
      </c>
      <c r="W164" s="32">
        <f>P164*(1+Assumptions!$B$60)+Assumptions!$B$61</f>
        <v>1376.565</v>
      </c>
      <c r="X164" s="32">
        <f t="shared" si="5"/>
        <v>3341.2322</v>
      </c>
      <c r="Y164" s="32">
        <v>0.0</v>
      </c>
      <c r="Z164" s="32">
        <v>0.0</v>
      </c>
      <c r="AA164" s="32">
        <v>0.0</v>
      </c>
      <c r="AB164" s="32">
        <v>0.0</v>
      </c>
      <c r="AC164" s="32">
        <v>0.0</v>
      </c>
      <c r="AD164" s="32">
        <v>0.0</v>
      </c>
      <c r="AE164" s="32">
        <f t="shared" ref="AE164:AF164" si="205">Z164+AC164</f>
        <v>0</v>
      </c>
      <c r="AF164" s="32">
        <f t="shared" si="205"/>
        <v>0</v>
      </c>
      <c r="AG164" s="32">
        <f>IF(COUNTIFS(SL_Income_Log!$B:$B,TEXT(B164,"0000")&amp;"-"&amp;TEXT(A164,"00"),SL_Income_Log!$C:$C,"youtube")&gt;0,SUMIFS(SL_Income_Log!$D:$D,SL_Income_Log!$B:$B,TEXT(B164,"0000")&amp;"-"&amp;TEXT(A164,"00"),SL_Income_Log!$C:$C,"youtube"),MIN(Assumptions!$B$49+FLOOR((ROW()-2)/6,1)*Assumptions!$B$50,Assumptions!$B$51))
</f>
        <v>20000</v>
      </c>
      <c r="AH164" s="32">
        <f>AG164*Assumptions!$B$104</f>
        <v>8860</v>
      </c>
      <c r="AI164" s="32">
        <f t="shared" si="7"/>
        <v>11140</v>
      </c>
      <c r="AJ164" s="32">
        <f>SUMIFS(SL_Income_Log!$D:$D,SL_Income_Log!$B:$B,TEXT(B164,"0000")&amp;"-"&amp;TEXT(A164,"00"),SL_Income_Log!$C:$C,"other")</f>
        <v>0</v>
      </c>
      <c r="AK164" s="32">
        <f t="shared" si="27"/>
        <v>10000</v>
      </c>
      <c r="AL164" s="32">
        <f>L164+M164+T164+U164+AI164+AJ164-Y164-Z164-AB164-AC164+IF((Debt_Register!$C$2+Debt_Register!$C$6+Debt_Register!$C$7+Debt_Register!$C$8+Debt_Register!$C$9)&gt;5,X164,0)</f>
        <v>31152.0564</v>
      </c>
      <c r="AM164" s="32">
        <f t="shared" si="8"/>
        <v>41152.0564</v>
      </c>
      <c r="AN164" s="32">
        <f>MAX(Assumptions!$B$94,MIN(Assumptions!$B$93,AM164-AP164-BE164-BO164-BQ164))</f>
        <v>10000</v>
      </c>
      <c r="AO164" s="32">
        <v>0.0</v>
      </c>
      <c r="AP164" s="32">
        <v>0.0</v>
      </c>
      <c r="AQ164" s="32">
        <v>0.0</v>
      </c>
      <c r="AR164" s="32">
        <v>0.0</v>
      </c>
      <c r="AS164" s="32">
        <v>0.0</v>
      </c>
      <c r="AT164" s="32">
        <v>0.0</v>
      </c>
      <c r="AU164" s="32">
        <f t="shared" si="30"/>
        <v>0</v>
      </c>
      <c r="AV164" s="32">
        <f t="shared" si="31"/>
        <v>0</v>
      </c>
      <c r="AW164" s="32">
        <f t="shared" si="32"/>
        <v>0</v>
      </c>
      <c r="AX164" s="32">
        <f t="shared" si="33"/>
        <v>0</v>
      </c>
      <c r="AY164" s="32">
        <f t="shared" si="34"/>
        <v>0</v>
      </c>
      <c r="AZ164" s="32">
        <f t="shared" si="35"/>
        <v>0</v>
      </c>
      <c r="BA164" s="32">
        <f t="shared" si="36"/>
        <v>0</v>
      </c>
      <c r="BB164" s="32">
        <f t="shared" si="37"/>
        <v>0</v>
      </c>
      <c r="BC164" s="32">
        <f t="shared" si="38"/>
        <v>0</v>
      </c>
      <c r="BD164" s="32">
        <f t="shared" si="39"/>
        <v>0</v>
      </c>
      <c r="BE164" s="32">
        <f t="shared" si="11"/>
        <v>0</v>
      </c>
      <c r="BF164" s="32">
        <v>0.0</v>
      </c>
      <c r="BG164" s="32">
        <f t="shared" si="40"/>
        <v>5500</v>
      </c>
      <c r="BH164" s="32">
        <v>0.0</v>
      </c>
      <c r="BI164" s="32">
        <f t="shared" si="41"/>
        <v>5000</v>
      </c>
      <c r="BJ164" s="32">
        <f>IF(OR(B164&lt;Assumptions!$B$111,AND(B164=Assumptions!$B$111,A164&lt;=Assumptions!$B$112)),Assumptions!$B$110,0)</f>
        <v>0</v>
      </c>
      <c r="BK164" s="32">
        <f>IF(B164&lt;2027,Assumptions!$B$116+IF(OR(A164=4,A164=10),Assumptions!$B$117,0),IF(AND(B164=2027,A164&lt;=4),IF(A164=4,MIN(950,Assumptions!$B$116+Assumptions!$B$117),Assumptions!$B$116),0))</f>
        <v>0</v>
      </c>
      <c r="BL164" s="32">
        <f>IF(OR(B164&lt;2030,AND(B164=2030,A164&lt;8)),Assumptions!$B$118,IF(AND(B164=2030,A164=8),MOD(11000,200),0))</f>
        <v>0</v>
      </c>
      <c r="BM164" s="32">
        <f>IF(OR(B164&lt;Assumptions!$B$120,AND(B164=Assumptions!$B$120,A164&lt;=Assumptions!$B$121)),Assumptions!$B$119,0)</f>
        <v>0</v>
      </c>
      <c r="BN164" s="32">
        <f>IF(AND(B164&lt;=Assumptions!$B$123,A164&lt;=Assumptions!$B$124),Assumptions!$B$122,0)</f>
        <v>0</v>
      </c>
      <c r="BO164" s="32">
        <f t="shared" si="12"/>
        <v>0</v>
      </c>
      <c r="BP164" s="32">
        <f>SUMIFS(SL_Budget!$B:$B,SL_Budget!$C:$C,"'"&amp;TEXT(DATE(B164,A164,1),"YYYY-MM"))</f>
        <v>6033</v>
      </c>
      <c r="BQ164" s="32">
        <f>MAX(BP164, IFERROR(SUMIFS(ShadowLedger!D:D, 
  ShadowLedger!C:C, "&gt;="&amp;DATE(B164,A164,1), 
  ShadowLedger!C:C, "&lt;"&amp;EOMONTH(DATE(B164,A164,1),0)+1), 0))
</f>
        <v>6033</v>
      </c>
      <c r="BR164" s="32">
        <f t="shared" si="42"/>
        <v>3618726.362</v>
      </c>
      <c r="BS164" s="32">
        <f t="shared" si="43"/>
        <v>3341.2322</v>
      </c>
      <c r="BT164" s="32">
        <f>IF(BY163&gt;=Assumptions!$B$92,MAX(0,(AM164-BE164-BO164-BQ164)-Assumptions!$B$93),MAX(0,(AM164-BE164-BO164-BQ164)-Assumptions!$B$93)*Assumptions!$B$99)</f>
        <v>25119.0564</v>
      </c>
      <c r="BU164" s="32">
        <f>(BR164+BS164+MAX(0,BT164))*(Assumptions!$B$43-1)</f>
        <v>24866.51859</v>
      </c>
      <c r="BV164" s="32">
        <f t="shared" si="13"/>
        <v>3672053.169</v>
      </c>
      <c r="BW164" s="32">
        <f t="shared" si="44"/>
        <v>15476.04728</v>
      </c>
      <c r="BX164" s="32">
        <f>IF(BY163&lt;Assumptions!$B$92,MAX(0,(AM164-BE164-BO164-BQ164)-Assumptions!$B$93)*Assumptions!$B$98,0)</f>
        <v>0</v>
      </c>
      <c r="BY164" s="32">
        <f t="shared" si="14"/>
        <v>15476.04728</v>
      </c>
      <c r="BZ164" s="32">
        <f t="shared" si="45"/>
        <v>53160</v>
      </c>
      <c r="CA164" s="32">
        <f t="shared" si="15"/>
        <v>8860</v>
      </c>
      <c r="CB164" s="32">
        <f t="shared" si="16"/>
        <v>62020</v>
      </c>
      <c r="CC164" s="55">
        <f>CC163+(G164+J164)/(Salary_Schedule!E164*12/208)</f>
        <v>1870.681429</v>
      </c>
      <c r="CD164" s="55">
        <f>CD163+(O164+R164)/(Salary_Schedule!G164*12/208)</f>
        <v>207.3479048</v>
      </c>
      <c r="CE164" s="32">
        <f t="shared" si="17"/>
        <v>3672053.169</v>
      </c>
      <c r="CF164" s="32">
        <f>Assumptions!$B$55*(1+Assumptions!$B$56)^((B164-2025)+(A164-1)/12)</f>
        <v>645298.9467</v>
      </c>
      <c r="CG164" s="32">
        <f t="shared" si="18"/>
        <v>0</v>
      </c>
      <c r="CH164" s="32">
        <f t="shared" si="19"/>
        <v>-10500</v>
      </c>
      <c r="CI164" s="32">
        <f>CC164*(Salary_Schedule!E164/173.33)*(1-Assumptions!$B$28)+CD164*(Salary_Schedule!G164/173.33)*(1-Assumptions!$B$28)</f>
        <v>104978.8151</v>
      </c>
      <c r="CJ164" s="32">
        <f t="shared" si="20"/>
        <v>4411830.931</v>
      </c>
    </row>
    <row r="165" ht="15.0" customHeight="1">
      <c r="A165" s="1">
        <v>8.0</v>
      </c>
      <c r="B165" s="1">
        <v>2039.0</v>
      </c>
      <c r="C165" s="1" t="s">
        <v>834</v>
      </c>
      <c r="D165" s="1" t="str">
        <f t="shared" si="21"/>
        <v>07/2039</v>
      </c>
      <c r="E165" s="1" t="str">
        <f t="shared" si="2"/>
        <v>LEAN</v>
      </c>
      <c r="F165" s="32">
        <f>Salary_Schedule!E165</f>
        <v>13890.48</v>
      </c>
      <c r="G165" s="32">
        <f>Assumptions!$B$8</f>
        <v>200</v>
      </c>
      <c r="H165" s="32">
        <f>F165*Assumptions!$B$58</f>
        <v>1389.048</v>
      </c>
      <c r="I165" s="32">
        <f>Salary_Schedule!F165</f>
        <v>0</v>
      </c>
      <c r="J165" s="32">
        <f>I165*Assumptions!$B$9</f>
        <v>0</v>
      </c>
      <c r="K165" s="54">
        <f t="shared" si="3"/>
        <v>12301.432</v>
      </c>
      <c r="L165" s="32">
        <f>IF(COUNTIFS(SL_Income_Log!$B:$B,TEXT(B165,"0000")&amp;"-"&amp;TEXT(A165,"00"),SL_Income_Log!$C:$C,"salary",SL_Income_Log!$E:$E,"H")&gt;0,SUMIFS(SL_Income_Log!$D:$D,SL_Income_Log!$B:$B,TEXT(B165,"0000")&amp;"-"&amp;TEXT(A165,"00"),SL_Income_Log!$C:$C,"salary",SL_Income_Log!$E:$E,"H"),K165*(1-Assumptions!$B$102)-Z165-Y165)</f>
        <v>7380.8592</v>
      </c>
      <c r="M165" s="32">
        <f>RSU_Schedule!H164</f>
        <v>0</v>
      </c>
      <c r="N165" s="32">
        <f>Salary_Schedule!G165</f>
        <v>9689.75</v>
      </c>
      <c r="O165" s="32">
        <f>Assumptions!$B$19</f>
        <v>200</v>
      </c>
      <c r="P165" s="32">
        <f>N165*Assumptions!$B$59</f>
        <v>968.975</v>
      </c>
      <c r="Q165" s="32">
        <f>Salary_Schedule!H165</f>
        <v>0</v>
      </c>
      <c r="R165" s="32">
        <f>Q165*Assumptions!$B$20</f>
        <v>0</v>
      </c>
      <c r="S165" s="54">
        <f t="shared" si="4"/>
        <v>8520.775</v>
      </c>
      <c r="T165" s="32">
        <f>IF(COUNTIFS(SL_Income_Log!$B:$B,TEXT(B165,"0000")&amp;"-"&amp;TEXT(A165,"00"),SL_Income_Log!$C:$C,"salary",SL_Income_Log!$E:$E,"W")&gt;0,SUMIFS(SL_Income_Log!$D:$D,SL_Income_Log!$B:$B,TEXT(B165,"0000")&amp;"-"&amp;TEXT(A165,"00"),SL_Income_Log!$C:$C,"salary",SL_Income_Log!$E:$E,"W"),S165*(1-Assumptions!$B$102)-AC165-AB165)
</f>
        <v>5112.465</v>
      </c>
      <c r="U165" s="32">
        <f>RSU_Schedule!M164</f>
        <v>0</v>
      </c>
      <c r="V165" s="32">
        <f>H165*(1+Assumptions!$B$60)+Assumptions!$B$61</f>
        <v>1964.6672</v>
      </c>
      <c r="W165" s="32">
        <f>P165*(1+Assumptions!$B$60)+Assumptions!$B$61</f>
        <v>1376.565</v>
      </c>
      <c r="X165" s="32">
        <f t="shared" si="5"/>
        <v>3341.2322</v>
      </c>
      <c r="Y165" s="32">
        <v>0.0</v>
      </c>
      <c r="Z165" s="32">
        <v>0.0</v>
      </c>
      <c r="AA165" s="32">
        <v>0.0</v>
      </c>
      <c r="AB165" s="32">
        <v>0.0</v>
      </c>
      <c r="AC165" s="32">
        <v>0.0</v>
      </c>
      <c r="AD165" s="32">
        <v>0.0</v>
      </c>
      <c r="AE165" s="32">
        <f t="shared" ref="AE165:AF165" si="206">Z165+AC165</f>
        <v>0</v>
      </c>
      <c r="AF165" s="32">
        <f t="shared" si="206"/>
        <v>0</v>
      </c>
      <c r="AG165" s="32">
        <f>IF(COUNTIFS(SL_Income_Log!$B:$B,TEXT(B165,"0000")&amp;"-"&amp;TEXT(A165,"00"),SL_Income_Log!$C:$C,"youtube")&gt;0,SUMIFS(SL_Income_Log!$D:$D,SL_Income_Log!$B:$B,TEXT(B165,"0000")&amp;"-"&amp;TEXT(A165,"00"),SL_Income_Log!$C:$C,"youtube"),MIN(Assumptions!$B$49+FLOOR((ROW()-2)/6,1)*Assumptions!$B$50,Assumptions!$B$51))
</f>
        <v>20000</v>
      </c>
      <c r="AH165" s="32">
        <f>AG165*Assumptions!$B$104</f>
        <v>8860</v>
      </c>
      <c r="AI165" s="32">
        <f t="shared" si="7"/>
        <v>11140</v>
      </c>
      <c r="AJ165" s="32">
        <f>SUMIFS(SL_Income_Log!$D:$D,SL_Income_Log!$B:$B,TEXT(B165,"0000")&amp;"-"&amp;TEXT(A165,"00"),SL_Income_Log!$C:$C,"other")</f>
        <v>0</v>
      </c>
      <c r="AK165" s="32">
        <f t="shared" si="27"/>
        <v>10000</v>
      </c>
      <c r="AL165" s="32">
        <f>L165+M165+T165+U165+AI165+AJ165-Y165-Z165-AB165-AC165+IF((Debt_Register!$C$2+Debt_Register!$C$6+Debt_Register!$C$7+Debt_Register!$C$8+Debt_Register!$C$9)&gt;5,X165,0)</f>
        <v>26974.5564</v>
      </c>
      <c r="AM165" s="32">
        <f t="shared" si="8"/>
        <v>36974.5564</v>
      </c>
      <c r="AN165" s="32">
        <f>MAX(Assumptions!$B$94,MIN(Assumptions!$B$93,AM165-AP165-BE165-BO165-BQ165))</f>
        <v>10000</v>
      </c>
      <c r="AO165" s="32">
        <v>0.0</v>
      </c>
      <c r="AP165" s="32">
        <v>0.0</v>
      </c>
      <c r="AQ165" s="32">
        <v>0.0</v>
      </c>
      <c r="AR165" s="32">
        <v>0.0</v>
      </c>
      <c r="AS165" s="32">
        <v>0.0</v>
      </c>
      <c r="AT165" s="32">
        <v>0.0</v>
      </c>
      <c r="AU165" s="32">
        <f t="shared" si="30"/>
        <v>0</v>
      </c>
      <c r="AV165" s="32">
        <f t="shared" si="31"/>
        <v>0</v>
      </c>
      <c r="AW165" s="32">
        <f t="shared" si="32"/>
        <v>0</v>
      </c>
      <c r="AX165" s="32">
        <f t="shared" si="33"/>
        <v>0</v>
      </c>
      <c r="AY165" s="32">
        <f t="shared" si="34"/>
        <v>0</v>
      </c>
      <c r="AZ165" s="32">
        <f t="shared" si="35"/>
        <v>0</v>
      </c>
      <c r="BA165" s="32">
        <f t="shared" si="36"/>
        <v>0</v>
      </c>
      <c r="BB165" s="32">
        <f t="shared" si="37"/>
        <v>0</v>
      </c>
      <c r="BC165" s="32">
        <f t="shared" si="38"/>
        <v>0</v>
      </c>
      <c r="BD165" s="32">
        <f t="shared" si="39"/>
        <v>0</v>
      </c>
      <c r="BE165" s="32">
        <f t="shared" si="11"/>
        <v>0</v>
      </c>
      <c r="BF165" s="32">
        <v>0.0</v>
      </c>
      <c r="BG165" s="32">
        <f t="shared" si="40"/>
        <v>5500</v>
      </c>
      <c r="BH165" s="32">
        <v>0.0</v>
      </c>
      <c r="BI165" s="32">
        <f t="shared" si="41"/>
        <v>5000</v>
      </c>
      <c r="BJ165" s="32">
        <f>IF(OR(B165&lt;Assumptions!$B$111,AND(B165=Assumptions!$B$111,A165&lt;=Assumptions!$B$112)),Assumptions!$B$110,0)</f>
        <v>0</v>
      </c>
      <c r="BK165" s="32">
        <f>IF(B165&lt;2027,Assumptions!$B$116+IF(OR(A165=4,A165=10),Assumptions!$B$117,0),IF(AND(B165=2027,A165&lt;=4),IF(A165=4,MIN(950,Assumptions!$B$116+Assumptions!$B$117),Assumptions!$B$116),0))</f>
        <v>0</v>
      </c>
      <c r="BL165" s="32">
        <f>IF(OR(B165&lt;2030,AND(B165=2030,A165&lt;8)),Assumptions!$B$118,IF(AND(B165=2030,A165=8),MOD(11000,200),0))</f>
        <v>0</v>
      </c>
      <c r="BM165" s="32">
        <f>IF(OR(B165&lt;Assumptions!$B$120,AND(B165=Assumptions!$B$120,A165&lt;=Assumptions!$B$121)),Assumptions!$B$119,0)</f>
        <v>0</v>
      </c>
      <c r="BN165" s="32">
        <f>IF(AND(B165&lt;=Assumptions!$B$123,A165&lt;=Assumptions!$B$124),Assumptions!$B$122,0)</f>
        <v>0</v>
      </c>
      <c r="BO165" s="32">
        <f t="shared" si="12"/>
        <v>0</v>
      </c>
      <c r="BP165" s="32">
        <f>SUMIFS(SL_Budget!$B:$B,SL_Budget!$C:$C,"'"&amp;TEXT(DATE(B165,A165,1),"YYYY-MM"))</f>
        <v>6033</v>
      </c>
      <c r="BQ165" s="32">
        <f>MAX(BP165, IFERROR(SUMIFS(ShadowLedger!D:D, 
  ShadowLedger!C:C, "&gt;="&amp;DATE(B165,A165,1), 
  ShadowLedger!C:C, "&lt;"&amp;EOMONTH(DATE(B165,A165,1),0)+1), 0))
</f>
        <v>6033</v>
      </c>
      <c r="BR165" s="32">
        <f t="shared" si="42"/>
        <v>3672053.169</v>
      </c>
      <c r="BS165" s="32">
        <f t="shared" si="43"/>
        <v>3341.2322</v>
      </c>
      <c r="BT165" s="32">
        <f>IF(BY164&gt;=Assumptions!$B$92,MAX(0,(AM165-BE165-BO165-BQ165)-Assumptions!$B$93),MAX(0,(AM165-BE165-BO165-BQ165)-Assumptions!$B$93)*Assumptions!$B$99)</f>
        <v>20941.5564</v>
      </c>
      <c r="BU165" s="32">
        <f>(BR165+BS165+MAX(0,BT165))*(Assumptions!$B$43-1)</f>
        <v>25201.61856</v>
      </c>
      <c r="BV165" s="32">
        <f t="shared" si="13"/>
        <v>3721537.577</v>
      </c>
      <c r="BW165" s="32">
        <f t="shared" si="44"/>
        <v>15476.04728</v>
      </c>
      <c r="BX165" s="32">
        <f>IF(BY164&lt;Assumptions!$B$92,MAX(0,(AM165-BE165-BO165-BQ165)-Assumptions!$B$93)*Assumptions!$B$98,0)</f>
        <v>0</v>
      </c>
      <c r="BY165" s="32">
        <f t="shared" si="14"/>
        <v>15476.04728</v>
      </c>
      <c r="BZ165" s="32">
        <f t="shared" si="45"/>
        <v>62020</v>
      </c>
      <c r="CA165" s="32">
        <f t="shared" si="15"/>
        <v>8860</v>
      </c>
      <c r="CB165" s="32">
        <f t="shared" si="16"/>
        <v>70880</v>
      </c>
      <c r="CC165" s="55">
        <f>CC164+(G165+J165)/(Salary_Schedule!E165*12/208)</f>
        <v>1870.931</v>
      </c>
      <c r="CD165" s="55">
        <f>CD164+(O165+R165)/(Salary_Schedule!G165*12/208)</f>
        <v>207.7056712</v>
      </c>
      <c r="CE165" s="32">
        <f t="shared" si="17"/>
        <v>3721537.577</v>
      </c>
      <c r="CF165" s="32">
        <f>Assumptions!$B$55*(1+Assumptions!$B$56)^((B165-2025)+(A165-1)/12)</f>
        <v>646100.0775</v>
      </c>
      <c r="CG165" s="32">
        <f t="shared" si="18"/>
        <v>0</v>
      </c>
      <c r="CH165" s="32">
        <f t="shared" si="19"/>
        <v>-10500</v>
      </c>
      <c r="CI165" s="32">
        <f>CC165*(Salary_Schedule!E165/173.33)*(1-Assumptions!$B$28)+CD165*(Salary_Schedule!G165/173.33)*(1-Assumptions!$B$28)</f>
        <v>105004.8156</v>
      </c>
      <c r="CJ165" s="32">
        <f t="shared" si="20"/>
        <v>4462142.47</v>
      </c>
    </row>
    <row r="166" ht="15.0" customHeight="1">
      <c r="A166" s="1">
        <v>9.0</v>
      </c>
      <c r="B166" s="1">
        <v>2039.0</v>
      </c>
      <c r="C166" s="1" t="s">
        <v>835</v>
      </c>
      <c r="D166" s="1" t="str">
        <f t="shared" si="21"/>
        <v>08/2039</v>
      </c>
      <c r="E166" s="1" t="str">
        <f t="shared" si="2"/>
        <v>LEAN</v>
      </c>
      <c r="F166" s="32">
        <f>Salary_Schedule!E166</f>
        <v>13890.48</v>
      </c>
      <c r="G166" s="32">
        <f>Assumptions!$B$8</f>
        <v>200</v>
      </c>
      <c r="H166" s="32">
        <f>F166*Assumptions!$B$58</f>
        <v>1389.048</v>
      </c>
      <c r="I166" s="32">
        <f>Salary_Schedule!F166</f>
        <v>0</v>
      </c>
      <c r="J166" s="32">
        <f>I166*Assumptions!$B$9</f>
        <v>0</v>
      </c>
      <c r="K166" s="54">
        <f t="shared" si="3"/>
        <v>12301.432</v>
      </c>
      <c r="L166" s="32">
        <f>IF(COUNTIFS(SL_Income_Log!$B:$B,TEXT(B166,"0000")&amp;"-"&amp;TEXT(A166,"00"),SL_Income_Log!$C:$C,"salary",SL_Income_Log!$E:$E,"H")&gt;0,SUMIFS(SL_Income_Log!$D:$D,SL_Income_Log!$B:$B,TEXT(B166,"0000")&amp;"-"&amp;TEXT(A166,"00"),SL_Income_Log!$C:$C,"salary",SL_Income_Log!$E:$E,"H"),K166*(1-Assumptions!$B$102)-Z166-Y166)</f>
        <v>7380.8592</v>
      </c>
      <c r="M166" s="32">
        <f>RSU_Schedule!H165</f>
        <v>0</v>
      </c>
      <c r="N166" s="32">
        <f>Salary_Schedule!G166</f>
        <v>9689.75</v>
      </c>
      <c r="O166" s="32">
        <f>Assumptions!$B$19</f>
        <v>200</v>
      </c>
      <c r="P166" s="32">
        <f>N166*Assumptions!$B$59</f>
        <v>968.975</v>
      </c>
      <c r="Q166" s="32">
        <f>Salary_Schedule!H166</f>
        <v>0</v>
      </c>
      <c r="R166" s="32">
        <f>Q166*Assumptions!$B$20</f>
        <v>0</v>
      </c>
      <c r="S166" s="54">
        <f t="shared" si="4"/>
        <v>8520.775</v>
      </c>
      <c r="T166" s="32">
        <f>IF(COUNTIFS(SL_Income_Log!$B:$B,TEXT(B166,"0000")&amp;"-"&amp;TEXT(A166,"00"),SL_Income_Log!$C:$C,"salary",SL_Income_Log!$E:$E,"W")&gt;0,SUMIFS(SL_Income_Log!$D:$D,SL_Income_Log!$B:$B,TEXT(B166,"0000")&amp;"-"&amp;TEXT(A166,"00"),SL_Income_Log!$C:$C,"salary",SL_Income_Log!$E:$E,"W"),S166*(1-Assumptions!$B$102)-AC166-AB166)
</f>
        <v>5112.465</v>
      </c>
      <c r="U166" s="32">
        <f>RSU_Schedule!M165</f>
        <v>0</v>
      </c>
      <c r="V166" s="32">
        <f>H166*(1+Assumptions!$B$60)+Assumptions!$B$61</f>
        <v>1964.6672</v>
      </c>
      <c r="W166" s="32">
        <f>P166*(1+Assumptions!$B$60)+Assumptions!$B$61</f>
        <v>1376.565</v>
      </c>
      <c r="X166" s="32">
        <f t="shared" si="5"/>
        <v>3341.2322</v>
      </c>
      <c r="Y166" s="32">
        <v>0.0</v>
      </c>
      <c r="Z166" s="32">
        <v>0.0</v>
      </c>
      <c r="AA166" s="32">
        <v>0.0</v>
      </c>
      <c r="AB166" s="32">
        <v>0.0</v>
      </c>
      <c r="AC166" s="32">
        <v>0.0</v>
      </c>
      <c r="AD166" s="32">
        <v>0.0</v>
      </c>
      <c r="AE166" s="32">
        <f t="shared" ref="AE166:AF166" si="207">Z166+AC166</f>
        <v>0</v>
      </c>
      <c r="AF166" s="32">
        <f t="shared" si="207"/>
        <v>0</v>
      </c>
      <c r="AG166" s="32">
        <f>IF(COUNTIFS(SL_Income_Log!$B:$B,TEXT(B166,"0000")&amp;"-"&amp;TEXT(A166,"00"),SL_Income_Log!$C:$C,"youtube")&gt;0,SUMIFS(SL_Income_Log!$D:$D,SL_Income_Log!$B:$B,TEXT(B166,"0000")&amp;"-"&amp;TEXT(A166,"00"),SL_Income_Log!$C:$C,"youtube"),MIN(Assumptions!$B$49+FLOOR((ROW()-2)/6,1)*Assumptions!$B$50,Assumptions!$B$51))
</f>
        <v>20000</v>
      </c>
      <c r="AH166" s="32">
        <f>AG166*Assumptions!$B$104</f>
        <v>8860</v>
      </c>
      <c r="AI166" s="32">
        <f t="shared" si="7"/>
        <v>11140</v>
      </c>
      <c r="AJ166" s="32">
        <f>SUMIFS(SL_Income_Log!$D:$D,SL_Income_Log!$B:$B,TEXT(B166,"0000")&amp;"-"&amp;TEXT(A166,"00"),SL_Income_Log!$C:$C,"other")</f>
        <v>0</v>
      </c>
      <c r="AK166" s="32">
        <f t="shared" si="27"/>
        <v>10000</v>
      </c>
      <c r="AL166" s="32">
        <f>L166+M166+T166+U166+AI166+AJ166-Y166-Z166-AB166-AC166+IF((Debt_Register!$C$2+Debt_Register!$C$6+Debt_Register!$C$7+Debt_Register!$C$8+Debt_Register!$C$9)&gt;5,X166,0)</f>
        <v>26974.5564</v>
      </c>
      <c r="AM166" s="32">
        <f t="shared" si="8"/>
        <v>36974.5564</v>
      </c>
      <c r="AN166" s="32">
        <f>MAX(Assumptions!$B$94,MIN(Assumptions!$B$93,AM166-AP166-BE166-BO166-BQ166))</f>
        <v>10000</v>
      </c>
      <c r="AO166" s="32">
        <v>0.0</v>
      </c>
      <c r="AP166" s="32">
        <v>0.0</v>
      </c>
      <c r="AQ166" s="32">
        <v>0.0</v>
      </c>
      <c r="AR166" s="32">
        <v>0.0</v>
      </c>
      <c r="AS166" s="32">
        <v>0.0</v>
      </c>
      <c r="AT166" s="32">
        <v>0.0</v>
      </c>
      <c r="AU166" s="32">
        <f t="shared" si="30"/>
        <v>0</v>
      </c>
      <c r="AV166" s="32">
        <f t="shared" si="31"/>
        <v>0</v>
      </c>
      <c r="AW166" s="32">
        <f t="shared" si="32"/>
        <v>0</v>
      </c>
      <c r="AX166" s="32">
        <f t="shared" si="33"/>
        <v>0</v>
      </c>
      <c r="AY166" s="32">
        <f t="shared" si="34"/>
        <v>0</v>
      </c>
      <c r="AZ166" s="32">
        <f t="shared" si="35"/>
        <v>0</v>
      </c>
      <c r="BA166" s="32">
        <f t="shared" si="36"/>
        <v>0</v>
      </c>
      <c r="BB166" s="32">
        <f t="shared" si="37"/>
        <v>0</v>
      </c>
      <c r="BC166" s="32">
        <f t="shared" si="38"/>
        <v>0</v>
      </c>
      <c r="BD166" s="32">
        <f t="shared" si="39"/>
        <v>0</v>
      </c>
      <c r="BE166" s="32">
        <f t="shared" si="11"/>
        <v>0</v>
      </c>
      <c r="BF166" s="32">
        <v>0.0</v>
      </c>
      <c r="BG166" s="32">
        <f t="shared" si="40"/>
        <v>5500</v>
      </c>
      <c r="BH166" s="32">
        <v>0.0</v>
      </c>
      <c r="BI166" s="32">
        <f t="shared" si="41"/>
        <v>5000</v>
      </c>
      <c r="BJ166" s="32">
        <f>IF(OR(B166&lt;Assumptions!$B$111,AND(B166=Assumptions!$B$111,A166&lt;=Assumptions!$B$112)),Assumptions!$B$110,0)</f>
        <v>0</v>
      </c>
      <c r="BK166" s="32">
        <f>IF(B166&lt;2027,Assumptions!$B$116+IF(OR(A166=4,A166=10),Assumptions!$B$117,0),IF(AND(B166=2027,A166&lt;=4),IF(A166=4,MIN(950,Assumptions!$B$116+Assumptions!$B$117),Assumptions!$B$116),0))</f>
        <v>0</v>
      </c>
      <c r="BL166" s="32">
        <f>IF(OR(B166&lt;2030,AND(B166=2030,A166&lt;8)),Assumptions!$B$118,IF(AND(B166=2030,A166=8),MOD(11000,200),0))</f>
        <v>0</v>
      </c>
      <c r="BM166" s="32">
        <f>IF(OR(B166&lt;Assumptions!$B$120,AND(B166=Assumptions!$B$120,A166&lt;=Assumptions!$B$121)),Assumptions!$B$119,0)</f>
        <v>0</v>
      </c>
      <c r="BN166" s="32">
        <f>IF(AND(B166&lt;=Assumptions!$B$123,A166&lt;=Assumptions!$B$124),Assumptions!$B$122,0)</f>
        <v>0</v>
      </c>
      <c r="BO166" s="32">
        <f t="shared" si="12"/>
        <v>0</v>
      </c>
      <c r="BP166" s="32">
        <f>SUMIFS(SL_Budget!$B:$B,SL_Budget!$C:$C,"'"&amp;TEXT(DATE(B166,A166,1),"YYYY-MM"))</f>
        <v>6033</v>
      </c>
      <c r="BQ166" s="32">
        <f>MAX(BP166, IFERROR(SUMIFS(ShadowLedger!D:D, 
  ShadowLedger!C:C, "&gt;="&amp;DATE(B166,A166,1), 
  ShadowLedger!C:C, "&lt;"&amp;EOMONTH(DATE(B166,A166,1),0)+1), 0))
</f>
        <v>6033</v>
      </c>
      <c r="BR166" s="32">
        <f t="shared" si="42"/>
        <v>3721537.577</v>
      </c>
      <c r="BS166" s="32">
        <f t="shared" si="43"/>
        <v>3341.2322</v>
      </c>
      <c r="BT166" s="32">
        <f>IF(BY165&gt;=Assumptions!$B$92,MAX(0,(AM166-BE166-BO166-BQ166)-Assumptions!$B$93),MAX(0,(AM166-BE166-BO166-BQ166)-Assumptions!$B$93)*Assumptions!$B$99)</f>
        <v>20941.5564</v>
      </c>
      <c r="BU166" s="32">
        <f>(BR166+BS166+MAX(0,BT166))*(Assumptions!$B$43-1)</f>
        <v>25539.00325</v>
      </c>
      <c r="BV166" s="32">
        <f t="shared" si="13"/>
        <v>3771359.368</v>
      </c>
      <c r="BW166" s="32">
        <f t="shared" si="44"/>
        <v>15476.04728</v>
      </c>
      <c r="BX166" s="32">
        <f>IF(BY165&lt;Assumptions!$B$92,MAX(0,(AM166-BE166-BO166-BQ166)-Assumptions!$B$93)*Assumptions!$B$98,0)</f>
        <v>0</v>
      </c>
      <c r="BY166" s="32">
        <f t="shared" si="14"/>
        <v>15476.04728</v>
      </c>
      <c r="BZ166" s="32">
        <f t="shared" si="45"/>
        <v>70880</v>
      </c>
      <c r="CA166" s="32">
        <f t="shared" si="15"/>
        <v>8860</v>
      </c>
      <c r="CB166" s="32">
        <f t="shared" si="16"/>
        <v>79740</v>
      </c>
      <c r="CC166" s="55">
        <f>CC165+(G166+J166)/(Salary_Schedule!E166*12/208)</f>
        <v>1871.180571</v>
      </c>
      <c r="CD166" s="55">
        <f>CD165+(O166+R166)/(Salary_Schedule!G166*12/208)</f>
        <v>208.0634376</v>
      </c>
      <c r="CE166" s="32">
        <f t="shared" si="17"/>
        <v>3771359.368</v>
      </c>
      <c r="CF166" s="32">
        <f>Assumptions!$B$55*(1+Assumptions!$B$56)^((B166-2025)+(A166-1)/12)</f>
        <v>646902.2028</v>
      </c>
      <c r="CG166" s="32">
        <f t="shared" si="18"/>
        <v>0</v>
      </c>
      <c r="CH166" s="32">
        <f t="shared" si="19"/>
        <v>-10500</v>
      </c>
      <c r="CI166" s="32">
        <f>CC166*(Salary_Schedule!E166/173.33)*(1-Assumptions!$B$28)+CD166*(Salary_Schedule!G166/173.33)*(1-Assumptions!$B$28)</f>
        <v>105030.8161</v>
      </c>
      <c r="CJ166" s="32">
        <f t="shared" si="20"/>
        <v>4512792.387</v>
      </c>
    </row>
    <row r="167" ht="15.0" customHeight="1">
      <c r="A167" s="1">
        <v>10.0</v>
      </c>
      <c r="B167" s="1">
        <v>2039.0</v>
      </c>
      <c r="C167" s="1" t="s">
        <v>836</v>
      </c>
      <c r="D167" s="1" t="str">
        <f t="shared" si="21"/>
        <v>09/2039</v>
      </c>
      <c r="E167" s="1" t="str">
        <f t="shared" si="2"/>
        <v>FAT_RSU</v>
      </c>
      <c r="F167" s="32">
        <f>Salary_Schedule!E167</f>
        <v>13890.48</v>
      </c>
      <c r="G167" s="32">
        <f>Assumptions!$B$8</f>
        <v>200</v>
      </c>
      <c r="H167" s="32">
        <f>F167*Assumptions!$B$58</f>
        <v>1389.048</v>
      </c>
      <c r="I167" s="32">
        <f>Salary_Schedule!F167</f>
        <v>0</v>
      </c>
      <c r="J167" s="32">
        <f>I167*Assumptions!$B$9</f>
        <v>0</v>
      </c>
      <c r="K167" s="54">
        <f t="shared" si="3"/>
        <v>12301.432</v>
      </c>
      <c r="L167" s="32">
        <f>IF(COUNTIFS(SL_Income_Log!$B:$B,TEXT(B167,"0000")&amp;"-"&amp;TEXT(A167,"00"),SL_Income_Log!$C:$C,"salary",SL_Income_Log!$E:$E,"H")&gt;0,SUMIFS(SL_Income_Log!$D:$D,SL_Income_Log!$B:$B,TEXT(B167,"0000")&amp;"-"&amp;TEXT(A167,"00"),SL_Income_Log!$C:$C,"salary",SL_Income_Log!$E:$E,"H"),K167*(1-Assumptions!$B$102)-Z167-Y167)</f>
        <v>7380.8592</v>
      </c>
      <c r="M167" s="32">
        <f>RSU_Schedule!H166</f>
        <v>2784.99</v>
      </c>
      <c r="N167" s="32">
        <f>Salary_Schedule!G167</f>
        <v>9689.75</v>
      </c>
      <c r="O167" s="32">
        <f>Assumptions!$B$19</f>
        <v>200</v>
      </c>
      <c r="P167" s="32">
        <f>N167*Assumptions!$B$59</f>
        <v>968.975</v>
      </c>
      <c r="Q167" s="32">
        <f>Salary_Schedule!H167</f>
        <v>0</v>
      </c>
      <c r="R167" s="32">
        <f>Q167*Assumptions!$B$20</f>
        <v>0</v>
      </c>
      <c r="S167" s="54">
        <f t="shared" si="4"/>
        <v>8520.775</v>
      </c>
      <c r="T167" s="32">
        <f>IF(COUNTIFS(SL_Income_Log!$B:$B,TEXT(B167,"0000")&amp;"-"&amp;TEXT(A167,"00"),SL_Income_Log!$C:$C,"salary",SL_Income_Log!$E:$E,"W")&gt;0,SUMIFS(SL_Income_Log!$D:$D,SL_Income_Log!$B:$B,TEXT(B167,"0000")&amp;"-"&amp;TEXT(A167,"00"),SL_Income_Log!$C:$C,"salary",SL_Income_Log!$E:$E,"W"),S167*(1-Assumptions!$B$102)-AC167-AB167)
</f>
        <v>5112.465</v>
      </c>
      <c r="U167" s="32">
        <f>RSU_Schedule!M166</f>
        <v>1392.51</v>
      </c>
      <c r="V167" s="32">
        <f>H167*(1+Assumptions!$B$60)+Assumptions!$B$61</f>
        <v>1964.6672</v>
      </c>
      <c r="W167" s="32">
        <f>P167*(1+Assumptions!$B$60)+Assumptions!$B$61</f>
        <v>1376.565</v>
      </c>
      <c r="X167" s="32">
        <f t="shared" si="5"/>
        <v>3341.2322</v>
      </c>
      <c r="Y167" s="32">
        <v>0.0</v>
      </c>
      <c r="Z167" s="32">
        <v>0.0</v>
      </c>
      <c r="AA167" s="32">
        <v>0.0</v>
      </c>
      <c r="AB167" s="32">
        <v>0.0</v>
      </c>
      <c r="AC167" s="32">
        <v>0.0</v>
      </c>
      <c r="AD167" s="32">
        <v>0.0</v>
      </c>
      <c r="AE167" s="32">
        <f t="shared" ref="AE167:AF167" si="208">Z167+AC167</f>
        <v>0</v>
      </c>
      <c r="AF167" s="32">
        <f t="shared" si="208"/>
        <v>0</v>
      </c>
      <c r="AG167" s="32">
        <f>IF(COUNTIFS(SL_Income_Log!$B:$B,TEXT(B167,"0000")&amp;"-"&amp;TEXT(A167,"00"),SL_Income_Log!$C:$C,"youtube")&gt;0,SUMIFS(SL_Income_Log!$D:$D,SL_Income_Log!$B:$B,TEXT(B167,"0000")&amp;"-"&amp;TEXT(A167,"00"),SL_Income_Log!$C:$C,"youtube"),MIN(Assumptions!$B$49+FLOOR((ROW()-2)/6,1)*Assumptions!$B$50,Assumptions!$B$51))
</f>
        <v>20000</v>
      </c>
      <c r="AH167" s="32">
        <f>AG167*Assumptions!$B$104</f>
        <v>8860</v>
      </c>
      <c r="AI167" s="32">
        <f t="shared" si="7"/>
        <v>11140</v>
      </c>
      <c r="AJ167" s="32">
        <f>SUMIFS(SL_Income_Log!$D:$D,SL_Income_Log!$B:$B,TEXT(B167,"0000")&amp;"-"&amp;TEXT(A167,"00"),SL_Income_Log!$C:$C,"other")</f>
        <v>0</v>
      </c>
      <c r="AK167" s="32">
        <f t="shared" si="27"/>
        <v>10000</v>
      </c>
      <c r="AL167" s="32">
        <f>L167+M167+T167+U167+AI167+AJ167-Y167-Z167-AB167-AC167+IF((Debt_Register!$C$2+Debt_Register!$C$6+Debt_Register!$C$7+Debt_Register!$C$8+Debt_Register!$C$9)&gt;5,X167,0)</f>
        <v>31152.0564</v>
      </c>
      <c r="AM167" s="32">
        <f t="shared" si="8"/>
        <v>41152.0564</v>
      </c>
      <c r="AN167" s="32">
        <f>MAX(Assumptions!$B$94,MIN(Assumptions!$B$93,AM167-AP167-BE167-BO167-BQ167))</f>
        <v>10000</v>
      </c>
      <c r="AO167" s="32">
        <v>0.0</v>
      </c>
      <c r="AP167" s="32">
        <v>0.0</v>
      </c>
      <c r="AQ167" s="32">
        <v>0.0</v>
      </c>
      <c r="AR167" s="32">
        <v>0.0</v>
      </c>
      <c r="AS167" s="32">
        <v>0.0</v>
      </c>
      <c r="AT167" s="32">
        <v>0.0</v>
      </c>
      <c r="AU167" s="32">
        <f t="shared" si="30"/>
        <v>0</v>
      </c>
      <c r="AV167" s="32">
        <f t="shared" si="31"/>
        <v>0</v>
      </c>
      <c r="AW167" s="32">
        <f t="shared" si="32"/>
        <v>0</v>
      </c>
      <c r="AX167" s="32">
        <f t="shared" si="33"/>
        <v>0</v>
      </c>
      <c r="AY167" s="32">
        <f t="shared" si="34"/>
        <v>0</v>
      </c>
      <c r="AZ167" s="32">
        <f t="shared" si="35"/>
        <v>0</v>
      </c>
      <c r="BA167" s="32">
        <f t="shared" si="36"/>
        <v>0</v>
      </c>
      <c r="BB167" s="32">
        <f t="shared" si="37"/>
        <v>0</v>
      </c>
      <c r="BC167" s="32">
        <f t="shared" si="38"/>
        <v>0</v>
      </c>
      <c r="BD167" s="32">
        <f t="shared" si="39"/>
        <v>0</v>
      </c>
      <c r="BE167" s="32">
        <f t="shared" si="11"/>
        <v>0</v>
      </c>
      <c r="BF167" s="32">
        <v>0.0</v>
      </c>
      <c r="BG167" s="32">
        <f t="shared" si="40"/>
        <v>5500</v>
      </c>
      <c r="BH167" s="32">
        <v>0.0</v>
      </c>
      <c r="BI167" s="32">
        <f t="shared" si="41"/>
        <v>5000</v>
      </c>
      <c r="BJ167" s="32">
        <f>IF(OR(B167&lt;Assumptions!$B$111,AND(B167=Assumptions!$B$111,A167&lt;=Assumptions!$B$112)),Assumptions!$B$110,0)</f>
        <v>0</v>
      </c>
      <c r="BK167" s="32">
        <f>IF(B167&lt;2027,Assumptions!$B$116+IF(OR(A167=4,A167=10),Assumptions!$B$117,0),IF(AND(B167=2027,A167&lt;=4),IF(A167=4,MIN(950,Assumptions!$B$116+Assumptions!$B$117),Assumptions!$B$116),0))</f>
        <v>0</v>
      </c>
      <c r="BL167" s="32">
        <f>IF(OR(B167&lt;2030,AND(B167=2030,A167&lt;8)),Assumptions!$B$118,IF(AND(B167=2030,A167=8),MOD(11000,200),0))</f>
        <v>0</v>
      </c>
      <c r="BM167" s="32">
        <f>IF(OR(B167&lt;Assumptions!$B$120,AND(B167=Assumptions!$B$120,A167&lt;=Assumptions!$B$121)),Assumptions!$B$119,0)</f>
        <v>0</v>
      </c>
      <c r="BN167" s="32">
        <f>IF(AND(B167&lt;=Assumptions!$B$123,A167&lt;=Assumptions!$B$124),Assumptions!$B$122,0)</f>
        <v>0</v>
      </c>
      <c r="BO167" s="32">
        <f t="shared" si="12"/>
        <v>0</v>
      </c>
      <c r="BP167" s="32">
        <f>SUMIFS(SL_Budget!$B:$B,SL_Budget!$C:$C,"'"&amp;TEXT(DATE(B167,A167,1),"YYYY-MM"))</f>
        <v>6033</v>
      </c>
      <c r="BQ167" s="32">
        <f>MAX(BP167, IFERROR(SUMIFS(ShadowLedger!D:D, 
  ShadowLedger!C:C, "&gt;="&amp;DATE(B167,A167,1), 
  ShadowLedger!C:C, "&lt;"&amp;EOMONTH(DATE(B167,A167,1),0)+1), 0))
</f>
        <v>6033</v>
      </c>
      <c r="BR167" s="32">
        <f t="shared" si="42"/>
        <v>3771359.368</v>
      </c>
      <c r="BS167" s="32">
        <f t="shared" si="43"/>
        <v>3341.2322</v>
      </c>
      <c r="BT167" s="32">
        <f>IF(BY166&gt;=Assumptions!$B$92,MAX(0,(AM167-BE167-BO167-BQ167)-Assumptions!$B$93),MAX(0,(AM167-BE167-BO167-BQ167)-Assumptions!$B$93)*Assumptions!$B$99)</f>
        <v>25119.0564</v>
      </c>
      <c r="BU167" s="32">
        <f>(BR167+BS167+MAX(0,BT167))*(Assumptions!$B$43-1)</f>
        <v>25907.17042</v>
      </c>
      <c r="BV167" s="32">
        <f t="shared" si="13"/>
        <v>3825726.827</v>
      </c>
      <c r="BW167" s="32">
        <f t="shared" si="44"/>
        <v>15476.04728</v>
      </c>
      <c r="BX167" s="32">
        <f>IF(BY166&lt;Assumptions!$B$92,MAX(0,(AM167-BE167-BO167-BQ167)-Assumptions!$B$93)*Assumptions!$B$98,0)</f>
        <v>0</v>
      </c>
      <c r="BY167" s="32">
        <f t="shared" si="14"/>
        <v>15476.04728</v>
      </c>
      <c r="BZ167" s="32">
        <f t="shared" si="45"/>
        <v>79740</v>
      </c>
      <c r="CA167" s="32">
        <f t="shared" si="15"/>
        <v>8860</v>
      </c>
      <c r="CB167" s="32">
        <f t="shared" si="16"/>
        <v>88600</v>
      </c>
      <c r="CC167" s="55">
        <f>CC166+(G167+J167)/(Salary_Schedule!E167*12/208)</f>
        <v>1871.430143</v>
      </c>
      <c r="CD167" s="55">
        <f>CD166+(O167+R167)/(Salary_Schedule!G167*12/208)</f>
        <v>208.4212039</v>
      </c>
      <c r="CE167" s="32">
        <f t="shared" si="17"/>
        <v>3825726.827</v>
      </c>
      <c r="CF167" s="32">
        <f>Assumptions!$B$55*(1+Assumptions!$B$56)^((B167-2025)+(A167-1)/12)</f>
        <v>647705.3239</v>
      </c>
      <c r="CG167" s="32">
        <f t="shared" si="18"/>
        <v>0</v>
      </c>
      <c r="CH167" s="32">
        <f t="shared" si="19"/>
        <v>-10500</v>
      </c>
      <c r="CI167" s="32">
        <f>CC167*(Salary_Schedule!E167/173.33)*(1-Assumptions!$B$28)+CD167*(Salary_Schedule!G167/173.33)*(1-Assumptions!$B$28)</f>
        <v>105056.8166</v>
      </c>
      <c r="CJ167" s="32">
        <f t="shared" si="20"/>
        <v>4567988.968</v>
      </c>
    </row>
    <row r="168" ht="15.0" customHeight="1">
      <c r="A168" s="1">
        <v>11.0</v>
      </c>
      <c r="B168" s="1">
        <v>2039.0</v>
      </c>
      <c r="C168" s="1" t="s">
        <v>837</v>
      </c>
      <c r="D168" s="1" t="str">
        <f t="shared" si="21"/>
        <v>10/2039</v>
      </c>
      <c r="E168" s="1" t="str">
        <f t="shared" si="2"/>
        <v>LEAN</v>
      </c>
      <c r="F168" s="32">
        <f>Salary_Schedule!E168</f>
        <v>13890.48</v>
      </c>
      <c r="G168" s="32">
        <f>Assumptions!$B$8</f>
        <v>200</v>
      </c>
      <c r="H168" s="32">
        <f>F168*Assumptions!$B$58</f>
        <v>1389.048</v>
      </c>
      <c r="I168" s="32">
        <f>Salary_Schedule!F168</f>
        <v>0</v>
      </c>
      <c r="J168" s="32">
        <f>I168*Assumptions!$B$9</f>
        <v>0</v>
      </c>
      <c r="K168" s="54">
        <f t="shared" si="3"/>
        <v>12301.432</v>
      </c>
      <c r="L168" s="32">
        <f>IF(COUNTIFS(SL_Income_Log!$B:$B,TEXT(B168,"0000")&amp;"-"&amp;TEXT(A168,"00"),SL_Income_Log!$C:$C,"salary",SL_Income_Log!$E:$E,"H")&gt;0,SUMIFS(SL_Income_Log!$D:$D,SL_Income_Log!$B:$B,TEXT(B168,"0000")&amp;"-"&amp;TEXT(A168,"00"),SL_Income_Log!$C:$C,"salary",SL_Income_Log!$E:$E,"H"),K168*(1-Assumptions!$B$102)-Z168-Y168)</f>
        <v>7380.8592</v>
      </c>
      <c r="M168" s="32">
        <f>RSU_Schedule!H167</f>
        <v>0</v>
      </c>
      <c r="N168" s="32">
        <f>Salary_Schedule!G168</f>
        <v>9689.75</v>
      </c>
      <c r="O168" s="32">
        <f>Assumptions!$B$19</f>
        <v>200</v>
      </c>
      <c r="P168" s="32">
        <f>N168*Assumptions!$B$59</f>
        <v>968.975</v>
      </c>
      <c r="Q168" s="32">
        <f>Salary_Schedule!H168</f>
        <v>0</v>
      </c>
      <c r="R168" s="32">
        <f>Q168*Assumptions!$B$20</f>
        <v>0</v>
      </c>
      <c r="S168" s="54">
        <f t="shared" si="4"/>
        <v>8520.775</v>
      </c>
      <c r="T168" s="32">
        <f>IF(COUNTIFS(SL_Income_Log!$B:$B,TEXT(B168,"0000")&amp;"-"&amp;TEXT(A168,"00"),SL_Income_Log!$C:$C,"salary",SL_Income_Log!$E:$E,"W")&gt;0,SUMIFS(SL_Income_Log!$D:$D,SL_Income_Log!$B:$B,TEXT(B168,"0000")&amp;"-"&amp;TEXT(A168,"00"),SL_Income_Log!$C:$C,"salary",SL_Income_Log!$E:$E,"W"),S168*(1-Assumptions!$B$102)-AC168-AB168)
</f>
        <v>5112.465</v>
      </c>
      <c r="U168" s="32">
        <f>RSU_Schedule!M167</f>
        <v>0</v>
      </c>
      <c r="V168" s="32">
        <f>H168*(1+Assumptions!$B$60)+Assumptions!$B$61</f>
        <v>1964.6672</v>
      </c>
      <c r="W168" s="32">
        <f>P168*(1+Assumptions!$B$60)+Assumptions!$B$61</f>
        <v>1376.565</v>
      </c>
      <c r="X168" s="32">
        <f t="shared" si="5"/>
        <v>3341.2322</v>
      </c>
      <c r="Y168" s="32">
        <v>0.0</v>
      </c>
      <c r="Z168" s="32">
        <v>0.0</v>
      </c>
      <c r="AA168" s="32">
        <v>0.0</v>
      </c>
      <c r="AB168" s="32">
        <v>0.0</v>
      </c>
      <c r="AC168" s="32">
        <v>0.0</v>
      </c>
      <c r="AD168" s="32">
        <v>0.0</v>
      </c>
      <c r="AE168" s="32">
        <f t="shared" ref="AE168:AF168" si="209">Z168+AC168</f>
        <v>0</v>
      </c>
      <c r="AF168" s="32">
        <f t="shared" si="209"/>
        <v>0</v>
      </c>
      <c r="AG168" s="32">
        <f>IF(COUNTIFS(SL_Income_Log!$B:$B,TEXT(B168,"0000")&amp;"-"&amp;TEXT(A168,"00"),SL_Income_Log!$C:$C,"youtube")&gt;0,SUMIFS(SL_Income_Log!$D:$D,SL_Income_Log!$B:$B,TEXT(B168,"0000")&amp;"-"&amp;TEXT(A168,"00"),SL_Income_Log!$C:$C,"youtube"),MIN(Assumptions!$B$49+FLOOR((ROW()-2)/6,1)*Assumptions!$B$50,Assumptions!$B$51))
</f>
        <v>20000</v>
      </c>
      <c r="AH168" s="32">
        <f>AG168*Assumptions!$B$104</f>
        <v>8860</v>
      </c>
      <c r="AI168" s="32">
        <f t="shared" si="7"/>
        <v>11140</v>
      </c>
      <c r="AJ168" s="32">
        <f>SUMIFS(SL_Income_Log!$D:$D,SL_Income_Log!$B:$B,TEXT(B168,"0000")&amp;"-"&amp;TEXT(A168,"00"),SL_Income_Log!$C:$C,"other")</f>
        <v>0</v>
      </c>
      <c r="AK168" s="32">
        <f t="shared" si="27"/>
        <v>10000</v>
      </c>
      <c r="AL168" s="32">
        <f>L168+M168+T168+U168+AI168+AJ168-Y168-Z168-AB168-AC168+IF((Debt_Register!$C$2+Debt_Register!$C$6+Debt_Register!$C$7+Debt_Register!$C$8+Debt_Register!$C$9)&gt;5,X168,0)</f>
        <v>26974.5564</v>
      </c>
      <c r="AM168" s="32">
        <f t="shared" si="8"/>
        <v>36974.5564</v>
      </c>
      <c r="AN168" s="32">
        <f>MAX(Assumptions!$B$94,MIN(Assumptions!$B$93,AM168-AP168-BE168-BO168-BQ168))</f>
        <v>10000</v>
      </c>
      <c r="AO168" s="32">
        <v>0.0</v>
      </c>
      <c r="AP168" s="32">
        <v>0.0</v>
      </c>
      <c r="AQ168" s="32">
        <v>0.0</v>
      </c>
      <c r="AR168" s="32">
        <v>0.0</v>
      </c>
      <c r="AS168" s="32">
        <v>0.0</v>
      </c>
      <c r="AT168" s="32">
        <v>0.0</v>
      </c>
      <c r="AU168" s="32">
        <f t="shared" si="30"/>
        <v>0</v>
      </c>
      <c r="AV168" s="32">
        <f t="shared" si="31"/>
        <v>0</v>
      </c>
      <c r="AW168" s="32">
        <f t="shared" si="32"/>
        <v>0</v>
      </c>
      <c r="AX168" s="32">
        <f t="shared" si="33"/>
        <v>0</v>
      </c>
      <c r="AY168" s="32">
        <f t="shared" si="34"/>
        <v>0</v>
      </c>
      <c r="AZ168" s="32">
        <f t="shared" si="35"/>
        <v>0</v>
      </c>
      <c r="BA168" s="32">
        <f t="shared" si="36"/>
        <v>0</v>
      </c>
      <c r="BB168" s="32">
        <f t="shared" si="37"/>
        <v>0</v>
      </c>
      <c r="BC168" s="32">
        <f t="shared" si="38"/>
        <v>0</v>
      </c>
      <c r="BD168" s="32">
        <f t="shared" si="39"/>
        <v>0</v>
      </c>
      <c r="BE168" s="32">
        <f t="shared" si="11"/>
        <v>0</v>
      </c>
      <c r="BF168" s="32">
        <v>0.0</v>
      </c>
      <c r="BG168" s="32">
        <f t="shared" si="40"/>
        <v>5500</v>
      </c>
      <c r="BH168" s="32">
        <v>0.0</v>
      </c>
      <c r="BI168" s="32">
        <f t="shared" si="41"/>
        <v>5000</v>
      </c>
      <c r="BJ168" s="32">
        <f>IF(OR(B168&lt;Assumptions!$B$111,AND(B168=Assumptions!$B$111,A168&lt;=Assumptions!$B$112)),Assumptions!$B$110,0)</f>
        <v>0</v>
      </c>
      <c r="BK168" s="32">
        <f>IF(B168&lt;2027,Assumptions!$B$116+IF(OR(A168=4,A168=10),Assumptions!$B$117,0),IF(AND(B168=2027,A168&lt;=4),IF(A168=4,MIN(950,Assumptions!$B$116+Assumptions!$B$117),Assumptions!$B$116),0))</f>
        <v>0</v>
      </c>
      <c r="BL168" s="32">
        <f>IF(OR(B168&lt;2030,AND(B168=2030,A168&lt;8)),Assumptions!$B$118,IF(AND(B168=2030,A168=8),MOD(11000,200),0))</f>
        <v>0</v>
      </c>
      <c r="BM168" s="32">
        <f>IF(OR(B168&lt;Assumptions!$B$120,AND(B168=Assumptions!$B$120,A168&lt;=Assumptions!$B$121)),Assumptions!$B$119,0)</f>
        <v>0</v>
      </c>
      <c r="BN168" s="32">
        <f>IF(AND(B168&lt;=Assumptions!$B$123,A168&lt;=Assumptions!$B$124),Assumptions!$B$122,0)</f>
        <v>0</v>
      </c>
      <c r="BO168" s="32">
        <f t="shared" si="12"/>
        <v>0</v>
      </c>
      <c r="BP168" s="32">
        <f>SUMIFS(SL_Budget!$B:$B,SL_Budget!$C:$C,"'"&amp;TEXT(DATE(B168,A168,1),"YYYY-MM"))</f>
        <v>6033</v>
      </c>
      <c r="BQ168" s="32">
        <f>MAX(BP168, IFERROR(SUMIFS(ShadowLedger!D:D, 
  ShadowLedger!C:C, "&gt;="&amp;DATE(B168,A168,1), 
  ShadowLedger!C:C, "&lt;"&amp;EOMONTH(DATE(B168,A168,1),0)+1), 0))
</f>
        <v>6033</v>
      </c>
      <c r="BR168" s="32">
        <f t="shared" si="42"/>
        <v>3825726.827</v>
      </c>
      <c r="BS168" s="32">
        <f t="shared" si="43"/>
        <v>3341.2322</v>
      </c>
      <c r="BT168" s="32">
        <f>IF(BY167&gt;=Assumptions!$B$92,MAX(0,(AM168-BE168-BO168-BQ168)-Assumptions!$B$93),MAX(0,(AM168-BE168-BO168-BQ168)-Assumptions!$B$93)*Assumptions!$B$99)</f>
        <v>20941.5564</v>
      </c>
      <c r="BU168" s="32">
        <f>(BR168+BS168+MAX(0,BT168))*(Assumptions!$B$43-1)</f>
        <v>26249.36556</v>
      </c>
      <c r="BV168" s="32">
        <f t="shared" si="13"/>
        <v>3876258.982</v>
      </c>
      <c r="BW168" s="32">
        <f t="shared" si="44"/>
        <v>15476.04728</v>
      </c>
      <c r="BX168" s="32">
        <f>IF(BY167&lt;Assumptions!$B$92,MAX(0,(AM168-BE168-BO168-BQ168)-Assumptions!$B$93)*Assumptions!$B$98,0)</f>
        <v>0</v>
      </c>
      <c r="BY168" s="32">
        <f t="shared" si="14"/>
        <v>15476.04728</v>
      </c>
      <c r="BZ168" s="32">
        <f t="shared" si="45"/>
        <v>88600</v>
      </c>
      <c r="CA168" s="32">
        <f t="shared" si="15"/>
        <v>8860</v>
      </c>
      <c r="CB168" s="32">
        <f t="shared" si="16"/>
        <v>97460</v>
      </c>
      <c r="CC168" s="55">
        <f>CC167+(G168+J168)/(Salary_Schedule!E168*12/208)</f>
        <v>1871.679714</v>
      </c>
      <c r="CD168" s="55">
        <f>CD167+(O168+R168)/(Salary_Schedule!G168*12/208)</f>
        <v>208.7789703</v>
      </c>
      <c r="CE168" s="32">
        <f t="shared" si="17"/>
        <v>3876258.982</v>
      </c>
      <c r="CF168" s="32">
        <f>Assumptions!$B$55*(1+Assumptions!$B$56)^((B168-2025)+(A168-1)/12)</f>
        <v>648509.4421</v>
      </c>
      <c r="CG168" s="32">
        <f t="shared" si="18"/>
        <v>0</v>
      </c>
      <c r="CH168" s="32">
        <f t="shared" si="19"/>
        <v>-10500</v>
      </c>
      <c r="CI168" s="32">
        <f>CC168*(Salary_Schedule!E168/173.33)*(1-Assumptions!$B$28)+CD168*(Salary_Schedule!G168/173.33)*(1-Assumptions!$B$28)</f>
        <v>105082.8171</v>
      </c>
      <c r="CJ168" s="32">
        <f t="shared" si="20"/>
        <v>4619351.241</v>
      </c>
    </row>
    <row r="169" ht="15.0" customHeight="1">
      <c r="A169" s="1">
        <v>12.0</v>
      </c>
      <c r="B169" s="1">
        <v>2039.0</v>
      </c>
      <c r="C169" s="1" t="s">
        <v>838</v>
      </c>
      <c r="D169" s="1" t="str">
        <f t="shared" si="21"/>
        <v>11/2039</v>
      </c>
      <c r="E169" s="1" t="str">
        <f t="shared" si="2"/>
        <v>LEAN</v>
      </c>
      <c r="F169" s="32">
        <f>Salary_Schedule!E169</f>
        <v>13890.48</v>
      </c>
      <c r="G169" s="32">
        <f>Assumptions!$B$8</f>
        <v>200</v>
      </c>
      <c r="H169" s="32">
        <f>F169*Assumptions!$B$58</f>
        <v>1389.048</v>
      </c>
      <c r="I169" s="32">
        <f>Salary_Schedule!F169</f>
        <v>0</v>
      </c>
      <c r="J169" s="32">
        <f>I169*Assumptions!$B$9</f>
        <v>0</v>
      </c>
      <c r="K169" s="54">
        <f t="shared" si="3"/>
        <v>12301.432</v>
      </c>
      <c r="L169" s="32">
        <f>IF(COUNTIFS(SL_Income_Log!$B:$B,TEXT(B169,"0000")&amp;"-"&amp;TEXT(A169,"00"),SL_Income_Log!$C:$C,"salary",SL_Income_Log!$E:$E,"H")&gt;0,SUMIFS(SL_Income_Log!$D:$D,SL_Income_Log!$B:$B,TEXT(B169,"0000")&amp;"-"&amp;TEXT(A169,"00"),SL_Income_Log!$C:$C,"salary",SL_Income_Log!$E:$E,"H"),K169*(1-Assumptions!$B$102)-Z169-Y169)</f>
        <v>7380.8592</v>
      </c>
      <c r="M169" s="32">
        <f>RSU_Schedule!H168</f>
        <v>0</v>
      </c>
      <c r="N169" s="32">
        <f>Salary_Schedule!G169</f>
        <v>9689.75</v>
      </c>
      <c r="O169" s="32">
        <f>Assumptions!$B$19</f>
        <v>200</v>
      </c>
      <c r="P169" s="32">
        <f>N169*Assumptions!$B$59</f>
        <v>968.975</v>
      </c>
      <c r="Q169" s="32">
        <f>Salary_Schedule!H169</f>
        <v>0</v>
      </c>
      <c r="R169" s="32">
        <f>Q169*Assumptions!$B$20</f>
        <v>0</v>
      </c>
      <c r="S169" s="54">
        <f t="shared" si="4"/>
        <v>8520.775</v>
      </c>
      <c r="T169" s="32">
        <f>IF(COUNTIFS(SL_Income_Log!$B:$B,TEXT(B169,"0000")&amp;"-"&amp;TEXT(A169,"00"),SL_Income_Log!$C:$C,"salary",SL_Income_Log!$E:$E,"W")&gt;0,SUMIFS(SL_Income_Log!$D:$D,SL_Income_Log!$B:$B,TEXT(B169,"0000")&amp;"-"&amp;TEXT(A169,"00"),SL_Income_Log!$C:$C,"salary",SL_Income_Log!$E:$E,"W"),S169*(1-Assumptions!$B$102)-AC169-AB169)
</f>
        <v>5112.465</v>
      </c>
      <c r="U169" s="32">
        <f>RSU_Schedule!M168</f>
        <v>0</v>
      </c>
      <c r="V169" s="32">
        <f>H169*(1+Assumptions!$B$60)+Assumptions!$B$61</f>
        <v>1964.6672</v>
      </c>
      <c r="W169" s="32">
        <f>P169*(1+Assumptions!$B$60)+Assumptions!$B$61</f>
        <v>1376.565</v>
      </c>
      <c r="X169" s="32">
        <f t="shared" si="5"/>
        <v>3341.2322</v>
      </c>
      <c r="Y169" s="32">
        <v>0.0</v>
      </c>
      <c r="Z169" s="32">
        <v>0.0</v>
      </c>
      <c r="AA169" s="32">
        <v>0.0</v>
      </c>
      <c r="AB169" s="32">
        <v>0.0</v>
      </c>
      <c r="AC169" s="32">
        <v>0.0</v>
      </c>
      <c r="AD169" s="32">
        <v>0.0</v>
      </c>
      <c r="AE169" s="32">
        <f t="shared" ref="AE169:AF169" si="210">Z169+AC169</f>
        <v>0</v>
      </c>
      <c r="AF169" s="32">
        <f t="shared" si="210"/>
        <v>0</v>
      </c>
      <c r="AG169" s="32">
        <f>IF(COUNTIFS(SL_Income_Log!$B:$B,TEXT(B169,"0000")&amp;"-"&amp;TEXT(A169,"00"),SL_Income_Log!$C:$C,"youtube")&gt;0,SUMIFS(SL_Income_Log!$D:$D,SL_Income_Log!$B:$B,TEXT(B169,"0000")&amp;"-"&amp;TEXT(A169,"00"),SL_Income_Log!$C:$C,"youtube"),MIN(Assumptions!$B$49+FLOOR((ROW()-2)/6,1)*Assumptions!$B$50,Assumptions!$B$51))
</f>
        <v>20000</v>
      </c>
      <c r="AH169" s="32">
        <f>AG169*Assumptions!$B$104</f>
        <v>8860</v>
      </c>
      <c r="AI169" s="32">
        <f t="shared" si="7"/>
        <v>11140</v>
      </c>
      <c r="AJ169" s="32">
        <f>SUMIFS(SL_Income_Log!$D:$D,SL_Income_Log!$B:$B,TEXT(B169,"0000")&amp;"-"&amp;TEXT(A169,"00"),SL_Income_Log!$C:$C,"other")</f>
        <v>0</v>
      </c>
      <c r="AK169" s="32">
        <f t="shared" si="27"/>
        <v>10000</v>
      </c>
      <c r="AL169" s="32">
        <f>L169+M169+T169+U169+AI169+AJ169-Y169-Z169-AB169-AC169+IF((Debt_Register!$C$2+Debt_Register!$C$6+Debt_Register!$C$7+Debt_Register!$C$8+Debt_Register!$C$9)&gt;5,X169,0)</f>
        <v>26974.5564</v>
      </c>
      <c r="AM169" s="32">
        <f t="shared" si="8"/>
        <v>36974.5564</v>
      </c>
      <c r="AN169" s="32">
        <f>MAX(Assumptions!$B$94,MIN(Assumptions!$B$93,AM169-AP169-BE169-BO169-BQ169))</f>
        <v>10000</v>
      </c>
      <c r="AO169" s="32">
        <v>0.0</v>
      </c>
      <c r="AP169" s="32">
        <v>0.0</v>
      </c>
      <c r="AQ169" s="32">
        <v>0.0</v>
      </c>
      <c r="AR169" s="32">
        <v>0.0</v>
      </c>
      <c r="AS169" s="32">
        <v>0.0</v>
      </c>
      <c r="AT169" s="32">
        <v>0.0</v>
      </c>
      <c r="AU169" s="32">
        <f t="shared" si="30"/>
        <v>0</v>
      </c>
      <c r="AV169" s="32">
        <f t="shared" si="31"/>
        <v>0</v>
      </c>
      <c r="AW169" s="32">
        <f t="shared" si="32"/>
        <v>0</v>
      </c>
      <c r="AX169" s="32">
        <f t="shared" si="33"/>
        <v>0</v>
      </c>
      <c r="AY169" s="32">
        <f t="shared" si="34"/>
        <v>0</v>
      </c>
      <c r="AZ169" s="32">
        <f t="shared" si="35"/>
        <v>0</v>
      </c>
      <c r="BA169" s="32">
        <f t="shared" si="36"/>
        <v>0</v>
      </c>
      <c r="BB169" s="32">
        <f t="shared" si="37"/>
        <v>0</v>
      </c>
      <c r="BC169" s="32">
        <f t="shared" si="38"/>
        <v>0</v>
      </c>
      <c r="BD169" s="32">
        <f t="shared" si="39"/>
        <v>0</v>
      </c>
      <c r="BE169" s="32">
        <f t="shared" si="11"/>
        <v>0</v>
      </c>
      <c r="BF169" s="32">
        <v>0.0</v>
      </c>
      <c r="BG169" s="32">
        <f t="shared" si="40"/>
        <v>5500</v>
      </c>
      <c r="BH169" s="32">
        <v>0.0</v>
      </c>
      <c r="BI169" s="32">
        <f t="shared" si="41"/>
        <v>5000</v>
      </c>
      <c r="BJ169" s="32">
        <f>IF(OR(B169&lt;Assumptions!$B$111,AND(B169=Assumptions!$B$111,A169&lt;=Assumptions!$B$112)),Assumptions!$B$110,0)</f>
        <v>0</v>
      </c>
      <c r="BK169" s="32">
        <f>IF(B169&lt;2027,Assumptions!$B$116+IF(OR(A169=4,A169=10),Assumptions!$B$117,0),IF(AND(B169=2027,A169&lt;=4),IF(A169=4,MIN(950,Assumptions!$B$116+Assumptions!$B$117),Assumptions!$B$116),0))</f>
        <v>0</v>
      </c>
      <c r="BL169" s="32">
        <f>IF(OR(B169&lt;2030,AND(B169=2030,A169&lt;8)),Assumptions!$B$118,IF(AND(B169=2030,A169=8),MOD(11000,200),0))</f>
        <v>0</v>
      </c>
      <c r="BM169" s="32">
        <f>IF(OR(B169&lt;Assumptions!$B$120,AND(B169=Assumptions!$B$120,A169&lt;=Assumptions!$B$121)),Assumptions!$B$119,0)</f>
        <v>0</v>
      </c>
      <c r="BN169" s="32">
        <f>IF(AND(B169&lt;=Assumptions!$B$123,A169&lt;=Assumptions!$B$124),Assumptions!$B$122,0)</f>
        <v>0</v>
      </c>
      <c r="BO169" s="32">
        <f t="shared" si="12"/>
        <v>0</v>
      </c>
      <c r="BP169" s="32">
        <f>SUMIFS(SL_Budget!$B:$B,SL_Budget!$C:$C,"'"&amp;TEXT(DATE(B169,A169,1),"YYYY-MM"))</f>
        <v>6033</v>
      </c>
      <c r="BQ169" s="32">
        <f>MAX(BP169, IFERROR(SUMIFS(ShadowLedger!D:D, 
  ShadowLedger!C:C, "&gt;="&amp;DATE(B169,A169,1), 
  ShadowLedger!C:C, "&lt;"&amp;EOMONTH(DATE(B169,A169,1),0)+1), 0))
</f>
        <v>6033</v>
      </c>
      <c r="BR169" s="32">
        <f t="shared" si="42"/>
        <v>3876258.982</v>
      </c>
      <c r="BS169" s="32">
        <f t="shared" si="43"/>
        <v>3341.2322</v>
      </c>
      <c r="BT169" s="32">
        <f>IF(BY168&gt;=Assumptions!$B$92,MAX(0,(AM169-BE169-BO169-BQ169)-Assumptions!$B$93),MAX(0,(AM169-BE169-BO169-BQ169)-Assumptions!$B$93)*Assumptions!$B$99)</f>
        <v>20941.5564</v>
      </c>
      <c r="BU169" s="32">
        <f>(BR169+BS169+MAX(0,BT169))*(Assumptions!$B$43-1)</f>
        <v>26593.89379</v>
      </c>
      <c r="BV169" s="32">
        <f t="shared" si="13"/>
        <v>3927135.664</v>
      </c>
      <c r="BW169" s="32">
        <f t="shared" si="44"/>
        <v>15476.04728</v>
      </c>
      <c r="BX169" s="32">
        <f>IF(BY168&lt;Assumptions!$B$92,MAX(0,(AM169-BE169-BO169-BQ169)-Assumptions!$B$93)*Assumptions!$B$98,0)</f>
        <v>0</v>
      </c>
      <c r="BY169" s="32">
        <f t="shared" si="14"/>
        <v>15476.04728</v>
      </c>
      <c r="BZ169" s="32">
        <f t="shared" si="45"/>
        <v>97460</v>
      </c>
      <c r="CA169" s="32">
        <f t="shared" si="15"/>
        <v>8860</v>
      </c>
      <c r="CB169" s="32">
        <f t="shared" si="16"/>
        <v>106320</v>
      </c>
      <c r="CC169" s="55">
        <f>CC168+(G169+J169)/(Salary_Schedule!E169*12/208)</f>
        <v>1871.929286</v>
      </c>
      <c r="CD169" s="55">
        <f>CD168+(O169+R169)/(Salary_Schedule!G169*12/208)</f>
        <v>209.1367367</v>
      </c>
      <c r="CE169" s="32">
        <f t="shared" si="17"/>
        <v>3927135.664</v>
      </c>
      <c r="CF169" s="32">
        <f>Assumptions!$B$55*(1+Assumptions!$B$56)^((B169-2025)+(A169-1)/12)</f>
        <v>649314.5586</v>
      </c>
      <c r="CG169" s="32">
        <f t="shared" si="18"/>
        <v>0</v>
      </c>
      <c r="CH169" s="32">
        <f t="shared" si="19"/>
        <v>-10500</v>
      </c>
      <c r="CI169" s="32">
        <f>CC169*(Salary_Schedule!E169/173.33)*(1-Assumptions!$B$28)+CD169*(Salary_Schedule!G169/173.33)*(1-Assumptions!$B$28)</f>
        <v>105108.8176</v>
      </c>
      <c r="CJ169" s="32">
        <f t="shared" si="20"/>
        <v>4671059.04</v>
      </c>
    </row>
    <row r="170" ht="15.0" customHeight="1">
      <c r="A170" s="1">
        <v>1.0</v>
      </c>
      <c r="B170" s="1">
        <v>2040.0</v>
      </c>
      <c r="C170" s="1" t="s">
        <v>839</v>
      </c>
      <c r="D170" s="1" t="str">
        <f t="shared" si="21"/>
        <v>12/2039</v>
      </c>
      <c r="E170" s="1" t="str">
        <f t="shared" si="2"/>
        <v>FAT_RSU</v>
      </c>
      <c r="F170" s="32">
        <f>Salary_Schedule!E170</f>
        <v>14585</v>
      </c>
      <c r="G170" s="32">
        <f>Assumptions!$B$8</f>
        <v>200</v>
      </c>
      <c r="H170" s="32">
        <f>F170*Assumptions!$B$58</f>
        <v>1458.5</v>
      </c>
      <c r="I170" s="32">
        <f>Salary_Schedule!F170</f>
        <v>0</v>
      </c>
      <c r="J170" s="32">
        <f>I170*Assumptions!$B$9</f>
        <v>0</v>
      </c>
      <c r="K170" s="54">
        <f t="shared" si="3"/>
        <v>12926.5</v>
      </c>
      <c r="L170" s="32">
        <f>IF(COUNTIFS(SL_Income_Log!$B:$B,TEXT(B170,"0000")&amp;"-"&amp;TEXT(A170,"00"),SL_Income_Log!$C:$C,"salary",SL_Income_Log!$E:$E,"H")&gt;0,SUMIFS(SL_Income_Log!$D:$D,SL_Income_Log!$B:$B,TEXT(B170,"0000")&amp;"-"&amp;TEXT(A170,"00"),SL_Income_Log!$C:$C,"salary",SL_Income_Log!$E:$E,"H"),K170*(1-Assumptions!$B$102)-Z170-Y170)</f>
        <v>7755.9</v>
      </c>
      <c r="M170" s="32">
        <f>RSU_Schedule!H169</f>
        <v>2784.99</v>
      </c>
      <c r="N170" s="32">
        <f>Salary_Schedule!G170</f>
        <v>10028.89</v>
      </c>
      <c r="O170" s="32">
        <f>Assumptions!$B$19</f>
        <v>200</v>
      </c>
      <c r="P170" s="32">
        <f>N170*Assumptions!$B$59</f>
        <v>1002.889</v>
      </c>
      <c r="Q170" s="32">
        <f>Salary_Schedule!H170</f>
        <v>0</v>
      </c>
      <c r="R170" s="32">
        <f>Q170*Assumptions!$B$20</f>
        <v>0</v>
      </c>
      <c r="S170" s="54">
        <f t="shared" si="4"/>
        <v>8826.001</v>
      </c>
      <c r="T170" s="32">
        <f>IF(COUNTIFS(SL_Income_Log!$B:$B,TEXT(B170,"0000")&amp;"-"&amp;TEXT(A170,"00"),SL_Income_Log!$C:$C,"salary",SL_Income_Log!$E:$E,"W")&gt;0,SUMIFS(SL_Income_Log!$D:$D,SL_Income_Log!$B:$B,TEXT(B170,"0000")&amp;"-"&amp;TEXT(A170,"00"),SL_Income_Log!$C:$C,"salary",SL_Income_Log!$E:$E,"W"),S170*(1-Assumptions!$B$102)-AC170-AB170)
</f>
        <v>5295.6006</v>
      </c>
      <c r="U170" s="32">
        <f>RSU_Schedule!M169</f>
        <v>1392.51</v>
      </c>
      <c r="V170" s="32">
        <f>H170*(1+Assumptions!$B$60)+Assumptions!$B$61</f>
        <v>2061.9</v>
      </c>
      <c r="W170" s="32">
        <f>P170*(1+Assumptions!$B$60)+Assumptions!$B$61</f>
        <v>1424.0446</v>
      </c>
      <c r="X170" s="32">
        <f t="shared" si="5"/>
        <v>3485.9446</v>
      </c>
      <c r="Y170" s="32">
        <v>0.0</v>
      </c>
      <c r="Z170" s="32">
        <v>0.0</v>
      </c>
      <c r="AA170" s="32">
        <v>0.0</v>
      </c>
      <c r="AB170" s="32">
        <v>0.0</v>
      </c>
      <c r="AC170" s="32">
        <v>0.0</v>
      </c>
      <c r="AD170" s="32">
        <v>0.0</v>
      </c>
      <c r="AE170" s="32">
        <f t="shared" ref="AE170:AF170" si="211">Z170+AC170</f>
        <v>0</v>
      </c>
      <c r="AF170" s="32">
        <f t="shared" si="211"/>
        <v>0</v>
      </c>
      <c r="AG170" s="32">
        <f>IF(COUNTIFS(SL_Income_Log!$B:$B,TEXT(B170,"0000")&amp;"-"&amp;TEXT(A170,"00"),SL_Income_Log!$C:$C,"youtube")&gt;0,SUMIFS(SL_Income_Log!$D:$D,SL_Income_Log!$B:$B,TEXT(B170,"0000")&amp;"-"&amp;TEXT(A170,"00"),SL_Income_Log!$C:$C,"youtube"),MIN(Assumptions!$B$49+FLOOR((ROW()-2)/6,1)*Assumptions!$B$50,Assumptions!$B$51))
</f>
        <v>20000</v>
      </c>
      <c r="AH170" s="32">
        <f>AG170*Assumptions!$B$104</f>
        <v>8860</v>
      </c>
      <c r="AI170" s="32">
        <f t="shared" si="7"/>
        <v>11140</v>
      </c>
      <c r="AJ170" s="32">
        <f>SUMIFS(SL_Income_Log!$D:$D,SL_Income_Log!$B:$B,TEXT(B170,"0000")&amp;"-"&amp;TEXT(A170,"00"),SL_Income_Log!$C:$C,"other")</f>
        <v>0</v>
      </c>
      <c r="AK170" s="32">
        <f t="shared" si="27"/>
        <v>10000</v>
      </c>
      <c r="AL170" s="32">
        <f>L170+M170+T170+U170+AI170+AJ170-Y170-Z170-AB170-AC170+IF((Debt_Register!$C$2+Debt_Register!$C$6+Debt_Register!$C$7+Debt_Register!$C$8+Debt_Register!$C$9)&gt;5,X170,0)</f>
        <v>31854.9452</v>
      </c>
      <c r="AM170" s="32">
        <f t="shared" si="8"/>
        <v>41854.9452</v>
      </c>
      <c r="AN170" s="32">
        <f>MAX(Assumptions!$B$94,MIN(Assumptions!$B$93,AM170-AP170-BE170-BO170-BQ170))</f>
        <v>10000</v>
      </c>
      <c r="AO170" s="32">
        <v>0.0</v>
      </c>
      <c r="AP170" s="32">
        <v>0.0</v>
      </c>
      <c r="AQ170" s="32">
        <v>0.0</v>
      </c>
      <c r="AR170" s="32">
        <v>0.0</v>
      </c>
      <c r="AS170" s="32">
        <v>0.0</v>
      </c>
      <c r="AT170" s="32">
        <v>0.0</v>
      </c>
      <c r="AU170" s="32">
        <f t="shared" si="30"/>
        <v>0</v>
      </c>
      <c r="AV170" s="32">
        <f t="shared" si="31"/>
        <v>0</v>
      </c>
      <c r="AW170" s="32">
        <f t="shared" si="32"/>
        <v>0</v>
      </c>
      <c r="AX170" s="32">
        <f t="shared" si="33"/>
        <v>0</v>
      </c>
      <c r="AY170" s="32">
        <f t="shared" si="34"/>
        <v>0</v>
      </c>
      <c r="AZ170" s="32">
        <f t="shared" si="35"/>
        <v>0</v>
      </c>
      <c r="BA170" s="32">
        <f t="shared" si="36"/>
        <v>0</v>
      </c>
      <c r="BB170" s="32">
        <f t="shared" si="37"/>
        <v>0</v>
      </c>
      <c r="BC170" s="32">
        <f t="shared" si="38"/>
        <v>0</v>
      </c>
      <c r="BD170" s="32">
        <f t="shared" si="39"/>
        <v>0</v>
      </c>
      <c r="BE170" s="32">
        <f t="shared" si="11"/>
        <v>0</v>
      </c>
      <c r="BF170" s="32">
        <v>0.0</v>
      </c>
      <c r="BG170" s="32">
        <f t="shared" si="40"/>
        <v>5500</v>
      </c>
      <c r="BH170" s="32">
        <v>0.0</v>
      </c>
      <c r="BI170" s="32">
        <f t="shared" si="41"/>
        <v>5000</v>
      </c>
      <c r="BJ170" s="32">
        <f>IF(OR(B170&lt;Assumptions!$B$111,AND(B170=Assumptions!$B$111,A170&lt;=Assumptions!$B$112)),Assumptions!$B$110,0)</f>
        <v>0</v>
      </c>
      <c r="BK170" s="32">
        <f>IF(B170&lt;2027,Assumptions!$B$116+IF(OR(A170=4,A170=10),Assumptions!$B$117,0),IF(AND(B170=2027,A170&lt;=4),IF(A170=4,MIN(950,Assumptions!$B$116+Assumptions!$B$117),Assumptions!$B$116),0))</f>
        <v>0</v>
      </c>
      <c r="BL170" s="32">
        <f>IF(OR(B170&lt;2030,AND(B170=2030,A170&lt;8)),Assumptions!$B$118,IF(AND(B170=2030,A170=8),MOD(11000,200),0))</f>
        <v>0</v>
      </c>
      <c r="BM170" s="32">
        <f>IF(OR(B170&lt;Assumptions!$B$120,AND(B170=Assumptions!$B$120,A170&lt;=Assumptions!$B$121)),Assumptions!$B$119,0)</f>
        <v>0</v>
      </c>
      <c r="BN170" s="32">
        <f>IF(AND(B170&lt;=Assumptions!$B$123,A170&lt;=Assumptions!$B$124),Assumptions!$B$122,0)</f>
        <v>0</v>
      </c>
      <c r="BO170" s="32">
        <f t="shared" si="12"/>
        <v>0</v>
      </c>
      <c r="BP170" s="32">
        <f>SUMIFS(SL_Budget!$B:$B,SL_Budget!$C:$C,"'"&amp;TEXT(DATE(B170,A170,1),"YYYY-MM"))</f>
        <v>6219</v>
      </c>
      <c r="BQ170" s="32">
        <f>MAX(BP170, IFERROR(SUMIFS(ShadowLedger!D:D, 
  ShadowLedger!C:C, "&gt;="&amp;DATE(B170,A170,1), 
  ShadowLedger!C:C, "&lt;"&amp;EOMONTH(DATE(B170,A170,1),0)+1), 0))
</f>
        <v>6219</v>
      </c>
      <c r="BR170" s="32">
        <f t="shared" si="42"/>
        <v>3927135.664</v>
      </c>
      <c r="BS170" s="32">
        <f t="shared" si="43"/>
        <v>3485.9446</v>
      </c>
      <c r="BT170" s="32">
        <f>IF(BY169&gt;=Assumptions!$B$92,MAX(0,(AM170-BE170-BO170-BQ170)-Assumptions!$B$93),MAX(0,(AM170-BE170-BO170-BQ170)-Assumptions!$B$93)*Assumptions!$B$99)</f>
        <v>25635.9452</v>
      </c>
      <c r="BU170" s="32">
        <f>(BR170+BS170+MAX(0,BT170))*(Assumptions!$B$43-1)</f>
        <v>26973.764</v>
      </c>
      <c r="BV170" s="32">
        <f t="shared" si="13"/>
        <v>3983231.318</v>
      </c>
      <c r="BW170" s="32">
        <f t="shared" si="44"/>
        <v>15476.04728</v>
      </c>
      <c r="BX170" s="32">
        <f>IF(BY169&lt;Assumptions!$B$92,MAX(0,(AM170-BE170-BO170-BQ170)-Assumptions!$B$93)*Assumptions!$B$98,0)</f>
        <v>0</v>
      </c>
      <c r="BY170" s="32">
        <f t="shared" si="14"/>
        <v>15476.04728</v>
      </c>
      <c r="BZ170" s="32">
        <f t="shared" si="45"/>
        <v>0</v>
      </c>
      <c r="CA170" s="32">
        <f t="shared" si="15"/>
        <v>8860</v>
      </c>
      <c r="CB170" s="32">
        <f t="shared" si="16"/>
        <v>8860</v>
      </c>
      <c r="CC170" s="55">
        <f>CC169+(G170+J170)/(Salary_Schedule!E170*12/208)</f>
        <v>1872.166973</v>
      </c>
      <c r="CD170" s="55">
        <f>CD169+(O170+R170)/(Salary_Schedule!G170*12/208)</f>
        <v>209.4824047</v>
      </c>
      <c r="CE170" s="32">
        <f t="shared" si="17"/>
        <v>3983231.318</v>
      </c>
      <c r="CF170" s="32">
        <f>Assumptions!$B$55*(1+Assumptions!$B$56)^((B170-2025)+(A170-1)/12)</f>
        <v>650120.6747</v>
      </c>
      <c r="CG170" s="32">
        <f t="shared" si="18"/>
        <v>0</v>
      </c>
      <c r="CH170" s="32">
        <f t="shared" si="19"/>
        <v>-10500</v>
      </c>
      <c r="CI170" s="32">
        <f>CC170*(Salary_Schedule!E170/173.33)*(1-Assumptions!$B$28)+CD170*(Salary_Schedule!G170/173.33)*(1-Assumptions!$B$28)</f>
        <v>110276.238</v>
      </c>
      <c r="CJ170" s="32">
        <f t="shared" si="20"/>
        <v>4733128.231</v>
      </c>
    </row>
    <row r="171" ht="15.0" customHeight="1">
      <c r="A171" s="1">
        <v>2.0</v>
      </c>
      <c r="B171" s="1">
        <v>2040.0</v>
      </c>
      <c r="C171" s="1" t="s">
        <v>840</v>
      </c>
      <c r="D171" s="1" t="str">
        <f t="shared" si="21"/>
        <v>01/2040</v>
      </c>
      <c r="E171" s="1" t="str">
        <f t="shared" si="2"/>
        <v>LEAN</v>
      </c>
      <c r="F171" s="32">
        <f>Salary_Schedule!E171</f>
        <v>14585</v>
      </c>
      <c r="G171" s="32">
        <f>Assumptions!$B$8</f>
        <v>200</v>
      </c>
      <c r="H171" s="32">
        <f>F171*Assumptions!$B$58</f>
        <v>1458.5</v>
      </c>
      <c r="I171" s="32">
        <f>Salary_Schedule!F171</f>
        <v>0</v>
      </c>
      <c r="J171" s="32">
        <f>I171*Assumptions!$B$9</f>
        <v>0</v>
      </c>
      <c r="K171" s="54">
        <f t="shared" si="3"/>
        <v>12926.5</v>
      </c>
      <c r="L171" s="32">
        <f>IF(COUNTIFS(SL_Income_Log!$B:$B,TEXT(B171,"0000")&amp;"-"&amp;TEXT(A171,"00"),SL_Income_Log!$C:$C,"salary",SL_Income_Log!$E:$E,"H")&gt;0,SUMIFS(SL_Income_Log!$D:$D,SL_Income_Log!$B:$B,TEXT(B171,"0000")&amp;"-"&amp;TEXT(A171,"00"),SL_Income_Log!$C:$C,"salary",SL_Income_Log!$E:$E,"H"),K171*(1-Assumptions!$B$102)-Z171-Y171)</f>
        <v>7755.9</v>
      </c>
      <c r="M171" s="32">
        <f>RSU_Schedule!H170</f>
        <v>0</v>
      </c>
      <c r="N171" s="32">
        <f>Salary_Schedule!G171</f>
        <v>10028.89</v>
      </c>
      <c r="O171" s="32">
        <f>Assumptions!$B$19</f>
        <v>200</v>
      </c>
      <c r="P171" s="32">
        <f>N171*Assumptions!$B$59</f>
        <v>1002.889</v>
      </c>
      <c r="Q171" s="32">
        <f>Salary_Schedule!H171</f>
        <v>0</v>
      </c>
      <c r="R171" s="32">
        <f>Q171*Assumptions!$B$20</f>
        <v>0</v>
      </c>
      <c r="S171" s="54">
        <f t="shared" si="4"/>
        <v>8826.001</v>
      </c>
      <c r="T171" s="32">
        <f>IF(COUNTIFS(SL_Income_Log!$B:$B,TEXT(B171,"0000")&amp;"-"&amp;TEXT(A171,"00"),SL_Income_Log!$C:$C,"salary",SL_Income_Log!$E:$E,"W")&gt;0,SUMIFS(SL_Income_Log!$D:$D,SL_Income_Log!$B:$B,TEXT(B171,"0000")&amp;"-"&amp;TEXT(A171,"00"),SL_Income_Log!$C:$C,"salary",SL_Income_Log!$E:$E,"W"),S171*(1-Assumptions!$B$102)-AC171-AB171)
</f>
        <v>5295.6006</v>
      </c>
      <c r="U171" s="32">
        <f>RSU_Schedule!M170</f>
        <v>0</v>
      </c>
      <c r="V171" s="32">
        <f>H171*(1+Assumptions!$B$60)+Assumptions!$B$61</f>
        <v>2061.9</v>
      </c>
      <c r="W171" s="32">
        <f>P171*(1+Assumptions!$B$60)+Assumptions!$B$61</f>
        <v>1424.0446</v>
      </c>
      <c r="X171" s="32">
        <f t="shared" si="5"/>
        <v>3485.9446</v>
      </c>
      <c r="Y171" s="32">
        <v>0.0</v>
      </c>
      <c r="Z171" s="32">
        <v>0.0</v>
      </c>
      <c r="AA171" s="32">
        <v>0.0</v>
      </c>
      <c r="AB171" s="32">
        <v>0.0</v>
      </c>
      <c r="AC171" s="32">
        <v>0.0</v>
      </c>
      <c r="AD171" s="32">
        <v>0.0</v>
      </c>
      <c r="AE171" s="32">
        <f t="shared" ref="AE171:AF171" si="212">Z171+AC171</f>
        <v>0</v>
      </c>
      <c r="AF171" s="32">
        <f t="shared" si="212"/>
        <v>0</v>
      </c>
      <c r="AG171" s="32">
        <f>IF(COUNTIFS(SL_Income_Log!$B:$B,TEXT(B171,"0000")&amp;"-"&amp;TEXT(A171,"00"),SL_Income_Log!$C:$C,"youtube")&gt;0,SUMIFS(SL_Income_Log!$D:$D,SL_Income_Log!$B:$B,TEXT(B171,"0000")&amp;"-"&amp;TEXT(A171,"00"),SL_Income_Log!$C:$C,"youtube"),MIN(Assumptions!$B$49+FLOOR((ROW()-2)/6,1)*Assumptions!$B$50,Assumptions!$B$51))
</f>
        <v>20000</v>
      </c>
      <c r="AH171" s="32">
        <f>AG171*Assumptions!$B$104</f>
        <v>8860</v>
      </c>
      <c r="AI171" s="32">
        <f t="shared" si="7"/>
        <v>11140</v>
      </c>
      <c r="AJ171" s="32">
        <f>SUMIFS(SL_Income_Log!$D:$D,SL_Income_Log!$B:$B,TEXT(B171,"0000")&amp;"-"&amp;TEXT(A171,"00"),SL_Income_Log!$C:$C,"other")</f>
        <v>0</v>
      </c>
      <c r="AK171" s="32">
        <f t="shared" si="27"/>
        <v>10000</v>
      </c>
      <c r="AL171" s="32">
        <f>L171+M171+T171+U171+AI171+AJ171-Y171-Z171-AB171-AC171+IF((Debt_Register!$C$2+Debt_Register!$C$6+Debt_Register!$C$7+Debt_Register!$C$8+Debt_Register!$C$9)&gt;5,X171,0)</f>
        <v>27677.4452</v>
      </c>
      <c r="AM171" s="32">
        <f t="shared" si="8"/>
        <v>37677.4452</v>
      </c>
      <c r="AN171" s="32">
        <f>MAX(Assumptions!$B$94,MIN(Assumptions!$B$93,AM171-AP171-BE171-BO171-BQ171))</f>
        <v>10000</v>
      </c>
      <c r="AO171" s="32">
        <v>0.0</v>
      </c>
      <c r="AP171" s="32">
        <v>0.0</v>
      </c>
      <c r="AQ171" s="32">
        <v>0.0</v>
      </c>
      <c r="AR171" s="32">
        <v>0.0</v>
      </c>
      <c r="AS171" s="32">
        <v>0.0</v>
      </c>
      <c r="AT171" s="32">
        <v>0.0</v>
      </c>
      <c r="AU171" s="32">
        <f t="shared" si="30"/>
        <v>0</v>
      </c>
      <c r="AV171" s="32">
        <f t="shared" si="31"/>
        <v>0</v>
      </c>
      <c r="AW171" s="32">
        <f t="shared" si="32"/>
        <v>0</v>
      </c>
      <c r="AX171" s="32">
        <f t="shared" si="33"/>
        <v>0</v>
      </c>
      <c r="AY171" s="32">
        <f t="shared" si="34"/>
        <v>0</v>
      </c>
      <c r="AZ171" s="32">
        <f t="shared" si="35"/>
        <v>0</v>
      </c>
      <c r="BA171" s="32">
        <f t="shared" si="36"/>
        <v>0</v>
      </c>
      <c r="BB171" s="32">
        <f t="shared" si="37"/>
        <v>0</v>
      </c>
      <c r="BC171" s="32">
        <f t="shared" si="38"/>
        <v>0</v>
      </c>
      <c r="BD171" s="32">
        <f t="shared" si="39"/>
        <v>0</v>
      </c>
      <c r="BE171" s="32">
        <f t="shared" si="11"/>
        <v>0</v>
      </c>
      <c r="BF171" s="32">
        <v>0.0</v>
      </c>
      <c r="BG171" s="32">
        <f t="shared" si="40"/>
        <v>5500</v>
      </c>
      <c r="BH171" s="32">
        <v>0.0</v>
      </c>
      <c r="BI171" s="32">
        <f t="shared" si="41"/>
        <v>5000</v>
      </c>
      <c r="BJ171" s="32">
        <f>IF(OR(B171&lt;Assumptions!$B$111,AND(B171=Assumptions!$B$111,A171&lt;=Assumptions!$B$112)),Assumptions!$B$110,0)</f>
        <v>0</v>
      </c>
      <c r="BK171" s="32">
        <f>IF(B171&lt;2027,Assumptions!$B$116+IF(OR(A171=4,A171=10),Assumptions!$B$117,0),IF(AND(B171=2027,A171&lt;=4),IF(A171=4,MIN(950,Assumptions!$B$116+Assumptions!$B$117),Assumptions!$B$116),0))</f>
        <v>0</v>
      </c>
      <c r="BL171" s="32">
        <f>IF(OR(B171&lt;2030,AND(B171=2030,A171&lt;8)),Assumptions!$B$118,IF(AND(B171=2030,A171=8),MOD(11000,200),0))</f>
        <v>0</v>
      </c>
      <c r="BM171" s="32">
        <f>IF(OR(B171&lt;Assumptions!$B$120,AND(B171=Assumptions!$B$120,A171&lt;=Assumptions!$B$121)),Assumptions!$B$119,0)</f>
        <v>0</v>
      </c>
      <c r="BN171" s="32">
        <f>IF(AND(B171&lt;=Assumptions!$B$123,A171&lt;=Assumptions!$B$124),Assumptions!$B$122,0)</f>
        <v>0</v>
      </c>
      <c r="BO171" s="32">
        <f t="shared" si="12"/>
        <v>0</v>
      </c>
      <c r="BP171" s="32">
        <f>SUMIFS(SL_Budget!$B:$B,SL_Budget!$C:$C,"'"&amp;TEXT(DATE(B171,A171,1),"YYYY-MM"))</f>
        <v>6219</v>
      </c>
      <c r="BQ171" s="32">
        <f>MAX(BP171, IFERROR(SUMIFS(ShadowLedger!D:D, 
  ShadowLedger!C:C, "&gt;="&amp;DATE(B171,A171,1), 
  ShadowLedger!C:C, "&lt;"&amp;EOMONTH(DATE(B171,A171,1),0)+1), 0))
</f>
        <v>6219</v>
      </c>
      <c r="BR171" s="32">
        <f t="shared" si="42"/>
        <v>3983231.318</v>
      </c>
      <c r="BS171" s="32">
        <f t="shared" si="43"/>
        <v>3485.9446</v>
      </c>
      <c r="BT171" s="32">
        <f>IF(BY170&gt;=Assumptions!$B$92,MAX(0,(AM171-BE171-BO171-BQ171)-Assumptions!$B$93),MAX(0,(AM171-BE171-BO171-BQ171)-Assumptions!$B$93)*Assumptions!$B$99)</f>
        <v>21458.4452</v>
      </c>
      <c r="BU171" s="32">
        <f>(BR171+BS171+MAX(0,BT171))*(Assumptions!$B$43-1)</f>
        <v>27327.74197</v>
      </c>
      <c r="BV171" s="32">
        <f t="shared" si="13"/>
        <v>4035503.45</v>
      </c>
      <c r="BW171" s="32">
        <f t="shared" si="44"/>
        <v>15476.04728</v>
      </c>
      <c r="BX171" s="32">
        <f>IF(BY170&lt;Assumptions!$B$92,MAX(0,(AM171-BE171-BO171-BQ171)-Assumptions!$B$93)*Assumptions!$B$98,0)</f>
        <v>0</v>
      </c>
      <c r="BY171" s="32">
        <f t="shared" si="14"/>
        <v>15476.04728</v>
      </c>
      <c r="BZ171" s="32">
        <f t="shared" si="45"/>
        <v>8860</v>
      </c>
      <c r="CA171" s="32">
        <f t="shared" si="15"/>
        <v>8860</v>
      </c>
      <c r="CB171" s="32">
        <f t="shared" si="16"/>
        <v>17720</v>
      </c>
      <c r="CC171" s="55">
        <f>CC170+(G171+J171)/(Salary_Schedule!E171*12/208)</f>
        <v>1872.40466</v>
      </c>
      <c r="CD171" s="55">
        <f>CD170+(O171+R171)/(Salary_Schedule!G171*12/208)</f>
        <v>209.8280727</v>
      </c>
      <c r="CE171" s="32">
        <f t="shared" si="17"/>
        <v>4035503.45</v>
      </c>
      <c r="CF171" s="32">
        <f>Assumptions!$B$55*(1+Assumptions!$B$56)^((B171-2025)+(A171-1)/12)</f>
        <v>650927.7915</v>
      </c>
      <c r="CG171" s="32">
        <f t="shared" si="18"/>
        <v>0</v>
      </c>
      <c r="CH171" s="32">
        <f t="shared" si="19"/>
        <v>-10500</v>
      </c>
      <c r="CI171" s="32">
        <f>CC171*(Salary_Schedule!E171/173.33)*(1-Assumptions!$B$28)+CD171*(Salary_Schedule!G171/173.33)*(1-Assumptions!$B$28)</f>
        <v>110302.2385</v>
      </c>
      <c r="CJ171" s="32">
        <f t="shared" si="20"/>
        <v>4786233.48</v>
      </c>
    </row>
    <row r="172" ht="15.0" customHeight="1">
      <c r="A172" s="1">
        <v>3.0</v>
      </c>
      <c r="B172" s="1">
        <v>2040.0</v>
      </c>
      <c r="C172" s="1" t="s">
        <v>841</v>
      </c>
      <c r="D172" s="1" t="str">
        <f t="shared" si="21"/>
        <v>02/2040</v>
      </c>
      <c r="E172" s="1" t="str">
        <f t="shared" si="2"/>
        <v>LEAN</v>
      </c>
      <c r="F172" s="32">
        <f>Salary_Schedule!E172</f>
        <v>14585</v>
      </c>
      <c r="G172" s="32">
        <f>Assumptions!$B$8</f>
        <v>200</v>
      </c>
      <c r="H172" s="32">
        <f>F172*Assumptions!$B$58</f>
        <v>1458.5</v>
      </c>
      <c r="I172" s="32">
        <f>Salary_Schedule!F172</f>
        <v>0</v>
      </c>
      <c r="J172" s="32">
        <f>I172*Assumptions!$B$9</f>
        <v>0</v>
      </c>
      <c r="K172" s="54">
        <f t="shared" si="3"/>
        <v>12926.5</v>
      </c>
      <c r="L172" s="32">
        <f>IF(COUNTIFS(SL_Income_Log!$B:$B,TEXT(B172,"0000")&amp;"-"&amp;TEXT(A172,"00"),SL_Income_Log!$C:$C,"salary",SL_Income_Log!$E:$E,"H")&gt;0,SUMIFS(SL_Income_Log!$D:$D,SL_Income_Log!$B:$B,TEXT(B172,"0000")&amp;"-"&amp;TEXT(A172,"00"),SL_Income_Log!$C:$C,"salary",SL_Income_Log!$E:$E,"H"),K172*(1-Assumptions!$B$102)-Z172-Y172)</f>
        <v>7755.9</v>
      </c>
      <c r="M172" s="32">
        <f>RSU_Schedule!H171</f>
        <v>0</v>
      </c>
      <c r="N172" s="32">
        <f>Salary_Schedule!G172</f>
        <v>10028.89</v>
      </c>
      <c r="O172" s="32">
        <f>Assumptions!$B$19</f>
        <v>200</v>
      </c>
      <c r="P172" s="32">
        <f>N172*Assumptions!$B$59</f>
        <v>1002.889</v>
      </c>
      <c r="Q172" s="32">
        <f>Salary_Schedule!H172</f>
        <v>0</v>
      </c>
      <c r="R172" s="32">
        <f>Q172*Assumptions!$B$20</f>
        <v>0</v>
      </c>
      <c r="S172" s="54">
        <f t="shared" si="4"/>
        <v>8826.001</v>
      </c>
      <c r="T172" s="32">
        <f>IF(COUNTIFS(SL_Income_Log!$B:$B,TEXT(B172,"0000")&amp;"-"&amp;TEXT(A172,"00"),SL_Income_Log!$C:$C,"salary",SL_Income_Log!$E:$E,"W")&gt;0,SUMIFS(SL_Income_Log!$D:$D,SL_Income_Log!$B:$B,TEXT(B172,"0000")&amp;"-"&amp;TEXT(A172,"00"),SL_Income_Log!$C:$C,"salary",SL_Income_Log!$E:$E,"W"),S172*(1-Assumptions!$B$102)-AC172-AB172)
</f>
        <v>5295.6006</v>
      </c>
      <c r="U172" s="32">
        <f>RSU_Schedule!M171</f>
        <v>0</v>
      </c>
      <c r="V172" s="32">
        <f>H172*(1+Assumptions!$B$60)+Assumptions!$B$61</f>
        <v>2061.9</v>
      </c>
      <c r="W172" s="32">
        <f>P172*(1+Assumptions!$B$60)+Assumptions!$B$61</f>
        <v>1424.0446</v>
      </c>
      <c r="X172" s="32">
        <f t="shared" si="5"/>
        <v>3485.9446</v>
      </c>
      <c r="Y172" s="32">
        <v>0.0</v>
      </c>
      <c r="Z172" s="32">
        <v>0.0</v>
      </c>
      <c r="AA172" s="32">
        <v>0.0</v>
      </c>
      <c r="AB172" s="32">
        <v>0.0</v>
      </c>
      <c r="AC172" s="32">
        <v>0.0</v>
      </c>
      <c r="AD172" s="32">
        <v>0.0</v>
      </c>
      <c r="AE172" s="32">
        <f t="shared" ref="AE172:AF172" si="213">Z172+AC172</f>
        <v>0</v>
      </c>
      <c r="AF172" s="32">
        <f t="shared" si="213"/>
        <v>0</v>
      </c>
      <c r="AG172" s="32">
        <f>IF(COUNTIFS(SL_Income_Log!$B:$B,TEXT(B172,"0000")&amp;"-"&amp;TEXT(A172,"00"),SL_Income_Log!$C:$C,"youtube")&gt;0,SUMIFS(SL_Income_Log!$D:$D,SL_Income_Log!$B:$B,TEXT(B172,"0000")&amp;"-"&amp;TEXT(A172,"00"),SL_Income_Log!$C:$C,"youtube"),MIN(Assumptions!$B$49+FLOOR((ROW()-2)/6,1)*Assumptions!$B$50,Assumptions!$B$51))
</f>
        <v>20000</v>
      </c>
      <c r="AH172" s="32">
        <f>AG172*Assumptions!$B$104</f>
        <v>8860</v>
      </c>
      <c r="AI172" s="32">
        <f t="shared" si="7"/>
        <v>11140</v>
      </c>
      <c r="AJ172" s="32">
        <f>SUMIFS(SL_Income_Log!$D:$D,SL_Income_Log!$B:$B,TEXT(B172,"0000")&amp;"-"&amp;TEXT(A172,"00"),SL_Income_Log!$C:$C,"other")</f>
        <v>0</v>
      </c>
      <c r="AK172" s="32">
        <f t="shared" si="27"/>
        <v>10000</v>
      </c>
      <c r="AL172" s="32">
        <f>L172+M172+T172+U172+AI172+AJ172-Y172-Z172-AB172-AC172+IF((Debt_Register!$C$2+Debt_Register!$C$6+Debt_Register!$C$7+Debt_Register!$C$8+Debt_Register!$C$9)&gt;5,X172,0)</f>
        <v>27677.4452</v>
      </c>
      <c r="AM172" s="32">
        <f t="shared" si="8"/>
        <v>37677.4452</v>
      </c>
      <c r="AN172" s="32">
        <f>MAX(Assumptions!$B$94,MIN(Assumptions!$B$93,AM172-AP172-BE172-BO172-BQ172))</f>
        <v>10000</v>
      </c>
      <c r="AO172" s="32">
        <v>0.0</v>
      </c>
      <c r="AP172" s="32">
        <v>0.0</v>
      </c>
      <c r="AQ172" s="32">
        <v>0.0</v>
      </c>
      <c r="AR172" s="32">
        <v>0.0</v>
      </c>
      <c r="AS172" s="32">
        <v>0.0</v>
      </c>
      <c r="AT172" s="32">
        <v>0.0</v>
      </c>
      <c r="AU172" s="32">
        <f t="shared" si="30"/>
        <v>0</v>
      </c>
      <c r="AV172" s="32">
        <f t="shared" si="31"/>
        <v>0</v>
      </c>
      <c r="AW172" s="32">
        <f t="shared" si="32"/>
        <v>0</v>
      </c>
      <c r="AX172" s="32">
        <f t="shared" si="33"/>
        <v>0</v>
      </c>
      <c r="AY172" s="32">
        <f t="shared" si="34"/>
        <v>0</v>
      </c>
      <c r="AZ172" s="32">
        <f t="shared" si="35"/>
        <v>0</v>
      </c>
      <c r="BA172" s="32">
        <f t="shared" si="36"/>
        <v>0</v>
      </c>
      <c r="BB172" s="32">
        <f t="shared" si="37"/>
        <v>0</v>
      </c>
      <c r="BC172" s="32">
        <f t="shared" si="38"/>
        <v>0</v>
      </c>
      <c r="BD172" s="32">
        <f t="shared" si="39"/>
        <v>0</v>
      </c>
      <c r="BE172" s="32">
        <f t="shared" si="11"/>
        <v>0</v>
      </c>
      <c r="BF172" s="32">
        <v>0.0</v>
      </c>
      <c r="BG172" s="32">
        <f t="shared" si="40"/>
        <v>5500</v>
      </c>
      <c r="BH172" s="32">
        <v>0.0</v>
      </c>
      <c r="BI172" s="32">
        <f t="shared" si="41"/>
        <v>5000</v>
      </c>
      <c r="BJ172" s="32">
        <f>IF(OR(B172&lt;Assumptions!$B$111,AND(B172=Assumptions!$B$111,A172&lt;=Assumptions!$B$112)),Assumptions!$B$110,0)</f>
        <v>0</v>
      </c>
      <c r="BK172" s="32">
        <f>IF(B172&lt;2027,Assumptions!$B$116+IF(OR(A172=4,A172=10),Assumptions!$B$117,0),IF(AND(B172=2027,A172&lt;=4),IF(A172=4,MIN(950,Assumptions!$B$116+Assumptions!$B$117),Assumptions!$B$116),0))</f>
        <v>0</v>
      </c>
      <c r="BL172" s="32">
        <f>IF(OR(B172&lt;2030,AND(B172=2030,A172&lt;8)),Assumptions!$B$118,IF(AND(B172=2030,A172=8),MOD(11000,200),0))</f>
        <v>0</v>
      </c>
      <c r="BM172" s="32">
        <f>IF(OR(B172&lt;Assumptions!$B$120,AND(B172=Assumptions!$B$120,A172&lt;=Assumptions!$B$121)),Assumptions!$B$119,0)</f>
        <v>0</v>
      </c>
      <c r="BN172" s="32">
        <f>IF(AND(B172&lt;=Assumptions!$B$123,A172&lt;=Assumptions!$B$124),Assumptions!$B$122,0)</f>
        <v>0</v>
      </c>
      <c r="BO172" s="32">
        <f t="shared" si="12"/>
        <v>0</v>
      </c>
      <c r="BP172" s="32">
        <f>SUMIFS(SL_Budget!$B:$B,SL_Budget!$C:$C,"'"&amp;TEXT(DATE(B172,A172,1),"YYYY-MM"))</f>
        <v>6219</v>
      </c>
      <c r="BQ172" s="32">
        <f>MAX(BP172, IFERROR(SUMIFS(ShadowLedger!D:D, 
  ShadowLedger!C:C, "&gt;="&amp;DATE(B172,A172,1), 
  ShadowLedger!C:C, "&lt;"&amp;EOMONTH(DATE(B172,A172,1),0)+1), 0))
</f>
        <v>6219</v>
      </c>
      <c r="BR172" s="32">
        <f t="shared" si="42"/>
        <v>4035503.45</v>
      </c>
      <c r="BS172" s="32">
        <f t="shared" si="43"/>
        <v>3485.9446</v>
      </c>
      <c r="BT172" s="32">
        <f>IF(BY171&gt;=Assumptions!$B$92,MAX(0,(AM172-BE172-BO172-BQ172)-Assumptions!$B$93),MAX(0,(AM172-BE172-BO172-BQ172)-Assumptions!$B$93)*Assumptions!$B$99)</f>
        <v>21458.4452</v>
      </c>
      <c r="BU172" s="32">
        <f>(BR172+BS172+MAX(0,BT172))*(Assumptions!$B$43-1)</f>
        <v>27684.13337</v>
      </c>
      <c r="BV172" s="32">
        <f t="shared" si="13"/>
        <v>4088131.973</v>
      </c>
      <c r="BW172" s="32">
        <f t="shared" si="44"/>
        <v>15476.04728</v>
      </c>
      <c r="BX172" s="32">
        <f>IF(BY171&lt;Assumptions!$B$92,MAX(0,(AM172-BE172-BO172-BQ172)-Assumptions!$B$93)*Assumptions!$B$98,0)</f>
        <v>0</v>
      </c>
      <c r="BY172" s="32">
        <f t="shared" si="14"/>
        <v>15476.04728</v>
      </c>
      <c r="BZ172" s="32">
        <f t="shared" si="45"/>
        <v>17720</v>
      </c>
      <c r="CA172" s="32">
        <f t="shared" si="15"/>
        <v>8860</v>
      </c>
      <c r="CB172" s="32">
        <f t="shared" si="16"/>
        <v>26580</v>
      </c>
      <c r="CC172" s="55">
        <f>CC171+(G172+J172)/(Salary_Schedule!E172*12/208)</f>
        <v>1872.642347</v>
      </c>
      <c r="CD172" s="55">
        <f>CD171+(O172+R172)/(Salary_Schedule!G172*12/208)</f>
        <v>210.1737408</v>
      </c>
      <c r="CE172" s="32">
        <f t="shared" si="17"/>
        <v>4088131.973</v>
      </c>
      <c r="CF172" s="32">
        <f>Assumptions!$B$55*(1+Assumptions!$B$56)^((B172-2025)+(A172-1)/12)</f>
        <v>651735.9103</v>
      </c>
      <c r="CG172" s="32">
        <f t="shared" si="18"/>
        <v>0</v>
      </c>
      <c r="CH172" s="32">
        <f t="shared" si="19"/>
        <v>-10500</v>
      </c>
      <c r="CI172" s="32">
        <f>CC172*(Salary_Schedule!E172/173.33)*(1-Assumptions!$B$28)+CD172*(Salary_Schedule!G172/173.33)*(1-Assumptions!$B$28)</f>
        <v>110328.239</v>
      </c>
      <c r="CJ172" s="32">
        <f t="shared" si="20"/>
        <v>4839696.122</v>
      </c>
    </row>
    <row r="173" ht="15.0" customHeight="1">
      <c r="A173" s="1">
        <v>4.0</v>
      </c>
      <c r="B173" s="1">
        <v>2040.0</v>
      </c>
      <c r="C173" s="1" t="s">
        <v>842</v>
      </c>
      <c r="D173" s="1" t="str">
        <f t="shared" si="21"/>
        <v>03/2040</v>
      </c>
      <c r="E173" s="1" t="str">
        <f t="shared" si="2"/>
        <v>FAT_BONUS</v>
      </c>
      <c r="F173" s="32">
        <f>Salary_Schedule!E173</f>
        <v>14585</v>
      </c>
      <c r="G173" s="32">
        <f>Assumptions!$B$8</f>
        <v>200</v>
      </c>
      <c r="H173" s="32">
        <f>F173*Assumptions!$B$58</f>
        <v>1458.5</v>
      </c>
      <c r="I173" s="32">
        <f>Salary_Schedule!F173</f>
        <v>19444.91</v>
      </c>
      <c r="J173" s="32">
        <f>I173*Assumptions!$B$9</f>
        <v>6805.7185</v>
      </c>
      <c r="K173" s="54">
        <f t="shared" si="3"/>
        <v>25565.6915</v>
      </c>
      <c r="L173" s="32">
        <f>IF(COUNTIFS(SL_Income_Log!$B:$B,TEXT(B173,"0000")&amp;"-"&amp;TEXT(A173,"00"),SL_Income_Log!$C:$C,"salary",SL_Income_Log!$E:$E,"H")&gt;0,SUMIFS(SL_Income_Log!$D:$D,SL_Income_Log!$B:$B,TEXT(B173,"0000")&amp;"-"&amp;TEXT(A173,"00"),SL_Income_Log!$C:$C,"salary",SL_Income_Log!$E:$E,"H"),K173*(1-Assumptions!$B$102)-Z173-Y173)</f>
        <v>15339.4149</v>
      </c>
      <c r="M173" s="32">
        <f>RSU_Schedule!H172</f>
        <v>2784.99</v>
      </c>
      <c r="N173" s="32">
        <f>Salary_Schedule!G173</f>
        <v>10028.89</v>
      </c>
      <c r="O173" s="32">
        <f>Assumptions!$B$19</f>
        <v>200</v>
      </c>
      <c r="P173" s="32">
        <f>N173*Assumptions!$B$59</f>
        <v>1002.889</v>
      </c>
      <c r="Q173" s="32">
        <f>Salary_Schedule!H173</f>
        <v>13372.04</v>
      </c>
      <c r="R173" s="32">
        <f>Q173*Assumptions!$B$20</f>
        <v>4680.214</v>
      </c>
      <c r="S173" s="54">
        <f t="shared" si="4"/>
        <v>17517.827</v>
      </c>
      <c r="T173" s="32">
        <f>IF(COUNTIFS(SL_Income_Log!$B:$B,TEXT(B173,"0000")&amp;"-"&amp;TEXT(A173,"00"),SL_Income_Log!$C:$C,"salary",SL_Income_Log!$E:$E,"W")&gt;0,SUMIFS(SL_Income_Log!$D:$D,SL_Income_Log!$B:$B,TEXT(B173,"0000")&amp;"-"&amp;TEXT(A173,"00"),SL_Income_Log!$C:$C,"salary",SL_Income_Log!$E:$E,"W"),S173*(1-Assumptions!$B$102)-AC173-AB173)
</f>
        <v>10510.6962</v>
      </c>
      <c r="U173" s="32">
        <f>RSU_Schedule!M172</f>
        <v>1392.51</v>
      </c>
      <c r="V173" s="32">
        <f>H173*(1+Assumptions!$B$60)+Assumptions!$B$61</f>
        <v>2061.9</v>
      </c>
      <c r="W173" s="32">
        <f>P173*(1+Assumptions!$B$60)+Assumptions!$B$61</f>
        <v>1424.0446</v>
      </c>
      <c r="X173" s="32">
        <f t="shared" si="5"/>
        <v>3485.9446</v>
      </c>
      <c r="Y173" s="32">
        <v>0.0</v>
      </c>
      <c r="Z173" s="32">
        <v>0.0</v>
      </c>
      <c r="AA173" s="32">
        <v>0.0</v>
      </c>
      <c r="AB173" s="32">
        <v>0.0</v>
      </c>
      <c r="AC173" s="32">
        <v>0.0</v>
      </c>
      <c r="AD173" s="32">
        <v>0.0</v>
      </c>
      <c r="AE173" s="32">
        <f t="shared" ref="AE173:AF173" si="214">Z173+AC173</f>
        <v>0</v>
      </c>
      <c r="AF173" s="32">
        <f t="shared" si="214"/>
        <v>0</v>
      </c>
      <c r="AG173" s="32">
        <f>IF(COUNTIFS(SL_Income_Log!$B:$B,TEXT(B173,"0000")&amp;"-"&amp;TEXT(A173,"00"),SL_Income_Log!$C:$C,"youtube")&gt;0,SUMIFS(SL_Income_Log!$D:$D,SL_Income_Log!$B:$B,TEXT(B173,"0000")&amp;"-"&amp;TEXT(A173,"00"),SL_Income_Log!$C:$C,"youtube"),MIN(Assumptions!$B$49+FLOOR((ROW()-2)/6,1)*Assumptions!$B$50,Assumptions!$B$51))
</f>
        <v>20000</v>
      </c>
      <c r="AH173" s="32">
        <f>AG173*Assumptions!$B$104</f>
        <v>8860</v>
      </c>
      <c r="AI173" s="32">
        <f t="shared" si="7"/>
        <v>11140</v>
      </c>
      <c r="AJ173" s="32">
        <f>SUMIFS(SL_Income_Log!$D:$D,SL_Income_Log!$B:$B,TEXT(B173,"0000")&amp;"-"&amp;TEXT(A173,"00"),SL_Income_Log!$C:$C,"other")</f>
        <v>0</v>
      </c>
      <c r="AK173" s="32">
        <f t="shared" si="27"/>
        <v>10000</v>
      </c>
      <c r="AL173" s="32">
        <f>L173+M173+T173+U173+AI173+AJ173-Y173-Z173-AB173-AC173+IF((Debt_Register!$C$2+Debt_Register!$C$6+Debt_Register!$C$7+Debt_Register!$C$8+Debt_Register!$C$9)&gt;5,X173,0)</f>
        <v>44653.5557</v>
      </c>
      <c r="AM173" s="32">
        <f t="shared" si="8"/>
        <v>54653.5557</v>
      </c>
      <c r="AN173" s="32">
        <f>MAX(Assumptions!$B$94,MIN(Assumptions!$B$93,AM173-AP173-BE173-BO173-BQ173))</f>
        <v>10000</v>
      </c>
      <c r="AO173" s="32">
        <v>0.0</v>
      </c>
      <c r="AP173" s="32">
        <v>0.0</v>
      </c>
      <c r="AQ173" s="32">
        <v>0.0</v>
      </c>
      <c r="AR173" s="32">
        <v>0.0</v>
      </c>
      <c r="AS173" s="32">
        <v>0.0</v>
      </c>
      <c r="AT173" s="32">
        <v>0.0</v>
      </c>
      <c r="AU173" s="32">
        <f t="shared" si="30"/>
        <v>0</v>
      </c>
      <c r="AV173" s="32">
        <f t="shared" si="31"/>
        <v>0</v>
      </c>
      <c r="AW173" s="32">
        <f t="shared" si="32"/>
        <v>0</v>
      </c>
      <c r="AX173" s="32">
        <f t="shared" si="33"/>
        <v>0</v>
      </c>
      <c r="AY173" s="32">
        <f t="shared" si="34"/>
        <v>0</v>
      </c>
      <c r="AZ173" s="32">
        <f t="shared" si="35"/>
        <v>0</v>
      </c>
      <c r="BA173" s="32">
        <f t="shared" si="36"/>
        <v>0</v>
      </c>
      <c r="BB173" s="32">
        <f t="shared" si="37"/>
        <v>0</v>
      </c>
      <c r="BC173" s="32">
        <f t="shared" si="38"/>
        <v>0</v>
      </c>
      <c r="BD173" s="32">
        <f t="shared" si="39"/>
        <v>0</v>
      </c>
      <c r="BE173" s="32">
        <f t="shared" si="11"/>
        <v>0</v>
      </c>
      <c r="BF173" s="32">
        <v>0.0</v>
      </c>
      <c r="BG173" s="32">
        <f t="shared" si="40"/>
        <v>5500</v>
      </c>
      <c r="BH173" s="32">
        <v>0.0</v>
      </c>
      <c r="BI173" s="32">
        <f t="shared" si="41"/>
        <v>5000</v>
      </c>
      <c r="BJ173" s="32">
        <f>IF(OR(B173&lt;Assumptions!$B$111,AND(B173=Assumptions!$B$111,A173&lt;=Assumptions!$B$112)),Assumptions!$B$110,0)</f>
        <v>0</v>
      </c>
      <c r="BK173" s="32">
        <f>IF(B173&lt;2027,Assumptions!$B$116+IF(OR(A173=4,A173=10),Assumptions!$B$117,0),IF(AND(B173=2027,A173&lt;=4),IF(A173=4,MIN(950,Assumptions!$B$116+Assumptions!$B$117),Assumptions!$B$116),0))</f>
        <v>0</v>
      </c>
      <c r="BL173" s="32">
        <f>IF(OR(B173&lt;2030,AND(B173=2030,A173&lt;8)),Assumptions!$B$118,IF(AND(B173=2030,A173=8),MOD(11000,200),0))</f>
        <v>0</v>
      </c>
      <c r="BM173" s="32">
        <f>IF(OR(B173&lt;Assumptions!$B$120,AND(B173=Assumptions!$B$120,A173&lt;=Assumptions!$B$121)),Assumptions!$B$119,0)</f>
        <v>0</v>
      </c>
      <c r="BN173" s="32">
        <f>IF(AND(B173&lt;=Assumptions!$B$123,A173&lt;=Assumptions!$B$124),Assumptions!$B$122,0)</f>
        <v>0</v>
      </c>
      <c r="BO173" s="32">
        <f t="shared" si="12"/>
        <v>0</v>
      </c>
      <c r="BP173" s="32">
        <f>SUMIFS(SL_Budget!$B:$B,SL_Budget!$C:$C,"'"&amp;TEXT(DATE(B173,A173,1),"YYYY-MM"))</f>
        <v>6219</v>
      </c>
      <c r="BQ173" s="32">
        <f>MAX(BP173, IFERROR(SUMIFS(ShadowLedger!D:D, 
  ShadowLedger!C:C, "&gt;="&amp;DATE(B173,A173,1), 
  ShadowLedger!C:C, "&lt;"&amp;EOMONTH(DATE(B173,A173,1),0)+1), 0))
</f>
        <v>6219</v>
      </c>
      <c r="BR173" s="32">
        <f t="shared" si="42"/>
        <v>4088131.973</v>
      </c>
      <c r="BS173" s="32">
        <f t="shared" si="43"/>
        <v>3485.9446</v>
      </c>
      <c r="BT173" s="32">
        <f>IF(BY172&gt;=Assumptions!$B$92,MAX(0,(AM173-BE173-BO173-BQ173)-Assumptions!$B$93),MAX(0,(AM173-BE173-BO173-BQ173)-Assumptions!$B$93)*Assumptions!$B$99)</f>
        <v>38434.5557</v>
      </c>
      <c r="BU173" s="32">
        <f>(BR173+BS173+MAX(0,BT173))*(Assumptions!$B$43-1)</f>
        <v>28158.69776</v>
      </c>
      <c r="BV173" s="32">
        <f t="shared" si="13"/>
        <v>4158211.171</v>
      </c>
      <c r="BW173" s="32">
        <f t="shared" si="44"/>
        <v>15476.04728</v>
      </c>
      <c r="BX173" s="32">
        <f>IF(BY172&lt;Assumptions!$B$92,MAX(0,(AM173-BE173-BO173-BQ173)-Assumptions!$B$93)*Assumptions!$B$98,0)</f>
        <v>0</v>
      </c>
      <c r="BY173" s="32">
        <f t="shared" si="14"/>
        <v>15476.04728</v>
      </c>
      <c r="BZ173" s="32">
        <f t="shared" si="45"/>
        <v>26580</v>
      </c>
      <c r="CA173" s="32">
        <f t="shared" si="15"/>
        <v>8860</v>
      </c>
      <c r="CB173" s="32">
        <f t="shared" si="16"/>
        <v>35440</v>
      </c>
      <c r="CC173" s="55">
        <f>CC172+(G173+J173)/(Salary_Schedule!E173*12/208)</f>
        <v>1880.968192</v>
      </c>
      <c r="CD173" s="55">
        <f>CD172+(O173+R173)/(Salary_Schedule!G173*12/208)</f>
        <v>218.6084106</v>
      </c>
      <c r="CE173" s="32">
        <f t="shared" si="17"/>
        <v>4158211.171</v>
      </c>
      <c r="CF173" s="32">
        <f>Assumptions!$B$55*(1+Assumptions!$B$56)^((B173-2025)+(A173-1)/12)</f>
        <v>652545.0325</v>
      </c>
      <c r="CG173" s="32">
        <f t="shared" si="18"/>
        <v>0</v>
      </c>
      <c r="CH173" s="32">
        <f t="shared" si="19"/>
        <v>-10500</v>
      </c>
      <c r="CI173" s="32">
        <f>CC173*(Salary_Schedule!E173/173.33)*(1-Assumptions!$B$28)+CD173*(Salary_Schedule!G173/173.33)*(1-Assumptions!$B$28)</f>
        <v>111100.8395</v>
      </c>
      <c r="CJ173" s="32">
        <f t="shared" si="20"/>
        <v>4911357.043</v>
      </c>
    </row>
    <row r="174" ht="15.0" customHeight="1">
      <c r="A174" s="1">
        <v>5.0</v>
      </c>
      <c r="B174" s="1">
        <v>2040.0</v>
      </c>
      <c r="C174" s="1" t="s">
        <v>843</v>
      </c>
      <c r="D174" s="1" t="str">
        <f t="shared" si="21"/>
        <v>04/2040</v>
      </c>
      <c r="E174" s="1" t="str">
        <f t="shared" si="2"/>
        <v>LEAN</v>
      </c>
      <c r="F174" s="32">
        <f>Salary_Schedule!E174</f>
        <v>14585</v>
      </c>
      <c r="G174" s="32">
        <f>Assumptions!$B$8</f>
        <v>200</v>
      </c>
      <c r="H174" s="32">
        <f>F174*Assumptions!$B$58</f>
        <v>1458.5</v>
      </c>
      <c r="I174" s="32">
        <f>Salary_Schedule!F174</f>
        <v>0</v>
      </c>
      <c r="J174" s="32">
        <f>I174*Assumptions!$B$9</f>
        <v>0</v>
      </c>
      <c r="K174" s="54">
        <f t="shared" si="3"/>
        <v>12926.5</v>
      </c>
      <c r="L174" s="32">
        <f>IF(COUNTIFS(SL_Income_Log!$B:$B,TEXT(B174,"0000")&amp;"-"&amp;TEXT(A174,"00"),SL_Income_Log!$C:$C,"salary",SL_Income_Log!$E:$E,"H")&gt;0,SUMIFS(SL_Income_Log!$D:$D,SL_Income_Log!$B:$B,TEXT(B174,"0000")&amp;"-"&amp;TEXT(A174,"00"),SL_Income_Log!$C:$C,"salary",SL_Income_Log!$E:$E,"H"),K174*(1-Assumptions!$B$102)-Z174-Y174)</f>
        <v>7755.9</v>
      </c>
      <c r="M174" s="32">
        <f>RSU_Schedule!H173</f>
        <v>0</v>
      </c>
      <c r="N174" s="32">
        <f>Salary_Schedule!G174</f>
        <v>10028.89</v>
      </c>
      <c r="O174" s="32">
        <f>Assumptions!$B$19</f>
        <v>200</v>
      </c>
      <c r="P174" s="32">
        <f>N174*Assumptions!$B$59</f>
        <v>1002.889</v>
      </c>
      <c r="Q174" s="32">
        <f>Salary_Schedule!H174</f>
        <v>0</v>
      </c>
      <c r="R174" s="32">
        <f>Q174*Assumptions!$B$20</f>
        <v>0</v>
      </c>
      <c r="S174" s="54">
        <f t="shared" si="4"/>
        <v>8826.001</v>
      </c>
      <c r="T174" s="32">
        <f>IF(COUNTIFS(SL_Income_Log!$B:$B,TEXT(B174,"0000")&amp;"-"&amp;TEXT(A174,"00"),SL_Income_Log!$C:$C,"salary",SL_Income_Log!$E:$E,"W")&gt;0,SUMIFS(SL_Income_Log!$D:$D,SL_Income_Log!$B:$B,TEXT(B174,"0000")&amp;"-"&amp;TEXT(A174,"00"),SL_Income_Log!$C:$C,"salary",SL_Income_Log!$E:$E,"W"),S174*(1-Assumptions!$B$102)-AC174-AB174)
</f>
        <v>5295.6006</v>
      </c>
      <c r="U174" s="32">
        <f>RSU_Schedule!M173</f>
        <v>0</v>
      </c>
      <c r="V174" s="32">
        <f>H174*(1+Assumptions!$B$60)+Assumptions!$B$61</f>
        <v>2061.9</v>
      </c>
      <c r="W174" s="32">
        <f>P174*(1+Assumptions!$B$60)+Assumptions!$B$61</f>
        <v>1424.0446</v>
      </c>
      <c r="X174" s="32">
        <f t="shared" si="5"/>
        <v>3485.9446</v>
      </c>
      <c r="Y174" s="32">
        <v>0.0</v>
      </c>
      <c r="Z174" s="32">
        <v>0.0</v>
      </c>
      <c r="AA174" s="32">
        <v>0.0</v>
      </c>
      <c r="AB174" s="32">
        <v>0.0</v>
      </c>
      <c r="AC174" s="32">
        <v>0.0</v>
      </c>
      <c r="AD174" s="32">
        <v>0.0</v>
      </c>
      <c r="AE174" s="32">
        <f t="shared" ref="AE174:AF174" si="215">Z174+AC174</f>
        <v>0</v>
      </c>
      <c r="AF174" s="32">
        <f t="shared" si="215"/>
        <v>0</v>
      </c>
      <c r="AG174" s="32">
        <f>IF(COUNTIFS(SL_Income_Log!$B:$B,TEXT(B174,"0000")&amp;"-"&amp;TEXT(A174,"00"),SL_Income_Log!$C:$C,"youtube")&gt;0,SUMIFS(SL_Income_Log!$D:$D,SL_Income_Log!$B:$B,TEXT(B174,"0000")&amp;"-"&amp;TEXT(A174,"00"),SL_Income_Log!$C:$C,"youtube"),MIN(Assumptions!$B$49+FLOOR((ROW()-2)/6,1)*Assumptions!$B$50,Assumptions!$B$51))
</f>
        <v>20000</v>
      </c>
      <c r="AH174" s="32">
        <f>AG174*Assumptions!$B$104</f>
        <v>8860</v>
      </c>
      <c r="AI174" s="32">
        <f t="shared" si="7"/>
        <v>11140</v>
      </c>
      <c r="AJ174" s="32">
        <f>SUMIFS(SL_Income_Log!$D:$D,SL_Income_Log!$B:$B,TEXT(B174,"0000")&amp;"-"&amp;TEXT(A174,"00"),SL_Income_Log!$C:$C,"other")</f>
        <v>0</v>
      </c>
      <c r="AK174" s="32">
        <f t="shared" si="27"/>
        <v>10000</v>
      </c>
      <c r="AL174" s="32">
        <f>L174+M174+T174+U174+AI174+AJ174-Y174-Z174-AB174-AC174+IF((Debt_Register!$C$2+Debt_Register!$C$6+Debt_Register!$C$7+Debt_Register!$C$8+Debt_Register!$C$9)&gt;5,X174,0)</f>
        <v>27677.4452</v>
      </c>
      <c r="AM174" s="32">
        <f t="shared" si="8"/>
        <v>37677.4452</v>
      </c>
      <c r="AN174" s="32">
        <f>MAX(Assumptions!$B$94,MIN(Assumptions!$B$93,AM174-AP174-BE174-BO174-BQ174))</f>
        <v>10000</v>
      </c>
      <c r="AO174" s="32">
        <v>0.0</v>
      </c>
      <c r="AP174" s="32">
        <v>0.0</v>
      </c>
      <c r="AQ174" s="32">
        <v>0.0</v>
      </c>
      <c r="AR174" s="32">
        <v>0.0</v>
      </c>
      <c r="AS174" s="32">
        <v>0.0</v>
      </c>
      <c r="AT174" s="32">
        <v>0.0</v>
      </c>
      <c r="AU174" s="32">
        <f t="shared" si="30"/>
        <v>0</v>
      </c>
      <c r="AV174" s="32">
        <f t="shared" si="31"/>
        <v>0</v>
      </c>
      <c r="AW174" s="32">
        <f t="shared" si="32"/>
        <v>0</v>
      </c>
      <c r="AX174" s="32">
        <f t="shared" si="33"/>
        <v>0</v>
      </c>
      <c r="AY174" s="32">
        <f t="shared" si="34"/>
        <v>0</v>
      </c>
      <c r="AZ174" s="32">
        <f t="shared" si="35"/>
        <v>0</v>
      </c>
      <c r="BA174" s="32">
        <f t="shared" si="36"/>
        <v>0</v>
      </c>
      <c r="BB174" s="32">
        <f t="shared" si="37"/>
        <v>0</v>
      </c>
      <c r="BC174" s="32">
        <f t="shared" si="38"/>
        <v>0</v>
      </c>
      <c r="BD174" s="32">
        <f t="shared" si="39"/>
        <v>0</v>
      </c>
      <c r="BE174" s="32">
        <f t="shared" si="11"/>
        <v>0</v>
      </c>
      <c r="BF174" s="32">
        <v>0.0</v>
      </c>
      <c r="BG174" s="32">
        <f t="shared" si="40"/>
        <v>5500</v>
      </c>
      <c r="BH174" s="32">
        <v>0.0</v>
      </c>
      <c r="BI174" s="32">
        <f t="shared" si="41"/>
        <v>5000</v>
      </c>
      <c r="BJ174" s="32">
        <f>IF(OR(B174&lt;Assumptions!$B$111,AND(B174=Assumptions!$B$111,A174&lt;=Assumptions!$B$112)),Assumptions!$B$110,0)</f>
        <v>0</v>
      </c>
      <c r="BK174" s="32">
        <f>IF(B174&lt;2027,Assumptions!$B$116+IF(OR(A174=4,A174=10),Assumptions!$B$117,0),IF(AND(B174=2027,A174&lt;=4),IF(A174=4,MIN(950,Assumptions!$B$116+Assumptions!$B$117),Assumptions!$B$116),0))</f>
        <v>0</v>
      </c>
      <c r="BL174" s="32">
        <f>IF(OR(B174&lt;2030,AND(B174=2030,A174&lt;8)),Assumptions!$B$118,IF(AND(B174=2030,A174=8),MOD(11000,200),0))</f>
        <v>0</v>
      </c>
      <c r="BM174" s="32">
        <f>IF(OR(B174&lt;Assumptions!$B$120,AND(B174=Assumptions!$B$120,A174&lt;=Assumptions!$B$121)),Assumptions!$B$119,0)</f>
        <v>0</v>
      </c>
      <c r="BN174" s="32">
        <f>IF(AND(B174&lt;=Assumptions!$B$123,A174&lt;=Assumptions!$B$124),Assumptions!$B$122,0)</f>
        <v>0</v>
      </c>
      <c r="BO174" s="32">
        <f t="shared" si="12"/>
        <v>0</v>
      </c>
      <c r="BP174" s="32">
        <f>SUMIFS(SL_Budget!$B:$B,SL_Budget!$C:$C,"'"&amp;TEXT(DATE(B174,A174,1),"YYYY-MM"))</f>
        <v>6219</v>
      </c>
      <c r="BQ174" s="32">
        <f>MAX(BP174, IFERROR(SUMIFS(ShadowLedger!D:D, 
  ShadowLedger!C:C, "&gt;="&amp;DATE(B174,A174,1), 
  ShadowLedger!C:C, "&lt;"&amp;EOMONTH(DATE(B174,A174,1),0)+1), 0))
</f>
        <v>6219</v>
      </c>
      <c r="BR174" s="32">
        <f t="shared" si="42"/>
        <v>4158211.171</v>
      </c>
      <c r="BS174" s="32">
        <f t="shared" si="43"/>
        <v>3485.9446</v>
      </c>
      <c r="BT174" s="32">
        <f>IF(BY173&gt;=Assumptions!$B$92,MAX(0,(AM174-BE174-BO174-BQ174)-Assumptions!$B$93),MAX(0,(AM174-BE174-BO174-BQ174)-Assumptions!$B$93)*Assumptions!$B$99)</f>
        <v>21458.4452</v>
      </c>
      <c r="BU174" s="32">
        <f>(BR174+BS174+MAX(0,BT174))*(Assumptions!$B$43-1)</f>
        <v>28520.75461</v>
      </c>
      <c r="BV174" s="32">
        <f t="shared" si="13"/>
        <v>4211676.315</v>
      </c>
      <c r="BW174" s="32">
        <f t="shared" si="44"/>
        <v>15476.04728</v>
      </c>
      <c r="BX174" s="32">
        <f>IF(BY173&lt;Assumptions!$B$92,MAX(0,(AM174-BE174-BO174-BQ174)-Assumptions!$B$93)*Assumptions!$B$98,0)</f>
        <v>0</v>
      </c>
      <c r="BY174" s="32">
        <f t="shared" si="14"/>
        <v>15476.04728</v>
      </c>
      <c r="BZ174" s="32">
        <f t="shared" si="45"/>
        <v>35440</v>
      </c>
      <c r="CA174" s="32">
        <f t="shared" si="15"/>
        <v>8860</v>
      </c>
      <c r="CB174" s="32">
        <f t="shared" si="16"/>
        <v>44300</v>
      </c>
      <c r="CC174" s="55">
        <f>CC173+(G174+J174)/(Salary_Schedule!E174*12/208)</f>
        <v>1881.20588</v>
      </c>
      <c r="CD174" s="55">
        <f>CD173+(O174+R174)/(Salary_Schedule!G174*12/208)</f>
        <v>218.9540786</v>
      </c>
      <c r="CE174" s="32">
        <f t="shared" si="17"/>
        <v>4211676.315</v>
      </c>
      <c r="CF174" s="32">
        <f>Assumptions!$B$55*(1+Assumptions!$B$56)^((B174-2025)+(A174-1)/12)</f>
        <v>653355.1591</v>
      </c>
      <c r="CG174" s="32">
        <f t="shared" si="18"/>
        <v>0</v>
      </c>
      <c r="CH174" s="32">
        <f t="shared" si="19"/>
        <v>-10500</v>
      </c>
      <c r="CI174" s="32">
        <f>CC174*(Salary_Schedule!E174/173.33)*(1-Assumptions!$B$28)+CD174*(Salary_Schedule!G174/173.33)*(1-Assumptions!$B$28)</f>
        <v>111126.84</v>
      </c>
      <c r="CJ174" s="32">
        <f t="shared" si="20"/>
        <v>4965658.314</v>
      </c>
    </row>
    <row r="175" ht="15.0" customHeight="1">
      <c r="A175" s="1">
        <v>6.0</v>
      </c>
      <c r="B175" s="1">
        <v>2040.0</v>
      </c>
      <c r="C175" s="1" t="s">
        <v>844</v>
      </c>
      <c r="D175" s="1" t="str">
        <f t="shared" si="21"/>
        <v>05/2040</v>
      </c>
      <c r="E175" s="1" t="str">
        <f t="shared" si="2"/>
        <v>LEAN</v>
      </c>
      <c r="F175" s="32">
        <f>Salary_Schedule!E175</f>
        <v>14585</v>
      </c>
      <c r="G175" s="32">
        <f>Assumptions!$B$8</f>
        <v>200</v>
      </c>
      <c r="H175" s="32">
        <f>F175*Assumptions!$B$58</f>
        <v>1458.5</v>
      </c>
      <c r="I175" s="32">
        <f>Salary_Schedule!F175</f>
        <v>0</v>
      </c>
      <c r="J175" s="32">
        <f>I175*Assumptions!$B$9</f>
        <v>0</v>
      </c>
      <c r="K175" s="54">
        <f t="shared" si="3"/>
        <v>12926.5</v>
      </c>
      <c r="L175" s="32">
        <f>IF(COUNTIFS(SL_Income_Log!$B:$B,TEXT(B175,"0000")&amp;"-"&amp;TEXT(A175,"00"),SL_Income_Log!$C:$C,"salary",SL_Income_Log!$E:$E,"H")&gt;0,SUMIFS(SL_Income_Log!$D:$D,SL_Income_Log!$B:$B,TEXT(B175,"0000")&amp;"-"&amp;TEXT(A175,"00"),SL_Income_Log!$C:$C,"salary",SL_Income_Log!$E:$E,"H"),K175*(1-Assumptions!$B$102)-Z175-Y175)</f>
        <v>7755.9</v>
      </c>
      <c r="M175" s="32">
        <f>RSU_Schedule!H174</f>
        <v>0</v>
      </c>
      <c r="N175" s="32">
        <f>Salary_Schedule!G175</f>
        <v>10028.89</v>
      </c>
      <c r="O175" s="32">
        <f>Assumptions!$B$19</f>
        <v>200</v>
      </c>
      <c r="P175" s="32">
        <f>N175*Assumptions!$B$59</f>
        <v>1002.889</v>
      </c>
      <c r="Q175" s="32">
        <f>Salary_Schedule!H175</f>
        <v>0</v>
      </c>
      <c r="R175" s="32">
        <f>Q175*Assumptions!$B$20</f>
        <v>0</v>
      </c>
      <c r="S175" s="54">
        <f t="shared" si="4"/>
        <v>8826.001</v>
      </c>
      <c r="T175" s="32">
        <f>IF(COUNTIFS(SL_Income_Log!$B:$B,TEXT(B175,"0000")&amp;"-"&amp;TEXT(A175,"00"),SL_Income_Log!$C:$C,"salary",SL_Income_Log!$E:$E,"W")&gt;0,SUMIFS(SL_Income_Log!$D:$D,SL_Income_Log!$B:$B,TEXT(B175,"0000")&amp;"-"&amp;TEXT(A175,"00"),SL_Income_Log!$C:$C,"salary",SL_Income_Log!$E:$E,"W"),S175*(1-Assumptions!$B$102)-AC175-AB175)
</f>
        <v>5295.6006</v>
      </c>
      <c r="U175" s="32">
        <f>RSU_Schedule!M174</f>
        <v>0</v>
      </c>
      <c r="V175" s="32">
        <f>H175*(1+Assumptions!$B$60)+Assumptions!$B$61</f>
        <v>2061.9</v>
      </c>
      <c r="W175" s="32">
        <f>P175*(1+Assumptions!$B$60)+Assumptions!$B$61</f>
        <v>1424.0446</v>
      </c>
      <c r="X175" s="32">
        <f t="shared" si="5"/>
        <v>3485.9446</v>
      </c>
      <c r="Y175" s="32">
        <v>0.0</v>
      </c>
      <c r="Z175" s="32">
        <v>0.0</v>
      </c>
      <c r="AA175" s="32">
        <v>0.0</v>
      </c>
      <c r="AB175" s="32">
        <v>0.0</v>
      </c>
      <c r="AC175" s="32">
        <v>0.0</v>
      </c>
      <c r="AD175" s="32">
        <v>0.0</v>
      </c>
      <c r="AE175" s="32">
        <f t="shared" ref="AE175:AF175" si="216">Z175+AC175</f>
        <v>0</v>
      </c>
      <c r="AF175" s="32">
        <f t="shared" si="216"/>
        <v>0</v>
      </c>
      <c r="AG175" s="32">
        <f>IF(COUNTIFS(SL_Income_Log!$B:$B,TEXT(B175,"0000")&amp;"-"&amp;TEXT(A175,"00"),SL_Income_Log!$C:$C,"youtube")&gt;0,SUMIFS(SL_Income_Log!$D:$D,SL_Income_Log!$B:$B,TEXT(B175,"0000")&amp;"-"&amp;TEXT(A175,"00"),SL_Income_Log!$C:$C,"youtube"),MIN(Assumptions!$B$49+FLOOR((ROW()-2)/6,1)*Assumptions!$B$50,Assumptions!$B$51))
</f>
        <v>20000</v>
      </c>
      <c r="AH175" s="32">
        <f>AG175*Assumptions!$B$104</f>
        <v>8860</v>
      </c>
      <c r="AI175" s="32">
        <f t="shared" si="7"/>
        <v>11140</v>
      </c>
      <c r="AJ175" s="32">
        <f>SUMIFS(SL_Income_Log!$D:$D,SL_Income_Log!$B:$B,TEXT(B175,"0000")&amp;"-"&amp;TEXT(A175,"00"),SL_Income_Log!$C:$C,"other")</f>
        <v>0</v>
      </c>
      <c r="AK175" s="32">
        <f t="shared" si="27"/>
        <v>10000</v>
      </c>
      <c r="AL175" s="32">
        <f>L175+M175+T175+U175+AI175+AJ175-Y175-Z175-AB175-AC175+IF((Debt_Register!$C$2+Debt_Register!$C$6+Debt_Register!$C$7+Debt_Register!$C$8+Debt_Register!$C$9)&gt;5,X175,0)</f>
        <v>27677.4452</v>
      </c>
      <c r="AM175" s="32">
        <f t="shared" si="8"/>
        <v>37677.4452</v>
      </c>
      <c r="AN175" s="32">
        <f>MAX(Assumptions!$B$94,MIN(Assumptions!$B$93,AM175-AP175-BE175-BO175-BQ175))</f>
        <v>10000</v>
      </c>
      <c r="AO175" s="32">
        <v>0.0</v>
      </c>
      <c r="AP175" s="32">
        <v>0.0</v>
      </c>
      <c r="AQ175" s="32">
        <v>0.0</v>
      </c>
      <c r="AR175" s="32">
        <v>0.0</v>
      </c>
      <c r="AS175" s="32">
        <v>0.0</v>
      </c>
      <c r="AT175" s="32">
        <v>0.0</v>
      </c>
      <c r="AU175" s="32">
        <f t="shared" si="30"/>
        <v>0</v>
      </c>
      <c r="AV175" s="32">
        <f t="shared" si="31"/>
        <v>0</v>
      </c>
      <c r="AW175" s="32">
        <f t="shared" si="32"/>
        <v>0</v>
      </c>
      <c r="AX175" s="32">
        <f t="shared" si="33"/>
        <v>0</v>
      </c>
      <c r="AY175" s="32">
        <f t="shared" si="34"/>
        <v>0</v>
      </c>
      <c r="AZ175" s="32">
        <f t="shared" si="35"/>
        <v>0</v>
      </c>
      <c r="BA175" s="32">
        <f t="shared" si="36"/>
        <v>0</v>
      </c>
      <c r="BB175" s="32">
        <f t="shared" si="37"/>
        <v>0</v>
      </c>
      <c r="BC175" s="32">
        <f t="shared" si="38"/>
        <v>0</v>
      </c>
      <c r="BD175" s="32">
        <f t="shared" si="39"/>
        <v>0</v>
      </c>
      <c r="BE175" s="32">
        <f t="shared" si="11"/>
        <v>0</v>
      </c>
      <c r="BF175" s="32">
        <v>0.0</v>
      </c>
      <c r="BG175" s="32">
        <f t="shared" si="40"/>
        <v>5500</v>
      </c>
      <c r="BH175" s="32">
        <v>0.0</v>
      </c>
      <c r="BI175" s="32">
        <f t="shared" si="41"/>
        <v>5000</v>
      </c>
      <c r="BJ175" s="32">
        <f>IF(OR(B175&lt;Assumptions!$B$111,AND(B175=Assumptions!$B$111,A175&lt;=Assumptions!$B$112)),Assumptions!$B$110,0)</f>
        <v>0</v>
      </c>
      <c r="BK175" s="32">
        <f>IF(B175&lt;2027,Assumptions!$B$116+IF(OR(A175=4,A175=10),Assumptions!$B$117,0),IF(AND(B175=2027,A175&lt;=4),IF(A175=4,MIN(950,Assumptions!$B$116+Assumptions!$B$117),Assumptions!$B$116),0))</f>
        <v>0</v>
      </c>
      <c r="BL175" s="32">
        <f>IF(OR(B175&lt;2030,AND(B175=2030,A175&lt;8)),Assumptions!$B$118,IF(AND(B175=2030,A175=8),MOD(11000,200),0))</f>
        <v>0</v>
      </c>
      <c r="BM175" s="32">
        <f>IF(OR(B175&lt;Assumptions!$B$120,AND(B175=Assumptions!$B$120,A175&lt;=Assumptions!$B$121)),Assumptions!$B$119,0)</f>
        <v>0</v>
      </c>
      <c r="BN175" s="32">
        <f>IF(AND(B175&lt;=Assumptions!$B$123,A175&lt;=Assumptions!$B$124),Assumptions!$B$122,0)</f>
        <v>0</v>
      </c>
      <c r="BO175" s="32">
        <f t="shared" si="12"/>
        <v>0</v>
      </c>
      <c r="BP175" s="32">
        <f>SUMIFS(SL_Budget!$B:$B,SL_Budget!$C:$C,"'"&amp;TEXT(DATE(B175,A175,1),"YYYY-MM"))</f>
        <v>6219</v>
      </c>
      <c r="BQ175" s="32">
        <f>MAX(BP175, IFERROR(SUMIFS(ShadowLedger!D:D, 
  ShadowLedger!C:C, "&gt;="&amp;DATE(B175,A175,1), 
  ShadowLedger!C:C, "&lt;"&amp;EOMONTH(DATE(B175,A175,1),0)+1), 0))
</f>
        <v>6219</v>
      </c>
      <c r="BR175" s="32">
        <f t="shared" si="42"/>
        <v>4211676.315</v>
      </c>
      <c r="BS175" s="32">
        <f t="shared" si="43"/>
        <v>3485.9446</v>
      </c>
      <c r="BT175" s="32">
        <f>IF(BY174&gt;=Assumptions!$B$92,MAX(0,(AM175-BE175-BO175-BQ175)-Assumptions!$B$93),MAX(0,(AM175-BE175-BO175-BQ175)-Assumptions!$B$93)*Assumptions!$B$99)</f>
        <v>21458.4452</v>
      </c>
      <c r="BU175" s="32">
        <f>(BR175+BS175+MAX(0,BT175))*(Assumptions!$B$43-1)</f>
        <v>28885.27997</v>
      </c>
      <c r="BV175" s="32">
        <f t="shared" si="13"/>
        <v>4265505.985</v>
      </c>
      <c r="BW175" s="32">
        <f t="shared" si="44"/>
        <v>15476.04728</v>
      </c>
      <c r="BX175" s="32">
        <f>IF(BY174&lt;Assumptions!$B$92,MAX(0,(AM175-BE175-BO175-BQ175)-Assumptions!$B$93)*Assumptions!$B$98,0)</f>
        <v>0</v>
      </c>
      <c r="BY175" s="32">
        <f t="shared" si="14"/>
        <v>15476.04728</v>
      </c>
      <c r="BZ175" s="32">
        <f t="shared" si="45"/>
        <v>44300</v>
      </c>
      <c r="CA175" s="32">
        <f t="shared" si="15"/>
        <v>8860</v>
      </c>
      <c r="CB175" s="32">
        <f t="shared" si="16"/>
        <v>53160</v>
      </c>
      <c r="CC175" s="55">
        <f>CC174+(G175+J175)/(Salary_Schedule!E175*12/208)</f>
        <v>1881.443567</v>
      </c>
      <c r="CD175" s="55">
        <f>CD174+(O175+R175)/(Salary_Schedule!G175*12/208)</f>
        <v>219.2997467</v>
      </c>
      <c r="CE175" s="32">
        <f t="shared" si="17"/>
        <v>4265505.985</v>
      </c>
      <c r="CF175" s="32">
        <f>Assumptions!$B$55*(1+Assumptions!$B$56)^((B175-2025)+(A175-1)/12)</f>
        <v>654166.2915</v>
      </c>
      <c r="CG175" s="32">
        <f t="shared" si="18"/>
        <v>0</v>
      </c>
      <c r="CH175" s="32">
        <f t="shared" si="19"/>
        <v>-10500</v>
      </c>
      <c r="CI175" s="32">
        <f>CC175*(Salary_Schedule!E175/173.33)*(1-Assumptions!$B$28)+CD175*(Salary_Schedule!G175/173.33)*(1-Assumptions!$B$28)</f>
        <v>111152.8405</v>
      </c>
      <c r="CJ175" s="32">
        <f t="shared" si="20"/>
        <v>5020325.117</v>
      </c>
    </row>
    <row r="176" ht="15.0" customHeight="1">
      <c r="A176" s="1">
        <v>7.0</v>
      </c>
      <c r="B176" s="1">
        <v>2040.0</v>
      </c>
      <c r="C176" s="1" t="s">
        <v>845</v>
      </c>
      <c r="D176" s="1" t="str">
        <f t="shared" si="21"/>
        <v>06/2040</v>
      </c>
      <c r="E176" s="1" t="str">
        <f t="shared" si="2"/>
        <v>FAT_RSU</v>
      </c>
      <c r="F176" s="32">
        <f>Salary_Schedule!E176</f>
        <v>14585</v>
      </c>
      <c r="G176" s="32">
        <f>Assumptions!$B$8</f>
        <v>200</v>
      </c>
      <c r="H176" s="32">
        <f>F176*Assumptions!$B$58</f>
        <v>1458.5</v>
      </c>
      <c r="I176" s="32">
        <f>Salary_Schedule!F176</f>
        <v>0</v>
      </c>
      <c r="J176" s="32">
        <f>I176*Assumptions!$B$9</f>
        <v>0</v>
      </c>
      <c r="K176" s="54">
        <f t="shared" si="3"/>
        <v>12926.5</v>
      </c>
      <c r="L176" s="32">
        <f>IF(COUNTIFS(SL_Income_Log!$B:$B,TEXT(B176,"0000")&amp;"-"&amp;TEXT(A176,"00"),SL_Income_Log!$C:$C,"salary",SL_Income_Log!$E:$E,"H")&gt;0,SUMIFS(SL_Income_Log!$D:$D,SL_Income_Log!$B:$B,TEXT(B176,"0000")&amp;"-"&amp;TEXT(A176,"00"),SL_Income_Log!$C:$C,"salary",SL_Income_Log!$E:$E,"H"),K176*(1-Assumptions!$B$102)-Z176-Y176)</f>
        <v>7755.9</v>
      </c>
      <c r="M176" s="32">
        <f>RSU_Schedule!H175</f>
        <v>2784.99</v>
      </c>
      <c r="N176" s="32">
        <f>Salary_Schedule!G176</f>
        <v>10028.89</v>
      </c>
      <c r="O176" s="32">
        <f>Assumptions!$B$19</f>
        <v>200</v>
      </c>
      <c r="P176" s="32">
        <f>N176*Assumptions!$B$59</f>
        <v>1002.889</v>
      </c>
      <c r="Q176" s="32">
        <f>Salary_Schedule!H176</f>
        <v>0</v>
      </c>
      <c r="R176" s="32">
        <f>Q176*Assumptions!$B$20</f>
        <v>0</v>
      </c>
      <c r="S176" s="54">
        <f t="shared" si="4"/>
        <v>8826.001</v>
      </c>
      <c r="T176" s="32">
        <f>IF(COUNTIFS(SL_Income_Log!$B:$B,TEXT(B176,"0000")&amp;"-"&amp;TEXT(A176,"00"),SL_Income_Log!$C:$C,"salary",SL_Income_Log!$E:$E,"W")&gt;0,SUMIFS(SL_Income_Log!$D:$D,SL_Income_Log!$B:$B,TEXT(B176,"0000")&amp;"-"&amp;TEXT(A176,"00"),SL_Income_Log!$C:$C,"salary",SL_Income_Log!$E:$E,"W"),S176*(1-Assumptions!$B$102)-AC176-AB176)
</f>
        <v>5295.6006</v>
      </c>
      <c r="U176" s="32">
        <f>RSU_Schedule!M175</f>
        <v>1392.51</v>
      </c>
      <c r="V176" s="32">
        <f>H176*(1+Assumptions!$B$60)+Assumptions!$B$61</f>
        <v>2061.9</v>
      </c>
      <c r="W176" s="32">
        <f>P176*(1+Assumptions!$B$60)+Assumptions!$B$61</f>
        <v>1424.0446</v>
      </c>
      <c r="X176" s="32">
        <f t="shared" si="5"/>
        <v>3485.9446</v>
      </c>
      <c r="Y176" s="32">
        <v>0.0</v>
      </c>
      <c r="Z176" s="32">
        <v>0.0</v>
      </c>
      <c r="AA176" s="32">
        <v>0.0</v>
      </c>
      <c r="AB176" s="32">
        <v>0.0</v>
      </c>
      <c r="AC176" s="32">
        <v>0.0</v>
      </c>
      <c r="AD176" s="32">
        <v>0.0</v>
      </c>
      <c r="AE176" s="32">
        <f t="shared" ref="AE176:AF176" si="217">Z176+AC176</f>
        <v>0</v>
      </c>
      <c r="AF176" s="32">
        <f t="shared" si="217"/>
        <v>0</v>
      </c>
      <c r="AG176" s="32">
        <f>IF(COUNTIFS(SL_Income_Log!$B:$B,TEXT(B176,"0000")&amp;"-"&amp;TEXT(A176,"00"),SL_Income_Log!$C:$C,"youtube")&gt;0,SUMIFS(SL_Income_Log!$D:$D,SL_Income_Log!$B:$B,TEXT(B176,"0000")&amp;"-"&amp;TEXT(A176,"00"),SL_Income_Log!$C:$C,"youtube"),MIN(Assumptions!$B$49+FLOOR((ROW()-2)/6,1)*Assumptions!$B$50,Assumptions!$B$51))
</f>
        <v>20000</v>
      </c>
      <c r="AH176" s="32">
        <f>AG176*Assumptions!$B$104</f>
        <v>8860</v>
      </c>
      <c r="AI176" s="32">
        <f t="shared" si="7"/>
        <v>11140</v>
      </c>
      <c r="AJ176" s="32">
        <f>SUMIFS(SL_Income_Log!$D:$D,SL_Income_Log!$B:$B,TEXT(B176,"0000")&amp;"-"&amp;TEXT(A176,"00"),SL_Income_Log!$C:$C,"other")</f>
        <v>0</v>
      </c>
      <c r="AK176" s="32">
        <f t="shared" si="27"/>
        <v>10000</v>
      </c>
      <c r="AL176" s="32">
        <f>L176+M176+T176+U176+AI176+AJ176-Y176-Z176-AB176-AC176+IF((Debt_Register!$C$2+Debt_Register!$C$6+Debt_Register!$C$7+Debt_Register!$C$8+Debt_Register!$C$9)&gt;5,X176,0)</f>
        <v>31854.9452</v>
      </c>
      <c r="AM176" s="32">
        <f t="shared" si="8"/>
        <v>41854.9452</v>
      </c>
      <c r="AN176" s="32">
        <f>MAX(Assumptions!$B$94,MIN(Assumptions!$B$93,AM176-AP176-BE176-BO176-BQ176))</f>
        <v>10000</v>
      </c>
      <c r="AO176" s="32">
        <v>0.0</v>
      </c>
      <c r="AP176" s="32">
        <v>0.0</v>
      </c>
      <c r="AQ176" s="32">
        <v>0.0</v>
      </c>
      <c r="AR176" s="32">
        <v>0.0</v>
      </c>
      <c r="AS176" s="32">
        <v>0.0</v>
      </c>
      <c r="AT176" s="32">
        <v>0.0</v>
      </c>
      <c r="AU176" s="32">
        <f t="shared" si="30"/>
        <v>0</v>
      </c>
      <c r="AV176" s="32">
        <f t="shared" si="31"/>
        <v>0</v>
      </c>
      <c r="AW176" s="32">
        <f t="shared" si="32"/>
        <v>0</v>
      </c>
      <c r="AX176" s="32">
        <f t="shared" si="33"/>
        <v>0</v>
      </c>
      <c r="AY176" s="32">
        <f t="shared" si="34"/>
        <v>0</v>
      </c>
      <c r="AZ176" s="32">
        <f t="shared" si="35"/>
        <v>0</v>
      </c>
      <c r="BA176" s="32">
        <f t="shared" si="36"/>
        <v>0</v>
      </c>
      <c r="BB176" s="32">
        <f t="shared" si="37"/>
        <v>0</v>
      </c>
      <c r="BC176" s="32">
        <f t="shared" si="38"/>
        <v>0</v>
      </c>
      <c r="BD176" s="32">
        <f t="shared" si="39"/>
        <v>0</v>
      </c>
      <c r="BE176" s="32">
        <f t="shared" si="11"/>
        <v>0</v>
      </c>
      <c r="BF176" s="32">
        <v>0.0</v>
      </c>
      <c r="BG176" s="32">
        <f t="shared" si="40"/>
        <v>5500</v>
      </c>
      <c r="BH176" s="32">
        <v>0.0</v>
      </c>
      <c r="BI176" s="32">
        <f t="shared" si="41"/>
        <v>5000</v>
      </c>
      <c r="BJ176" s="32">
        <f>IF(OR(B176&lt;Assumptions!$B$111,AND(B176=Assumptions!$B$111,A176&lt;=Assumptions!$B$112)),Assumptions!$B$110,0)</f>
        <v>0</v>
      </c>
      <c r="BK176" s="32">
        <f>IF(B176&lt;2027,Assumptions!$B$116+IF(OR(A176=4,A176=10),Assumptions!$B$117,0),IF(AND(B176=2027,A176&lt;=4),IF(A176=4,MIN(950,Assumptions!$B$116+Assumptions!$B$117),Assumptions!$B$116),0))</f>
        <v>0</v>
      </c>
      <c r="BL176" s="32">
        <f>IF(OR(B176&lt;2030,AND(B176=2030,A176&lt;8)),Assumptions!$B$118,IF(AND(B176=2030,A176=8),MOD(11000,200),0))</f>
        <v>0</v>
      </c>
      <c r="BM176" s="32">
        <f>IF(OR(B176&lt;Assumptions!$B$120,AND(B176=Assumptions!$B$120,A176&lt;=Assumptions!$B$121)),Assumptions!$B$119,0)</f>
        <v>0</v>
      </c>
      <c r="BN176" s="32">
        <f>IF(AND(B176&lt;=Assumptions!$B$123,A176&lt;=Assumptions!$B$124),Assumptions!$B$122,0)</f>
        <v>0</v>
      </c>
      <c r="BO176" s="32">
        <f t="shared" si="12"/>
        <v>0</v>
      </c>
      <c r="BP176" s="32">
        <f>SUMIFS(SL_Budget!$B:$B,SL_Budget!$C:$C,"'"&amp;TEXT(DATE(B176,A176,1),"YYYY-MM"))</f>
        <v>6219</v>
      </c>
      <c r="BQ176" s="32">
        <f>MAX(BP176, IFERROR(SUMIFS(ShadowLedger!D:D, 
  ShadowLedger!C:C, "&gt;="&amp;DATE(B176,A176,1), 
  ShadowLedger!C:C, "&lt;"&amp;EOMONTH(DATE(B176,A176,1),0)+1), 0))
</f>
        <v>6219</v>
      </c>
      <c r="BR176" s="32">
        <f t="shared" si="42"/>
        <v>4265505.985</v>
      </c>
      <c r="BS176" s="32">
        <f t="shared" si="43"/>
        <v>3485.9446</v>
      </c>
      <c r="BT176" s="32">
        <f>IF(BY175&gt;=Assumptions!$B$92,MAX(0,(AM176-BE176-BO176-BQ176)-Assumptions!$B$93),MAX(0,(AM176-BE176-BO176-BQ176)-Assumptions!$B$93)*Assumptions!$B$99)</f>
        <v>25635.9452</v>
      </c>
      <c r="BU176" s="32">
        <f>(BR176+BS176+MAX(0,BT176))*(Assumptions!$B$43-1)</f>
        <v>29280.77285</v>
      </c>
      <c r="BV176" s="32">
        <f t="shared" si="13"/>
        <v>4323908.648</v>
      </c>
      <c r="BW176" s="32">
        <f t="shared" si="44"/>
        <v>15476.04728</v>
      </c>
      <c r="BX176" s="32">
        <f>IF(BY175&lt;Assumptions!$B$92,MAX(0,(AM176-BE176-BO176-BQ176)-Assumptions!$B$93)*Assumptions!$B$98,0)</f>
        <v>0</v>
      </c>
      <c r="BY176" s="32">
        <f t="shared" si="14"/>
        <v>15476.04728</v>
      </c>
      <c r="BZ176" s="32">
        <f t="shared" si="45"/>
        <v>53160</v>
      </c>
      <c r="CA176" s="32">
        <f t="shared" si="15"/>
        <v>8860</v>
      </c>
      <c r="CB176" s="32">
        <f t="shared" si="16"/>
        <v>62020</v>
      </c>
      <c r="CC176" s="55">
        <f>CC175+(G176+J176)/(Salary_Schedule!E176*12/208)</f>
        <v>1881.681254</v>
      </c>
      <c r="CD176" s="55">
        <f>CD175+(O176+R176)/(Salary_Schedule!G176*12/208)</f>
        <v>219.6454147</v>
      </c>
      <c r="CE176" s="32">
        <f t="shared" si="17"/>
        <v>4323908.648</v>
      </c>
      <c r="CF176" s="32">
        <f>Assumptions!$B$55*(1+Assumptions!$B$56)^((B176-2025)+(A176-1)/12)</f>
        <v>654978.4309</v>
      </c>
      <c r="CG176" s="32">
        <f t="shared" si="18"/>
        <v>0</v>
      </c>
      <c r="CH176" s="32">
        <f t="shared" si="19"/>
        <v>-10500</v>
      </c>
      <c r="CI176" s="32">
        <f>CC176*(Salary_Schedule!E176/173.33)*(1-Assumptions!$B$28)+CD176*(Salary_Schedule!G176/173.33)*(1-Assumptions!$B$28)</f>
        <v>111178.841</v>
      </c>
      <c r="CJ176" s="32">
        <f t="shared" si="20"/>
        <v>5079565.92</v>
      </c>
    </row>
    <row r="177" ht="15.0" customHeight="1">
      <c r="A177" s="1">
        <v>8.0</v>
      </c>
      <c r="B177" s="1">
        <v>2040.0</v>
      </c>
      <c r="C177" s="1" t="s">
        <v>846</v>
      </c>
      <c r="D177" s="1" t="str">
        <f t="shared" si="21"/>
        <v>07/2040</v>
      </c>
      <c r="E177" s="1" t="str">
        <f t="shared" si="2"/>
        <v>LEAN</v>
      </c>
      <c r="F177" s="32">
        <f>Salary_Schedule!E177</f>
        <v>14585</v>
      </c>
      <c r="G177" s="32">
        <f>Assumptions!$B$8</f>
        <v>200</v>
      </c>
      <c r="H177" s="32">
        <f>F177*Assumptions!$B$58</f>
        <v>1458.5</v>
      </c>
      <c r="I177" s="32">
        <f>Salary_Schedule!F177</f>
        <v>0</v>
      </c>
      <c r="J177" s="32">
        <f>I177*Assumptions!$B$9</f>
        <v>0</v>
      </c>
      <c r="K177" s="54">
        <f t="shared" si="3"/>
        <v>12926.5</v>
      </c>
      <c r="L177" s="32">
        <f>IF(COUNTIFS(SL_Income_Log!$B:$B,TEXT(B177,"0000")&amp;"-"&amp;TEXT(A177,"00"),SL_Income_Log!$C:$C,"salary",SL_Income_Log!$E:$E,"H")&gt;0,SUMIFS(SL_Income_Log!$D:$D,SL_Income_Log!$B:$B,TEXT(B177,"0000")&amp;"-"&amp;TEXT(A177,"00"),SL_Income_Log!$C:$C,"salary",SL_Income_Log!$E:$E,"H"),K177*(1-Assumptions!$B$102)-Z177-Y177)</f>
        <v>7755.9</v>
      </c>
      <c r="M177" s="32">
        <f>RSU_Schedule!H176</f>
        <v>0</v>
      </c>
      <c r="N177" s="32">
        <f>Salary_Schedule!G177</f>
        <v>10028.89</v>
      </c>
      <c r="O177" s="32">
        <f>Assumptions!$B$19</f>
        <v>200</v>
      </c>
      <c r="P177" s="32">
        <f>N177*Assumptions!$B$59</f>
        <v>1002.889</v>
      </c>
      <c r="Q177" s="32">
        <f>Salary_Schedule!H177</f>
        <v>0</v>
      </c>
      <c r="R177" s="32">
        <f>Q177*Assumptions!$B$20</f>
        <v>0</v>
      </c>
      <c r="S177" s="54">
        <f t="shared" si="4"/>
        <v>8826.001</v>
      </c>
      <c r="T177" s="32">
        <f>IF(COUNTIFS(SL_Income_Log!$B:$B,TEXT(B177,"0000")&amp;"-"&amp;TEXT(A177,"00"),SL_Income_Log!$C:$C,"salary",SL_Income_Log!$E:$E,"W")&gt;0,SUMIFS(SL_Income_Log!$D:$D,SL_Income_Log!$B:$B,TEXT(B177,"0000")&amp;"-"&amp;TEXT(A177,"00"),SL_Income_Log!$C:$C,"salary",SL_Income_Log!$E:$E,"W"),S177*(1-Assumptions!$B$102)-AC177-AB177)
</f>
        <v>5295.6006</v>
      </c>
      <c r="U177" s="32">
        <f>RSU_Schedule!M176</f>
        <v>0</v>
      </c>
      <c r="V177" s="32">
        <f>H177*(1+Assumptions!$B$60)+Assumptions!$B$61</f>
        <v>2061.9</v>
      </c>
      <c r="W177" s="32">
        <f>P177*(1+Assumptions!$B$60)+Assumptions!$B$61</f>
        <v>1424.0446</v>
      </c>
      <c r="X177" s="32">
        <f t="shared" si="5"/>
        <v>3485.9446</v>
      </c>
      <c r="Y177" s="32">
        <v>0.0</v>
      </c>
      <c r="Z177" s="32">
        <v>0.0</v>
      </c>
      <c r="AA177" s="32">
        <v>0.0</v>
      </c>
      <c r="AB177" s="32">
        <v>0.0</v>
      </c>
      <c r="AC177" s="32">
        <v>0.0</v>
      </c>
      <c r="AD177" s="32">
        <v>0.0</v>
      </c>
      <c r="AE177" s="32">
        <f t="shared" ref="AE177:AF177" si="218">Z177+AC177</f>
        <v>0</v>
      </c>
      <c r="AF177" s="32">
        <f t="shared" si="218"/>
        <v>0</v>
      </c>
      <c r="AG177" s="32">
        <f>IF(COUNTIFS(SL_Income_Log!$B:$B,TEXT(B177,"0000")&amp;"-"&amp;TEXT(A177,"00"),SL_Income_Log!$C:$C,"youtube")&gt;0,SUMIFS(SL_Income_Log!$D:$D,SL_Income_Log!$B:$B,TEXT(B177,"0000")&amp;"-"&amp;TEXT(A177,"00"),SL_Income_Log!$C:$C,"youtube"),MIN(Assumptions!$B$49+FLOOR((ROW()-2)/6,1)*Assumptions!$B$50,Assumptions!$B$51))
</f>
        <v>20000</v>
      </c>
      <c r="AH177" s="32">
        <f>AG177*Assumptions!$B$104</f>
        <v>8860</v>
      </c>
      <c r="AI177" s="32">
        <f t="shared" si="7"/>
        <v>11140</v>
      </c>
      <c r="AJ177" s="32">
        <f>SUMIFS(SL_Income_Log!$D:$D,SL_Income_Log!$B:$B,TEXT(B177,"0000")&amp;"-"&amp;TEXT(A177,"00"),SL_Income_Log!$C:$C,"other")</f>
        <v>0</v>
      </c>
      <c r="AK177" s="32">
        <f t="shared" si="27"/>
        <v>10000</v>
      </c>
      <c r="AL177" s="32">
        <f>L177+M177+T177+U177+AI177+AJ177-Y177-Z177-AB177-AC177+IF((Debt_Register!$C$2+Debt_Register!$C$6+Debt_Register!$C$7+Debt_Register!$C$8+Debt_Register!$C$9)&gt;5,X177,0)</f>
        <v>27677.4452</v>
      </c>
      <c r="AM177" s="32">
        <f t="shared" si="8"/>
        <v>37677.4452</v>
      </c>
      <c r="AN177" s="32">
        <f>MAX(Assumptions!$B$94,MIN(Assumptions!$B$93,AM177-AP177-BE177-BO177-BQ177))</f>
        <v>10000</v>
      </c>
      <c r="AO177" s="32">
        <v>0.0</v>
      </c>
      <c r="AP177" s="32">
        <v>0.0</v>
      </c>
      <c r="AQ177" s="32">
        <v>0.0</v>
      </c>
      <c r="AR177" s="32">
        <v>0.0</v>
      </c>
      <c r="AS177" s="32">
        <v>0.0</v>
      </c>
      <c r="AT177" s="32">
        <v>0.0</v>
      </c>
      <c r="AU177" s="32">
        <f t="shared" si="30"/>
        <v>0</v>
      </c>
      <c r="AV177" s="32">
        <f t="shared" si="31"/>
        <v>0</v>
      </c>
      <c r="AW177" s="32">
        <f t="shared" si="32"/>
        <v>0</v>
      </c>
      <c r="AX177" s="32">
        <f t="shared" si="33"/>
        <v>0</v>
      </c>
      <c r="AY177" s="32">
        <f t="shared" si="34"/>
        <v>0</v>
      </c>
      <c r="AZ177" s="32">
        <f t="shared" si="35"/>
        <v>0</v>
      </c>
      <c r="BA177" s="32">
        <f t="shared" si="36"/>
        <v>0</v>
      </c>
      <c r="BB177" s="32">
        <f t="shared" si="37"/>
        <v>0</v>
      </c>
      <c r="BC177" s="32">
        <f t="shared" si="38"/>
        <v>0</v>
      </c>
      <c r="BD177" s="32">
        <f t="shared" si="39"/>
        <v>0</v>
      </c>
      <c r="BE177" s="32">
        <f t="shared" si="11"/>
        <v>0</v>
      </c>
      <c r="BF177" s="32">
        <v>0.0</v>
      </c>
      <c r="BG177" s="32">
        <f t="shared" si="40"/>
        <v>5500</v>
      </c>
      <c r="BH177" s="32">
        <v>0.0</v>
      </c>
      <c r="BI177" s="32">
        <f t="shared" si="41"/>
        <v>5000</v>
      </c>
      <c r="BJ177" s="32">
        <f>IF(OR(B177&lt;Assumptions!$B$111,AND(B177=Assumptions!$B$111,A177&lt;=Assumptions!$B$112)),Assumptions!$B$110,0)</f>
        <v>0</v>
      </c>
      <c r="BK177" s="32">
        <f>IF(B177&lt;2027,Assumptions!$B$116+IF(OR(A177=4,A177=10),Assumptions!$B$117,0),IF(AND(B177=2027,A177&lt;=4),IF(A177=4,MIN(950,Assumptions!$B$116+Assumptions!$B$117),Assumptions!$B$116),0))</f>
        <v>0</v>
      </c>
      <c r="BL177" s="32">
        <f>IF(OR(B177&lt;2030,AND(B177=2030,A177&lt;8)),Assumptions!$B$118,IF(AND(B177=2030,A177=8),MOD(11000,200),0))</f>
        <v>0</v>
      </c>
      <c r="BM177" s="32">
        <f>IF(OR(B177&lt;Assumptions!$B$120,AND(B177=Assumptions!$B$120,A177&lt;=Assumptions!$B$121)),Assumptions!$B$119,0)</f>
        <v>0</v>
      </c>
      <c r="BN177" s="32">
        <f>IF(AND(B177&lt;=Assumptions!$B$123,A177&lt;=Assumptions!$B$124),Assumptions!$B$122,0)</f>
        <v>0</v>
      </c>
      <c r="BO177" s="32">
        <f t="shared" si="12"/>
        <v>0</v>
      </c>
      <c r="BP177" s="32">
        <f>SUMIFS(SL_Budget!$B:$B,SL_Budget!$C:$C,"'"&amp;TEXT(DATE(B177,A177,1),"YYYY-MM"))</f>
        <v>6219</v>
      </c>
      <c r="BQ177" s="32">
        <f>MAX(BP177, IFERROR(SUMIFS(ShadowLedger!D:D, 
  ShadowLedger!C:C, "&gt;="&amp;DATE(B177,A177,1), 
  ShadowLedger!C:C, "&lt;"&amp;EOMONTH(DATE(B177,A177,1),0)+1), 0))
</f>
        <v>6219</v>
      </c>
      <c r="BR177" s="32">
        <f t="shared" si="42"/>
        <v>4323908.648</v>
      </c>
      <c r="BS177" s="32">
        <f t="shared" si="43"/>
        <v>3485.9446</v>
      </c>
      <c r="BT177" s="32">
        <f>IF(BY176&gt;=Assumptions!$B$92,MAX(0,(AM177-BE177-BO177-BQ177)-Assumptions!$B$93),MAX(0,(AM177-BE177-BO177-BQ177)-Assumptions!$B$93)*Assumptions!$B$99)</f>
        <v>21458.4452</v>
      </c>
      <c r="BU177" s="32">
        <f>(BR177+BS177+MAX(0,BT177))*(Assumptions!$B$43-1)</f>
        <v>29650.48001</v>
      </c>
      <c r="BV177" s="32">
        <f t="shared" si="13"/>
        <v>4378503.517</v>
      </c>
      <c r="BW177" s="32">
        <f t="shared" si="44"/>
        <v>15476.04728</v>
      </c>
      <c r="BX177" s="32">
        <f>IF(BY176&lt;Assumptions!$B$92,MAX(0,(AM177-BE177-BO177-BQ177)-Assumptions!$B$93)*Assumptions!$B$98,0)</f>
        <v>0</v>
      </c>
      <c r="BY177" s="32">
        <f t="shared" si="14"/>
        <v>15476.04728</v>
      </c>
      <c r="BZ177" s="32">
        <f t="shared" si="45"/>
        <v>62020</v>
      </c>
      <c r="CA177" s="32">
        <f t="shared" si="15"/>
        <v>8860</v>
      </c>
      <c r="CB177" s="32">
        <f t="shared" si="16"/>
        <v>70880</v>
      </c>
      <c r="CC177" s="55">
        <f>CC176+(G177+J177)/(Salary_Schedule!E177*12/208)</f>
        <v>1881.918941</v>
      </c>
      <c r="CD177" s="55">
        <f>CD176+(O177+R177)/(Salary_Schedule!G177*12/208)</f>
        <v>219.9910827</v>
      </c>
      <c r="CE177" s="32">
        <f t="shared" si="17"/>
        <v>4378503.517</v>
      </c>
      <c r="CF177" s="32">
        <f>Assumptions!$B$55*(1+Assumptions!$B$56)^((B177-2025)+(A177-1)/12)</f>
        <v>655791.5786</v>
      </c>
      <c r="CG177" s="32">
        <f t="shared" si="18"/>
        <v>0</v>
      </c>
      <c r="CH177" s="32">
        <f t="shared" si="19"/>
        <v>-10500</v>
      </c>
      <c r="CI177" s="32">
        <f>CC177*(Salary_Schedule!E177/173.33)*(1-Assumptions!$B$28)+CD177*(Salary_Schedule!G177/173.33)*(1-Assumptions!$B$28)</f>
        <v>111204.8415</v>
      </c>
      <c r="CJ177" s="32">
        <f t="shared" si="20"/>
        <v>5134999.938</v>
      </c>
    </row>
    <row r="178" ht="15.0" customHeight="1">
      <c r="A178" s="1">
        <v>9.0</v>
      </c>
      <c r="B178" s="1">
        <v>2040.0</v>
      </c>
      <c r="C178" s="1" t="s">
        <v>847</v>
      </c>
      <c r="D178" s="1" t="str">
        <f t="shared" si="21"/>
        <v>08/2040</v>
      </c>
      <c r="E178" s="1" t="str">
        <f t="shared" si="2"/>
        <v>LEAN</v>
      </c>
      <c r="F178" s="32">
        <f>Salary_Schedule!E178</f>
        <v>14585</v>
      </c>
      <c r="G178" s="32">
        <f>Assumptions!$B$8</f>
        <v>200</v>
      </c>
      <c r="H178" s="32">
        <f>F178*Assumptions!$B$58</f>
        <v>1458.5</v>
      </c>
      <c r="I178" s="32">
        <f>Salary_Schedule!F178</f>
        <v>0</v>
      </c>
      <c r="J178" s="32">
        <f>I178*Assumptions!$B$9</f>
        <v>0</v>
      </c>
      <c r="K178" s="54">
        <f t="shared" si="3"/>
        <v>12926.5</v>
      </c>
      <c r="L178" s="32">
        <f>IF(COUNTIFS(SL_Income_Log!$B:$B,TEXT(B178,"0000")&amp;"-"&amp;TEXT(A178,"00"),SL_Income_Log!$C:$C,"salary",SL_Income_Log!$E:$E,"H")&gt;0,SUMIFS(SL_Income_Log!$D:$D,SL_Income_Log!$B:$B,TEXT(B178,"0000")&amp;"-"&amp;TEXT(A178,"00"),SL_Income_Log!$C:$C,"salary",SL_Income_Log!$E:$E,"H"),K178*(1-Assumptions!$B$102)-Z178-Y178)</f>
        <v>7755.9</v>
      </c>
      <c r="M178" s="32">
        <f>RSU_Schedule!H177</f>
        <v>0</v>
      </c>
      <c r="N178" s="32">
        <f>Salary_Schedule!G178</f>
        <v>10028.89</v>
      </c>
      <c r="O178" s="32">
        <f>Assumptions!$B$19</f>
        <v>200</v>
      </c>
      <c r="P178" s="32">
        <f>N178*Assumptions!$B$59</f>
        <v>1002.889</v>
      </c>
      <c r="Q178" s="32">
        <f>Salary_Schedule!H178</f>
        <v>0</v>
      </c>
      <c r="R178" s="32">
        <f>Q178*Assumptions!$B$20</f>
        <v>0</v>
      </c>
      <c r="S178" s="54">
        <f t="shared" si="4"/>
        <v>8826.001</v>
      </c>
      <c r="T178" s="32">
        <f>IF(COUNTIFS(SL_Income_Log!$B:$B,TEXT(B178,"0000")&amp;"-"&amp;TEXT(A178,"00"),SL_Income_Log!$C:$C,"salary",SL_Income_Log!$E:$E,"W")&gt;0,SUMIFS(SL_Income_Log!$D:$D,SL_Income_Log!$B:$B,TEXT(B178,"0000")&amp;"-"&amp;TEXT(A178,"00"),SL_Income_Log!$C:$C,"salary",SL_Income_Log!$E:$E,"W"),S178*(1-Assumptions!$B$102)-AC178-AB178)
</f>
        <v>5295.6006</v>
      </c>
      <c r="U178" s="32">
        <f>RSU_Schedule!M177</f>
        <v>0</v>
      </c>
      <c r="V178" s="32">
        <f>H178*(1+Assumptions!$B$60)+Assumptions!$B$61</f>
        <v>2061.9</v>
      </c>
      <c r="W178" s="32">
        <f>P178*(1+Assumptions!$B$60)+Assumptions!$B$61</f>
        <v>1424.0446</v>
      </c>
      <c r="X178" s="32">
        <f t="shared" si="5"/>
        <v>3485.9446</v>
      </c>
      <c r="Y178" s="32">
        <v>0.0</v>
      </c>
      <c r="Z178" s="32">
        <v>0.0</v>
      </c>
      <c r="AA178" s="32">
        <v>0.0</v>
      </c>
      <c r="AB178" s="32">
        <v>0.0</v>
      </c>
      <c r="AC178" s="32">
        <v>0.0</v>
      </c>
      <c r="AD178" s="32">
        <v>0.0</v>
      </c>
      <c r="AE178" s="32">
        <f t="shared" ref="AE178:AF178" si="219">Z178+AC178</f>
        <v>0</v>
      </c>
      <c r="AF178" s="32">
        <f t="shared" si="219"/>
        <v>0</v>
      </c>
      <c r="AG178" s="32">
        <f>IF(COUNTIFS(SL_Income_Log!$B:$B,TEXT(B178,"0000")&amp;"-"&amp;TEXT(A178,"00"),SL_Income_Log!$C:$C,"youtube")&gt;0,SUMIFS(SL_Income_Log!$D:$D,SL_Income_Log!$B:$B,TEXT(B178,"0000")&amp;"-"&amp;TEXT(A178,"00"),SL_Income_Log!$C:$C,"youtube"),MIN(Assumptions!$B$49+FLOOR((ROW()-2)/6,1)*Assumptions!$B$50,Assumptions!$B$51))
</f>
        <v>20000</v>
      </c>
      <c r="AH178" s="32">
        <f>AG178*Assumptions!$B$104</f>
        <v>8860</v>
      </c>
      <c r="AI178" s="32">
        <f t="shared" si="7"/>
        <v>11140</v>
      </c>
      <c r="AJ178" s="32">
        <f>SUMIFS(SL_Income_Log!$D:$D,SL_Income_Log!$B:$B,TEXT(B178,"0000")&amp;"-"&amp;TEXT(A178,"00"),SL_Income_Log!$C:$C,"other")</f>
        <v>0</v>
      </c>
      <c r="AK178" s="32">
        <f t="shared" si="27"/>
        <v>10000</v>
      </c>
      <c r="AL178" s="32">
        <f>L178+M178+T178+U178+AI178+AJ178-Y178-Z178-AB178-AC178+IF((Debt_Register!$C$2+Debt_Register!$C$6+Debt_Register!$C$7+Debt_Register!$C$8+Debt_Register!$C$9)&gt;5,X178,0)</f>
        <v>27677.4452</v>
      </c>
      <c r="AM178" s="32">
        <f t="shared" si="8"/>
        <v>37677.4452</v>
      </c>
      <c r="AN178" s="32">
        <f>MAX(Assumptions!$B$94,MIN(Assumptions!$B$93,AM178-AP178-BE178-BO178-BQ178))</f>
        <v>10000</v>
      </c>
      <c r="AO178" s="32">
        <v>0.0</v>
      </c>
      <c r="AP178" s="32">
        <v>0.0</v>
      </c>
      <c r="AQ178" s="32">
        <v>0.0</v>
      </c>
      <c r="AR178" s="32">
        <v>0.0</v>
      </c>
      <c r="AS178" s="32">
        <v>0.0</v>
      </c>
      <c r="AT178" s="32">
        <v>0.0</v>
      </c>
      <c r="AU178" s="32">
        <f t="shared" si="30"/>
        <v>0</v>
      </c>
      <c r="AV178" s="32">
        <f t="shared" si="31"/>
        <v>0</v>
      </c>
      <c r="AW178" s="32">
        <f t="shared" si="32"/>
        <v>0</v>
      </c>
      <c r="AX178" s="32">
        <f t="shared" si="33"/>
        <v>0</v>
      </c>
      <c r="AY178" s="32">
        <f t="shared" si="34"/>
        <v>0</v>
      </c>
      <c r="AZ178" s="32">
        <f t="shared" si="35"/>
        <v>0</v>
      </c>
      <c r="BA178" s="32">
        <f t="shared" si="36"/>
        <v>0</v>
      </c>
      <c r="BB178" s="32">
        <f t="shared" si="37"/>
        <v>0</v>
      </c>
      <c r="BC178" s="32">
        <f t="shared" si="38"/>
        <v>0</v>
      </c>
      <c r="BD178" s="32">
        <f t="shared" si="39"/>
        <v>0</v>
      </c>
      <c r="BE178" s="32">
        <f t="shared" si="11"/>
        <v>0</v>
      </c>
      <c r="BF178" s="32">
        <v>0.0</v>
      </c>
      <c r="BG178" s="32">
        <f t="shared" si="40"/>
        <v>5500</v>
      </c>
      <c r="BH178" s="32">
        <v>0.0</v>
      </c>
      <c r="BI178" s="32">
        <f t="shared" si="41"/>
        <v>5000</v>
      </c>
      <c r="BJ178" s="32">
        <f>IF(OR(B178&lt;Assumptions!$B$111,AND(B178=Assumptions!$B$111,A178&lt;=Assumptions!$B$112)),Assumptions!$B$110,0)</f>
        <v>0</v>
      </c>
      <c r="BK178" s="32">
        <f>IF(B178&lt;2027,Assumptions!$B$116+IF(OR(A178=4,A178=10),Assumptions!$B$117,0),IF(AND(B178=2027,A178&lt;=4),IF(A178=4,MIN(950,Assumptions!$B$116+Assumptions!$B$117),Assumptions!$B$116),0))</f>
        <v>0</v>
      </c>
      <c r="BL178" s="32">
        <f>IF(OR(B178&lt;2030,AND(B178=2030,A178&lt;8)),Assumptions!$B$118,IF(AND(B178=2030,A178=8),MOD(11000,200),0))</f>
        <v>0</v>
      </c>
      <c r="BM178" s="32">
        <f>IF(OR(B178&lt;Assumptions!$B$120,AND(B178=Assumptions!$B$120,A178&lt;=Assumptions!$B$121)),Assumptions!$B$119,0)</f>
        <v>0</v>
      </c>
      <c r="BN178" s="32">
        <f>IF(AND(B178&lt;=Assumptions!$B$123,A178&lt;=Assumptions!$B$124),Assumptions!$B$122,0)</f>
        <v>0</v>
      </c>
      <c r="BO178" s="32">
        <f t="shared" si="12"/>
        <v>0</v>
      </c>
      <c r="BP178" s="32">
        <f>SUMIFS(SL_Budget!$B:$B,SL_Budget!$C:$C,"'"&amp;TEXT(DATE(B178,A178,1),"YYYY-MM"))</f>
        <v>6219</v>
      </c>
      <c r="BQ178" s="32">
        <f>MAX(BP178, IFERROR(SUMIFS(ShadowLedger!D:D, 
  ShadowLedger!C:C, "&gt;="&amp;DATE(B178,A178,1), 
  ShadowLedger!C:C, "&lt;"&amp;EOMONTH(DATE(B178,A178,1),0)+1), 0))
</f>
        <v>6219</v>
      </c>
      <c r="BR178" s="32">
        <f t="shared" si="42"/>
        <v>4378503.517</v>
      </c>
      <c r="BS178" s="32">
        <f t="shared" si="43"/>
        <v>3485.9446</v>
      </c>
      <c r="BT178" s="32">
        <f>IF(BY177&gt;=Assumptions!$B$92,MAX(0,(AM178-BE178-BO178-BQ178)-Assumptions!$B$93),MAX(0,(AM178-BE178-BO178-BQ178)-Assumptions!$B$93)*Assumptions!$B$99)</f>
        <v>21458.4452</v>
      </c>
      <c r="BU178" s="32">
        <f>(BR178+BS178+MAX(0,BT178))*(Assumptions!$B$43-1)</f>
        <v>30022.70783</v>
      </c>
      <c r="BV178" s="32">
        <f t="shared" si="13"/>
        <v>4433470.615</v>
      </c>
      <c r="BW178" s="32">
        <f t="shared" si="44"/>
        <v>15476.04728</v>
      </c>
      <c r="BX178" s="32">
        <f>IF(BY177&lt;Assumptions!$B$92,MAX(0,(AM178-BE178-BO178-BQ178)-Assumptions!$B$93)*Assumptions!$B$98,0)</f>
        <v>0</v>
      </c>
      <c r="BY178" s="32">
        <f t="shared" si="14"/>
        <v>15476.04728</v>
      </c>
      <c r="BZ178" s="32">
        <f t="shared" si="45"/>
        <v>70880</v>
      </c>
      <c r="CA178" s="32">
        <f t="shared" si="15"/>
        <v>8860</v>
      </c>
      <c r="CB178" s="32">
        <f t="shared" si="16"/>
        <v>79740</v>
      </c>
      <c r="CC178" s="55">
        <f>CC177+(G178+J178)/(Salary_Schedule!E178*12/208)</f>
        <v>1882.156628</v>
      </c>
      <c r="CD178" s="55">
        <f>CD177+(O178+R178)/(Salary_Schedule!G178*12/208)</f>
        <v>220.3367508</v>
      </c>
      <c r="CE178" s="32">
        <f t="shared" si="17"/>
        <v>4433470.615</v>
      </c>
      <c r="CF178" s="32">
        <f>Assumptions!$B$55*(1+Assumptions!$B$56)^((B178-2025)+(A178-1)/12)</f>
        <v>656605.7358</v>
      </c>
      <c r="CG178" s="32">
        <f t="shared" si="18"/>
        <v>0</v>
      </c>
      <c r="CH178" s="32">
        <f t="shared" si="19"/>
        <v>-10500</v>
      </c>
      <c r="CI178" s="32">
        <f>CC178*(Salary_Schedule!E178/173.33)*(1-Assumptions!$B$28)+CD178*(Salary_Schedule!G178/173.33)*(1-Assumptions!$B$28)</f>
        <v>111230.842</v>
      </c>
      <c r="CJ178" s="32">
        <f t="shared" si="20"/>
        <v>5190807.193</v>
      </c>
    </row>
    <row r="179" ht="15.0" customHeight="1">
      <c r="A179" s="1">
        <v>10.0</v>
      </c>
      <c r="B179" s="1">
        <v>2040.0</v>
      </c>
      <c r="C179" s="1" t="s">
        <v>848</v>
      </c>
      <c r="D179" s="1" t="str">
        <f t="shared" si="21"/>
        <v>09/2040</v>
      </c>
      <c r="E179" s="1" t="str">
        <f t="shared" si="2"/>
        <v>FAT_RSU</v>
      </c>
      <c r="F179" s="32">
        <f>Salary_Schedule!E179</f>
        <v>14585</v>
      </c>
      <c r="G179" s="32">
        <f>Assumptions!$B$8</f>
        <v>200</v>
      </c>
      <c r="H179" s="32">
        <f>F179*Assumptions!$B$58</f>
        <v>1458.5</v>
      </c>
      <c r="I179" s="32">
        <f>Salary_Schedule!F179</f>
        <v>0</v>
      </c>
      <c r="J179" s="32">
        <f>I179*Assumptions!$B$9</f>
        <v>0</v>
      </c>
      <c r="K179" s="54">
        <f t="shared" si="3"/>
        <v>12926.5</v>
      </c>
      <c r="L179" s="32">
        <f>IF(COUNTIFS(SL_Income_Log!$B:$B,TEXT(B179,"0000")&amp;"-"&amp;TEXT(A179,"00"),SL_Income_Log!$C:$C,"salary",SL_Income_Log!$E:$E,"H")&gt;0,SUMIFS(SL_Income_Log!$D:$D,SL_Income_Log!$B:$B,TEXT(B179,"0000")&amp;"-"&amp;TEXT(A179,"00"),SL_Income_Log!$C:$C,"salary",SL_Income_Log!$E:$E,"H"),K179*(1-Assumptions!$B$102)-Z179-Y179)</f>
        <v>7755.9</v>
      </c>
      <c r="M179" s="32">
        <f>RSU_Schedule!H178</f>
        <v>2784.99</v>
      </c>
      <c r="N179" s="32">
        <f>Salary_Schedule!G179</f>
        <v>10028.89</v>
      </c>
      <c r="O179" s="32">
        <f>Assumptions!$B$19</f>
        <v>200</v>
      </c>
      <c r="P179" s="32">
        <f>N179*Assumptions!$B$59</f>
        <v>1002.889</v>
      </c>
      <c r="Q179" s="32">
        <f>Salary_Schedule!H179</f>
        <v>0</v>
      </c>
      <c r="R179" s="32">
        <f>Q179*Assumptions!$B$20</f>
        <v>0</v>
      </c>
      <c r="S179" s="54">
        <f t="shared" si="4"/>
        <v>8826.001</v>
      </c>
      <c r="T179" s="32">
        <f>IF(COUNTIFS(SL_Income_Log!$B:$B,TEXT(B179,"0000")&amp;"-"&amp;TEXT(A179,"00"),SL_Income_Log!$C:$C,"salary",SL_Income_Log!$E:$E,"W")&gt;0,SUMIFS(SL_Income_Log!$D:$D,SL_Income_Log!$B:$B,TEXT(B179,"0000")&amp;"-"&amp;TEXT(A179,"00"),SL_Income_Log!$C:$C,"salary",SL_Income_Log!$E:$E,"W"),S179*(1-Assumptions!$B$102)-AC179-AB179)
</f>
        <v>5295.6006</v>
      </c>
      <c r="U179" s="32">
        <f>RSU_Schedule!M178</f>
        <v>1392.51</v>
      </c>
      <c r="V179" s="32">
        <f>H179*(1+Assumptions!$B$60)+Assumptions!$B$61</f>
        <v>2061.9</v>
      </c>
      <c r="W179" s="32">
        <f>P179*(1+Assumptions!$B$60)+Assumptions!$B$61</f>
        <v>1424.0446</v>
      </c>
      <c r="X179" s="32">
        <f t="shared" si="5"/>
        <v>3485.9446</v>
      </c>
      <c r="Y179" s="32">
        <v>0.0</v>
      </c>
      <c r="Z179" s="32">
        <v>0.0</v>
      </c>
      <c r="AA179" s="32">
        <v>0.0</v>
      </c>
      <c r="AB179" s="32">
        <v>0.0</v>
      </c>
      <c r="AC179" s="32">
        <v>0.0</v>
      </c>
      <c r="AD179" s="32">
        <v>0.0</v>
      </c>
      <c r="AE179" s="32">
        <f t="shared" ref="AE179:AF179" si="220">Z179+AC179</f>
        <v>0</v>
      </c>
      <c r="AF179" s="32">
        <f t="shared" si="220"/>
        <v>0</v>
      </c>
      <c r="AG179" s="32">
        <f>IF(COUNTIFS(SL_Income_Log!$B:$B,TEXT(B179,"0000")&amp;"-"&amp;TEXT(A179,"00"),SL_Income_Log!$C:$C,"youtube")&gt;0,SUMIFS(SL_Income_Log!$D:$D,SL_Income_Log!$B:$B,TEXT(B179,"0000")&amp;"-"&amp;TEXT(A179,"00"),SL_Income_Log!$C:$C,"youtube"),MIN(Assumptions!$B$49+FLOOR((ROW()-2)/6,1)*Assumptions!$B$50,Assumptions!$B$51))
</f>
        <v>20000</v>
      </c>
      <c r="AH179" s="32">
        <f>AG179*Assumptions!$B$104</f>
        <v>8860</v>
      </c>
      <c r="AI179" s="32">
        <f t="shared" si="7"/>
        <v>11140</v>
      </c>
      <c r="AJ179" s="32">
        <f>SUMIFS(SL_Income_Log!$D:$D,SL_Income_Log!$B:$B,TEXT(B179,"0000")&amp;"-"&amp;TEXT(A179,"00"),SL_Income_Log!$C:$C,"other")</f>
        <v>0</v>
      </c>
      <c r="AK179" s="32">
        <f t="shared" si="27"/>
        <v>10000</v>
      </c>
      <c r="AL179" s="32">
        <f>L179+M179+T179+U179+AI179+AJ179-Y179-Z179-AB179-AC179+IF((Debt_Register!$C$2+Debt_Register!$C$6+Debt_Register!$C$7+Debt_Register!$C$8+Debt_Register!$C$9)&gt;5,X179,0)</f>
        <v>31854.9452</v>
      </c>
      <c r="AM179" s="32">
        <f t="shared" si="8"/>
        <v>41854.9452</v>
      </c>
      <c r="AN179" s="32">
        <f>MAX(Assumptions!$B$94,MIN(Assumptions!$B$93,AM179-AP179-BE179-BO179-BQ179))</f>
        <v>10000</v>
      </c>
      <c r="AO179" s="32">
        <v>0.0</v>
      </c>
      <c r="AP179" s="32">
        <v>0.0</v>
      </c>
      <c r="AQ179" s="32">
        <v>0.0</v>
      </c>
      <c r="AR179" s="32">
        <v>0.0</v>
      </c>
      <c r="AS179" s="32">
        <v>0.0</v>
      </c>
      <c r="AT179" s="32">
        <v>0.0</v>
      </c>
      <c r="AU179" s="32">
        <f t="shared" si="30"/>
        <v>0</v>
      </c>
      <c r="AV179" s="32">
        <f t="shared" si="31"/>
        <v>0</v>
      </c>
      <c r="AW179" s="32">
        <f t="shared" si="32"/>
        <v>0</v>
      </c>
      <c r="AX179" s="32">
        <f t="shared" si="33"/>
        <v>0</v>
      </c>
      <c r="AY179" s="32">
        <f t="shared" si="34"/>
        <v>0</v>
      </c>
      <c r="AZ179" s="32">
        <f t="shared" si="35"/>
        <v>0</v>
      </c>
      <c r="BA179" s="32">
        <f t="shared" si="36"/>
        <v>0</v>
      </c>
      <c r="BB179" s="32">
        <f t="shared" si="37"/>
        <v>0</v>
      </c>
      <c r="BC179" s="32">
        <f t="shared" si="38"/>
        <v>0</v>
      </c>
      <c r="BD179" s="32">
        <f t="shared" si="39"/>
        <v>0</v>
      </c>
      <c r="BE179" s="32">
        <f t="shared" si="11"/>
        <v>0</v>
      </c>
      <c r="BF179" s="32">
        <v>0.0</v>
      </c>
      <c r="BG179" s="32">
        <f t="shared" si="40"/>
        <v>5500</v>
      </c>
      <c r="BH179" s="32">
        <v>0.0</v>
      </c>
      <c r="BI179" s="32">
        <f t="shared" si="41"/>
        <v>5000</v>
      </c>
      <c r="BJ179" s="32">
        <f>IF(OR(B179&lt;Assumptions!$B$111,AND(B179=Assumptions!$B$111,A179&lt;=Assumptions!$B$112)),Assumptions!$B$110,0)</f>
        <v>0</v>
      </c>
      <c r="BK179" s="32">
        <f>IF(B179&lt;2027,Assumptions!$B$116+IF(OR(A179=4,A179=10),Assumptions!$B$117,0),IF(AND(B179=2027,A179&lt;=4),IF(A179=4,MIN(950,Assumptions!$B$116+Assumptions!$B$117),Assumptions!$B$116),0))</f>
        <v>0</v>
      </c>
      <c r="BL179" s="32">
        <f>IF(OR(B179&lt;2030,AND(B179=2030,A179&lt;8)),Assumptions!$B$118,IF(AND(B179=2030,A179=8),MOD(11000,200),0))</f>
        <v>0</v>
      </c>
      <c r="BM179" s="32">
        <f>IF(OR(B179&lt;Assumptions!$B$120,AND(B179=Assumptions!$B$120,A179&lt;=Assumptions!$B$121)),Assumptions!$B$119,0)</f>
        <v>0</v>
      </c>
      <c r="BN179" s="32">
        <f>IF(AND(B179&lt;=Assumptions!$B$123,A179&lt;=Assumptions!$B$124),Assumptions!$B$122,0)</f>
        <v>0</v>
      </c>
      <c r="BO179" s="32">
        <f t="shared" si="12"/>
        <v>0</v>
      </c>
      <c r="BP179" s="32">
        <f>SUMIFS(SL_Budget!$B:$B,SL_Budget!$C:$C,"'"&amp;TEXT(DATE(B179,A179,1),"YYYY-MM"))</f>
        <v>6219</v>
      </c>
      <c r="BQ179" s="32">
        <f>MAX(BP179, IFERROR(SUMIFS(ShadowLedger!D:D, 
  ShadowLedger!C:C, "&gt;="&amp;DATE(B179,A179,1), 
  ShadowLedger!C:C, "&lt;"&amp;EOMONTH(DATE(B179,A179,1),0)+1), 0))
</f>
        <v>6219</v>
      </c>
      <c r="BR179" s="32">
        <f t="shared" si="42"/>
        <v>4433470.615</v>
      </c>
      <c r="BS179" s="32">
        <f t="shared" si="43"/>
        <v>3485.9446</v>
      </c>
      <c r="BT179" s="32">
        <f>IF(BY178&gt;=Assumptions!$B$92,MAX(0,(AM179-BE179-BO179-BQ179)-Assumptions!$B$93),MAX(0,(AM179-BE179-BO179-BQ179)-Assumptions!$B$93)*Assumptions!$B$99)</f>
        <v>25635.9452</v>
      </c>
      <c r="BU179" s="32">
        <f>(BR179+BS179+MAX(0,BT179))*(Assumptions!$B$43-1)</f>
        <v>30425.9557</v>
      </c>
      <c r="BV179" s="32">
        <f t="shared" si="13"/>
        <v>4493018.461</v>
      </c>
      <c r="BW179" s="32">
        <f t="shared" si="44"/>
        <v>15476.04728</v>
      </c>
      <c r="BX179" s="32">
        <f>IF(BY178&lt;Assumptions!$B$92,MAX(0,(AM179-BE179-BO179-BQ179)-Assumptions!$B$93)*Assumptions!$B$98,0)</f>
        <v>0</v>
      </c>
      <c r="BY179" s="32">
        <f t="shared" si="14"/>
        <v>15476.04728</v>
      </c>
      <c r="BZ179" s="32">
        <f t="shared" si="45"/>
        <v>79740</v>
      </c>
      <c r="CA179" s="32">
        <f t="shared" si="15"/>
        <v>8860</v>
      </c>
      <c r="CB179" s="32">
        <f t="shared" si="16"/>
        <v>88600</v>
      </c>
      <c r="CC179" s="55">
        <f>CC178+(G179+J179)/(Salary_Schedule!E179*12/208)</f>
        <v>1882.394315</v>
      </c>
      <c r="CD179" s="55">
        <f>CD178+(O179+R179)/(Salary_Schedule!G179*12/208)</f>
        <v>220.6824188</v>
      </c>
      <c r="CE179" s="32">
        <f t="shared" si="17"/>
        <v>4493018.461</v>
      </c>
      <c r="CF179" s="32">
        <f>Assumptions!$B$55*(1+Assumptions!$B$56)^((B179-2025)+(A179-1)/12)</f>
        <v>657420.9038</v>
      </c>
      <c r="CG179" s="32">
        <f t="shared" si="18"/>
        <v>0</v>
      </c>
      <c r="CH179" s="32">
        <f t="shared" si="19"/>
        <v>-10500</v>
      </c>
      <c r="CI179" s="32">
        <f>CC179*(Salary_Schedule!E179/173.33)*(1-Assumptions!$B$28)+CD179*(Salary_Schedule!G179/173.33)*(1-Assumptions!$B$28)</f>
        <v>111256.8425</v>
      </c>
      <c r="CJ179" s="32">
        <f t="shared" si="20"/>
        <v>5251196.207</v>
      </c>
    </row>
    <row r="180" ht="15.0" customHeight="1">
      <c r="A180" s="1">
        <v>11.0</v>
      </c>
      <c r="B180" s="1">
        <v>2040.0</v>
      </c>
      <c r="C180" s="1" t="s">
        <v>849</v>
      </c>
      <c r="D180" s="1" t="str">
        <f t="shared" si="21"/>
        <v>10/2040</v>
      </c>
      <c r="E180" s="1" t="str">
        <f t="shared" si="2"/>
        <v>LEAN</v>
      </c>
      <c r="F180" s="32">
        <f>Salary_Schedule!E180</f>
        <v>14585</v>
      </c>
      <c r="G180" s="32">
        <f>Assumptions!$B$8</f>
        <v>200</v>
      </c>
      <c r="H180" s="32">
        <f>F180*Assumptions!$B$58</f>
        <v>1458.5</v>
      </c>
      <c r="I180" s="32">
        <f>Salary_Schedule!F180</f>
        <v>0</v>
      </c>
      <c r="J180" s="32">
        <f>I180*Assumptions!$B$9</f>
        <v>0</v>
      </c>
      <c r="K180" s="54">
        <f t="shared" si="3"/>
        <v>12926.5</v>
      </c>
      <c r="L180" s="32">
        <f>IF(COUNTIFS(SL_Income_Log!$B:$B,TEXT(B180,"0000")&amp;"-"&amp;TEXT(A180,"00"),SL_Income_Log!$C:$C,"salary",SL_Income_Log!$E:$E,"H")&gt;0,SUMIFS(SL_Income_Log!$D:$D,SL_Income_Log!$B:$B,TEXT(B180,"0000")&amp;"-"&amp;TEXT(A180,"00"),SL_Income_Log!$C:$C,"salary",SL_Income_Log!$E:$E,"H"),K180*(1-Assumptions!$B$102)-Z180-Y180)</f>
        <v>7755.9</v>
      </c>
      <c r="M180" s="32">
        <f>RSU_Schedule!H179</f>
        <v>0</v>
      </c>
      <c r="N180" s="32">
        <f>Salary_Schedule!G180</f>
        <v>10028.89</v>
      </c>
      <c r="O180" s="32">
        <f>Assumptions!$B$19</f>
        <v>200</v>
      </c>
      <c r="P180" s="32">
        <f>N180*Assumptions!$B$59</f>
        <v>1002.889</v>
      </c>
      <c r="Q180" s="32">
        <f>Salary_Schedule!H180</f>
        <v>0</v>
      </c>
      <c r="R180" s="32">
        <f>Q180*Assumptions!$B$20</f>
        <v>0</v>
      </c>
      <c r="S180" s="54">
        <f t="shared" si="4"/>
        <v>8826.001</v>
      </c>
      <c r="T180" s="32">
        <f>IF(COUNTIFS(SL_Income_Log!$B:$B,TEXT(B180,"0000")&amp;"-"&amp;TEXT(A180,"00"),SL_Income_Log!$C:$C,"salary",SL_Income_Log!$E:$E,"W")&gt;0,SUMIFS(SL_Income_Log!$D:$D,SL_Income_Log!$B:$B,TEXT(B180,"0000")&amp;"-"&amp;TEXT(A180,"00"),SL_Income_Log!$C:$C,"salary",SL_Income_Log!$E:$E,"W"),S180*(1-Assumptions!$B$102)-AC180-AB180)
</f>
        <v>5295.6006</v>
      </c>
      <c r="U180" s="32">
        <f>RSU_Schedule!M179</f>
        <v>0</v>
      </c>
      <c r="V180" s="32">
        <f>H180*(1+Assumptions!$B$60)+Assumptions!$B$61</f>
        <v>2061.9</v>
      </c>
      <c r="W180" s="32">
        <f>P180*(1+Assumptions!$B$60)+Assumptions!$B$61</f>
        <v>1424.0446</v>
      </c>
      <c r="X180" s="32">
        <f t="shared" si="5"/>
        <v>3485.9446</v>
      </c>
      <c r="Y180" s="32">
        <v>0.0</v>
      </c>
      <c r="Z180" s="32">
        <v>0.0</v>
      </c>
      <c r="AA180" s="32">
        <v>0.0</v>
      </c>
      <c r="AB180" s="32">
        <v>0.0</v>
      </c>
      <c r="AC180" s="32">
        <v>0.0</v>
      </c>
      <c r="AD180" s="32">
        <v>0.0</v>
      </c>
      <c r="AE180" s="32">
        <f t="shared" ref="AE180:AF180" si="221">Z180+AC180</f>
        <v>0</v>
      </c>
      <c r="AF180" s="32">
        <f t="shared" si="221"/>
        <v>0</v>
      </c>
      <c r="AG180" s="32">
        <f>IF(COUNTIFS(SL_Income_Log!$B:$B,TEXT(B180,"0000")&amp;"-"&amp;TEXT(A180,"00"),SL_Income_Log!$C:$C,"youtube")&gt;0,SUMIFS(SL_Income_Log!$D:$D,SL_Income_Log!$B:$B,TEXT(B180,"0000")&amp;"-"&amp;TEXT(A180,"00"),SL_Income_Log!$C:$C,"youtube"),MIN(Assumptions!$B$49+FLOOR((ROW()-2)/6,1)*Assumptions!$B$50,Assumptions!$B$51))
</f>
        <v>20000</v>
      </c>
      <c r="AH180" s="32">
        <f>AG180*Assumptions!$B$104</f>
        <v>8860</v>
      </c>
      <c r="AI180" s="32">
        <f t="shared" si="7"/>
        <v>11140</v>
      </c>
      <c r="AJ180" s="32">
        <f>SUMIFS(SL_Income_Log!$D:$D,SL_Income_Log!$B:$B,TEXT(B180,"0000")&amp;"-"&amp;TEXT(A180,"00"),SL_Income_Log!$C:$C,"other")</f>
        <v>0</v>
      </c>
      <c r="AK180" s="32">
        <f t="shared" si="27"/>
        <v>10000</v>
      </c>
      <c r="AL180" s="32">
        <f>L180+M180+T180+U180+AI180+AJ180-Y180-Z180-AB180-AC180+IF((Debt_Register!$C$2+Debt_Register!$C$6+Debt_Register!$C$7+Debt_Register!$C$8+Debt_Register!$C$9)&gt;5,X180,0)</f>
        <v>27677.4452</v>
      </c>
      <c r="AM180" s="32">
        <f t="shared" si="8"/>
        <v>37677.4452</v>
      </c>
      <c r="AN180" s="32">
        <f>MAX(Assumptions!$B$94,MIN(Assumptions!$B$93,AM180-AP180-BE180-BO180-BQ180))</f>
        <v>10000</v>
      </c>
      <c r="AO180" s="32">
        <v>0.0</v>
      </c>
      <c r="AP180" s="32">
        <v>0.0</v>
      </c>
      <c r="AQ180" s="32">
        <v>0.0</v>
      </c>
      <c r="AR180" s="32">
        <v>0.0</v>
      </c>
      <c r="AS180" s="32">
        <v>0.0</v>
      </c>
      <c r="AT180" s="32">
        <v>0.0</v>
      </c>
      <c r="AU180" s="32">
        <f t="shared" si="30"/>
        <v>0</v>
      </c>
      <c r="AV180" s="32">
        <f t="shared" si="31"/>
        <v>0</v>
      </c>
      <c r="AW180" s="32">
        <f t="shared" si="32"/>
        <v>0</v>
      </c>
      <c r="AX180" s="32">
        <f t="shared" si="33"/>
        <v>0</v>
      </c>
      <c r="AY180" s="32">
        <f t="shared" si="34"/>
        <v>0</v>
      </c>
      <c r="AZ180" s="32">
        <f t="shared" si="35"/>
        <v>0</v>
      </c>
      <c r="BA180" s="32">
        <f t="shared" si="36"/>
        <v>0</v>
      </c>
      <c r="BB180" s="32">
        <f t="shared" si="37"/>
        <v>0</v>
      </c>
      <c r="BC180" s="32">
        <f t="shared" si="38"/>
        <v>0</v>
      </c>
      <c r="BD180" s="32">
        <f t="shared" si="39"/>
        <v>0</v>
      </c>
      <c r="BE180" s="32">
        <f t="shared" si="11"/>
        <v>0</v>
      </c>
      <c r="BF180" s="32">
        <v>0.0</v>
      </c>
      <c r="BG180" s="32">
        <f t="shared" si="40"/>
        <v>5500</v>
      </c>
      <c r="BH180" s="32">
        <v>0.0</v>
      </c>
      <c r="BI180" s="32">
        <f t="shared" si="41"/>
        <v>5000</v>
      </c>
      <c r="BJ180" s="32">
        <f>IF(OR(B180&lt;Assumptions!$B$111,AND(B180=Assumptions!$B$111,A180&lt;=Assumptions!$B$112)),Assumptions!$B$110,0)</f>
        <v>0</v>
      </c>
      <c r="BK180" s="32">
        <f>IF(B180&lt;2027,Assumptions!$B$116+IF(OR(A180=4,A180=10),Assumptions!$B$117,0),IF(AND(B180=2027,A180&lt;=4),IF(A180=4,MIN(950,Assumptions!$B$116+Assumptions!$B$117),Assumptions!$B$116),0))</f>
        <v>0</v>
      </c>
      <c r="BL180" s="32">
        <f>IF(OR(B180&lt;2030,AND(B180=2030,A180&lt;8)),Assumptions!$B$118,IF(AND(B180=2030,A180=8),MOD(11000,200),0))</f>
        <v>0</v>
      </c>
      <c r="BM180" s="32">
        <f>IF(OR(B180&lt;Assumptions!$B$120,AND(B180=Assumptions!$B$120,A180&lt;=Assumptions!$B$121)),Assumptions!$B$119,0)</f>
        <v>0</v>
      </c>
      <c r="BN180" s="32">
        <f>IF(AND(B180&lt;=Assumptions!$B$123,A180&lt;=Assumptions!$B$124),Assumptions!$B$122,0)</f>
        <v>0</v>
      </c>
      <c r="BO180" s="32">
        <f t="shared" si="12"/>
        <v>0</v>
      </c>
      <c r="BP180" s="32">
        <f>SUMIFS(SL_Budget!$B:$B,SL_Budget!$C:$C,"'"&amp;TEXT(DATE(B180,A180,1),"YYYY-MM"))</f>
        <v>6219</v>
      </c>
      <c r="BQ180" s="32">
        <f>MAX(BP180, IFERROR(SUMIFS(ShadowLedger!D:D, 
  ShadowLedger!C:C, "&gt;="&amp;DATE(B180,A180,1), 
  ShadowLedger!C:C, "&lt;"&amp;EOMONTH(DATE(B180,A180,1),0)+1), 0))
</f>
        <v>6219</v>
      </c>
      <c r="BR180" s="32">
        <f t="shared" si="42"/>
        <v>4493018.461</v>
      </c>
      <c r="BS180" s="32">
        <f t="shared" si="43"/>
        <v>3485.9446</v>
      </c>
      <c r="BT180" s="32">
        <f>IF(BY179&gt;=Assumptions!$B$92,MAX(0,(AM180-BE180-BO180-BQ180)-Assumptions!$B$93),MAX(0,(AM180-BE180-BO180-BQ180)-Assumptions!$B$93)*Assumptions!$B$99)</f>
        <v>21458.4452</v>
      </c>
      <c r="BU180" s="32">
        <f>(BR180+BS180+MAX(0,BT180))*(Assumptions!$B$43-1)</f>
        <v>30803.47071</v>
      </c>
      <c r="BV180" s="32">
        <f t="shared" si="13"/>
        <v>4548766.321</v>
      </c>
      <c r="BW180" s="32">
        <f t="shared" si="44"/>
        <v>15476.04728</v>
      </c>
      <c r="BX180" s="32">
        <f>IF(BY179&lt;Assumptions!$B$92,MAX(0,(AM180-BE180-BO180-BQ180)-Assumptions!$B$93)*Assumptions!$B$98,0)</f>
        <v>0</v>
      </c>
      <c r="BY180" s="32">
        <f t="shared" si="14"/>
        <v>15476.04728</v>
      </c>
      <c r="BZ180" s="32">
        <f t="shared" si="45"/>
        <v>88600</v>
      </c>
      <c r="CA180" s="32">
        <f t="shared" si="15"/>
        <v>8860</v>
      </c>
      <c r="CB180" s="32">
        <f t="shared" si="16"/>
        <v>97460</v>
      </c>
      <c r="CC180" s="55">
        <f>CC179+(G180+J180)/(Salary_Schedule!E180*12/208)</f>
        <v>1882.632002</v>
      </c>
      <c r="CD180" s="55">
        <f>CD179+(O180+R180)/(Salary_Schedule!G180*12/208)</f>
        <v>221.0280868</v>
      </c>
      <c r="CE180" s="32">
        <f t="shared" si="17"/>
        <v>4548766.321</v>
      </c>
      <c r="CF180" s="32">
        <f>Assumptions!$B$55*(1+Assumptions!$B$56)^((B180-2025)+(A180-1)/12)</f>
        <v>658237.0837</v>
      </c>
      <c r="CG180" s="32">
        <f t="shared" si="18"/>
        <v>0</v>
      </c>
      <c r="CH180" s="32">
        <f t="shared" si="19"/>
        <v>-10500</v>
      </c>
      <c r="CI180" s="32">
        <f>CC180*(Salary_Schedule!E180/173.33)*(1-Assumptions!$B$28)+CD180*(Salary_Schedule!G180/173.33)*(1-Assumptions!$B$28)</f>
        <v>111282.843</v>
      </c>
      <c r="CJ180" s="32">
        <f t="shared" si="20"/>
        <v>5307786.248</v>
      </c>
    </row>
    <row r="181" ht="15.0" customHeight="1">
      <c r="A181" s="1">
        <v>12.0</v>
      </c>
      <c r="B181" s="1">
        <v>2040.0</v>
      </c>
      <c r="C181" s="1" t="s">
        <v>850</v>
      </c>
      <c r="D181" s="1" t="str">
        <f t="shared" si="21"/>
        <v>11/2040</v>
      </c>
      <c r="E181" s="1" t="str">
        <f t="shared" si="2"/>
        <v>LEAN</v>
      </c>
      <c r="F181" s="32">
        <f>Salary_Schedule!E181</f>
        <v>14585</v>
      </c>
      <c r="G181" s="32">
        <f>Assumptions!$B$8</f>
        <v>200</v>
      </c>
      <c r="H181" s="32">
        <f>F181*Assumptions!$B$58</f>
        <v>1458.5</v>
      </c>
      <c r="I181" s="32">
        <f>Salary_Schedule!F181</f>
        <v>0</v>
      </c>
      <c r="J181" s="32">
        <f>I181*Assumptions!$B$9</f>
        <v>0</v>
      </c>
      <c r="K181" s="54">
        <f t="shared" si="3"/>
        <v>12926.5</v>
      </c>
      <c r="L181" s="32">
        <f>IF(COUNTIFS(SL_Income_Log!$B:$B,TEXT(B181,"0000")&amp;"-"&amp;TEXT(A181,"00"),SL_Income_Log!$C:$C,"salary",SL_Income_Log!$E:$E,"H")&gt;0,SUMIFS(SL_Income_Log!$D:$D,SL_Income_Log!$B:$B,TEXT(B181,"0000")&amp;"-"&amp;TEXT(A181,"00"),SL_Income_Log!$C:$C,"salary",SL_Income_Log!$E:$E,"H"),K181*(1-Assumptions!$B$102)-Z181-Y181)</f>
        <v>7755.9</v>
      </c>
      <c r="M181" s="32">
        <f>RSU_Schedule!H180</f>
        <v>0</v>
      </c>
      <c r="N181" s="32">
        <f>Salary_Schedule!G181</f>
        <v>10028.89</v>
      </c>
      <c r="O181" s="32">
        <f>Assumptions!$B$19</f>
        <v>200</v>
      </c>
      <c r="P181" s="32">
        <f>N181*Assumptions!$B$59</f>
        <v>1002.889</v>
      </c>
      <c r="Q181" s="32">
        <f>Salary_Schedule!H181</f>
        <v>0</v>
      </c>
      <c r="R181" s="32">
        <f>Q181*Assumptions!$B$20</f>
        <v>0</v>
      </c>
      <c r="S181" s="54">
        <f t="shared" si="4"/>
        <v>8826.001</v>
      </c>
      <c r="T181" s="32">
        <f>IF(COUNTIFS(SL_Income_Log!$B:$B,TEXT(B181,"0000")&amp;"-"&amp;TEXT(A181,"00"),SL_Income_Log!$C:$C,"salary",SL_Income_Log!$E:$E,"W")&gt;0,SUMIFS(SL_Income_Log!$D:$D,SL_Income_Log!$B:$B,TEXT(B181,"0000")&amp;"-"&amp;TEXT(A181,"00"),SL_Income_Log!$C:$C,"salary",SL_Income_Log!$E:$E,"W"),S181*(1-Assumptions!$B$102)-AC181-AB181)
</f>
        <v>5295.6006</v>
      </c>
      <c r="U181" s="32">
        <f>RSU_Schedule!M180</f>
        <v>0</v>
      </c>
      <c r="V181" s="32">
        <f>H181*(1+Assumptions!$B$60)+Assumptions!$B$61</f>
        <v>2061.9</v>
      </c>
      <c r="W181" s="32">
        <f>P181*(1+Assumptions!$B$60)+Assumptions!$B$61</f>
        <v>1424.0446</v>
      </c>
      <c r="X181" s="32">
        <f t="shared" si="5"/>
        <v>3485.9446</v>
      </c>
      <c r="Y181" s="32">
        <v>0.0</v>
      </c>
      <c r="Z181" s="32">
        <v>0.0</v>
      </c>
      <c r="AA181" s="32">
        <v>0.0</v>
      </c>
      <c r="AB181" s="32">
        <v>0.0</v>
      </c>
      <c r="AC181" s="32">
        <v>0.0</v>
      </c>
      <c r="AD181" s="32">
        <v>0.0</v>
      </c>
      <c r="AE181" s="32">
        <f t="shared" ref="AE181:AF181" si="222">Z181+AC181</f>
        <v>0</v>
      </c>
      <c r="AF181" s="32">
        <f t="shared" si="222"/>
        <v>0</v>
      </c>
      <c r="AG181" s="32">
        <f>IF(COUNTIFS(SL_Income_Log!$B:$B,TEXT(B181,"0000")&amp;"-"&amp;TEXT(A181,"00"),SL_Income_Log!$C:$C,"youtube")&gt;0,SUMIFS(SL_Income_Log!$D:$D,SL_Income_Log!$B:$B,TEXT(B181,"0000")&amp;"-"&amp;TEXT(A181,"00"),SL_Income_Log!$C:$C,"youtube"),MIN(Assumptions!$B$49+FLOOR((ROW()-2)/6,1)*Assumptions!$B$50,Assumptions!$B$51))
</f>
        <v>20000</v>
      </c>
      <c r="AH181" s="32">
        <f>AG181*Assumptions!$B$104</f>
        <v>8860</v>
      </c>
      <c r="AI181" s="32">
        <f t="shared" si="7"/>
        <v>11140</v>
      </c>
      <c r="AJ181" s="32">
        <f>SUMIFS(SL_Income_Log!$D:$D,SL_Income_Log!$B:$B,TEXT(B181,"0000")&amp;"-"&amp;TEXT(A181,"00"),SL_Income_Log!$C:$C,"other")</f>
        <v>0</v>
      </c>
      <c r="AK181" s="32">
        <f t="shared" si="27"/>
        <v>10000</v>
      </c>
      <c r="AL181" s="32">
        <f>L181+M181+T181+U181+AI181+AJ181-Y181-Z181-AB181-AC181+IF((Debt_Register!$C$2+Debt_Register!$C$6+Debt_Register!$C$7+Debt_Register!$C$8+Debt_Register!$C$9)&gt;5,X181,0)</f>
        <v>27677.4452</v>
      </c>
      <c r="AM181" s="32">
        <f t="shared" si="8"/>
        <v>37677.4452</v>
      </c>
      <c r="AN181" s="32">
        <f>MAX(Assumptions!$B$94,MIN(Assumptions!$B$93,AM181-AP181-BE181-BO181-BQ181))</f>
        <v>10000</v>
      </c>
      <c r="AO181" s="32">
        <v>0.0</v>
      </c>
      <c r="AP181" s="32">
        <v>0.0</v>
      </c>
      <c r="AQ181" s="32">
        <v>0.0</v>
      </c>
      <c r="AR181" s="32">
        <v>0.0</v>
      </c>
      <c r="AS181" s="32">
        <v>0.0</v>
      </c>
      <c r="AT181" s="32">
        <v>0.0</v>
      </c>
      <c r="AU181" s="32">
        <f t="shared" si="30"/>
        <v>0</v>
      </c>
      <c r="AV181" s="32">
        <f t="shared" si="31"/>
        <v>0</v>
      </c>
      <c r="AW181" s="32">
        <f t="shared" si="32"/>
        <v>0</v>
      </c>
      <c r="AX181" s="32">
        <f t="shared" si="33"/>
        <v>0</v>
      </c>
      <c r="AY181" s="32">
        <f t="shared" si="34"/>
        <v>0</v>
      </c>
      <c r="AZ181" s="32">
        <f t="shared" si="35"/>
        <v>0</v>
      </c>
      <c r="BA181" s="32">
        <f t="shared" si="36"/>
        <v>0</v>
      </c>
      <c r="BB181" s="32">
        <f t="shared" si="37"/>
        <v>0</v>
      </c>
      <c r="BC181" s="32">
        <f t="shared" si="38"/>
        <v>0</v>
      </c>
      <c r="BD181" s="32">
        <f t="shared" si="39"/>
        <v>0</v>
      </c>
      <c r="BE181" s="32">
        <f t="shared" si="11"/>
        <v>0</v>
      </c>
      <c r="BF181" s="32">
        <v>0.0</v>
      </c>
      <c r="BG181" s="32">
        <f t="shared" si="40"/>
        <v>5500</v>
      </c>
      <c r="BH181" s="32">
        <v>0.0</v>
      </c>
      <c r="BI181" s="32">
        <f t="shared" si="41"/>
        <v>5000</v>
      </c>
      <c r="BJ181" s="32">
        <f>IF(OR(B181&lt;Assumptions!$B$111,AND(B181=Assumptions!$B$111,A181&lt;=Assumptions!$B$112)),Assumptions!$B$110,0)</f>
        <v>0</v>
      </c>
      <c r="BK181" s="32">
        <f>IF(B181&lt;2027,Assumptions!$B$116+IF(OR(A181=4,A181=10),Assumptions!$B$117,0),IF(AND(B181=2027,A181&lt;=4),IF(A181=4,MIN(950,Assumptions!$B$116+Assumptions!$B$117),Assumptions!$B$116),0))</f>
        <v>0</v>
      </c>
      <c r="BL181" s="32">
        <f>IF(OR(B181&lt;2030,AND(B181=2030,A181&lt;8)),Assumptions!$B$118,IF(AND(B181=2030,A181=8),MOD(11000,200),0))</f>
        <v>0</v>
      </c>
      <c r="BM181" s="32">
        <f>IF(OR(B181&lt;Assumptions!$B$120,AND(B181=Assumptions!$B$120,A181&lt;=Assumptions!$B$121)),Assumptions!$B$119,0)</f>
        <v>0</v>
      </c>
      <c r="BN181" s="32">
        <f>IF(AND(B181&lt;=Assumptions!$B$123,A181&lt;=Assumptions!$B$124),Assumptions!$B$122,0)</f>
        <v>0</v>
      </c>
      <c r="BO181" s="32">
        <f t="shared" si="12"/>
        <v>0</v>
      </c>
      <c r="BP181" s="32">
        <f>SUMIFS(SL_Budget!$B:$B,SL_Budget!$C:$C,"'"&amp;TEXT(DATE(B181,A181,1),"YYYY-MM"))</f>
        <v>6219</v>
      </c>
      <c r="BQ181" s="32">
        <f>MAX(BP181, IFERROR(SUMIFS(ShadowLedger!D:D, 
  ShadowLedger!C:C, "&gt;="&amp;DATE(B181,A181,1), 
  ShadowLedger!C:C, "&lt;"&amp;EOMONTH(DATE(B181,A181,1),0)+1), 0))
</f>
        <v>6219</v>
      </c>
      <c r="BR181" s="32">
        <f t="shared" si="42"/>
        <v>4548766.321</v>
      </c>
      <c r="BS181" s="32">
        <f t="shared" si="43"/>
        <v>3485.9446</v>
      </c>
      <c r="BT181" s="32">
        <f>IF(BY180&gt;=Assumptions!$B$92,MAX(0,(AM181-BE181-BO181-BQ181)-Assumptions!$B$93),MAX(0,(AM181-BE181-BO181-BQ181)-Assumptions!$B$93)*Assumptions!$B$99)</f>
        <v>21458.4452</v>
      </c>
      <c r="BU181" s="32">
        <f>(BR181+BS181+MAX(0,BT181))*(Assumptions!$B$43-1)</f>
        <v>31183.55963</v>
      </c>
      <c r="BV181" s="32">
        <f t="shared" si="13"/>
        <v>4604894.271</v>
      </c>
      <c r="BW181" s="32">
        <f t="shared" si="44"/>
        <v>15476.04728</v>
      </c>
      <c r="BX181" s="32">
        <f>IF(BY180&lt;Assumptions!$B$92,MAX(0,(AM181-BE181-BO181-BQ181)-Assumptions!$B$93)*Assumptions!$B$98,0)</f>
        <v>0</v>
      </c>
      <c r="BY181" s="32">
        <f t="shared" si="14"/>
        <v>15476.04728</v>
      </c>
      <c r="BZ181" s="32">
        <f t="shared" si="45"/>
        <v>97460</v>
      </c>
      <c r="CA181" s="32">
        <f t="shared" si="15"/>
        <v>8860</v>
      </c>
      <c r="CB181" s="32">
        <f t="shared" si="16"/>
        <v>106320</v>
      </c>
      <c r="CC181" s="55">
        <f>CC180+(G181+J181)/(Salary_Schedule!E181*12/208)</f>
        <v>1882.869689</v>
      </c>
      <c r="CD181" s="55">
        <f>CD180+(O181+R181)/(Salary_Schedule!G181*12/208)</f>
        <v>221.3737549</v>
      </c>
      <c r="CE181" s="32">
        <f t="shared" si="17"/>
        <v>4604894.271</v>
      </c>
      <c r="CF181" s="32">
        <f>Assumptions!$B$55*(1+Assumptions!$B$56)^((B181-2025)+(A181-1)/12)</f>
        <v>659054.277</v>
      </c>
      <c r="CG181" s="32">
        <f t="shared" si="18"/>
        <v>0</v>
      </c>
      <c r="CH181" s="32">
        <f t="shared" si="19"/>
        <v>-10500</v>
      </c>
      <c r="CI181" s="32">
        <f>CC181*(Salary_Schedule!E181/173.33)*(1-Assumptions!$B$28)+CD181*(Salary_Schedule!G181/173.33)*(1-Assumptions!$B$28)</f>
        <v>111308.8435</v>
      </c>
      <c r="CJ181" s="32">
        <f t="shared" si="20"/>
        <v>5364757.391</v>
      </c>
    </row>
    <row r="182" ht="15.0" customHeight="1">
      <c r="A182" s="1">
        <v>1.0</v>
      </c>
      <c r="B182" s="1">
        <v>2041.0</v>
      </c>
      <c r="C182" s="1" t="s">
        <v>851</v>
      </c>
      <c r="D182" s="1" t="str">
        <f t="shared" si="21"/>
        <v>12/2040</v>
      </c>
      <c r="E182" s="1" t="str">
        <f t="shared" si="2"/>
        <v>FAT_RSU</v>
      </c>
      <c r="F182" s="32">
        <f>Salary_Schedule!E182</f>
        <v>15314.25</v>
      </c>
      <c r="G182" s="32">
        <f>Assumptions!$B$8</f>
        <v>200</v>
      </c>
      <c r="H182" s="32">
        <f>F182*Assumptions!$B$58</f>
        <v>1531.425</v>
      </c>
      <c r="I182" s="32">
        <f>Salary_Schedule!F182</f>
        <v>0</v>
      </c>
      <c r="J182" s="32">
        <f>I182*Assumptions!$B$9</f>
        <v>0</v>
      </c>
      <c r="K182" s="54">
        <f t="shared" si="3"/>
        <v>13582.825</v>
      </c>
      <c r="L182" s="32">
        <f>IF(COUNTIFS(SL_Income_Log!$B:$B,TEXT(B182,"0000")&amp;"-"&amp;TEXT(A182,"00"),SL_Income_Log!$C:$C,"salary",SL_Income_Log!$E:$E,"H")&gt;0,SUMIFS(SL_Income_Log!$D:$D,SL_Income_Log!$B:$B,TEXT(B182,"0000")&amp;"-"&amp;TEXT(A182,"00"),SL_Income_Log!$C:$C,"salary",SL_Income_Log!$E:$E,"H"),K182*(1-Assumptions!$B$102)-Z182-Y182)</f>
        <v>8149.695</v>
      </c>
      <c r="M182" s="32">
        <f>RSU_Schedule!H181</f>
        <v>2784.99</v>
      </c>
      <c r="N182" s="32">
        <f>Salary_Schedule!G182</f>
        <v>10379.9</v>
      </c>
      <c r="O182" s="32">
        <f>Assumptions!$B$19</f>
        <v>200</v>
      </c>
      <c r="P182" s="32">
        <f>N182*Assumptions!$B$59</f>
        <v>1037.99</v>
      </c>
      <c r="Q182" s="32">
        <f>Salary_Schedule!H182</f>
        <v>0</v>
      </c>
      <c r="R182" s="32">
        <f>Q182*Assumptions!$B$20</f>
        <v>0</v>
      </c>
      <c r="S182" s="54">
        <f t="shared" si="4"/>
        <v>9141.91</v>
      </c>
      <c r="T182" s="32">
        <f>IF(COUNTIFS(SL_Income_Log!$B:$B,TEXT(B182,"0000")&amp;"-"&amp;TEXT(A182,"00"),SL_Income_Log!$C:$C,"salary",SL_Income_Log!$E:$E,"W")&gt;0,SUMIFS(SL_Income_Log!$D:$D,SL_Income_Log!$B:$B,TEXT(B182,"0000")&amp;"-"&amp;TEXT(A182,"00"),SL_Income_Log!$C:$C,"salary",SL_Income_Log!$E:$E,"W"),S182*(1-Assumptions!$B$102)-AC182-AB182)
</f>
        <v>5485.146</v>
      </c>
      <c r="U182" s="32">
        <f>RSU_Schedule!M181</f>
        <v>1392.51</v>
      </c>
      <c r="V182" s="32">
        <f>H182*(1+Assumptions!$B$60)+Assumptions!$B$61</f>
        <v>2163.995</v>
      </c>
      <c r="W182" s="32">
        <f>P182*(1+Assumptions!$B$60)+Assumptions!$B$61</f>
        <v>1473.186</v>
      </c>
      <c r="X182" s="32">
        <f t="shared" si="5"/>
        <v>3637.181</v>
      </c>
      <c r="Y182" s="32">
        <v>0.0</v>
      </c>
      <c r="Z182" s="32">
        <v>0.0</v>
      </c>
      <c r="AA182" s="32">
        <v>0.0</v>
      </c>
      <c r="AB182" s="32">
        <v>0.0</v>
      </c>
      <c r="AC182" s="32">
        <v>0.0</v>
      </c>
      <c r="AD182" s="32">
        <v>0.0</v>
      </c>
      <c r="AE182" s="32">
        <f t="shared" ref="AE182:AF182" si="223">Z182+AC182</f>
        <v>0</v>
      </c>
      <c r="AF182" s="32">
        <f t="shared" si="223"/>
        <v>0</v>
      </c>
      <c r="AG182" s="32">
        <f>IF(COUNTIFS(SL_Income_Log!$B:$B,TEXT(B182,"0000")&amp;"-"&amp;TEXT(A182,"00"),SL_Income_Log!$C:$C,"youtube")&gt;0,SUMIFS(SL_Income_Log!$D:$D,SL_Income_Log!$B:$B,TEXT(B182,"0000")&amp;"-"&amp;TEXT(A182,"00"),SL_Income_Log!$C:$C,"youtube"),MIN(Assumptions!$B$49+FLOOR((ROW()-2)/6,1)*Assumptions!$B$50,Assumptions!$B$51))
</f>
        <v>20000</v>
      </c>
      <c r="AH182" s="32">
        <f>AG182*Assumptions!$B$104</f>
        <v>8860</v>
      </c>
      <c r="AI182" s="32">
        <f t="shared" si="7"/>
        <v>11140</v>
      </c>
      <c r="AJ182" s="32">
        <f>SUMIFS(SL_Income_Log!$D:$D,SL_Income_Log!$B:$B,TEXT(B182,"0000")&amp;"-"&amp;TEXT(A182,"00"),SL_Income_Log!$C:$C,"other")</f>
        <v>0</v>
      </c>
      <c r="AK182" s="32">
        <f t="shared" si="27"/>
        <v>10000</v>
      </c>
      <c r="AL182" s="32">
        <f>L182+M182+T182+U182+AI182+AJ182-Y182-Z182-AB182-AC182+IF((Debt_Register!$C$2+Debt_Register!$C$6+Debt_Register!$C$7+Debt_Register!$C$8+Debt_Register!$C$9)&gt;5,X182,0)</f>
        <v>32589.522</v>
      </c>
      <c r="AM182" s="32">
        <f t="shared" si="8"/>
        <v>42589.522</v>
      </c>
      <c r="AN182" s="32">
        <f>MAX(Assumptions!$B$94,MIN(Assumptions!$B$93,AM182-AP182-BE182-BO182-BQ182))</f>
        <v>10000</v>
      </c>
      <c r="AO182" s="32">
        <v>0.0</v>
      </c>
      <c r="AP182" s="32">
        <v>0.0</v>
      </c>
      <c r="AQ182" s="32">
        <v>0.0</v>
      </c>
      <c r="AR182" s="32">
        <v>0.0</v>
      </c>
      <c r="AS182" s="32">
        <v>0.0</v>
      </c>
      <c r="AT182" s="32">
        <v>0.0</v>
      </c>
      <c r="AU182" s="32">
        <f t="shared" si="30"/>
        <v>0</v>
      </c>
      <c r="AV182" s="32">
        <f t="shared" si="31"/>
        <v>0</v>
      </c>
      <c r="AW182" s="32">
        <f t="shared" si="32"/>
        <v>0</v>
      </c>
      <c r="AX182" s="32">
        <f t="shared" si="33"/>
        <v>0</v>
      </c>
      <c r="AY182" s="32">
        <f t="shared" si="34"/>
        <v>0</v>
      </c>
      <c r="AZ182" s="32">
        <f t="shared" si="35"/>
        <v>0</v>
      </c>
      <c r="BA182" s="32">
        <f t="shared" si="36"/>
        <v>0</v>
      </c>
      <c r="BB182" s="32">
        <f t="shared" si="37"/>
        <v>0</v>
      </c>
      <c r="BC182" s="32">
        <f t="shared" si="38"/>
        <v>0</v>
      </c>
      <c r="BD182" s="32">
        <f t="shared" si="39"/>
        <v>0</v>
      </c>
      <c r="BE182" s="32">
        <f t="shared" si="11"/>
        <v>0</v>
      </c>
      <c r="BF182" s="32">
        <v>0.0</v>
      </c>
      <c r="BG182" s="32">
        <f t="shared" si="40"/>
        <v>5500</v>
      </c>
      <c r="BH182" s="32">
        <v>0.0</v>
      </c>
      <c r="BI182" s="32">
        <f t="shared" si="41"/>
        <v>5000</v>
      </c>
      <c r="BJ182" s="32">
        <f>IF(OR(B182&lt;Assumptions!$B$111,AND(B182=Assumptions!$B$111,A182&lt;=Assumptions!$B$112)),Assumptions!$B$110,0)</f>
        <v>0</v>
      </c>
      <c r="BK182" s="32">
        <f>IF(B182&lt;2027,Assumptions!$B$116+IF(OR(A182=4,A182=10),Assumptions!$B$117,0),IF(AND(B182=2027,A182&lt;=4),IF(A182=4,MIN(950,Assumptions!$B$116+Assumptions!$B$117),Assumptions!$B$116),0))</f>
        <v>0</v>
      </c>
      <c r="BL182" s="32">
        <f>IF(OR(B182&lt;2030,AND(B182=2030,A182&lt;8)),Assumptions!$B$118,IF(AND(B182=2030,A182=8),MOD(11000,200),0))</f>
        <v>0</v>
      </c>
      <c r="BM182" s="32">
        <f>IF(OR(B182&lt;Assumptions!$B$120,AND(B182=Assumptions!$B$120,A182&lt;=Assumptions!$B$121)),Assumptions!$B$119,0)</f>
        <v>0</v>
      </c>
      <c r="BN182" s="32">
        <f>IF(AND(B182&lt;=Assumptions!$B$123,A182&lt;=Assumptions!$B$124),Assumptions!$B$122,0)</f>
        <v>0</v>
      </c>
      <c r="BO182" s="32">
        <f t="shared" si="12"/>
        <v>0</v>
      </c>
      <c r="BP182" s="32">
        <f>SUMIFS(SL_Budget!$B:$B,SL_Budget!$C:$C,"'"&amp;TEXT(DATE(B182,A182,1),"YYYY-MM"))</f>
        <v>6405</v>
      </c>
      <c r="BQ182" s="32">
        <f>MAX(BP182, IFERROR(SUMIFS(ShadowLedger!D:D, 
  ShadowLedger!C:C, "&gt;="&amp;DATE(B182,A182,1), 
  ShadowLedger!C:C, "&lt;"&amp;EOMONTH(DATE(B182,A182,1),0)+1), 0))
</f>
        <v>6405</v>
      </c>
      <c r="BR182" s="32">
        <f t="shared" si="42"/>
        <v>4604894.271</v>
      </c>
      <c r="BS182" s="32">
        <f t="shared" si="43"/>
        <v>3637.181</v>
      </c>
      <c r="BT182" s="32">
        <f>IF(BY181&gt;=Assumptions!$B$92,MAX(0,(AM182-BE182-BO182-BQ182)-Assumptions!$B$93),MAX(0,(AM182-BE182-BO182-BQ182)-Assumptions!$B$93)*Assumptions!$B$99)</f>
        <v>26184.522</v>
      </c>
      <c r="BU182" s="32">
        <f>(BR182+BS182+MAX(0,BT182))*(Assumptions!$B$43-1)</f>
        <v>31599.49351</v>
      </c>
      <c r="BV182" s="32">
        <f t="shared" si="13"/>
        <v>4666315.467</v>
      </c>
      <c r="BW182" s="32">
        <f t="shared" si="44"/>
        <v>15476.04728</v>
      </c>
      <c r="BX182" s="32">
        <f>IF(BY181&lt;Assumptions!$B$92,MAX(0,(AM182-BE182-BO182-BQ182)-Assumptions!$B$93)*Assumptions!$B$98,0)</f>
        <v>0</v>
      </c>
      <c r="BY182" s="32">
        <f t="shared" si="14"/>
        <v>15476.04728</v>
      </c>
      <c r="BZ182" s="32">
        <f t="shared" si="45"/>
        <v>0</v>
      </c>
      <c r="CA182" s="32">
        <f t="shared" si="15"/>
        <v>8860</v>
      </c>
      <c r="CB182" s="32">
        <f t="shared" si="16"/>
        <v>8860</v>
      </c>
      <c r="CC182" s="55">
        <f>CC181+(G182+J182)/(Salary_Schedule!E182*12/208)</f>
        <v>1883.096058</v>
      </c>
      <c r="CD182" s="55">
        <f>CD181+(O182+R182)/(Salary_Schedule!G182*12/208)</f>
        <v>221.7077337</v>
      </c>
      <c r="CE182" s="32">
        <f t="shared" si="17"/>
        <v>4666315.467</v>
      </c>
      <c r="CF182" s="32">
        <f>Assumptions!$B$55*(1+Assumptions!$B$56)^((B182-2025)+(A182-1)/12)</f>
        <v>659872.4848</v>
      </c>
      <c r="CG182" s="32">
        <f t="shared" si="18"/>
        <v>0</v>
      </c>
      <c r="CH182" s="32">
        <f t="shared" si="19"/>
        <v>-10500</v>
      </c>
      <c r="CI182" s="32">
        <f>CC182*(Salary_Schedule!E182/173.33)*(1-Assumptions!$B$28)+CD182*(Salary_Schedule!G182/173.33)*(1-Assumptions!$B$28)</f>
        <v>116775.4003</v>
      </c>
      <c r="CJ182" s="32">
        <f t="shared" si="20"/>
        <v>5432463.352</v>
      </c>
    </row>
    <row r="183" ht="15.0" customHeight="1">
      <c r="A183" s="1">
        <v>2.0</v>
      </c>
      <c r="B183" s="1">
        <v>2041.0</v>
      </c>
      <c r="C183" s="1" t="s">
        <v>852</v>
      </c>
      <c r="D183" s="1" t="str">
        <f t="shared" si="21"/>
        <v>01/2041</v>
      </c>
      <c r="E183" s="1" t="str">
        <f t="shared" si="2"/>
        <v>LEAN</v>
      </c>
      <c r="F183" s="32">
        <f>Salary_Schedule!E183</f>
        <v>15314.25</v>
      </c>
      <c r="G183" s="32">
        <f>Assumptions!$B$8</f>
        <v>200</v>
      </c>
      <c r="H183" s="32">
        <f>F183*Assumptions!$B$58</f>
        <v>1531.425</v>
      </c>
      <c r="I183" s="32">
        <f>Salary_Schedule!F183</f>
        <v>0</v>
      </c>
      <c r="J183" s="32">
        <f>I183*Assumptions!$B$9</f>
        <v>0</v>
      </c>
      <c r="K183" s="54">
        <f t="shared" si="3"/>
        <v>13582.825</v>
      </c>
      <c r="L183" s="32">
        <f>IF(COUNTIFS(SL_Income_Log!$B:$B,TEXT(B183,"0000")&amp;"-"&amp;TEXT(A183,"00"),SL_Income_Log!$C:$C,"salary",SL_Income_Log!$E:$E,"H")&gt;0,SUMIFS(SL_Income_Log!$D:$D,SL_Income_Log!$B:$B,TEXT(B183,"0000")&amp;"-"&amp;TEXT(A183,"00"),SL_Income_Log!$C:$C,"salary",SL_Income_Log!$E:$E,"H"),K183*(1-Assumptions!$B$102)-Z183-Y183)</f>
        <v>8149.695</v>
      </c>
      <c r="M183" s="32">
        <f>RSU_Schedule!H182</f>
        <v>0</v>
      </c>
      <c r="N183" s="32">
        <f>Salary_Schedule!G183</f>
        <v>10379.9</v>
      </c>
      <c r="O183" s="32">
        <f>Assumptions!$B$19</f>
        <v>200</v>
      </c>
      <c r="P183" s="32">
        <f>N183*Assumptions!$B$59</f>
        <v>1037.99</v>
      </c>
      <c r="Q183" s="32">
        <f>Salary_Schedule!H183</f>
        <v>0</v>
      </c>
      <c r="R183" s="32">
        <f>Q183*Assumptions!$B$20</f>
        <v>0</v>
      </c>
      <c r="S183" s="54">
        <f t="shared" si="4"/>
        <v>9141.91</v>
      </c>
      <c r="T183" s="32">
        <f>IF(COUNTIFS(SL_Income_Log!$B:$B,TEXT(B183,"0000")&amp;"-"&amp;TEXT(A183,"00"),SL_Income_Log!$C:$C,"salary",SL_Income_Log!$E:$E,"W")&gt;0,SUMIFS(SL_Income_Log!$D:$D,SL_Income_Log!$B:$B,TEXT(B183,"0000")&amp;"-"&amp;TEXT(A183,"00"),SL_Income_Log!$C:$C,"salary",SL_Income_Log!$E:$E,"W"),S183*(1-Assumptions!$B$102)-AC183-AB183)
</f>
        <v>5485.146</v>
      </c>
      <c r="U183" s="32">
        <f>RSU_Schedule!M182</f>
        <v>0</v>
      </c>
      <c r="V183" s="32">
        <f>H183*(1+Assumptions!$B$60)+Assumptions!$B$61</f>
        <v>2163.995</v>
      </c>
      <c r="W183" s="32">
        <f>P183*(1+Assumptions!$B$60)+Assumptions!$B$61</f>
        <v>1473.186</v>
      </c>
      <c r="X183" s="32">
        <f t="shared" si="5"/>
        <v>3637.181</v>
      </c>
      <c r="Y183" s="32">
        <v>0.0</v>
      </c>
      <c r="Z183" s="32">
        <v>0.0</v>
      </c>
      <c r="AA183" s="32">
        <v>0.0</v>
      </c>
      <c r="AB183" s="32">
        <v>0.0</v>
      </c>
      <c r="AC183" s="32">
        <v>0.0</v>
      </c>
      <c r="AD183" s="32">
        <v>0.0</v>
      </c>
      <c r="AE183" s="32">
        <f t="shared" ref="AE183:AF183" si="224">Z183+AC183</f>
        <v>0</v>
      </c>
      <c r="AF183" s="32">
        <f t="shared" si="224"/>
        <v>0</v>
      </c>
      <c r="AG183" s="32">
        <f>IF(COUNTIFS(SL_Income_Log!$B:$B,TEXT(B183,"0000")&amp;"-"&amp;TEXT(A183,"00"),SL_Income_Log!$C:$C,"youtube")&gt;0,SUMIFS(SL_Income_Log!$D:$D,SL_Income_Log!$B:$B,TEXT(B183,"0000")&amp;"-"&amp;TEXT(A183,"00"),SL_Income_Log!$C:$C,"youtube"),MIN(Assumptions!$B$49+FLOOR((ROW()-2)/6,1)*Assumptions!$B$50,Assumptions!$B$51))
</f>
        <v>20000</v>
      </c>
      <c r="AH183" s="32">
        <f>AG183*Assumptions!$B$104</f>
        <v>8860</v>
      </c>
      <c r="AI183" s="32">
        <f t="shared" si="7"/>
        <v>11140</v>
      </c>
      <c r="AJ183" s="32">
        <f>SUMIFS(SL_Income_Log!$D:$D,SL_Income_Log!$B:$B,TEXT(B183,"0000")&amp;"-"&amp;TEXT(A183,"00"),SL_Income_Log!$C:$C,"other")</f>
        <v>0</v>
      </c>
      <c r="AK183" s="32">
        <f t="shared" si="27"/>
        <v>10000</v>
      </c>
      <c r="AL183" s="32">
        <f>L183+M183+T183+U183+AI183+AJ183-Y183-Z183-AB183-AC183+IF((Debt_Register!$C$2+Debt_Register!$C$6+Debt_Register!$C$7+Debt_Register!$C$8+Debt_Register!$C$9)&gt;5,X183,0)</f>
        <v>28412.022</v>
      </c>
      <c r="AM183" s="32">
        <f t="shared" si="8"/>
        <v>38412.022</v>
      </c>
      <c r="AN183" s="32">
        <f>MAX(Assumptions!$B$94,MIN(Assumptions!$B$93,AM183-AP183-BE183-BO183-BQ183))</f>
        <v>10000</v>
      </c>
      <c r="AO183" s="32">
        <v>0.0</v>
      </c>
      <c r="AP183" s="32">
        <v>0.0</v>
      </c>
      <c r="AQ183" s="32">
        <v>0.0</v>
      </c>
      <c r="AR183" s="32">
        <v>0.0</v>
      </c>
      <c r="AS183" s="32">
        <v>0.0</v>
      </c>
      <c r="AT183" s="32">
        <v>0.0</v>
      </c>
      <c r="AU183" s="32">
        <f t="shared" si="30"/>
        <v>0</v>
      </c>
      <c r="AV183" s="32">
        <f t="shared" si="31"/>
        <v>0</v>
      </c>
      <c r="AW183" s="32">
        <f t="shared" si="32"/>
        <v>0</v>
      </c>
      <c r="AX183" s="32">
        <f t="shared" si="33"/>
        <v>0</v>
      </c>
      <c r="AY183" s="32">
        <f t="shared" si="34"/>
        <v>0</v>
      </c>
      <c r="AZ183" s="32">
        <f t="shared" si="35"/>
        <v>0</v>
      </c>
      <c r="BA183" s="32">
        <f t="shared" si="36"/>
        <v>0</v>
      </c>
      <c r="BB183" s="32">
        <f t="shared" si="37"/>
        <v>0</v>
      </c>
      <c r="BC183" s="32">
        <f t="shared" si="38"/>
        <v>0</v>
      </c>
      <c r="BD183" s="32">
        <f t="shared" si="39"/>
        <v>0</v>
      </c>
      <c r="BE183" s="32">
        <f t="shared" si="11"/>
        <v>0</v>
      </c>
      <c r="BF183" s="32">
        <v>0.0</v>
      </c>
      <c r="BG183" s="32">
        <f t="shared" si="40"/>
        <v>5500</v>
      </c>
      <c r="BH183" s="32">
        <v>0.0</v>
      </c>
      <c r="BI183" s="32">
        <f t="shared" si="41"/>
        <v>5000</v>
      </c>
      <c r="BJ183" s="32">
        <f>IF(OR(B183&lt;Assumptions!$B$111,AND(B183=Assumptions!$B$111,A183&lt;=Assumptions!$B$112)),Assumptions!$B$110,0)</f>
        <v>0</v>
      </c>
      <c r="BK183" s="32">
        <f>IF(B183&lt;2027,Assumptions!$B$116+IF(OR(A183=4,A183=10),Assumptions!$B$117,0),IF(AND(B183=2027,A183&lt;=4),IF(A183=4,MIN(950,Assumptions!$B$116+Assumptions!$B$117),Assumptions!$B$116),0))</f>
        <v>0</v>
      </c>
      <c r="BL183" s="32">
        <f>IF(OR(B183&lt;2030,AND(B183=2030,A183&lt;8)),Assumptions!$B$118,IF(AND(B183=2030,A183=8),MOD(11000,200),0))</f>
        <v>0</v>
      </c>
      <c r="BM183" s="32">
        <f>IF(OR(B183&lt;Assumptions!$B$120,AND(B183=Assumptions!$B$120,A183&lt;=Assumptions!$B$121)),Assumptions!$B$119,0)</f>
        <v>0</v>
      </c>
      <c r="BN183" s="32">
        <f>IF(AND(B183&lt;=Assumptions!$B$123,A183&lt;=Assumptions!$B$124),Assumptions!$B$122,0)</f>
        <v>0</v>
      </c>
      <c r="BO183" s="32">
        <f t="shared" si="12"/>
        <v>0</v>
      </c>
      <c r="BP183" s="32">
        <f>SUMIFS(SL_Budget!$B:$B,SL_Budget!$C:$C,"'"&amp;TEXT(DATE(B183,A183,1),"YYYY-MM"))</f>
        <v>6405</v>
      </c>
      <c r="BQ183" s="32">
        <f>MAX(BP183, IFERROR(SUMIFS(ShadowLedger!D:D, 
  ShadowLedger!C:C, "&gt;="&amp;DATE(B183,A183,1), 
  ShadowLedger!C:C, "&lt;"&amp;EOMONTH(DATE(B183,A183,1),0)+1), 0))
</f>
        <v>6405</v>
      </c>
      <c r="BR183" s="32">
        <f t="shared" si="42"/>
        <v>4666315.467</v>
      </c>
      <c r="BS183" s="32">
        <f t="shared" si="43"/>
        <v>3637.181</v>
      </c>
      <c r="BT183" s="32">
        <f>IF(BY182&gt;=Assumptions!$B$92,MAX(0,(AM183-BE183-BO183-BQ183)-Assumptions!$B$93),MAX(0,(AM183-BE183-BO183-BQ183)-Assumptions!$B$93)*Assumptions!$B$99)</f>
        <v>22007.022</v>
      </c>
      <c r="BU183" s="32">
        <f>(BR183+BS183+MAX(0,BT183))*(Assumptions!$B$43-1)</f>
        <v>31989.78103</v>
      </c>
      <c r="BV183" s="32">
        <f t="shared" si="13"/>
        <v>4723949.451</v>
      </c>
      <c r="BW183" s="32">
        <f t="shared" si="44"/>
        <v>15476.04728</v>
      </c>
      <c r="BX183" s="32">
        <f>IF(BY182&lt;Assumptions!$B$92,MAX(0,(AM183-BE183-BO183-BQ183)-Assumptions!$B$93)*Assumptions!$B$98,0)</f>
        <v>0</v>
      </c>
      <c r="BY183" s="32">
        <f t="shared" si="14"/>
        <v>15476.04728</v>
      </c>
      <c r="BZ183" s="32">
        <f t="shared" si="45"/>
        <v>8860</v>
      </c>
      <c r="CA183" s="32">
        <f t="shared" si="15"/>
        <v>8860</v>
      </c>
      <c r="CB183" s="32">
        <f t="shared" si="16"/>
        <v>17720</v>
      </c>
      <c r="CC183" s="55">
        <f>CC182+(G183+J183)/(Salary_Schedule!E183*12/208)</f>
        <v>1883.322427</v>
      </c>
      <c r="CD183" s="55">
        <f>CD182+(O183+R183)/(Salary_Schedule!G183*12/208)</f>
        <v>222.0417125</v>
      </c>
      <c r="CE183" s="32">
        <f t="shared" si="17"/>
        <v>4723949.451</v>
      </c>
      <c r="CF183" s="32">
        <f>Assumptions!$B$55*(1+Assumptions!$B$56)^((B183-2025)+(A183-1)/12)</f>
        <v>660691.7084</v>
      </c>
      <c r="CG183" s="32">
        <f t="shared" si="18"/>
        <v>0</v>
      </c>
      <c r="CH183" s="32">
        <f t="shared" si="19"/>
        <v>-10500</v>
      </c>
      <c r="CI183" s="32">
        <f>CC183*(Salary_Schedule!E183/173.33)*(1-Assumptions!$B$28)+CD183*(Salary_Schedule!G183/173.33)*(1-Assumptions!$B$28)</f>
        <v>116801.4008</v>
      </c>
      <c r="CJ183" s="32">
        <f t="shared" si="20"/>
        <v>5490942.56</v>
      </c>
    </row>
    <row r="184" ht="15.0" customHeight="1">
      <c r="A184" s="1">
        <v>3.0</v>
      </c>
      <c r="B184" s="1">
        <v>2041.0</v>
      </c>
      <c r="C184" s="1" t="s">
        <v>853</v>
      </c>
      <c r="D184" s="1" t="str">
        <f t="shared" si="21"/>
        <v>02/2041</v>
      </c>
      <c r="E184" s="1" t="str">
        <f t="shared" si="2"/>
        <v>LEAN</v>
      </c>
      <c r="F184" s="32">
        <f>Salary_Schedule!E184</f>
        <v>15314.25</v>
      </c>
      <c r="G184" s="32">
        <f>Assumptions!$B$8</f>
        <v>200</v>
      </c>
      <c r="H184" s="32">
        <f>F184*Assumptions!$B$58</f>
        <v>1531.425</v>
      </c>
      <c r="I184" s="32">
        <f>Salary_Schedule!F184</f>
        <v>0</v>
      </c>
      <c r="J184" s="32">
        <f>I184*Assumptions!$B$9</f>
        <v>0</v>
      </c>
      <c r="K184" s="54">
        <f t="shared" si="3"/>
        <v>13582.825</v>
      </c>
      <c r="L184" s="32">
        <f>IF(COUNTIFS(SL_Income_Log!$B:$B,TEXT(B184,"0000")&amp;"-"&amp;TEXT(A184,"00"),SL_Income_Log!$C:$C,"salary",SL_Income_Log!$E:$E,"H")&gt;0,SUMIFS(SL_Income_Log!$D:$D,SL_Income_Log!$B:$B,TEXT(B184,"0000")&amp;"-"&amp;TEXT(A184,"00"),SL_Income_Log!$C:$C,"salary",SL_Income_Log!$E:$E,"H"),K184*(1-Assumptions!$B$102)-Z184-Y184)</f>
        <v>8149.695</v>
      </c>
      <c r="M184" s="32">
        <f>RSU_Schedule!H183</f>
        <v>0</v>
      </c>
      <c r="N184" s="32">
        <f>Salary_Schedule!G184</f>
        <v>10379.9</v>
      </c>
      <c r="O184" s="32">
        <f>Assumptions!$B$19</f>
        <v>200</v>
      </c>
      <c r="P184" s="32">
        <f>N184*Assumptions!$B$59</f>
        <v>1037.99</v>
      </c>
      <c r="Q184" s="32">
        <f>Salary_Schedule!H184</f>
        <v>0</v>
      </c>
      <c r="R184" s="32">
        <f>Q184*Assumptions!$B$20</f>
        <v>0</v>
      </c>
      <c r="S184" s="54">
        <f t="shared" si="4"/>
        <v>9141.91</v>
      </c>
      <c r="T184" s="32">
        <f>IF(COUNTIFS(SL_Income_Log!$B:$B,TEXT(B184,"0000")&amp;"-"&amp;TEXT(A184,"00"),SL_Income_Log!$C:$C,"salary",SL_Income_Log!$E:$E,"W")&gt;0,SUMIFS(SL_Income_Log!$D:$D,SL_Income_Log!$B:$B,TEXT(B184,"0000")&amp;"-"&amp;TEXT(A184,"00"),SL_Income_Log!$C:$C,"salary",SL_Income_Log!$E:$E,"W"),S184*(1-Assumptions!$B$102)-AC184-AB184)
</f>
        <v>5485.146</v>
      </c>
      <c r="U184" s="32">
        <f>RSU_Schedule!M183</f>
        <v>0</v>
      </c>
      <c r="V184" s="32">
        <f>H184*(1+Assumptions!$B$60)+Assumptions!$B$61</f>
        <v>2163.995</v>
      </c>
      <c r="W184" s="32">
        <f>P184*(1+Assumptions!$B$60)+Assumptions!$B$61</f>
        <v>1473.186</v>
      </c>
      <c r="X184" s="32">
        <f t="shared" si="5"/>
        <v>3637.181</v>
      </c>
      <c r="Y184" s="32">
        <v>0.0</v>
      </c>
      <c r="Z184" s="32">
        <v>0.0</v>
      </c>
      <c r="AA184" s="32">
        <v>0.0</v>
      </c>
      <c r="AB184" s="32">
        <v>0.0</v>
      </c>
      <c r="AC184" s="32">
        <v>0.0</v>
      </c>
      <c r="AD184" s="32">
        <v>0.0</v>
      </c>
      <c r="AE184" s="32">
        <f t="shared" ref="AE184:AF184" si="225">Z184+AC184</f>
        <v>0</v>
      </c>
      <c r="AF184" s="32">
        <f t="shared" si="225"/>
        <v>0</v>
      </c>
      <c r="AG184" s="32">
        <f>IF(COUNTIFS(SL_Income_Log!$B:$B,TEXT(B184,"0000")&amp;"-"&amp;TEXT(A184,"00"),SL_Income_Log!$C:$C,"youtube")&gt;0,SUMIFS(SL_Income_Log!$D:$D,SL_Income_Log!$B:$B,TEXT(B184,"0000")&amp;"-"&amp;TEXT(A184,"00"),SL_Income_Log!$C:$C,"youtube"),MIN(Assumptions!$B$49+FLOOR((ROW()-2)/6,1)*Assumptions!$B$50,Assumptions!$B$51))
</f>
        <v>20000</v>
      </c>
      <c r="AH184" s="32">
        <f>AG184*Assumptions!$B$104</f>
        <v>8860</v>
      </c>
      <c r="AI184" s="32">
        <f t="shared" si="7"/>
        <v>11140</v>
      </c>
      <c r="AJ184" s="32">
        <f>SUMIFS(SL_Income_Log!$D:$D,SL_Income_Log!$B:$B,TEXT(B184,"0000")&amp;"-"&amp;TEXT(A184,"00"),SL_Income_Log!$C:$C,"other")</f>
        <v>0</v>
      </c>
      <c r="AK184" s="32">
        <f t="shared" si="27"/>
        <v>10000</v>
      </c>
      <c r="AL184" s="32">
        <f>L184+M184+T184+U184+AI184+AJ184-Y184-Z184-AB184-AC184+IF((Debt_Register!$C$2+Debt_Register!$C$6+Debt_Register!$C$7+Debt_Register!$C$8+Debt_Register!$C$9)&gt;5,X184,0)</f>
        <v>28412.022</v>
      </c>
      <c r="AM184" s="32">
        <f t="shared" si="8"/>
        <v>38412.022</v>
      </c>
      <c r="AN184" s="32">
        <f>MAX(Assumptions!$B$94,MIN(Assumptions!$B$93,AM184-AP184-BE184-BO184-BQ184))</f>
        <v>10000</v>
      </c>
      <c r="AO184" s="32">
        <v>0.0</v>
      </c>
      <c r="AP184" s="32">
        <v>0.0</v>
      </c>
      <c r="AQ184" s="32">
        <v>0.0</v>
      </c>
      <c r="AR184" s="32">
        <v>0.0</v>
      </c>
      <c r="AS184" s="32">
        <v>0.0</v>
      </c>
      <c r="AT184" s="32">
        <v>0.0</v>
      </c>
      <c r="AU184" s="32">
        <f t="shared" si="30"/>
        <v>0</v>
      </c>
      <c r="AV184" s="32">
        <f t="shared" si="31"/>
        <v>0</v>
      </c>
      <c r="AW184" s="32">
        <f t="shared" si="32"/>
        <v>0</v>
      </c>
      <c r="AX184" s="32">
        <f t="shared" si="33"/>
        <v>0</v>
      </c>
      <c r="AY184" s="32">
        <f t="shared" si="34"/>
        <v>0</v>
      </c>
      <c r="AZ184" s="32">
        <f t="shared" si="35"/>
        <v>0</v>
      </c>
      <c r="BA184" s="32">
        <f t="shared" si="36"/>
        <v>0</v>
      </c>
      <c r="BB184" s="32">
        <f t="shared" si="37"/>
        <v>0</v>
      </c>
      <c r="BC184" s="32">
        <f t="shared" si="38"/>
        <v>0</v>
      </c>
      <c r="BD184" s="32">
        <f t="shared" si="39"/>
        <v>0</v>
      </c>
      <c r="BE184" s="32">
        <f t="shared" si="11"/>
        <v>0</v>
      </c>
      <c r="BF184" s="32">
        <v>0.0</v>
      </c>
      <c r="BG184" s="32">
        <f t="shared" si="40"/>
        <v>5500</v>
      </c>
      <c r="BH184" s="32">
        <v>0.0</v>
      </c>
      <c r="BI184" s="32">
        <f t="shared" si="41"/>
        <v>5000</v>
      </c>
      <c r="BJ184" s="32">
        <f>IF(OR(B184&lt;Assumptions!$B$111,AND(B184=Assumptions!$B$111,A184&lt;=Assumptions!$B$112)),Assumptions!$B$110,0)</f>
        <v>0</v>
      </c>
      <c r="BK184" s="32">
        <f>IF(B184&lt;2027,Assumptions!$B$116+IF(OR(A184=4,A184=10),Assumptions!$B$117,0),IF(AND(B184=2027,A184&lt;=4),IF(A184=4,MIN(950,Assumptions!$B$116+Assumptions!$B$117),Assumptions!$B$116),0))</f>
        <v>0</v>
      </c>
      <c r="BL184" s="32">
        <f>IF(OR(B184&lt;2030,AND(B184=2030,A184&lt;8)),Assumptions!$B$118,IF(AND(B184=2030,A184=8),MOD(11000,200),0))</f>
        <v>0</v>
      </c>
      <c r="BM184" s="32">
        <f>IF(OR(B184&lt;Assumptions!$B$120,AND(B184=Assumptions!$B$120,A184&lt;=Assumptions!$B$121)),Assumptions!$B$119,0)</f>
        <v>0</v>
      </c>
      <c r="BN184" s="32">
        <f>IF(AND(B184&lt;=Assumptions!$B$123,A184&lt;=Assumptions!$B$124),Assumptions!$B$122,0)</f>
        <v>0</v>
      </c>
      <c r="BO184" s="32">
        <f t="shared" si="12"/>
        <v>0</v>
      </c>
      <c r="BP184" s="32">
        <f>SUMIFS(SL_Budget!$B:$B,SL_Budget!$C:$C,"'"&amp;TEXT(DATE(B184,A184,1),"YYYY-MM"))</f>
        <v>6405</v>
      </c>
      <c r="BQ184" s="32">
        <f>MAX(BP184, IFERROR(SUMIFS(ShadowLedger!D:D, 
  ShadowLedger!C:C, "&gt;="&amp;DATE(B184,A184,1), 
  ShadowLedger!C:C, "&lt;"&amp;EOMONTH(DATE(B184,A184,1),0)+1), 0))
</f>
        <v>6405</v>
      </c>
      <c r="BR184" s="32">
        <f t="shared" si="42"/>
        <v>4723949.451</v>
      </c>
      <c r="BS184" s="32">
        <f t="shared" si="43"/>
        <v>3637.181</v>
      </c>
      <c r="BT184" s="32">
        <f>IF(BY183&gt;=Assumptions!$B$92,MAX(0,(AM184-BE184-BO184-BQ184)-Assumptions!$B$93),MAX(0,(AM184-BE184-BO184-BQ184)-Assumptions!$B$93)*Assumptions!$B$99)</f>
        <v>22007.022</v>
      </c>
      <c r="BU184" s="32">
        <f>(BR184+BS184+MAX(0,BT184))*(Assumptions!$B$43-1)</f>
        <v>32382.72953</v>
      </c>
      <c r="BV184" s="32">
        <f t="shared" si="13"/>
        <v>4781976.384</v>
      </c>
      <c r="BW184" s="32">
        <f t="shared" si="44"/>
        <v>15476.04728</v>
      </c>
      <c r="BX184" s="32">
        <f>IF(BY183&lt;Assumptions!$B$92,MAX(0,(AM184-BE184-BO184-BQ184)-Assumptions!$B$93)*Assumptions!$B$98,0)</f>
        <v>0</v>
      </c>
      <c r="BY184" s="32">
        <f t="shared" si="14"/>
        <v>15476.04728</v>
      </c>
      <c r="BZ184" s="32">
        <f t="shared" si="45"/>
        <v>17720</v>
      </c>
      <c r="CA184" s="32">
        <f t="shared" si="15"/>
        <v>8860</v>
      </c>
      <c r="CB184" s="32">
        <f t="shared" si="16"/>
        <v>26580</v>
      </c>
      <c r="CC184" s="55">
        <f>CC183+(G184+J184)/(Salary_Schedule!E184*12/208)</f>
        <v>1883.548795</v>
      </c>
      <c r="CD184" s="55">
        <f>CD183+(O184+R184)/(Salary_Schedule!G184*12/208)</f>
        <v>222.3756913</v>
      </c>
      <c r="CE184" s="32">
        <f t="shared" si="17"/>
        <v>4781976.384</v>
      </c>
      <c r="CF184" s="32">
        <f>Assumptions!$B$55*(1+Assumptions!$B$56)^((B184-2025)+(A184-1)/12)</f>
        <v>661511.949</v>
      </c>
      <c r="CG184" s="32">
        <f t="shared" si="18"/>
        <v>0</v>
      </c>
      <c r="CH184" s="32">
        <f t="shared" si="19"/>
        <v>-10500</v>
      </c>
      <c r="CI184" s="32">
        <f>CC184*(Salary_Schedule!E184/173.33)*(1-Assumptions!$B$28)+CD184*(Salary_Schedule!G184/173.33)*(1-Assumptions!$B$28)</f>
        <v>116827.4013</v>
      </c>
      <c r="CJ184" s="32">
        <f t="shared" si="20"/>
        <v>5549815.734</v>
      </c>
    </row>
    <row r="185" ht="15.0" customHeight="1">
      <c r="A185" s="1">
        <v>4.0</v>
      </c>
      <c r="B185" s="1">
        <v>2041.0</v>
      </c>
      <c r="C185" s="1" t="s">
        <v>854</v>
      </c>
      <c r="D185" s="1" t="str">
        <f t="shared" si="21"/>
        <v>03/2041</v>
      </c>
      <c r="E185" s="1" t="str">
        <f t="shared" si="2"/>
        <v>FAT_BONUS</v>
      </c>
      <c r="F185" s="32">
        <f>Salary_Schedule!E185</f>
        <v>15314.25</v>
      </c>
      <c r="G185" s="32">
        <f>Assumptions!$B$8</f>
        <v>200</v>
      </c>
      <c r="H185" s="32">
        <f>F185*Assumptions!$B$58</f>
        <v>1531.425</v>
      </c>
      <c r="I185" s="32">
        <f>Salary_Schedule!F185</f>
        <v>20417.15</v>
      </c>
      <c r="J185" s="32">
        <f>I185*Assumptions!$B$9</f>
        <v>7146.0025</v>
      </c>
      <c r="K185" s="54">
        <f t="shared" si="3"/>
        <v>26853.9725</v>
      </c>
      <c r="L185" s="32">
        <f>IF(COUNTIFS(SL_Income_Log!$B:$B,TEXT(B185,"0000")&amp;"-"&amp;TEXT(A185,"00"),SL_Income_Log!$C:$C,"salary",SL_Income_Log!$E:$E,"H")&gt;0,SUMIFS(SL_Income_Log!$D:$D,SL_Income_Log!$B:$B,TEXT(B185,"0000")&amp;"-"&amp;TEXT(A185,"00"),SL_Income_Log!$C:$C,"salary",SL_Income_Log!$E:$E,"H"),K185*(1-Assumptions!$B$102)-Z185-Y185)</f>
        <v>16112.3835</v>
      </c>
      <c r="M185" s="32">
        <f>RSU_Schedule!H184</f>
        <v>2784.99</v>
      </c>
      <c r="N185" s="32">
        <f>Salary_Schedule!G185</f>
        <v>10379.9</v>
      </c>
      <c r="O185" s="32">
        <f>Assumptions!$B$19</f>
        <v>200</v>
      </c>
      <c r="P185" s="32">
        <f>N185*Assumptions!$B$59</f>
        <v>1037.99</v>
      </c>
      <c r="Q185" s="32">
        <f>Salary_Schedule!H185</f>
        <v>13840.06</v>
      </c>
      <c r="R185" s="32">
        <f>Q185*Assumptions!$B$20</f>
        <v>4844.021</v>
      </c>
      <c r="S185" s="54">
        <f t="shared" si="4"/>
        <v>18137.949</v>
      </c>
      <c r="T185" s="32">
        <f>IF(COUNTIFS(SL_Income_Log!$B:$B,TEXT(B185,"0000")&amp;"-"&amp;TEXT(A185,"00"),SL_Income_Log!$C:$C,"salary",SL_Income_Log!$E:$E,"W")&gt;0,SUMIFS(SL_Income_Log!$D:$D,SL_Income_Log!$B:$B,TEXT(B185,"0000")&amp;"-"&amp;TEXT(A185,"00"),SL_Income_Log!$C:$C,"salary",SL_Income_Log!$E:$E,"W"),S185*(1-Assumptions!$B$102)-AC185-AB185)
</f>
        <v>10882.7694</v>
      </c>
      <c r="U185" s="32">
        <f>RSU_Schedule!M184</f>
        <v>1392.51</v>
      </c>
      <c r="V185" s="32">
        <f>H185*(1+Assumptions!$B$60)+Assumptions!$B$61</f>
        <v>2163.995</v>
      </c>
      <c r="W185" s="32">
        <f>P185*(1+Assumptions!$B$60)+Assumptions!$B$61</f>
        <v>1473.186</v>
      </c>
      <c r="X185" s="32">
        <f t="shared" si="5"/>
        <v>3637.181</v>
      </c>
      <c r="Y185" s="32">
        <v>0.0</v>
      </c>
      <c r="Z185" s="32">
        <v>0.0</v>
      </c>
      <c r="AA185" s="32">
        <v>0.0</v>
      </c>
      <c r="AB185" s="32">
        <v>0.0</v>
      </c>
      <c r="AC185" s="32">
        <v>0.0</v>
      </c>
      <c r="AD185" s="32">
        <v>0.0</v>
      </c>
      <c r="AE185" s="32">
        <f t="shared" ref="AE185:AF185" si="226">Z185+AC185</f>
        <v>0</v>
      </c>
      <c r="AF185" s="32">
        <f t="shared" si="226"/>
        <v>0</v>
      </c>
      <c r="AG185" s="32">
        <f>IF(COUNTIFS(SL_Income_Log!$B:$B,TEXT(B185,"0000")&amp;"-"&amp;TEXT(A185,"00"),SL_Income_Log!$C:$C,"youtube")&gt;0,SUMIFS(SL_Income_Log!$D:$D,SL_Income_Log!$B:$B,TEXT(B185,"0000")&amp;"-"&amp;TEXT(A185,"00"),SL_Income_Log!$C:$C,"youtube"),MIN(Assumptions!$B$49+FLOOR((ROW()-2)/6,1)*Assumptions!$B$50,Assumptions!$B$51))
</f>
        <v>20000</v>
      </c>
      <c r="AH185" s="32">
        <f>AG185*Assumptions!$B$104</f>
        <v>8860</v>
      </c>
      <c r="AI185" s="32">
        <f t="shared" si="7"/>
        <v>11140</v>
      </c>
      <c r="AJ185" s="32">
        <f>SUMIFS(SL_Income_Log!$D:$D,SL_Income_Log!$B:$B,TEXT(B185,"0000")&amp;"-"&amp;TEXT(A185,"00"),SL_Income_Log!$C:$C,"other")</f>
        <v>0</v>
      </c>
      <c r="AK185" s="32">
        <f t="shared" si="27"/>
        <v>10000</v>
      </c>
      <c r="AL185" s="32">
        <f>L185+M185+T185+U185+AI185+AJ185-Y185-Z185-AB185-AC185+IF((Debt_Register!$C$2+Debt_Register!$C$6+Debt_Register!$C$7+Debt_Register!$C$8+Debt_Register!$C$9)&gt;5,X185,0)</f>
        <v>45949.8339</v>
      </c>
      <c r="AM185" s="32">
        <f t="shared" si="8"/>
        <v>55949.8339</v>
      </c>
      <c r="AN185" s="32">
        <f>MAX(Assumptions!$B$94,MIN(Assumptions!$B$93,AM185-AP185-BE185-BO185-BQ185))</f>
        <v>10000</v>
      </c>
      <c r="AO185" s="32">
        <v>0.0</v>
      </c>
      <c r="AP185" s="32">
        <v>0.0</v>
      </c>
      <c r="AQ185" s="32">
        <v>0.0</v>
      </c>
      <c r="AR185" s="32">
        <v>0.0</v>
      </c>
      <c r="AS185" s="32">
        <v>0.0</v>
      </c>
      <c r="AT185" s="32">
        <v>0.0</v>
      </c>
      <c r="AU185" s="32">
        <f t="shared" si="30"/>
        <v>0</v>
      </c>
      <c r="AV185" s="32">
        <f t="shared" si="31"/>
        <v>0</v>
      </c>
      <c r="AW185" s="32">
        <f t="shared" si="32"/>
        <v>0</v>
      </c>
      <c r="AX185" s="32">
        <f t="shared" si="33"/>
        <v>0</v>
      </c>
      <c r="AY185" s="32">
        <f t="shared" si="34"/>
        <v>0</v>
      </c>
      <c r="AZ185" s="32">
        <f t="shared" si="35"/>
        <v>0</v>
      </c>
      <c r="BA185" s="32">
        <f t="shared" si="36"/>
        <v>0</v>
      </c>
      <c r="BB185" s="32">
        <f t="shared" si="37"/>
        <v>0</v>
      </c>
      <c r="BC185" s="32">
        <f t="shared" si="38"/>
        <v>0</v>
      </c>
      <c r="BD185" s="32">
        <f t="shared" si="39"/>
        <v>0</v>
      </c>
      <c r="BE185" s="32">
        <f t="shared" si="11"/>
        <v>0</v>
      </c>
      <c r="BF185" s="32">
        <v>0.0</v>
      </c>
      <c r="BG185" s="32">
        <f t="shared" si="40"/>
        <v>5500</v>
      </c>
      <c r="BH185" s="32">
        <v>0.0</v>
      </c>
      <c r="BI185" s="32">
        <f t="shared" si="41"/>
        <v>5000</v>
      </c>
      <c r="BJ185" s="32">
        <f>IF(OR(B185&lt;Assumptions!$B$111,AND(B185=Assumptions!$B$111,A185&lt;=Assumptions!$B$112)),Assumptions!$B$110,0)</f>
        <v>0</v>
      </c>
      <c r="BK185" s="32">
        <f>IF(B185&lt;2027,Assumptions!$B$116+IF(OR(A185=4,A185=10),Assumptions!$B$117,0),IF(AND(B185=2027,A185&lt;=4),IF(A185=4,MIN(950,Assumptions!$B$116+Assumptions!$B$117),Assumptions!$B$116),0))</f>
        <v>0</v>
      </c>
      <c r="BL185" s="32">
        <f>IF(OR(B185&lt;2030,AND(B185=2030,A185&lt;8)),Assumptions!$B$118,IF(AND(B185=2030,A185=8),MOD(11000,200),0))</f>
        <v>0</v>
      </c>
      <c r="BM185" s="32">
        <f>IF(OR(B185&lt;Assumptions!$B$120,AND(B185=Assumptions!$B$120,A185&lt;=Assumptions!$B$121)),Assumptions!$B$119,0)</f>
        <v>0</v>
      </c>
      <c r="BN185" s="32">
        <f>IF(AND(B185&lt;=Assumptions!$B$123,A185&lt;=Assumptions!$B$124),Assumptions!$B$122,0)</f>
        <v>0</v>
      </c>
      <c r="BO185" s="32">
        <f t="shared" si="12"/>
        <v>0</v>
      </c>
      <c r="BP185" s="32">
        <f>SUMIFS(SL_Budget!$B:$B,SL_Budget!$C:$C,"'"&amp;TEXT(DATE(B185,A185,1),"YYYY-MM"))</f>
        <v>6405</v>
      </c>
      <c r="BQ185" s="32">
        <f>MAX(BP185, IFERROR(SUMIFS(ShadowLedger!D:D, 
  ShadowLedger!C:C, "&gt;="&amp;DATE(B185,A185,1), 
  ShadowLedger!C:C, "&lt;"&amp;EOMONTH(DATE(B185,A185,1),0)+1), 0))
</f>
        <v>6405</v>
      </c>
      <c r="BR185" s="32">
        <f t="shared" si="42"/>
        <v>4781976.384</v>
      </c>
      <c r="BS185" s="32">
        <f t="shared" si="43"/>
        <v>3637.181</v>
      </c>
      <c r="BT185" s="32">
        <f>IF(BY184&gt;=Assumptions!$B$92,MAX(0,(AM185-BE185-BO185-BQ185)-Assumptions!$B$93),MAX(0,(AM185-BE185-BO185-BQ185)-Assumptions!$B$93)*Assumptions!$B$99)</f>
        <v>39544.8339</v>
      </c>
      <c r="BU185" s="32">
        <f>(BR185+BS185+MAX(0,BT185))*(Assumptions!$B$43-1)</f>
        <v>32897.92996</v>
      </c>
      <c r="BV185" s="32">
        <f t="shared" si="13"/>
        <v>4858056.328</v>
      </c>
      <c r="BW185" s="32">
        <f t="shared" si="44"/>
        <v>15476.04728</v>
      </c>
      <c r="BX185" s="32">
        <f>IF(BY184&lt;Assumptions!$B$92,MAX(0,(AM185-BE185-BO185-BQ185)-Assumptions!$B$93)*Assumptions!$B$98,0)</f>
        <v>0</v>
      </c>
      <c r="BY185" s="32">
        <f t="shared" si="14"/>
        <v>15476.04728</v>
      </c>
      <c r="BZ185" s="32">
        <f t="shared" si="45"/>
        <v>26580</v>
      </c>
      <c r="CA185" s="32">
        <f t="shared" si="15"/>
        <v>8860</v>
      </c>
      <c r="CB185" s="32">
        <f t="shared" si="16"/>
        <v>35440</v>
      </c>
      <c r="CC185" s="55">
        <f>CC184+(G185+J185)/(Salary_Schedule!E185*12/208)</f>
        <v>1891.86332</v>
      </c>
      <c r="CD185" s="55">
        <f>CD184+(O185+R185)/(Salary_Schedule!G185*12/208)</f>
        <v>230.798672</v>
      </c>
      <c r="CE185" s="32">
        <f t="shared" si="17"/>
        <v>4858056.328</v>
      </c>
      <c r="CF185" s="32">
        <f>Assumptions!$B$55*(1+Assumptions!$B$56)^((B185-2025)+(A185-1)/12)</f>
        <v>662333.208</v>
      </c>
      <c r="CG185" s="32">
        <f t="shared" si="18"/>
        <v>0</v>
      </c>
      <c r="CH185" s="32">
        <f t="shared" si="19"/>
        <v>-10500</v>
      </c>
      <c r="CI185" s="32">
        <f>CC185*(Salary_Schedule!E185/173.33)*(1-Assumptions!$B$28)+CD185*(Salary_Schedule!G185/173.33)*(1-Assumptions!$B$28)</f>
        <v>117632.7684</v>
      </c>
      <c r="CJ185" s="32">
        <f t="shared" si="20"/>
        <v>5627522.305</v>
      </c>
    </row>
    <row r="186" ht="15.0" customHeight="1">
      <c r="A186" s="1">
        <v>5.0</v>
      </c>
      <c r="B186" s="1">
        <v>2041.0</v>
      </c>
      <c r="C186" s="1" t="s">
        <v>855</v>
      </c>
      <c r="D186" s="1" t="str">
        <f t="shared" si="21"/>
        <v>04/2041</v>
      </c>
      <c r="E186" s="1" t="str">
        <f t="shared" si="2"/>
        <v>LEAN</v>
      </c>
      <c r="F186" s="32">
        <f>Salary_Schedule!E186</f>
        <v>15314.25</v>
      </c>
      <c r="G186" s="32">
        <f>Assumptions!$B$8</f>
        <v>200</v>
      </c>
      <c r="H186" s="32">
        <f>F186*Assumptions!$B$58</f>
        <v>1531.425</v>
      </c>
      <c r="I186" s="32">
        <f>Salary_Schedule!F186</f>
        <v>0</v>
      </c>
      <c r="J186" s="32">
        <f>I186*Assumptions!$B$9</f>
        <v>0</v>
      </c>
      <c r="K186" s="54">
        <f t="shared" si="3"/>
        <v>13582.825</v>
      </c>
      <c r="L186" s="32">
        <f>IF(COUNTIFS(SL_Income_Log!$B:$B,TEXT(B186,"0000")&amp;"-"&amp;TEXT(A186,"00"),SL_Income_Log!$C:$C,"salary",SL_Income_Log!$E:$E,"H")&gt;0,SUMIFS(SL_Income_Log!$D:$D,SL_Income_Log!$B:$B,TEXT(B186,"0000")&amp;"-"&amp;TEXT(A186,"00"),SL_Income_Log!$C:$C,"salary",SL_Income_Log!$E:$E,"H"),K186*(1-Assumptions!$B$102)-Z186-Y186)</f>
        <v>8149.695</v>
      </c>
      <c r="M186" s="32">
        <f>RSU_Schedule!H185</f>
        <v>0</v>
      </c>
      <c r="N186" s="32">
        <f>Salary_Schedule!G186</f>
        <v>10379.9</v>
      </c>
      <c r="O186" s="32">
        <f>Assumptions!$B$19</f>
        <v>200</v>
      </c>
      <c r="P186" s="32">
        <f>N186*Assumptions!$B$59</f>
        <v>1037.99</v>
      </c>
      <c r="Q186" s="32">
        <f>Salary_Schedule!H186</f>
        <v>0</v>
      </c>
      <c r="R186" s="32">
        <f>Q186*Assumptions!$B$20</f>
        <v>0</v>
      </c>
      <c r="S186" s="54">
        <f t="shared" si="4"/>
        <v>9141.91</v>
      </c>
      <c r="T186" s="32">
        <f>IF(COUNTIFS(SL_Income_Log!$B:$B,TEXT(B186,"0000")&amp;"-"&amp;TEXT(A186,"00"),SL_Income_Log!$C:$C,"salary",SL_Income_Log!$E:$E,"W")&gt;0,SUMIFS(SL_Income_Log!$D:$D,SL_Income_Log!$B:$B,TEXT(B186,"0000")&amp;"-"&amp;TEXT(A186,"00"),SL_Income_Log!$C:$C,"salary",SL_Income_Log!$E:$E,"W"),S186*(1-Assumptions!$B$102)-AC186-AB186)
</f>
        <v>5485.146</v>
      </c>
      <c r="U186" s="32">
        <f>RSU_Schedule!M185</f>
        <v>0</v>
      </c>
      <c r="V186" s="32">
        <f>H186*(1+Assumptions!$B$60)+Assumptions!$B$61</f>
        <v>2163.995</v>
      </c>
      <c r="W186" s="32">
        <f>P186*(1+Assumptions!$B$60)+Assumptions!$B$61</f>
        <v>1473.186</v>
      </c>
      <c r="X186" s="32">
        <f t="shared" si="5"/>
        <v>3637.181</v>
      </c>
      <c r="Y186" s="32">
        <v>0.0</v>
      </c>
      <c r="Z186" s="32">
        <v>0.0</v>
      </c>
      <c r="AA186" s="32">
        <v>0.0</v>
      </c>
      <c r="AB186" s="32">
        <v>0.0</v>
      </c>
      <c r="AC186" s="32">
        <v>0.0</v>
      </c>
      <c r="AD186" s="32">
        <v>0.0</v>
      </c>
      <c r="AE186" s="32">
        <f t="shared" ref="AE186:AF186" si="227">Z186+AC186</f>
        <v>0</v>
      </c>
      <c r="AF186" s="32">
        <f t="shared" si="227"/>
        <v>0</v>
      </c>
      <c r="AG186" s="32">
        <f>IF(COUNTIFS(SL_Income_Log!$B:$B,TEXT(B186,"0000")&amp;"-"&amp;TEXT(A186,"00"),SL_Income_Log!$C:$C,"youtube")&gt;0,SUMIFS(SL_Income_Log!$D:$D,SL_Income_Log!$B:$B,TEXT(B186,"0000")&amp;"-"&amp;TEXT(A186,"00"),SL_Income_Log!$C:$C,"youtube"),MIN(Assumptions!$B$49+FLOOR((ROW()-2)/6,1)*Assumptions!$B$50,Assumptions!$B$51))
</f>
        <v>20000</v>
      </c>
      <c r="AH186" s="32">
        <f>AG186*Assumptions!$B$104</f>
        <v>8860</v>
      </c>
      <c r="AI186" s="32">
        <f t="shared" si="7"/>
        <v>11140</v>
      </c>
      <c r="AJ186" s="32">
        <f>SUMIFS(SL_Income_Log!$D:$D,SL_Income_Log!$B:$B,TEXT(B186,"0000")&amp;"-"&amp;TEXT(A186,"00"),SL_Income_Log!$C:$C,"other")</f>
        <v>0</v>
      </c>
      <c r="AK186" s="32">
        <f t="shared" si="27"/>
        <v>10000</v>
      </c>
      <c r="AL186" s="32">
        <f>L186+M186+T186+U186+AI186+AJ186-Y186-Z186-AB186-AC186+IF((Debt_Register!$C$2+Debt_Register!$C$6+Debt_Register!$C$7+Debt_Register!$C$8+Debt_Register!$C$9)&gt;5,X186,0)</f>
        <v>28412.022</v>
      </c>
      <c r="AM186" s="32">
        <f t="shared" si="8"/>
        <v>38412.022</v>
      </c>
      <c r="AN186" s="32">
        <f>MAX(Assumptions!$B$94,MIN(Assumptions!$B$93,AM186-AP186-BE186-BO186-BQ186))</f>
        <v>10000</v>
      </c>
      <c r="AO186" s="32">
        <v>0.0</v>
      </c>
      <c r="AP186" s="32">
        <v>0.0</v>
      </c>
      <c r="AQ186" s="32">
        <v>0.0</v>
      </c>
      <c r="AR186" s="32">
        <v>0.0</v>
      </c>
      <c r="AS186" s="32">
        <v>0.0</v>
      </c>
      <c r="AT186" s="32">
        <v>0.0</v>
      </c>
      <c r="AU186" s="32">
        <f t="shared" si="30"/>
        <v>0</v>
      </c>
      <c r="AV186" s="32">
        <f t="shared" si="31"/>
        <v>0</v>
      </c>
      <c r="AW186" s="32">
        <f t="shared" si="32"/>
        <v>0</v>
      </c>
      <c r="AX186" s="32">
        <f t="shared" si="33"/>
        <v>0</v>
      </c>
      <c r="AY186" s="32">
        <f t="shared" si="34"/>
        <v>0</v>
      </c>
      <c r="AZ186" s="32">
        <f t="shared" si="35"/>
        <v>0</v>
      </c>
      <c r="BA186" s="32">
        <f t="shared" si="36"/>
        <v>0</v>
      </c>
      <c r="BB186" s="32">
        <f t="shared" si="37"/>
        <v>0</v>
      </c>
      <c r="BC186" s="32">
        <f t="shared" si="38"/>
        <v>0</v>
      </c>
      <c r="BD186" s="32">
        <f t="shared" si="39"/>
        <v>0</v>
      </c>
      <c r="BE186" s="32">
        <f t="shared" si="11"/>
        <v>0</v>
      </c>
      <c r="BF186" s="32">
        <v>0.0</v>
      </c>
      <c r="BG186" s="32">
        <f t="shared" si="40"/>
        <v>5500</v>
      </c>
      <c r="BH186" s="32">
        <v>0.0</v>
      </c>
      <c r="BI186" s="32">
        <f t="shared" si="41"/>
        <v>5000</v>
      </c>
      <c r="BJ186" s="32">
        <f>IF(OR(B186&lt;Assumptions!$B$111,AND(B186=Assumptions!$B$111,A186&lt;=Assumptions!$B$112)),Assumptions!$B$110,0)</f>
        <v>0</v>
      </c>
      <c r="BK186" s="32">
        <f>IF(B186&lt;2027,Assumptions!$B$116+IF(OR(A186=4,A186=10),Assumptions!$B$117,0),IF(AND(B186=2027,A186&lt;=4),IF(A186=4,MIN(950,Assumptions!$B$116+Assumptions!$B$117),Assumptions!$B$116),0))</f>
        <v>0</v>
      </c>
      <c r="BL186" s="32">
        <f>IF(OR(B186&lt;2030,AND(B186=2030,A186&lt;8)),Assumptions!$B$118,IF(AND(B186=2030,A186=8),MOD(11000,200),0))</f>
        <v>0</v>
      </c>
      <c r="BM186" s="32">
        <f>IF(OR(B186&lt;Assumptions!$B$120,AND(B186=Assumptions!$B$120,A186&lt;=Assumptions!$B$121)),Assumptions!$B$119,0)</f>
        <v>0</v>
      </c>
      <c r="BN186" s="32">
        <f>IF(AND(B186&lt;=Assumptions!$B$123,A186&lt;=Assumptions!$B$124),Assumptions!$B$122,0)</f>
        <v>0</v>
      </c>
      <c r="BO186" s="32">
        <f t="shared" si="12"/>
        <v>0</v>
      </c>
      <c r="BP186" s="32">
        <f>SUMIFS(SL_Budget!$B:$B,SL_Budget!$C:$C,"'"&amp;TEXT(DATE(B186,A186,1),"YYYY-MM"))</f>
        <v>6405</v>
      </c>
      <c r="BQ186" s="32">
        <f>MAX(BP186, IFERROR(SUMIFS(ShadowLedger!D:D, 
  ShadowLedger!C:C, "&gt;="&amp;DATE(B186,A186,1), 
  ShadowLedger!C:C, "&lt;"&amp;EOMONTH(DATE(B186,A186,1),0)+1), 0))
</f>
        <v>6405</v>
      </c>
      <c r="BR186" s="32">
        <f t="shared" si="42"/>
        <v>4858056.328</v>
      </c>
      <c r="BS186" s="32">
        <f t="shared" si="43"/>
        <v>3637.181</v>
      </c>
      <c r="BT186" s="32">
        <f>IF(BY185&gt;=Assumptions!$B$92,MAX(0,(AM186-BE186-BO186-BQ186)-Assumptions!$B$93),MAX(0,(AM186-BE186-BO186-BQ186)-Assumptions!$B$93)*Assumptions!$B$99)</f>
        <v>22007.022</v>
      </c>
      <c r="BU186" s="32">
        <f>(BR186+BS186+MAX(0,BT186))*(Assumptions!$B$43-1)</f>
        <v>33297.07022</v>
      </c>
      <c r="BV186" s="32">
        <f t="shared" si="13"/>
        <v>4916997.602</v>
      </c>
      <c r="BW186" s="32">
        <f t="shared" si="44"/>
        <v>15476.04728</v>
      </c>
      <c r="BX186" s="32">
        <f>IF(BY185&lt;Assumptions!$B$92,MAX(0,(AM186-BE186-BO186-BQ186)-Assumptions!$B$93)*Assumptions!$B$98,0)</f>
        <v>0</v>
      </c>
      <c r="BY186" s="32">
        <f t="shared" si="14"/>
        <v>15476.04728</v>
      </c>
      <c r="BZ186" s="32">
        <f t="shared" si="45"/>
        <v>35440</v>
      </c>
      <c r="CA186" s="32">
        <f t="shared" si="15"/>
        <v>8860</v>
      </c>
      <c r="CB186" s="32">
        <f t="shared" si="16"/>
        <v>44300</v>
      </c>
      <c r="CC186" s="55">
        <f>CC185+(G186+J186)/(Salary_Schedule!E186*12/208)</f>
        <v>1892.089689</v>
      </c>
      <c r="CD186" s="55">
        <f>CD185+(O186+R186)/(Salary_Schedule!G186*12/208)</f>
        <v>231.1326508</v>
      </c>
      <c r="CE186" s="32">
        <f t="shared" si="17"/>
        <v>4916997.602</v>
      </c>
      <c r="CF186" s="32">
        <f>Assumptions!$B$55*(1+Assumptions!$B$56)^((B186-2025)+(A186-1)/12)</f>
        <v>663155.4865</v>
      </c>
      <c r="CG186" s="32">
        <f t="shared" si="18"/>
        <v>0</v>
      </c>
      <c r="CH186" s="32">
        <f t="shared" si="19"/>
        <v>-10500</v>
      </c>
      <c r="CI186" s="32">
        <f>CC186*(Salary_Schedule!E186/173.33)*(1-Assumptions!$B$28)+CD186*(Salary_Schedule!G186/173.33)*(1-Assumptions!$B$28)</f>
        <v>117658.7689</v>
      </c>
      <c r="CJ186" s="32">
        <f t="shared" si="20"/>
        <v>5687311.857</v>
      </c>
    </row>
    <row r="187" ht="15.0" customHeight="1">
      <c r="A187" s="1">
        <v>6.0</v>
      </c>
      <c r="B187" s="1">
        <v>2041.0</v>
      </c>
      <c r="C187" s="1" t="s">
        <v>856</v>
      </c>
      <c r="D187" s="1" t="str">
        <f t="shared" si="21"/>
        <v>05/2041</v>
      </c>
      <c r="E187" s="1" t="str">
        <f t="shared" si="2"/>
        <v>LEAN</v>
      </c>
      <c r="F187" s="32">
        <f>Salary_Schedule!E187</f>
        <v>15314.25</v>
      </c>
      <c r="G187" s="32">
        <f>Assumptions!$B$8</f>
        <v>200</v>
      </c>
      <c r="H187" s="32">
        <f>F187*Assumptions!$B$58</f>
        <v>1531.425</v>
      </c>
      <c r="I187" s="32">
        <f>Salary_Schedule!F187</f>
        <v>0</v>
      </c>
      <c r="J187" s="32">
        <f>I187*Assumptions!$B$9</f>
        <v>0</v>
      </c>
      <c r="K187" s="54">
        <f t="shared" si="3"/>
        <v>13582.825</v>
      </c>
      <c r="L187" s="32">
        <f>IF(COUNTIFS(SL_Income_Log!$B:$B,TEXT(B187,"0000")&amp;"-"&amp;TEXT(A187,"00"),SL_Income_Log!$C:$C,"salary",SL_Income_Log!$E:$E,"H")&gt;0,SUMIFS(SL_Income_Log!$D:$D,SL_Income_Log!$B:$B,TEXT(B187,"0000")&amp;"-"&amp;TEXT(A187,"00"),SL_Income_Log!$C:$C,"salary",SL_Income_Log!$E:$E,"H"),K187*(1-Assumptions!$B$102)-Z187-Y187)</f>
        <v>8149.695</v>
      </c>
      <c r="M187" s="32">
        <f>RSU_Schedule!H186</f>
        <v>0</v>
      </c>
      <c r="N187" s="32">
        <f>Salary_Schedule!G187</f>
        <v>10379.9</v>
      </c>
      <c r="O187" s="32">
        <f>Assumptions!$B$19</f>
        <v>200</v>
      </c>
      <c r="P187" s="32">
        <f>N187*Assumptions!$B$59</f>
        <v>1037.99</v>
      </c>
      <c r="Q187" s="32">
        <f>Salary_Schedule!H187</f>
        <v>0</v>
      </c>
      <c r="R187" s="32">
        <f>Q187*Assumptions!$B$20</f>
        <v>0</v>
      </c>
      <c r="S187" s="54">
        <f t="shared" si="4"/>
        <v>9141.91</v>
      </c>
      <c r="T187" s="32">
        <f>IF(COUNTIFS(SL_Income_Log!$B:$B,TEXT(B187,"0000")&amp;"-"&amp;TEXT(A187,"00"),SL_Income_Log!$C:$C,"salary",SL_Income_Log!$E:$E,"W")&gt;0,SUMIFS(SL_Income_Log!$D:$D,SL_Income_Log!$B:$B,TEXT(B187,"0000")&amp;"-"&amp;TEXT(A187,"00"),SL_Income_Log!$C:$C,"salary",SL_Income_Log!$E:$E,"W"),S187*(1-Assumptions!$B$102)-AC187-AB187)
</f>
        <v>5485.146</v>
      </c>
      <c r="U187" s="32">
        <f>RSU_Schedule!M186</f>
        <v>0</v>
      </c>
      <c r="V187" s="32">
        <f>H187*(1+Assumptions!$B$60)+Assumptions!$B$61</f>
        <v>2163.995</v>
      </c>
      <c r="W187" s="32">
        <f>P187*(1+Assumptions!$B$60)+Assumptions!$B$61</f>
        <v>1473.186</v>
      </c>
      <c r="X187" s="32">
        <f t="shared" si="5"/>
        <v>3637.181</v>
      </c>
      <c r="Y187" s="32">
        <v>0.0</v>
      </c>
      <c r="Z187" s="32">
        <v>0.0</v>
      </c>
      <c r="AA187" s="32">
        <v>0.0</v>
      </c>
      <c r="AB187" s="32">
        <v>0.0</v>
      </c>
      <c r="AC187" s="32">
        <v>0.0</v>
      </c>
      <c r="AD187" s="32">
        <v>0.0</v>
      </c>
      <c r="AE187" s="32">
        <f t="shared" ref="AE187:AF187" si="228">Z187+AC187</f>
        <v>0</v>
      </c>
      <c r="AF187" s="32">
        <f t="shared" si="228"/>
        <v>0</v>
      </c>
      <c r="AG187" s="32">
        <f>IF(COUNTIFS(SL_Income_Log!$B:$B,TEXT(B187,"0000")&amp;"-"&amp;TEXT(A187,"00"),SL_Income_Log!$C:$C,"youtube")&gt;0,SUMIFS(SL_Income_Log!$D:$D,SL_Income_Log!$B:$B,TEXT(B187,"0000")&amp;"-"&amp;TEXT(A187,"00"),SL_Income_Log!$C:$C,"youtube"),MIN(Assumptions!$B$49+FLOOR((ROW()-2)/6,1)*Assumptions!$B$50,Assumptions!$B$51))
</f>
        <v>20000</v>
      </c>
      <c r="AH187" s="32">
        <f>AG187*Assumptions!$B$104</f>
        <v>8860</v>
      </c>
      <c r="AI187" s="32">
        <f t="shared" si="7"/>
        <v>11140</v>
      </c>
      <c r="AJ187" s="32">
        <f>SUMIFS(SL_Income_Log!$D:$D,SL_Income_Log!$B:$B,TEXT(B187,"0000")&amp;"-"&amp;TEXT(A187,"00"),SL_Income_Log!$C:$C,"other")</f>
        <v>0</v>
      </c>
      <c r="AK187" s="32">
        <f t="shared" si="27"/>
        <v>10000</v>
      </c>
      <c r="AL187" s="32">
        <f>L187+M187+T187+U187+AI187+AJ187-Y187-Z187-AB187-AC187+IF((Debt_Register!$C$2+Debt_Register!$C$6+Debt_Register!$C$7+Debt_Register!$C$8+Debt_Register!$C$9)&gt;5,X187,0)</f>
        <v>28412.022</v>
      </c>
      <c r="AM187" s="32">
        <f t="shared" si="8"/>
        <v>38412.022</v>
      </c>
      <c r="AN187" s="32">
        <f>MAX(Assumptions!$B$94,MIN(Assumptions!$B$93,AM187-AP187-BE187-BO187-BQ187))</f>
        <v>10000</v>
      </c>
      <c r="AO187" s="32">
        <v>0.0</v>
      </c>
      <c r="AP187" s="32">
        <v>0.0</v>
      </c>
      <c r="AQ187" s="32">
        <v>0.0</v>
      </c>
      <c r="AR187" s="32">
        <v>0.0</v>
      </c>
      <c r="AS187" s="32">
        <v>0.0</v>
      </c>
      <c r="AT187" s="32">
        <v>0.0</v>
      </c>
      <c r="AU187" s="32">
        <f t="shared" si="30"/>
        <v>0</v>
      </c>
      <c r="AV187" s="32">
        <f t="shared" si="31"/>
        <v>0</v>
      </c>
      <c r="AW187" s="32">
        <f t="shared" si="32"/>
        <v>0</v>
      </c>
      <c r="AX187" s="32">
        <f t="shared" si="33"/>
        <v>0</v>
      </c>
      <c r="AY187" s="32">
        <f t="shared" si="34"/>
        <v>0</v>
      </c>
      <c r="AZ187" s="32">
        <f t="shared" si="35"/>
        <v>0</v>
      </c>
      <c r="BA187" s="32">
        <f t="shared" si="36"/>
        <v>0</v>
      </c>
      <c r="BB187" s="32">
        <f t="shared" si="37"/>
        <v>0</v>
      </c>
      <c r="BC187" s="32">
        <f t="shared" si="38"/>
        <v>0</v>
      </c>
      <c r="BD187" s="32">
        <f t="shared" si="39"/>
        <v>0</v>
      </c>
      <c r="BE187" s="32">
        <f t="shared" si="11"/>
        <v>0</v>
      </c>
      <c r="BF187" s="32">
        <v>0.0</v>
      </c>
      <c r="BG187" s="32">
        <f t="shared" si="40"/>
        <v>5500</v>
      </c>
      <c r="BH187" s="32">
        <v>0.0</v>
      </c>
      <c r="BI187" s="32">
        <f t="shared" si="41"/>
        <v>5000</v>
      </c>
      <c r="BJ187" s="32">
        <f>IF(OR(B187&lt;Assumptions!$B$111,AND(B187=Assumptions!$B$111,A187&lt;=Assumptions!$B$112)),Assumptions!$B$110,0)</f>
        <v>0</v>
      </c>
      <c r="BK187" s="32">
        <f>IF(B187&lt;2027,Assumptions!$B$116+IF(OR(A187=4,A187=10),Assumptions!$B$117,0),IF(AND(B187=2027,A187&lt;=4),IF(A187=4,MIN(950,Assumptions!$B$116+Assumptions!$B$117),Assumptions!$B$116),0))</f>
        <v>0</v>
      </c>
      <c r="BL187" s="32">
        <f>IF(OR(B187&lt;2030,AND(B187=2030,A187&lt;8)),Assumptions!$B$118,IF(AND(B187=2030,A187=8),MOD(11000,200),0))</f>
        <v>0</v>
      </c>
      <c r="BM187" s="32">
        <f>IF(OR(B187&lt;Assumptions!$B$120,AND(B187=Assumptions!$B$120,A187&lt;=Assumptions!$B$121)),Assumptions!$B$119,0)</f>
        <v>0</v>
      </c>
      <c r="BN187" s="32">
        <f>IF(AND(B187&lt;=Assumptions!$B$123,A187&lt;=Assumptions!$B$124),Assumptions!$B$122,0)</f>
        <v>0</v>
      </c>
      <c r="BO187" s="32">
        <f t="shared" si="12"/>
        <v>0</v>
      </c>
      <c r="BP187" s="32">
        <f>SUMIFS(SL_Budget!$B:$B,SL_Budget!$C:$C,"'"&amp;TEXT(DATE(B187,A187,1),"YYYY-MM"))</f>
        <v>6405</v>
      </c>
      <c r="BQ187" s="32">
        <f>MAX(BP187, IFERROR(SUMIFS(ShadowLedger!D:D, 
  ShadowLedger!C:C, "&gt;="&amp;DATE(B187,A187,1), 
  ShadowLedger!C:C, "&lt;"&amp;EOMONTH(DATE(B187,A187,1),0)+1), 0))
</f>
        <v>6405</v>
      </c>
      <c r="BR187" s="32">
        <f t="shared" si="42"/>
        <v>4916997.602</v>
      </c>
      <c r="BS187" s="32">
        <f t="shared" si="43"/>
        <v>3637.181</v>
      </c>
      <c r="BT187" s="32">
        <f>IF(BY186&gt;=Assumptions!$B$92,MAX(0,(AM187-BE187-BO187-BQ187)-Assumptions!$B$93),MAX(0,(AM187-BE187-BO187-BQ187)-Assumptions!$B$93)*Assumptions!$B$99)</f>
        <v>22007.022</v>
      </c>
      <c r="BU187" s="32">
        <f>(BR187+BS187+MAX(0,BT187))*(Assumptions!$B$43-1)</f>
        <v>33698.93182</v>
      </c>
      <c r="BV187" s="32">
        <f t="shared" si="13"/>
        <v>4976340.737</v>
      </c>
      <c r="BW187" s="32">
        <f t="shared" si="44"/>
        <v>15476.04728</v>
      </c>
      <c r="BX187" s="32">
        <f>IF(BY186&lt;Assumptions!$B$92,MAX(0,(AM187-BE187-BO187-BQ187)-Assumptions!$B$93)*Assumptions!$B$98,0)</f>
        <v>0</v>
      </c>
      <c r="BY187" s="32">
        <f t="shared" si="14"/>
        <v>15476.04728</v>
      </c>
      <c r="BZ187" s="32">
        <f t="shared" si="45"/>
        <v>44300</v>
      </c>
      <c r="CA187" s="32">
        <f t="shared" si="15"/>
        <v>8860</v>
      </c>
      <c r="CB187" s="32">
        <f t="shared" si="16"/>
        <v>53160</v>
      </c>
      <c r="CC187" s="55">
        <f>CC186+(G187+J187)/(Salary_Schedule!E187*12/208)</f>
        <v>1892.316058</v>
      </c>
      <c r="CD187" s="55">
        <f>CD186+(O187+R187)/(Salary_Schedule!G187*12/208)</f>
        <v>231.4666296</v>
      </c>
      <c r="CE187" s="32">
        <f t="shared" si="17"/>
        <v>4976340.737</v>
      </c>
      <c r="CF187" s="32">
        <f>Assumptions!$B$55*(1+Assumptions!$B$56)^((B187-2025)+(A187-1)/12)</f>
        <v>663978.7859</v>
      </c>
      <c r="CG187" s="32">
        <f t="shared" si="18"/>
        <v>0</v>
      </c>
      <c r="CH187" s="32">
        <f t="shared" si="19"/>
        <v>-10500</v>
      </c>
      <c r="CI187" s="32">
        <f>CC187*(Salary_Schedule!E187/173.33)*(1-Assumptions!$B$28)+CD187*(Salary_Schedule!G187/173.33)*(1-Assumptions!$B$28)</f>
        <v>117684.7694</v>
      </c>
      <c r="CJ187" s="32">
        <f t="shared" si="20"/>
        <v>5747504.292</v>
      </c>
    </row>
    <row r="188" ht="15.0" customHeight="1">
      <c r="A188" s="1">
        <v>7.0</v>
      </c>
      <c r="B188" s="1">
        <v>2041.0</v>
      </c>
      <c r="C188" s="1" t="s">
        <v>857</v>
      </c>
      <c r="D188" s="1" t="str">
        <f t="shared" si="21"/>
        <v>06/2041</v>
      </c>
      <c r="E188" s="1" t="str">
        <f t="shared" si="2"/>
        <v>FAT_RSU</v>
      </c>
      <c r="F188" s="32">
        <f>Salary_Schedule!E188</f>
        <v>15314.25</v>
      </c>
      <c r="G188" s="32">
        <f>Assumptions!$B$8</f>
        <v>200</v>
      </c>
      <c r="H188" s="32">
        <f>F188*Assumptions!$B$58</f>
        <v>1531.425</v>
      </c>
      <c r="I188" s="32">
        <f>Salary_Schedule!F188</f>
        <v>0</v>
      </c>
      <c r="J188" s="32">
        <f>I188*Assumptions!$B$9</f>
        <v>0</v>
      </c>
      <c r="K188" s="54">
        <f t="shared" si="3"/>
        <v>13582.825</v>
      </c>
      <c r="L188" s="32">
        <f>IF(COUNTIFS(SL_Income_Log!$B:$B,TEXT(B188,"0000")&amp;"-"&amp;TEXT(A188,"00"),SL_Income_Log!$C:$C,"salary",SL_Income_Log!$E:$E,"H")&gt;0,SUMIFS(SL_Income_Log!$D:$D,SL_Income_Log!$B:$B,TEXT(B188,"0000")&amp;"-"&amp;TEXT(A188,"00"),SL_Income_Log!$C:$C,"salary",SL_Income_Log!$E:$E,"H"),K188*(1-Assumptions!$B$102)-Z188-Y188)</f>
        <v>8149.695</v>
      </c>
      <c r="M188" s="32">
        <f>RSU_Schedule!H187</f>
        <v>2784.99</v>
      </c>
      <c r="N188" s="32">
        <f>Salary_Schedule!G188</f>
        <v>10379.9</v>
      </c>
      <c r="O188" s="32">
        <f>Assumptions!$B$19</f>
        <v>200</v>
      </c>
      <c r="P188" s="32">
        <f>N188*Assumptions!$B$59</f>
        <v>1037.99</v>
      </c>
      <c r="Q188" s="32">
        <f>Salary_Schedule!H188</f>
        <v>0</v>
      </c>
      <c r="R188" s="32">
        <f>Q188*Assumptions!$B$20</f>
        <v>0</v>
      </c>
      <c r="S188" s="54">
        <f t="shared" si="4"/>
        <v>9141.91</v>
      </c>
      <c r="T188" s="32">
        <f>IF(COUNTIFS(SL_Income_Log!$B:$B,TEXT(B188,"0000")&amp;"-"&amp;TEXT(A188,"00"),SL_Income_Log!$C:$C,"salary",SL_Income_Log!$E:$E,"W")&gt;0,SUMIFS(SL_Income_Log!$D:$D,SL_Income_Log!$B:$B,TEXT(B188,"0000")&amp;"-"&amp;TEXT(A188,"00"),SL_Income_Log!$C:$C,"salary",SL_Income_Log!$E:$E,"W"),S188*(1-Assumptions!$B$102)-AC188-AB188)
</f>
        <v>5485.146</v>
      </c>
      <c r="U188" s="32">
        <f>RSU_Schedule!M187</f>
        <v>1392.51</v>
      </c>
      <c r="V188" s="32">
        <f>H188*(1+Assumptions!$B$60)+Assumptions!$B$61</f>
        <v>2163.995</v>
      </c>
      <c r="W188" s="32">
        <f>P188*(1+Assumptions!$B$60)+Assumptions!$B$61</f>
        <v>1473.186</v>
      </c>
      <c r="X188" s="32">
        <f t="shared" si="5"/>
        <v>3637.181</v>
      </c>
      <c r="Y188" s="32">
        <v>0.0</v>
      </c>
      <c r="Z188" s="32">
        <v>0.0</v>
      </c>
      <c r="AA188" s="32">
        <v>0.0</v>
      </c>
      <c r="AB188" s="32">
        <v>0.0</v>
      </c>
      <c r="AC188" s="32">
        <v>0.0</v>
      </c>
      <c r="AD188" s="32">
        <v>0.0</v>
      </c>
      <c r="AE188" s="32">
        <f t="shared" ref="AE188:AF188" si="229">Z188+AC188</f>
        <v>0</v>
      </c>
      <c r="AF188" s="32">
        <f t="shared" si="229"/>
        <v>0</v>
      </c>
      <c r="AG188" s="32">
        <f>IF(COUNTIFS(SL_Income_Log!$B:$B,TEXT(B188,"0000")&amp;"-"&amp;TEXT(A188,"00"),SL_Income_Log!$C:$C,"youtube")&gt;0,SUMIFS(SL_Income_Log!$D:$D,SL_Income_Log!$B:$B,TEXT(B188,"0000")&amp;"-"&amp;TEXT(A188,"00"),SL_Income_Log!$C:$C,"youtube"),MIN(Assumptions!$B$49+FLOOR((ROW()-2)/6,1)*Assumptions!$B$50,Assumptions!$B$51))
</f>
        <v>20000</v>
      </c>
      <c r="AH188" s="32">
        <f>AG188*Assumptions!$B$104</f>
        <v>8860</v>
      </c>
      <c r="AI188" s="32">
        <f t="shared" si="7"/>
        <v>11140</v>
      </c>
      <c r="AJ188" s="32">
        <f>SUMIFS(SL_Income_Log!$D:$D,SL_Income_Log!$B:$B,TEXT(B188,"0000")&amp;"-"&amp;TEXT(A188,"00"),SL_Income_Log!$C:$C,"other")</f>
        <v>0</v>
      </c>
      <c r="AK188" s="32">
        <f t="shared" si="27"/>
        <v>10000</v>
      </c>
      <c r="AL188" s="32">
        <f>L188+M188+T188+U188+AI188+AJ188-Y188-Z188-AB188-AC188+IF((Debt_Register!$C$2+Debt_Register!$C$6+Debt_Register!$C$7+Debt_Register!$C$8+Debt_Register!$C$9)&gt;5,X188,0)</f>
        <v>32589.522</v>
      </c>
      <c r="AM188" s="32">
        <f t="shared" si="8"/>
        <v>42589.522</v>
      </c>
      <c r="AN188" s="32">
        <f>MAX(Assumptions!$B$94,MIN(Assumptions!$B$93,AM188-AP188-BE188-BO188-BQ188))</f>
        <v>10000</v>
      </c>
      <c r="AO188" s="32">
        <v>0.0</v>
      </c>
      <c r="AP188" s="32">
        <v>0.0</v>
      </c>
      <c r="AQ188" s="32">
        <v>0.0</v>
      </c>
      <c r="AR188" s="32">
        <v>0.0</v>
      </c>
      <c r="AS188" s="32">
        <v>0.0</v>
      </c>
      <c r="AT188" s="32">
        <v>0.0</v>
      </c>
      <c r="AU188" s="32">
        <f t="shared" si="30"/>
        <v>0</v>
      </c>
      <c r="AV188" s="32">
        <f t="shared" si="31"/>
        <v>0</v>
      </c>
      <c r="AW188" s="32">
        <f t="shared" si="32"/>
        <v>0</v>
      </c>
      <c r="AX188" s="32">
        <f t="shared" si="33"/>
        <v>0</v>
      </c>
      <c r="AY188" s="32">
        <f t="shared" si="34"/>
        <v>0</v>
      </c>
      <c r="AZ188" s="32">
        <f t="shared" si="35"/>
        <v>0</v>
      </c>
      <c r="BA188" s="32">
        <f t="shared" si="36"/>
        <v>0</v>
      </c>
      <c r="BB188" s="32">
        <f t="shared" si="37"/>
        <v>0</v>
      </c>
      <c r="BC188" s="32">
        <f t="shared" si="38"/>
        <v>0</v>
      </c>
      <c r="BD188" s="32">
        <f t="shared" si="39"/>
        <v>0</v>
      </c>
      <c r="BE188" s="32">
        <f t="shared" si="11"/>
        <v>0</v>
      </c>
      <c r="BF188" s="32">
        <v>0.0</v>
      </c>
      <c r="BG188" s="32">
        <f t="shared" si="40"/>
        <v>5500</v>
      </c>
      <c r="BH188" s="32">
        <v>0.0</v>
      </c>
      <c r="BI188" s="32">
        <f t="shared" si="41"/>
        <v>5000</v>
      </c>
      <c r="BJ188" s="32">
        <f>IF(OR(B188&lt;Assumptions!$B$111,AND(B188=Assumptions!$B$111,A188&lt;=Assumptions!$B$112)),Assumptions!$B$110,0)</f>
        <v>0</v>
      </c>
      <c r="BK188" s="32">
        <f>IF(B188&lt;2027,Assumptions!$B$116+IF(OR(A188=4,A188=10),Assumptions!$B$117,0),IF(AND(B188=2027,A188&lt;=4),IF(A188=4,MIN(950,Assumptions!$B$116+Assumptions!$B$117),Assumptions!$B$116),0))</f>
        <v>0</v>
      </c>
      <c r="BL188" s="32">
        <f>IF(OR(B188&lt;2030,AND(B188=2030,A188&lt;8)),Assumptions!$B$118,IF(AND(B188=2030,A188=8),MOD(11000,200),0))</f>
        <v>0</v>
      </c>
      <c r="BM188" s="32">
        <f>IF(OR(B188&lt;Assumptions!$B$120,AND(B188=Assumptions!$B$120,A188&lt;=Assumptions!$B$121)),Assumptions!$B$119,0)</f>
        <v>0</v>
      </c>
      <c r="BN188" s="32">
        <f>IF(AND(B188&lt;=Assumptions!$B$123,A188&lt;=Assumptions!$B$124),Assumptions!$B$122,0)</f>
        <v>0</v>
      </c>
      <c r="BO188" s="32">
        <f t="shared" si="12"/>
        <v>0</v>
      </c>
      <c r="BP188" s="32">
        <f>SUMIFS(SL_Budget!$B:$B,SL_Budget!$C:$C,"'"&amp;TEXT(DATE(B188,A188,1),"YYYY-MM"))</f>
        <v>6405</v>
      </c>
      <c r="BQ188" s="32">
        <f>MAX(BP188, IFERROR(SUMIFS(ShadowLedger!D:D, 
  ShadowLedger!C:C, "&gt;="&amp;DATE(B188,A188,1), 
  ShadowLedger!C:C, "&lt;"&amp;EOMONTH(DATE(B188,A188,1),0)+1), 0))
</f>
        <v>6405</v>
      </c>
      <c r="BR188" s="32">
        <f t="shared" si="42"/>
        <v>4976340.737</v>
      </c>
      <c r="BS188" s="32">
        <f t="shared" si="43"/>
        <v>3637.181</v>
      </c>
      <c r="BT188" s="32">
        <f>IF(BY187&gt;=Assumptions!$B$92,MAX(0,(AM188-BE188-BO188-BQ188)-Assumptions!$B$93),MAX(0,(AM188-BE188-BO188-BQ188)-Assumptions!$B$93)*Assumptions!$B$99)</f>
        <v>26184.522</v>
      </c>
      <c r="BU188" s="32">
        <f>(BR188+BS188+MAX(0,BT188))*(Assumptions!$B$43-1)</f>
        <v>34132.01551</v>
      </c>
      <c r="BV188" s="32">
        <f t="shared" si="13"/>
        <v>5040294.455</v>
      </c>
      <c r="BW188" s="32">
        <f t="shared" si="44"/>
        <v>15476.04728</v>
      </c>
      <c r="BX188" s="32">
        <f>IF(BY187&lt;Assumptions!$B$92,MAX(0,(AM188-BE188-BO188-BQ188)-Assumptions!$B$93)*Assumptions!$B$98,0)</f>
        <v>0</v>
      </c>
      <c r="BY188" s="32">
        <f t="shared" si="14"/>
        <v>15476.04728</v>
      </c>
      <c r="BZ188" s="32">
        <f t="shared" si="45"/>
        <v>53160</v>
      </c>
      <c r="CA188" s="32">
        <f t="shared" si="15"/>
        <v>8860</v>
      </c>
      <c r="CB188" s="32">
        <f t="shared" si="16"/>
        <v>62020</v>
      </c>
      <c r="CC188" s="55">
        <f>CC187+(G188+J188)/(Salary_Schedule!E188*12/208)</f>
        <v>1892.542426</v>
      </c>
      <c r="CD188" s="55">
        <f>CD187+(O188+R188)/(Salary_Schedule!G188*12/208)</f>
        <v>231.8006084</v>
      </c>
      <c r="CE188" s="32">
        <f t="shared" si="17"/>
        <v>5040294.455</v>
      </c>
      <c r="CF188" s="32">
        <f>Assumptions!$B$55*(1+Assumptions!$B$56)^((B188-2025)+(A188-1)/12)</f>
        <v>664803.1074</v>
      </c>
      <c r="CG188" s="32">
        <f t="shared" si="18"/>
        <v>0</v>
      </c>
      <c r="CH188" s="32">
        <f t="shared" si="19"/>
        <v>-10500</v>
      </c>
      <c r="CI188" s="32">
        <f>CC188*(Salary_Schedule!E188/173.33)*(1-Assumptions!$B$28)+CD188*(Salary_Schedule!G188/173.33)*(1-Assumptions!$B$28)</f>
        <v>117710.7699</v>
      </c>
      <c r="CJ188" s="32">
        <f t="shared" si="20"/>
        <v>5812308.332</v>
      </c>
    </row>
    <row r="189" ht="15.0" customHeight="1">
      <c r="A189" s="1">
        <v>8.0</v>
      </c>
      <c r="B189" s="1">
        <v>2041.0</v>
      </c>
      <c r="C189" s="1" t="s">
        <v>858</v>
      </c>
      <c r="D189" s="1" t="str">
        <f t="shared" si="21"/>
        <v>07/2041</v>
      </c>
      <c r="E189" s="1" t="str">
        <f t="shared" si="2"/>
        <v>LEAN</v>
      </c>
      <c r="F189" s="32">
        <f>Salary_Schedule!E189</f>
        <v>15314.25</v>
      </c>
      <c r="G189" s="32">
        <f>Assumptions!$B$8</f>
        <v>200</v>
      </c>
      <c r="H189" s="32">
        <f>F189*Assumptions!$B$58</f>
        <v>1531.425</v>
      </c>
      <c r="I189" s="32">
        <f>Salary_Schedule!F189</f>
        <v>0</v>
      </c>
      <c r="J189" s="32">
        <f>I189*Assumptions!$B$9</f>
        <v>0</v>
      </c>
      <c r="K189" s="54">
        <f t="shared" si="3"/>
        <v>13582.825</v>
      </c>
      <c r="L189" s="32">
        <f>IF(COUNTIFS(SL_Income_Log!$B:$B,TEXT(B189,"0000")&amp;"-"&amp;TEXT(A189,"00"),SL_Income_Log!$C:$C,"salary",SL_Income_Log!$E:$E,"H")&gt;0,SUMIFS(SL_Income_Log!$D:$D,SL_Income_Log!$B:$B,TEXT(B189,"0000")&amp;"-"&amp;TEXT(A189,"00"),SL_Income_Log!$C:$C,"salary",SL_Income_Log!$E:$E,"H"),K189*(1-Assumptions!$B$102)-Z189-Y189)</f>
        <v>8149.695</v>
      </c>
      <c r="M189" s="32">
        <f>RSU_Schedule!H188</f>
        <v>0</v>
      </c>
      <c r="N189" s="32">
        <f>Salary_Schedule!G189</f>
        <v>10379.9</v>
      </c>
      <c r="O189" s="32">
        <f>Assumptions!$B$19</f>
        <v>200</v>
      </c>
      <c r="P189" s="32">
        <f>N189*Assumptions!$B$59</f>
        <v>1037.99</v>
      </c>
      <c r="Q189" s="32">
        <f>Salary_Schedule!H189</f>
        <v>0</v>
      </c>
      <c r="R189" s="32">
        <f>Q189*Assumptions!$B$20</f>
        <v>0</v>
      </c>
      <c r="S189" s="54">
        <f t="shared" si="4"/>
        <v>9141.91</v>
      </c>
      <c r="T189" s="32">
        <f>IF(COUNTIFS(SL_Income_Log!$B:$B,TEXT(B189,"0000")&amp;"-"&amp;TEXT(A189,"00"),SL_Income_Log!$C:$C,"salary",SL_Income_Log!$E:$E,"W")&gt;0,SUMIFS(SL_Income_Log!$D:$D,SL_Income_Log!$B:$B,TEXT(B189,"0000")&amp;"-"&amp;TEXT(A189,"00"),SL_Income_Log!$C:$C,"salary",SL_Income_Log!$E:$E,"W"),S189*(1-Assumptions!$B$102)-AC189-AB189)
</f>
        <v>5485.146</v>
      </c>
      <c r="U189" s="32">
        <f>RSU_Schedule!M188</f>
        <v>0</v>
      </c>
      <c r="V189" s="32">
        <f>H189*(1+Assumptions!$B$60)+Assumptions!$B$61</f>
        <v>2163.995</v>
      </c>
      <c r="W189" s="32">
        <f>P189*(1+Assumptions!$B$60)+Assumptions!$B$61</f>
        <v>1473.186</v>
      </c>
      <c r="X189" s="32">
        <f t="shared" si="5"/>
        <v>3637.181</v>
      </c>
      <c r="Y189" s="32">
        <v>0.0</v>
      </c>
      <c r="Z189" s="32">
        <v>0.0</v>
      </c>
      <c r="AA189" s="32">
        <v>0.0</v>
      </c>
      <c r="AB189" s="32">
        <v>0.0</v>
      </c>
      <c r="AC189" s="32">
        <v>0.0</v>
      </c>
      <c r="AD189" s="32">
        <v>0.0</v>
      </c>
      <c r="AE189" s="32">
        <f t="shared" ref="AE189:AF189" si="230">Z189+AC189</f>
        <v>0</v>
      </c>
      <c r="AF189" s="32">
        <f t="shared" si="230"/>
        <v>0</v>
      </c>
      <c r="AG189" s="32">
        <f>IF(COUNTIFS(SL_Income_Log!$B:$B,TEXT(B189,"0000")&amp;"-"&amp;TEXT(A189,"00"),SL_Income_Log!$C:$C,"youtube")&gt;0,SUMIFS(SL_Income_Log!$D:$D,SL_Income_Log!$B:$B,TEXT(B189,"0000")&amp;"-"&amp;TEXT(A189,"00"),SL_Income_Log!$C:$C,"youtube"),MIN(Assumptions!$B$49+FLOOR((ROW()-2)/6,1)*Assumptions!$B$50,Assumptions!$B$51))
</f>
        <v>20000</v>
      </c>
      <c r="AH189" s="32">
        <f>AG189*Assumptions!$B$104</f>
        <v>8860</v>
      </c>
      <c r="AI189" s="32">
        <f t="shared" si="7"/>
        <v>11140</v>
      </c>
      <c r="AJ189" s="32">
        <f>SUMIFS(SL_Income_Log!$D:$D,SL_Income_Log!$B:$B,TEXT(B189,"0000")&amp;"-"&amp;TEXT(A189,"00"),SL_Income_Log!$C:$C,"other")</f>
        <v>0</v>
      </c>
      <c r="AK189" s="32">
        <f t="shared" si="27"/>
        <v>10000</v>
      </c>
      <c r="AL189" s="32">
        <f>L189+M189+T189+U189+AI189+AJ189-Y189-Z189-AB189-AC189+IF((Debt_Register!$C$2+Debt_Register!$C$6+Debt_Register!$C$7+Debt_Register!$C$8+Debt_Register!$C$9)&gt;5,X189,0)</f>
        <v>28412.022</v>
      </c>
      <c r="AM189" s="32">
        <f t="shared" si="8"/>
        <v>38412.022</v>
      </c>
      <c r="AN189" s="32">
        <f>MAX(Assumptions!$B$94,MIN(Assumptions!$B$93,AM189-AP189-BE189-BO189-BQ189))</f>
        <v>10000</v>
      </c>
      <c r="AO189" s="32">
        <v>0.0</v>
      </c>
      <c r="AP189" s="32">
        <v>0.0</v>
      </c>
      <c r="AQ189" s="32">
        <v>0.0</v>
      </c>
      <c r="AR189" s="32">
        <v>0.0</v>
      </c>
      <c r="AS189" s="32">
        <v>0.0</v>
      </c>
      <c r="AT189" s="32">
        <v>0.0</v>
      </c>
      <c r="AU189" s="32">
        <f t="shared" si="30"/>
        <v>0</v>
      </c>
      <c r="AV189" s="32">
        <f t="shared" si="31"/>
        <v>0</v>
      </c>
      <c r="AW189" s="32">
        <f t="shared" si="32"/>
        <v>0</v>
      </c>
      <c r="AX189" s="32">
        <f t="shared" si="33"/>
        <v>0</v>
      </c>
      <c r="AY189" s="32">
        <f t="shared" si="34"/>
        <v>0</v>
      </c>
      <c r="AZ189" s="32">
        <f t="shared" si="35"/>
        <v>0</v>
      </c>
      <c r="BA189" s="32">
        <f t="shared" si="36"/>
        <v>0</v>
      </c>
      <c r="BB189" s="32">
        <f t="shared" si="37"/>
        <v>0</v>
      </c>
      <c r="BC189" s="32">
        <f t="shared" si="38"/>
        <v>0</v>
      </c>
      <c r="BD189" s="32">
        <f t="shared" si="39"/>
        <v>0</v>
      </c>
      <c r="BE189" s="32">
        <f t="shared" si="11"/>
        <v>0</v>
      </c>
      <c r="BF189" s="32">
        <v>0.0</v>
      </c>
      <c r="BG189" s="32">
        <f t="shared" si="40"/>
        <v>5500</v>
      </c>
      <c r="BH189" s="32">
        <v>0.0</v>
      </c>
      <c r="BI189" s="32">
        <f t="shared" si="41"/>
        <v>5000</v>
      </c>
      <c r="BJ189" s="32">
        <f>IF(OR(B189&lt;Assumptions!$B$111,AND(B189=Assumptions!$B$111,A189&lt;=Assumptions!$B$112)),Assumptions!$B$110,0)</f>
        <v>0</v>
      </c>
      <c r="BK189" s="32">
        <f>IF(B189&lt;2027,Assumptions!$B$116+IF(OR(A189=4,A189=10),Assumptions!$B$117,0),IF(AND(B189=2027,A189&lt;=4),IF(A189=4,MIN(950,Assumptions!$B$116+Assumptions!$B$117),Assumptions!$B$116),0))</f>
        <v>0</v>
      </c>
      <c r="BL189" s="32">
        <f>IF(OR(B189&lt;2030,AND(B189=2030,A189&lt;8)),Assumptions!$B$118,IF(AND(B189=2030,A189=8),MOD(11000,200),0))</f>
        <v>0</v>
      </c>
      <c r="BM189" s="32">
        <f>IF(OR(B189&lt;Assumptions!$B$120,AND(B189=Assumptions!$B$120,A189&lt;=Assumptions!$B$121)),Assumptions!$B$119,0)</f>
        <v>0</v>
      </c>
      <c r="BN189" s="32">
        <f>IF(AND(B189&lt;=Assumptions!$B$123,A189&lt;=Assumptions!$B$124),Assumptions!$B$122,0)</f>
        <v>0</v>
      </c>
      <c r="BO189" s="32">
        <f t="shared" si="12"/>
        <v>0</v>
      </c>
      <c r="BP189" s="32">
        <f>SUMIFS(SL_Budget!$B:$B,SL_Budget!$C:$C,"'"&amp;TEXT(DATE(B189,A189,1),"YYYY-MM"))</f>
        <v>6405</v>
      </c>
      <c r="BQ189" s="32">
        <f>MAX(BP189, IFERROR(SUMIFS(ShadowLedger!D:D, 
  ShadowLedger!C:C, "&gt;="&amp;DATE(B189,A189,1), 
  ShadowLedger!C:C, "&lt;"&amp;EOMONTH(DATE(B189,A189,1),0)+1), 0))
</f>
        <v>6405</v>
      </c>
      <c r="BR189" s="32">
        <f t="shared" si="42"/>
        <v>5040294.455</v>
      </c>
      <c r="BS189" s="32">
        <f t="shared" si="43"/>
        <v>3637.181</v>
      </c>
      <c r="BT189" s="32">
        <f>IF(BY188&gt;=Assumptions!$B$92,MAX(0,(AM189-BE189-BO189-BQ189)-Assumptions!$B$93),MAX(0,(AM189-BE189-BO189-BQ189)-Assumptions!$B$93)*Assumptions!$B$99)</f>
        <v>22007.022</v>
      </c>
      <c r="BU189" s="32">
        <f>(BR189+BS189+MAX(0,BT189))*(Assumptions!$B$43-1)</f>
        <v>34539.56977</v>
      </c>
      <c r="BV189" s="32">
        <f t="shared" si="13"/>
        <v>5100478.228</v>
      </c>
      <c r="BW189" s="32">
        <f t="shared" si="44"/>
        <v>15476.04728</v>
      </c>
      <c r="BX189" s="32">
        <f>IF(BY188&lt;Assumptions!$B$92,MAX(0,(AM189-BE189-BO189-BQ189)-Assumptions!$B$93)*Assumptions!$B$98,0)</f>
        <v>0</v>
      </c>
      <c r="BY189" s="32">
        <f t="shared" si="14"/>
        <v>15476.04728</v>
      </c>
      <c r="BZ189" s="32">
        <f t="shared" si="45"/>
        <v>62020</v>
      </c>
      <c r="CA189" s="32">
        <f t="shared" si="15"/>
        <v>8860</v>
      </c>
      <c r="CB189" s="32">
        <f t="shared" si="16"/>
        <v>70880</v>
      </c>
      <c r="CC189" s="55">
        <f>CC188+(G189+J189)/(Salary_Schedule!E189*12/208)</f>
        <v>1892.768795</v>
      </c>
      <c r="CD189" s="55">
        <f>CD188+(O189+R189)/(Salary_Schedule!G189*12/208)</f>
        <v>232.1345872</v>
      </c>
      <c r="CE189" s="32">
        <f t="shared" si="17"/>
        <v>5100478.228</v>
      </c>
      <c r="CF189" s="32">
        <f>Assumptions!$B$55*(1+Assumptions!$B$56)^((B189-2025)+(A189-1)/12)</f>
        <v>665628.4523</v>
      </c>
      <c r="CG189" s="32">
        <f t="shared" si="18"/>
        <v>0</v>
      </c>
      <c r="CH189" s="32">
        <f t="shared" si="19"/>
        <v>-10500</v>
      </c>
      <c r="CI189" s="32">
        <f>CC189*(Salary_Schedule!E189/173.33)*(1-Assumptions!$B$28)+CD189*(Salary_Schedule!G189/173.33)*(1-Assumptions!$B$28)</f>
        <v>117736.7704</v>
      </c>
      <c r="CJ189" s="32">
        <f t="shared" si="20"/>
        <v>5873343.45</v>
      </c>
    </row>
    <row r="190" ht="15.0" customHeight="1">
      <c r="A190" s="1">
        <v>9.0</v>
      </c>
      <c r="B190" s="1">
        <v>2041.0</v>
      </c>
      <c r="C190" s="1" t="s">
        <v>859</v>
      </c>
      <c r="D190" s="1" t="str">
        <f t="shared" si="21"/>
        <v>08/2041</v>
      </c>
      <c r="E190" s="1" t="str">
        <f t="shared" si="2"/>
        <v>LEAN</v>
      </c>
      <c r="F190" s="32">
        <f>Salary_Schedule!E190</f>
        <v>15314.25</v>
      </c>
      <c r="G190" s="32">
        <f>Assumptions!$B$8</f>
        <v>200</v>
      </c>
      <c r="H190" s="32">
        <f>F190*Assumptions!$B$58</f>
        <v>1531.425</v>
      </c>
      <c r="I190" s="32">
        <f>Salary_Schedule!F190</f>
        <v>0</v>
      </c>
      <c r="J190" s="32">
        <f>I190*Assumptions!$B$9</f>
        <v>0</v>
      </c>
      <c r="K190" s="54">
        <f t="shared" si="3"/>
        <v>13582.825</v>
      </c>
      <c r="L190" s="32">
        <f>IF(COUNTIFS(SL_Income_Log!$B:$B,TEXT(B190,"0000")&amp;"-"&amp;TEXT(A190,"00"),SL_Income_Log!$C:$C,"salary",SL_Income_Log!$E:$E,"H")&gt;0,SUMIFS(SL_Income_Log!$D:$D,SL_Income_Log!$B:$B,TEXT(B190,"0000")&amp;"-"&amp;TEXT(A190,"00"),SL_Income_Log!$C:$C,"salary",SL_Income_Log!$E:$E,"H"),K190*(1-Assumptions!$B$102)-Z190-Y190)</f>
        <v>8149.695</v>
      </c>
      <c r="M190" s="32">
        <f>RSU_Schedule!H189</f>
        <v>0</v>
      </c>
      <c r="N190" s="32">
        <f>Salary_Schedule!G190</f>
        <v>10379.9</v>
      </c>
      <c r="O190" s="32">
        <f>Assumptions!$B$19</f>
        <v>200</v>
      </c>
      <c r="P190" s="32">
        <f>N190*Assumptions!$B$59</f>
        <v>1037.99</v>
      </c>
      <c r="Q190" s="32">
        <f>Salary_Schedule!H190</f>
        <v>0</v>
      </c>
      <c r="R190" s="32">
        <f>Q190*Assumptions!$B$20</f>
        <v>0</v>
      </c>
      <c r="S190" s="54">
        <f t="shared" si="4"/>
        <v>9141.91</v>
      </c>
      <c r="T190" s="32">
        <f>IF(COUNTIFS(SL_Income_Log!$B:$B,TEXT(B190,"0000")&amp;"-"&amp;TEXT(A190,"00"),SL_Income_Log!$C:$C,"salary",SL_Income_Log!$E:$E,"W")&gt;0,SUMIFS(SL_Income_Log!$D:$D,SL_Income_Log!$B:$B,TEXT(B190,"0000")&amp;"-"&amp;TEXT(A190,"00"),SL_Income_Log!$C:$C,"salary",SL_Income_Log!$E:$E,"W"),S190*(1-Assumptions!$B$102)-AC190-AB190)
</f>
        <v>5485.146</v>
      </c>
      <c r="U190" s="32">
        <f>RSU_Schedule!M189</f>
        <v>0</v>
      </c>
      <c r="V190" s="32">
        <f>H190*(1+Assumptions!$B$60)+Assumptions!$B$61</f>
        <v>2163.995</v>
      </c>
      <c r="W190" s="32">
        <f>P190*(1+Assumptions!$B$60)+Assumptions!$B$61</f>
        <v>1473.186</v>
      </c>
      <c r="X190" s="32">
        <f t="shared" si="5"/>
        <v>3637.181</v>
      </c>
      <c r="Y190" s="32">
        <v>0.0</v>
      </c>
      <c r="Z190" s="32">
        <v>0.0</v>
      </c>
      <c r="AA190" s="32">
        <v>0.0</v>
      </c>
      <c r="AB190" s="32">
        <v>0.0</v>
      </c>
      <c r="AC190" s="32">
        <v>0.0</v>
      </c>
      <c r="AD190" s="32">
        <v>0.0</v>
      </c>
      <c r="AE190" s="32">
        <f t="shared" ref="AE190:AF190" si="231">Z190+AC190</f>
        <v>0</v>
      </c>
      <c r="AF190" s="32">
        <f t="shared" si="231"/>
        <v>0</v>
      </c>
      <c r="AG190" s="32">
        <f>IF(COUNTIFS(SL_Income_Log!$B:$B,TEXT(B190,"0000")&amp;"-"&amp;TEXT(A190,"00"),SL_Income_Log!$C:$C,"youtube")&gt;0,SUMIFS(SL_Income_Log!$D:$D,SL_Income_Log!$B:$B,TEXT(B190,"0000")&amp;"-"&amp;TEXT(A190,"00"),SL_Income_Log!$C:$C,"youtube"),MIN(Assumptions!$B$49+FLOOR((ROW()-2)/6,1)*Assumptions!$B$50,Assumptions!$B$51))
</f>
        <v>20000</v>
      </c>
      <c r="AH190" s="32">
        <f>AG190*Assumptions!$B$104</f>
        <v>8860</v>
      </c>
      <c r="AI190" s="32">
        <f t="shared" si="7"/>
        <v>11140</v>
      </c>
      <c r="AJ190" s="32">
        <f>SUMIFS(SL_Income_Log!$D:$D,SL_Income_Log!$B:$B,TEXT(B190,"0000")&amp;"-"&amp;TEXT(A190,"00"),SL_Income_Log!$C:$C,"other")</f>
        <v>0</v>
      </c>
      <c r="AK190" s="32">
        <f t="shared" si="27"/>
        <v>10000</v>
      </c>
      <c r="AL190" s="32">
        <f>L190+M190+T190+U190+AI190+AJ190-Y190-Z190-AB190-AC190+IF((Debt_Register!$C$2+Debt_Register!$C$6+Debt_Register!$C$7+Debt_Register!$C$8+Debt_Register!$C$9)&gt;5,X190,0)</f>
        <v>28412.022</v>
      </c>
      <c r="AM190" s="32">
        <f t="shared" si="8"/>
        <v>38412.022</v>
      </c>
      <c r="AN190" s="32">
        <f>MAX(Assumptions!$B$94,MIN(Assumptions!$B$93,AM190-AP190-BE190-BO190-BQ190))</f>
        <v>10000</v>
      </c>
      <c r="AO190" s="32">
        <v>0.0</v>
      </c>
      <c r="AP190" s="32">
        <v>0.0</v>
      </c>
      <c r="AQ190" s="32">
        <v>0.0</v>
      </c>
      <c r="AR190" s="32">
        <v>0.0</v>
      </c>
      <c r="AS190" s="32">
        <v>0.0</v>
      </c>
      <c r="AT190" s="32">
        <v>0.0</v>
      </c>
      <c r="AU190" s="32">
        <f t="shared" si="30"/>
        <v>0</v>
      </c>
      <c r="AV190" s="32">
        <f t="shared" si="31"/>
        <v>0</v>
      </c>
      <c r="AW190" s="32">
        <f t="shared" si="32"/>
        <v>0</v>
      </c>
      <c r="AX190" s="32">
        <f t="shared" si="33"/>
        <v>0</v>
      </c>
      <c r="AY190" s="32">
        <f t="shared" si="34"/>
        <v>0</v>
      </c>
      <c r="AZ190" s="32">
        <f t="shared" si="35"/>
        <v>0</v>
      </c>
      <c r="BA190" s="32">
        <f t="shared" si="36"/>
        <v>0</v>
      </c>
      <c r="BB190" s="32">
        <f t="shared" si="37"/>
        <v>0</v>
      </c>
      <c r="BC190" s="32">
        <f t="shared" si="38"/>
        <v>0</v>
      </c>
      <c r="BD190" s="32">
        <f t="shared" si="39"/>
        <v>0</v>
      </c>
      <c r="BE190" s="32">
        <f t="shared" si="11"/>
        <v>0</v>
      </c>
      <c r="BF190" s="32">
        <v>0.0</v>
      </c>
      <c r="BG190" s="32">
        <f t="shared" si="40"/>
        <v>5500</v>
      </c>
      <c r="BH190" s="32">
        <v>0.0</v>
      </c>
      <c r="BI190" s="32">
        <f t="shared" si="41"/>
        <v>5000</v>
      </c>
      <c r="BJ190" s="32">
        <f>IF(OR(B190&lt;Assumptions!$B$111,AND(B190=Assumptions!$B$111,A190&lt;=Assumptions!$B$112)),Assumptions!$B$110,0)</f>
        <v>0</v>
      </c>
      <c r="BK190" s="32">
        <f>IF(B190&lt;2027,Assumptions!$B$116+IF(OR(A190=4,A190=10),Assumptions!$B$117,0),IF(AND(B190=2027,A190&lt;=4),IF(A190=4,MIN(950,Assumptions!$B$116+Assumptions!$B$117),Assumptions!$B$116),0))</f>
        <v>0</v>
      </c>
      <c r="BL190" s="32">
        <f>IF(OR(B190&lt;2030,AND(B190=2030,A190&lt;8)),Assumptions!$B$118,IF(AND(B190=2030,A190=8),MOD(11000,200),0))</f>
        <v>0</v>
      </c>
      <c r="BM190" s="32">
        <f>IF(OR(B190&lt;Assumptions!$B$120,AND(B190=Assumptions!$B$120,A190&lt;=Assumptions!$B$121)),Assumptions!$B$119,0)</f>
        <v>0</v>
      </c>
      <c r="BN190" s="32">
        <f>IF(AND(B190&lt;=Assumptions!$B$123,A190&lt;=Assumptions!$B$124),Assumptions!$B$122,0)</f>
        <v>0</v>
      </c>
      <c r="BO190" s="32">
        <f t="shared" si="12"/>
        <v>0</v>
      </c>
      <c r="BP190" s="32">
        <f>SUMIFS(SL_Budget!$B:$B,SL_Budget!$C:$C,"'"&amp;TEXT(DATE(B190,A190,1),"YYYY-MM"))</f>
        <v>6405</v>
      </c>
      <c r="BQ190" s="32">
        <f>MAX(BP190, IFERROR(SUMIFS(ShadowLedger!D:D, 
  ShadowLedger!C:C, "&gt;="&amp;DATE(B190,A190,1), 
  ShadowLedger!C:C, "&lt;"&amp;EOMONTH(DATE(B190,A190,1),0)+1), 0))
</f>
        <v>6405</v>
      </c>
      <c r="BR190" s="32">
        <f t="shared" si="42"/>
        <v>5100478.228</v>
      </c>
      <c r="BS190" s="32">
        <f t="shared" si="43"/>
        <v>3637.181</v>
      </c>
      <c r="BT190" s="32">
        <f>IF(BY189&gt;=Assumptions!$B$92,MAX(0,(AM190-BE190-BO190-BQ190)-Assumptions!$B$93),MAX(0,(AM190-BE190-BO190-BQ190)-Assumptions!$B$93)*Assumptions!$B$99)</f>
        <v>22007.022</v>
      </c>
      <c r="BU190" s="32">
        <f>(BR190+BS190+MAX(0,BT190))*(Assumptions!$B$43-1)</f>
        <v>34949.90273</v>
      </c>
      <c r="BV190" s="32">
        <f t="shared" si="13"/>
        <v>5161072.334</v>
      </c>
      <c r="BW190" s="32">
        <f t="shared" si="44"/>
        <v>15476.04728</v>
      </c>
      <c r="BX190" s="32">
        <f>IF(BY189&lt;Assumptions!$B$92,MAX(0,(AM190-BE190-BO190-BQ190)-Assumptions!$B$93)*Assumptions!$B$98,0)</f>
        <v>0</v>
      </c>
      <c r="BY190" s="32">
        <f t="shared" si="14"/>
        <v>15476.04728</v>
      </c>
      <c r="BZ190" s="32">
        <f t="shared" si="45"/>
        <v>70880</v>
      </c>
      <c r="CA190" s="32">
        <f t="shared" si="15"/>
        <v>8860</v>
      </c>
      <c r="CB190" s="32">
        <f t="shared" si="16"/>
        <v>79740</v>
      </c>
      <c r="CC190" s="55">
        <f>CC189+(G190+J190)/(Salary_Schedule!E190*12/208)</f>
        <v>1892.995164</v>
      </c>
      <c r="CD190" s="55">
        <f>CD189+(O190+R190)/(Salary_Schedule!G190*12/208)</f>
        <v>232.468566</v>
      </c>
      <c r="CE190" s="32">
        <f t="shared" si="17"/>
        <v>5161072.334</v>
      </c>
      <c r="CF190" s="32">
        <f>Assumptions!$B$55*(1+Assumptions!$B$56)^((B190-2025)+(A190-1)/12)</f>
        <v>666454.8218</v>
      </c>
      <c r="CG190" s="32">
        <f t="shared" si="18"/>
        <v>0</v>
      </c>
      <c r="CH190" s="32">
        <f t="shared" si="19"/>
        <v>-10500</v>
      </c>
      <c r="CI190" s="32">
        <f>CC190*(Salary_Schedule!E190/173.33)*(1-Assumptions!$B$28)+CD190*(Salary_Schedule!G190/173.33)*(1-Assumptions!$B$28)</f>
        <v>117762.7709</v>
      </c>
      <c r="CJ190" s="32">
        <f t="shared" si="20"/>
        <v>5934789.926</v>
      </c>
    </row>
    <row r="191" ht="15.0" customHeight="1">
      <c r="A191" s="1">
        <v>10.0</v>
      </c>
      <c r="B191" s="1">
        <v>2041.0</v>
      </c>
      <c r="C191" s="1" t="s">
        <v>860</v>
      </c>
      <c r="D191" s="1" t="str">
        <f t="shared" si="21"/>
        <v>09/2041</v>
      </c>
      <c r="E191" s="1" t="str">
        <f t="shared" si="2"/>
        <v>FAT_RSU</v>
      </c>
      <c r="F191" s="32">
        <f>Salary_Schedule!E191</f>
        <v>15314.25</v>
      </c>
      <c r="G191" s="32">
        <f>Assumptions!$B$8</f>
        <v>200</v>
      </c>
      <c r="H191" s="32">
        <f>F191*Assumptions!$B$58</f>
        <v>1531.425</v>
      </c>
      <c r="I191" s="32">
        <f>Salary_Schedule!F191</f>
        <v>0</v>
      </c>
      <c r="J191" s="32">
        <f>I191*Assumptions!$B$9</f>
        <v>0</v>
      </c>
      <c r="K191" s="54">
        <f t="shared" si="3"/>
        <v>13582.825</v>
      </c>
      <c r="L191" s="32">
        <f>IF(COUNTIFS(SL_Income_Log!$B:$B,TEXT(B191,"0000")&amp;"-"&amp;TEXT(A191,"00"),SL_Income_Log!$C:$C,"salary",SL_Income_Log!$E:$E,"H")&gt;0,SUMIFS(SL_Income_Log!$D:$D,SL_Income_Log!$B:$B,TEXT(B191,"0000")&amp;"-"&amp;TEXT(A191,"00"),SL_Income_Log!$C:$C,"salary",SL_Income_Log!$E:$E,"H"),K191*(1-Assumptions!$B$102)-Z191-Y191)</f>
        <v>8149.695</v>
      </c>
      <c r="M191" s="32">
        <f>RSU_Schedule!H190</f>
        <v>2784.99</v>
      </c>
      <c r="N191" s="32">
        <f>Salary_Schedule!G191</f>
        <v>10379.9</v>
      </c>
      <c r="O191" s="32">
        <f>Assumptions!$B$19</f>
        <v>200</v>
      </c>
      <c r="P191" s="32">
        <f>N191*Assumptions!$B$59</f>
        <v>1037.99</v>
      </c>
      <c r="Q191" s="32">
        <f>Salary_Schedule!H191</f>
        <v>0</v>
      </c>
      <c r="R191" s="32">
        <f>Q191*Assumptions!$B$20</f>
        <v>0</v>
      </c>
      <c r="S191" s="54">
        <f t="shared" si="4"/>
        <v>9141.91</v>
      </c>
      <c r="T191" s="32">
        <f>IF(COUNTIFS(SL_Income_Log!$B:$B,TEXT(B191,"0000")&amp;"-"&amp;TEXT(A191,"00"),SL_Income_Log!$C:$C,"salary",SL_Income_Log!$E:$E,"W")&gt;0,SUMIFS(SL_Income_Log!$D:$D,SL_Income_Log!$B:$B,TEXT(B191,"0000")&amp;"-"&amp;TEXT(A191,"00"),SL_Income_Log!$C:$C,"salary",SL_Income_Log!$E:$E,"W"),S191*(1-Assumptions!$B$102)-AC191-AB191)
</f>
        <v>5485.146</v>
      </c>
      <c r="U191" s="32">
        <f>RSU_Schedule!M190</f>
        <v>1392.51</v>
      </c>
      <c r="V191" s="32">
        <f>H191*(1+Assumptions!$B$60)+Assumptions!$B$61</f>
        <v>2163.995</v>
      </c>
      <c r="W191" s="32">
        <f>P191*(1+Assumptions!$B$60)+Assumptions!$B$61</f>
        <v>1473.186</v>
      </c>
      <c r="X191" s="32">
        <f t="shared" si="5"/>
        <v>3637.181</v>
      </c>
      <c r="Y191" s="32">
        <v>0.0</v>
      </c>
      <c r="Z191" s="32">
        <v>0.0</v>
      </c>
      <c r="AA191" s="32">
        <v>0.0</v>
      </c>
      <c r="AB191" s="32">
        <v>0.0</v>
      </c>
      <c r="AC191" s="32">
        <v>0.0</v>
      </c>
      <c r="AD191" s="32">
        <v>0.0</v>
      </c>
      <c r="AE191" s="32">
        <f t="shared" ref="AE191:AF191" si="232">Z191+AC191</f>
        <v>0</v>
      </c>
      <c r="AF191" s="32">
        <f t="shared" si="232"/>
        <v>0</v>
      </c>
      <c r="AG191" s="32">
        <f>IF(COUNTIFS(SL_Income_Log!$B:$B,TEXT(B191,"0000")&amp;"-"&amp;TEXT(A191,"00"),SL_Income_Log!$C:$C,"youtube")&gt;0,SUMIFS(SL_Income_Log!$D:$D,SL_Income_Log!$B:$B,TEXT(B191,"0000")&amp;"-"&amp;TEXT(A191,"00"),SL_Income_Log!$C:$C,"youtube"),MIN(Assumptions!$B$49+FLOOR((ROW()-2)/6,1)*Assumptions!$B$50,Assumptions!$B$51))
</f>
        <v>20000</v>
      </c>
      <c r="AH191" s="32">
        <f>AG191*Assumptions!$B$104</f>
        <v>8860</v>
      </c>
      <c r="AI191" s="32">
        <f t="shared" si="7"/>
        <v>11140</v>
      </c>
      <c r="AJ191" s="32">
        <f>SUMIFS(SL_Income_Log!$D:$D,SL_Income_Log!$B:$B,TEXT(B191,"0000")&amp;"-"&amp;TEXT(A191,"00"),SL_Income_Log!$C:$C,"other")</f>
        <v>0</v>
      </c>
      <c r="AK191" s="32">
        <f t="shared" si="27"/>
        <v>10000</v>
      </c>
      <c r="AL191" s="32">
        <f>L191+M191+T191+U191+AI191+AJ191-Y191-Z191-AB191-AC191+IF((Debt_Register!$C$2+Debt_Register!$C$6+Debt_Register!$C$7+Debt_Register!$C$8+Debt_Register!$C$9)&gt;5,X191,0)</f>
        <v>32589.522</v>
      </c>
      <c r="AM191" s="32">
        <f t="shared" si="8"/>
        <v>42589.522</v>
      </c>
      <c r="AN191" s="32">
        <f>MAX(Assumptions!$B$94,MIN(Assumptions!$B$93,AM191-AP191-BE191-BO191-BQ191))</f>
        <v>10000</v>
      </c>
      <c r="AO191" s="32">
        <v>0.0</v>
      </c>
      <c r="AP191" s="32">
        <v>0.0</v>
      </c>
      <c r="AQ191" s="32">
        <v>0.0</v>
      </c>
      <c r="AR191" s="32">
        <v>0.0</v>
      </c>
      <c r="AS191" s="32">
        <v>0.0</v>
      </c>
      <c r="AT191" s="32">
        <v>0.0</v>
      </c>
      <c r="AU191" s="32">
        <f t="shared" si="30"/>
        <v>0</v>
      </c>
      <c r="AV191" s="32">
        <f t="shared" si="31"/>
        <v>0</v>
      </c>
      <c r="AW191" s="32">
        <f t="shared" si="32"/>
        <v>0</v>
      </c>
      <c r="AX191" s="32">
        <f t="shared" si="33"/>
        <v>0</v>
      </c>
      <c r="AY191" s="32">
        <f t="shared" si="34"/>
        <v>0</v>
      </c>
      <c r="AZ191" s="32">
        <f t="shared" si="35"/>
        <v>0</v>
      </c>
      <c r="BA191" s="32">
        <f t="shared" si="36"/>
        <v>0</v>
      </c>
      <c r="BB191" s="32">
        <f t="shared" si="37"/>
        <v>0</v>
      </c>
      <c r="BC191" s="32">
        <f t="shared" si="38"/>
        <v>0</v>
      </c>
      <c r="BD191" s="32">
        <f t="shared" si="39"/>
        <v>0</v>
      </c>
      <c r="BE191" s="32">
        <f t="shared" si="11"/>
        <v>0</v>
      </c>
      <c r="BF191" s="32">
        <v>0.0</v>
      </c>
      <c r="BG191" s="32">
        <f t="shared" si="40"/>
        <v>5500</v>
      </c>
      <c r="BH191" s="32">
        <v>0.0</v>
      </c>
      <c r="BI191" s="32">
        <f t="shared" si="41"/>
        <v>5000</v>
      </c>
      <c r="BJ191" s="32">
        <f>IF(OR(B191&lt;Assumptions!$B$111,AND(B191=Assumptions!$B$111,A191&lt;=Assumptions!$B$112)),Assumptions!$B$110,0)</f>
        <v>0</v>
      </c>
      <c r="BK191" s="32">
        <f>IF(B191&lt;2027,Assumptions!$B$116+IF(OR(A191=4,A191=10),Assumptions!$B$117,0),IF(AND(B191=2027,A191&lt;=4),IF(A191=4,MIN(950,Assumptions!$B$116+Assumptions!$B$117),Assumptions!$B$116),0))</f>
        <v>0</v>
      </c>
      <c r="BL191" s="32">
        <f>IF(OR(B191&lt;2030,AND(B191=2030,A191&lt;8)),Assumptions!$B$118,IF(AND(B191=2030,A191=8),MOD(11000,200),0))</f>
        <v>0</v>
      </c>
      <c r="BM191" s="32">
        <f>IF(OR(B191&lt;Assumptions!$B$120,AND(B191=Assumptions!$B$120,A191&lt;=Assumptions!$B$121)),Assumptions!$B$119,0)</f>
        <v>0</v>
      </c>
      <c r="BN191" s="32">
        <f>IF(AND(B191&lt;=Assumptions!$B$123,A191&lt;=Assumptions!$B$124),Assumptions!$B$122,0)</f>
        <v>0</v>
      </c>
      <c r="BO191" s="32">
        <f t="shared" si="12"/>
        <v>0</v>
      </c>
      <c r="BP191" s="32">
        <f>SUMIFS(SL_Budget!$B:$B,SL_Budget!$C:$C,"'"&amp;TEXT(DATE(B191,A191,1),"YYYY-MM"))</f>
        <v>6405</v>
      </c>
      <c r="BQ191" s="32">
        <f>MAX(BP191, IFERROR(SUMIFS(ShadowLedger!D:D, 
  ShadowLedger!C:C, "&gt;="&amp;DATE(B191,A191,1), 
  ShadowLedger!C:C, "&lt;"&amp;EOMONTH(DATE(B191,A191,1),0)+1), 0))
</f>
        <v>6405</v>
      </c>
      <c r="BR191" s="32">
        <f t="shared" si="42"/>
        <v>5161072.334</v>
      </c>
      <c r="BS191" s="32">
        <f t="shared" si="43"/>
        <v>3637.181</v>
      </c>
      <c r="BT191" s="32">
        <f>IF(BY190&gt;=Assumptions!$B$92,MAX(0,(AM191-BE191-BO191-BQ191)-Assumptions!$B$93),MAX(0,(AM191-BE191-BO191-BQ191)-Assumptions!$B$93)*Assumptions!$B$99)</f>
        <v>26184.522</v>
      </c>
      <c r="BU191" s="32">
        <f>(BR191+BS191+MAX(0,BT191))*(Assumptions!$B$43-1)</f>
        <v>35391.51554</v>
      </c>
      <c r="BV191" s="32">
        <f t="shared" si="13"/>
        <v>5226285.552</v>
      </c>
      <c r="BW191" s="32">
        <f t="shared" si="44"/>
        <v>15476.04728</v>
      </c>
      <c r="BX191" s="32">
        <f>IF(BY190&lt;Assumptions!$B$92,MAX(0,(AM191-BE191-BO191-BQ191)-Assumptions!$B$93)*Assumptions!$B$98,0)</f>
        <v>0</v>
      </c>
      <c r="BY191" s="32">
        <f t="shared" si="14"/>
        <v>15476.04728</v>
      </c>
      <c r="BZ191" s="32">
        <f t="shared" si="45"/>
        <v>79740</v>
      </c>
      <c r="CA191" s="32">
        <f t="shared" si="15"/>
        <v>8860</v>
      </c>
      <c r="CB191" s="32">
        <f t="shared" si="16"/>
        <v>88600</v>
      </c>
      <c r="CC191" s="55">
        <f>CC190+(G191+J191)/(Salary_Schedule!E191*12/208)</f>
        <v>1893.221532</v>
      </c>
      <c r="CD191" s="55">
        <f>CD190+(O191+R191)/(Salary_Schedule!G191*12/208)</f>
        <v>232.8025449</v>
      </c>
      <c r="CE191" s="32">
        <f t="shared" si="17"/>
        <v>5226285.552</v>
      </c>
      <c r="CF191" s="32">
        <f>Assumptions!$B$55*(1+Assumptions!$B$56)^((B191-2025)+(A191-1)/12)</f>
        <v>667282.2173</v>
      </c>
      <c r="CG191" s="32">
        <f t="shared" si="18"/>
        <v>0</v>
      </c>
      <c r="CH191" s="32">
        <f t="shared" si="19"/>
        <v>-10500</v>
      </c>
      <c r="CI191" s="32">
        <f>CC191*(Salary_Schedule!E191/173.33)*(1-Assumptions!$B$28)+CD191*(Salary_Schedule!G191/173.33)*(1-Assumptions!$B$28)</f>
        <v>117788.7714</v>
      </c>
      <c r="CJ191" s="32">
        <f t="shared" si="20"/>
        <v>6000856.541</v>
      </c>
    </row>
    <row r="192" ht="15.0" customHeight="1">
      <c r="A192" s="1">
        <v>11.0</v>
      </c>
      <c r="B192" s="1">
        <v>2041.0</v>
      </c>
      <c r="C192" s="1" t="s">
        <v>861</v>
      </c>
      <c r="D192" s="1" t="str">
        <f t="shared" si="21"/>
        <v>10/2041</v>
      </c>
      <c r="E192" s="1" t="str">
        <f t="shared" si="2"/>
        <v>LEAN</v>
      </c>
      <c r="F192" s="32">
        <f>Salary_Schedule!E192</f>
        <v>15314.25</v>
      </c>
      <c r="G192" s="32">
        <f>Assumptions!$B$8</f>
        <v>200</v>
      </c>
      <c r="H192" s="32">
        <f>F192*Assumptions!$B$58</f>
        <v>1531.425</v>
      </c>
      <c r="I192" s="32">
        <f>Salary_Schedule!F192</f>
        <v>0</v>
      </c>
      <c r="J192" s="32">
        <f>I192*Assumptions!$B$9</f>
        <v>0</v>
      </c>
      <c r="K192" s="54">
        <f t="shared" si="3"/>
        <v>13582.825</v>
      </c>
      <c r="L192" s="32">
        <f>IF(COUNTIFS(SL_Income_Log!$B:$B,TEXT(B192,"0000")&amp;"-"&amp;TEXT(A192,"00"),SL_Income_Log!$C:$C,"salary",SL_Income_Log!$E:$E,"H")&gt;0,SUMIFS(SL_Income_Log!$D:$D,SL_Income_Log!$B:$B,TEXT(B192,"0000")&amp;"-"&amp;TEXT(A192,"00"),SL_Income_Log!$C:$C,"salary",SL_Income_Log!$E:$E,"H"),K192*(1-Assumptions!$B$102)-Z192-Y192)</f>
        <v>8149.695</v>
      </c>
      <c r="M192" s="32">
        <f>RSU_Schedule!H191</f>
        <v>0</v>
      </c>
      <c r="N192" s="32">
        <f>Salary_Schedule!G192</f>
        <v>10379.9</v>
      </c>
      <c r="O192" s="32">
        <f>Assumptions!$B$19</f>
        <v>200</v>
      </c>
      <c r="P192" s="32">
        <f>N192*Assumptions!$B$59</f>
        <v>1037.99</v>
      </c>
      <c r="Q192" s="32">
        <f>Salary_Schedule!H192</f>
        <v>0</v>
      </c>
      <c r="R192" s="32">
        <f>Q192*Assumptions!$B$20</f>
        <v>0</v>
      </c>
      <c r="S192" s="54">
        <f t="shared" si="4"/>
        <v>9141.91</v>
      </c>
      <c r="T192" s="32">
        <f>IF(COUNTIFS(SL_Income_Log!$B:$B,TEXT(B192,"0000")&amp;"-"&amp;TEXT(A192,"00"),SL_Income_Log!$C:$C,"salary",SL_Income_Log!$E:$E,"W")&gt;0,SUMIFS(SL_Income_Log!$D:$D,SL_Income_Log!$B:$B,TEXT(B192,"0000")&amp;"-"&amp;TEXT(A192,"00"),SL_Income_Log!$C:$C,"salary",SL_Income_Log!$E:$E,"W"),S192*(1-Assumptions!$B$102)-AC192-AB192)
</f>
        <v>5485.146</v>
      </c>
      <c r="U192" s="32">
        <f>RSU_Schedule!M191</f>
        <v>0</v>
      </c>
      <c r="V192" s="32">
        <f>H192*(1+Assumptions!$B$60)+Assumptions!$B$61</f>
        <v>2163.995</v>
      </c>
      <c r="W192" s="32">
        <f>P192*(1+Assumptions!$B$60)+Assumptions!$B$61</f>
        <v>1473.186</v>
      </c>
      <c r="X192" s="32">
        <f t="shared" si="5"/>
        <v>3637.181</v>
      </c>
      <c r="Y192" s="32">
        <v>0.0</v>
      </c>
      <c r="Z192" s="32">
        <v>0.0</v>
      </c>
      <c r="AA192" s="32">
        <v>0.0</v>
      </c>
      <c r="AB192" s="32">
        <v>0.0</v>
      </c>
      <c r="AC192" s="32">
        <v>0.0</v>
      </c>
      <c r="AD192" s="32">
        <v>0.0</v>
      </c>
      <c r="AE192" s="32">
        <f t="shared" ref="AE192:AF192" si="233">Z192+AC192</f>
        <v>0</v>
      </c>
      <c r="AF192" s="32">
        <f t="shared" si="233"/>
        <v>0</v>
      </c>
      <c r="AG192" s="32">
        <f>IF(COUNTIFS(SL_Income_Log!$B:$B,TEXT(B192,"0000")&amp;"-"&amp;TEXT(A192,"00"),SL_Income_Log!$C:$C,"youtube")&gt;0,SUMIFS(SL_Income_Log!$D:$D,SL_Income_Log!$B:$B,TEXT(B192,"0000")&amp;"-"&amp;TEXT(A192,"00"),SL_Income_Log!$C:$C,"youtube"),MIN(Assumptions!$B$49+FLOOR((ROW()-2)/6,1)*Assumptions!$B$50,Assumptions!$B$51))
</f>
        <v>20000</v>
      </c>
      <c r="AH192" s="32">
        <f>AG192*Assumptions!$B$104</f>
        <v>8860</v>
      </c>
      <c r="AI192" s="32">
        <f t="shared" si="7"/>
        <v>11140</v>
      </c>
      <c r="AJ192" s="32">
        <f>SUMIFS(SL_Income_Log!$D:$D,SL_Income_Log!$B:$B,TEXT(B192,"0000")&amp;"-"&amp;TEXT(A192,"00"),SL_Income_Log!$C:$C,"other")</f>
        <v>0</v>
      </c>
      <c r="AK192" s="32">
        <f t="shared" si="27"/>
        <v>10000</v>
      </c>
      <c r="AL192" s="32">
        <f>L192+M192+T192+U192+AI192+AJ192-Y192-Z192-AB192-AC192+IF((Debt_Register!$C$2+Debt_Register!$C$6+Debt_Register!$C$7+Debt_Register!$C$8+Debt_Register!$C$9)&gt;5,X192,0)</f>
        <v>28412.022</v>
      </c>
      <c r="AM192" s="32">
        <f t="shared" si="8"/>
        <v>38412.022</v>
      </c>
      <c r="AN192" s="32">
        <f>MAX(Assumptions!$B$94,MIN(Assumptions!$B$93,AM192-AP192-BE192-BO192-BQ192))</f>
        <v>10000</v>
      </c>
      <c r="AO192" s="32">
        <v>0.0</v>
      </c>
      <c r="AP192" s="32">
        <v>0.0</v>
      </c>
      <c r="AQ192" s="32">
        <v>0.0</v>
      </c>
      <c r="AR192" s="32">
        <v>0.0</v>
      </c>
      <c r="AS192" s="32">
        <v>0.0</v>
      </c>
      <c r="AT192" s="32">
        <v>0.0</v>
      </c>
      <c r="AU192" s="32">
        <f t="shared" si="30"/>
        <v>0</v>
      </c>
      <c r="AV192" s="32">
        <f t="shared" si="31"/>
        <v>0</v>
      </c>
      <c r="AW192" s="32">
        <f t="shared" si="32"/>
        <v>0</v>
      </c>
      <c r="AX192" s="32">
        <f t="shared" si="33"/>
        <v>0</v>
      </c>
      <c r="AY192" s="32">
        <f t="shared" si="34"/>
        <v>0</v>
      </c>
      <c r="AZ192" s="32">
        <f t="shared" si="35"/>
        <v>0</v>
      </c>
      <c r="BA192" s="32">
        <f t="shared" si="36"/>
        <v>0</v>
      </c>
      <c r="BB192" s="32">
        <f t="shared" si="37"/>
        <v>0</v>
      </c>
      <c r="BC192" s="32">
        <f t="shared" si="38"/>
        <v>0</v>
      </c>
      <c r="BD192" s="32">
        <f t="shared" si="39"/>
        <v>0</v>
      </c>
      <c r="BE192" s="32">
        <f t="shared" si="11"/>
        <v>0</v>
      </c>
      <c r="BF192" s="32">
        <v>0.0</v>
      </c>
      <c r="BG192" s="32">
        <f t="shared" si="40"/>
        <v>5500</v>
      </c>
      <c r="BH192" s="32">
        <v>0.0</v>
      </c>
      <c r="BI192" s="32">
        <f t="shared" si="41"/>
        <v>5000</v>
      </c>
      <c r="BJ192" s="32">
        <f>IF(OR(B192&lt;Assumptions!$B$111,AND(B192=Assumptions!$B$111,A192&lt;=Assumptions!$B$112)),Assumptions!$B$110,0)</f>
        <v>0</v>
      </c>
      <c r="BK192" s="32">
        <f>IF(B192&lt;2027,Assumptions!$B$116+IF(OR(A192=4,A192=10),Assumptions!$B$117,0),IF(AND(B192=2027,A192&lt;=4),IF(A192=4,MIN(950,Assumptions!$B$116+Assumptions!$B$117),Assumptions!$B$116),0))</f>
        <v>0</v>
      </c>
      <c r="BL192" s="32">
        <f>IF(OR(B192&lt;2030,AND(B192=2030,A192&lt;8)),Assumptions!$B$118,IF(AND(B192=2030,A192=8),MOD(11000,200),0))</f>
        <v>0</v>
      </c>
      <c r="BM192" s="32">
        <f>IF(OR(B192&lt;Assumptions!$B$120,AND(B192=Assumptions!$B$120,A192&lt;=Assumptions!$B$121)),Assumptions!$B$119,0)</f>
        <v>0</v>
      </c>
      <c r="BN192" s="32">
        <f>IF(AND(B192&lt;=Assumptions!$B$123,A192&lt;=Assumptions!$B$124),Assumptions!$B$122,0)</f>
        <v>0</v>
      </c>
      <c r="BO192" s="32">
        <f t="shared" si="12"/>
        <v>0</v>
      </c>
      <c r="BP192" s="32">
        <f>SUMIFS(SL_Budget!$B:$B,SL_Budget!$C:$C,"'"&amp;TEXT(DATE(B192,A192,1),"YYYY-MM"))</f>
        <v>6405</v>
      </c>
      <c r="BQ192" s="32">
        <f>MAX(BP192, IFERROR(SUMIFS(ShadowLedger!D:D, 
  ShadowLedger!C:C, "&gt;="&amp;DATE(B192,A192,1), 
  ShadowLedger!C:C, "&lt;"&amp;EOMONTH(DATE(B192,A192,1),0)+1), 0))
</f>
        <v>6405</v>
      </c>
      <c r="BR192" s="32">
        <f t="shared" si="42"/>
        <v>5226285.552</v>
      </c>
      <c r="BS192" s="32">
        <f t="shared" si="43"/>
        <v>3637.181</v>
      </c>
      <c r="BT192" s="32">
        <f>IF(BY191&gt;=Assumptions!$B$92,MAX(0,(AM192-BE192-BO192-BQ192)-Assumptions!$B$93),MAX(0,(AM192-BE192-BO192-BQ192)-Assumptions!$B$93)*Assumptions!$B$99)</f>
        <v>22007.022</v>
      </c>
      <c r="BU192" s="32">
        <f>(BR192+BS192+MAX(0,BT192))*(Assumptions!$B$43-1)</f>
        <v>35807.65707</v>
      </c>
      <c r="BV192" s="32">
        <f t="shared" si="13"/>
        <v>5287737.412</v>
      </c>
      <c r="BW192" s="32">
        <f t="shared" si="44"/>
        <v>15476.04728</v>
      </c>
      <c r="BX192" s="32">
        <f>IF(BY191&lt;Assumptions!$B$92,MAX(0,(AM192-BE192-BO192-BQ192)-Assumptions!$B$93)*Assumptions!$B$98,0)</f>
        <v>0</v>
      </c>
      <c r="BY192" s="32">
        <f t="shared" si="14"/>
        <v>15476.04728</v>
      </c>
      <c r="BZ192" s="32">
        <f t="shared" si="45"/>
        <v>88600</v>
      </c>
      <c r="CA192" s="32">
        <f t="shared" si="15"/>
        <v>8860</v>
      </c>
      <c r="CB192" s="32">
        <f t="shared" si="16"/>
        <v>97460</v>
      </c>
      <c r="CC192" s="55">
        <f>CC191+(G192+J192)/(Salary_Schedule!E192*12/208)</f>
        <v>1893.447901</v>
      </c>
      <c r="CD192" s="55">
        <f>CD191+(O192+R192)/(Salary_Schedule!G192*12/208)</f>
        <v>233.1365237</v>
      </c>
      <c r="CE192" s="32">
        <f t="shared" si="17"/>
        <v>5287737.412</v>
      </c>
      <c r="CF192" s="32">
        <f>Assumptions!$B$55*(1+Assumptions!$B$56)^((B192-2025)+(A192-1)/12)</f>
        <v>668110.64</v>
      </c>
      <c r="CG192" s="32">
        <f t="shared" si="18"/>
        <v>0</v>
      </c>
      <c r="CH192" s="32">
        <f t="shared" si="19"/>
        <v>-10500</v>
      </c>
      <c r="CI192" s="32">
        <f>CC192*(Salary_Schedule!E192/173.33)*(1-Assumptions!$B$28)+CD192*(Salary_Schedule!G192/173.33)*(1-Assumptions!$B$28)</f>
        <v>117814.7719</v>
      </c>
      <c r="CJ192" s="32">
        <f t="shared" si="20"/>
        <v>6063162.824</v>
      </c>
    </row>
    <row r="193" ht="15.0" customHeight="1">
      <c r="A193" s="1">
        <v>12.0</v>
      </c>
      <c r="B193" s="1">
        <v>2041.0</v>
      </c>
      <c r="C193" s="1" t="s">
        <v>862</v>
      </c>
      <c r="D193" s="1" t="str">
        <f t="shared" si="21"/>
        <v>11/2041</v>
      </c>
      <c r="E193" s="1" t="str">
        <f t="shared" si="2"/>
        <v>LEAN</v>
      </c>
      <c r="F193" s="32">
        <f>Salary_Schedule!E193</f>
        <v>15314.25</v>
      </c>
      <c r="G193" s="32">
        <f>Assumptions!$B$8</f>
        <v>200</v>
      </c>
      <c r="H193" s="32">
        <f>F193*Assumptions!$B$58</f>
        <v>1531.425</v>
      </c>
      <c r="I193" s="32">
        <f>Salary_Schedule!F193</f>
        <v>0</v>
      </c>
      <c r="J193" s="32">
        <f>I193*Assumptions!$B$9</f>
        <v>0</v>
      </c>
      <c r="K193" s="54">
        <f t="shared" si="3"/>
        <v>13582.825</v>
      </c>
      <c r="L193" s="32">
        <f>IF(COUNTIFS(SL_Income_Log!$B:$B,TEXT(B193,"0000")&amp;"-"&amp;TEXT(A193,"00"),SL_Income_Log!$C:$C,"salary",SL_Income_Log!$E:$E,"H")&gt;0,SUMIFS(SL_Income_Log!$D:$D,SL_Income_Log!$B:$B,TEXT(B193,"0000")&amp;"-"&amp;TEXT(A193,"00"),SL_Income_Log!$C:$C,"salary",SL_Income_Log!$E:$E,"H"),K193*(1-Assumptions!$B$102)-Z193-Y193)</f>
        <v>8149.695</v>
      </c>
      <c r="M193" s="32">
        <f>RSU_Schedule!H192</f>
        <v>0</v>
      </c>
      <c r="N193" s="32">
        <f>Salary_Schedule!G193</f>
        <v>10379.9</v>
      </c>
      <c r="O193" s="32">
        <f>Assumptions!$B$19</f>
        <v>200</v>
      </c>
      <c r="P193" s="32">
        <f>N193*Assumptions!$B$59</f>
        <v>1037.99</v>
      </c>
      <c r="Q193" s="32">
        <f>Salary_Schedule!H193</f>
        <v>0</v>
      </c>
      <c r="R193" s="32">
        <f>Q193*Assumptions!$B$20</f>
        <v>0</v>
      </c>
      <c r="S193" s="54">
        <f t="shared" si="4"/>
        <v>9141.91</v>
      </c>
      <c r="T193" s="32">
        <f>IF(COUNTIFS(SL_Income_Log!$B:$B,TEXT(B193,"0000")&amp;"-"&amp;TEXT(A193,"00"),SL_Income_Log!$C:$C,"salary",SL_Income_Log!$E:$E,"W")&gt;0,SUMIFS(SL_Income_Log!$D:$D,SL_Income_Log!$B:$B,TEXT(B193,"0000")&amp;"-"&amp;TEXT(A193,"00"),SL_Income_Log!$C:$C,"salary",SL_Income_Log!$E:$E,"W"),S193*(1-Assumptions!$B$102)-AC193-AB193)
</f>
        <v>5485.146</v>
      </c>
      <c r="U193" s="32">
        <f>RSU_Schedule!M192</f>
        <v>0</v>
      </c>
      <c r="V193" s="32">
        <f>H193*(1+Assumptions!$B$60)+Assumptions!$B$61</f>
        <v>2163.995</v>
      </c>
      <c r="W193" s="32">
        <f>P193*(1+Assumptions!$B$60)+Assumptions!$B$61</f>
        <v>1473.186</v>
      </c>
      <c r="X193" s="32">
        <f t="shared" si="5"/>
        <v>3637.181</v>
      </c>
      <c r="Y193" s="32">
        <v>0.0</v>
      </c>
      <c r="Z193" s="32">
        <v>0.0</v>
      </c>
      <c r="AA193" s="32">
        <v>0.0</v>
      </c>
      <c r="AB193" s="32">
        <v>0.0</v>
      </c>
      <c r="AC193" s="32">
        <v>0.0</v>
      </c>
      <c r="AD193" s="32">
        <v>0.0</v>
      </c>
      <c r="AE193" s="32">
        <f t="shared" ref="AE193:AF193" si="234">Z193+AC193</f>
        <v>0</v>
      </c>
      <c r="AF193" s="32">
        <f t="shared" si="234"/>
        <v>0</v>
      </c>
      <c r="AG193" s="32">
        <f>IF(COUNTIFS(SL_Income_Log!$B:$B,TEXT(B193,"0000")&amp;"-"&amp;TEXT(A193,"00"),SL_Income_Log!$C:$C,"youtube")&gt;0,SUMIFS(SL_Income_Log!$D:$D,SL_Income_Log!$B:$B,TEXT(B193,"0000")&amp;"-"&amp;TEXT(A193,"00"),SL_Income_Log!$C:$C,"youtube"),MIN(Assumptions!$B$49+FLOOR((ROW()-2)/6,1)*Assumptions!$B$50,Assumptions!$B$51))
</f>
        <v>20000</v>
      </c>
      <c r="AH193" s="32">
        <f>AG193*Assumptions!$B$104</f>
        <v>8860</v>
      </c>
      <c r="AI193" s="32">
        <f t="shared" si="7"/>
        <v>11140</v>
      </c>
      <c r="AJ193" s="32">
        <f>SUMIFS(SL_Income_Log!$D:$D,SL_Income_Log!$B:$B,TEXT(B193,"0000")&amp;"-"&amp;TEXT(A193,"00"),SL_Income_Log!$C:$C,"other")</f>
        <v>0</v>
      </c>
      <c r="AK193" s="32">
        <f t="shared" si="27"/>
        <v>10000</v>
      </c>
      <c r="AL193" s="32">
        <f>L193+M193+T193+U193+AI193+AJ193-Y193-Z193-AB193-AC193+IF((Debt_Register!$C$2+Debt_Register!$C$6+Debt_Register!$C$7+Debt_Register!$C$8+Debt_Register!$C$9)&gt;5,X193,0)</f>
        <v>28412.022</v>
      </c>
      <c r="AM193" s="32">
        <f t="shared" si="8"/>
        <v>38412.022</v>
      </c>
      <c r="AN193" s="32">
        <f>MAX(Assumptions!$B$94,MIN(Assumptions!$B$93,AM193-AP193-BE193-BO193-BQ193))</f>
        <v>10000</v>
      </c>
      <c r="AO193" s="32">
        <v>0.0</v>
      </c>
      <c r="AP193" s="32">
        <v>0.0</v>
      </c>
      <c r="AQ193" s="32">
        <v>0.0</v>
      </c>
      <c r="AR193" s="32">
        <v>0.0</v>
      </c>
      <c r="AS193" s="32">
        <v>0.0</v>
      </c>
      <c r="AT193" s="32">
        <v>0.0</v>
      </c>
      <c r="AU193" s="32">
        <f t="shared" si="30"/>
        <v>0</v>
      </c>
      <c r="AV193" s="32">
        <f t="shared" si="31"/>
        <v>0</v>
      </c>
      <c r="AW193" s="32">
        <f t="shared" si="32"/>
        <v>0</v>
      </c>
      <c r="AX193" s="32">
        <f t="shared" si="33"/>
        <v>0</v>
      </c>
      <c r="AY193" s="32">
        <f t="shared" si="34"/>
        <v>0</v>
      </c>
      <c r="AZ193" s="32">
        <f t="shared" si="35"/>
        <v>0</v>
      </c>
      <c r="BA193" s="32">
        <f t="shared" si="36"/>
        <v>0</v>
      </c>
      <c r="BB193" s="32">
        <f t="shared" si="37"/>
        <v>0</v>
      </c>
      <c r="BC193" s="32">
        <f t="shared" si="38"/>
        <v>0</v>
      </c>
      <c r="BD193" s="32">
        <f t="shared" si="39"/>
        <v>0</v>
      </c>
      <c r="BE193" s="32">
        <f t="shared" si="11"/>
        <v>0</v>
      </c>
      <c r="BF193" s="32">
        <v>0.0</v>
      </c>
      <c r="BG193" s="32">
        <f t="shared" si="40"/>
        <v>5500</v>
      </c>
      <c r="BH193" s="32">
        <v>0.0</v>
      </c>
      <c r="BI193" s="32">
        <f t="shared" si="41"/>
        <v>5000</v>
      </c>
      <c r="BJ193" s="32">
        <f>IF(OR(B193&lt;Assumptions!$B$111,AND(B193=Assumptions!$B$111,A193&lt;=Assumptions!$B$112)),Assumptions!$B$110,0)</f>
        <v>0</v>
      </c>
      <c r="BK193" s="32">
        <f>IF(B193&lt;2027,Assumptions!$B$116+IF(OR(A193=4,A193=10),Assumptions!$B$117,0),IF(AND(B193=2027,A193&lt;=4),IF(A193=4,MIN(950,Assumptions!$B$116+Assumptions!$B$117),Assumptions!$B$116),0))</f>
        <v>0</v>
      </c>
      <c r="BL193" s="32">
        <f>IF(OR(B193&lt;2030,AND(B193=2030,A193&lt;8)),Assumptions!$B$118,IF(AND(B193=2030,A193=8),MOD(11000,200),0))</f>
        <v>0</v>
      </c>
      <c r="BM193" s="32">
        <f>IF(OR(B193&lt;Assumptions!$B$120,AND(B193=Assumptions!$B$120,A193&lt;=Assumptions!$B$121)),Assumptions!$B$119,0)</f>
        <v>0</v>
      </c>
      <c r="BN193" s="32">
        <f>IF(AND(B193&lt;=Assumptions!$B$123,A193&lt;=Assumptions!$B$124),Assumptions!$B$122,0)</f>
        <v>0</v>
      </c>
      <c r="BO193" s="32">
        <f t="shared" si="12"/>
        <v>0</v>
      </c>
      <c r="BP193" s="32">
        <f>SUMIFS(SL_Budget!$B:$B,SL_Budget!$C:$C,"'"&amp;TEXT(DATE(B193,A193,1),"YYYY-MM"))</f>
        <v>6405</v>
      </c>
      <c r="BQ193" s="32">
        <f>MAX(BP193, IFERROR(SUMIFS(ShadowLedger!D:D, 
  ShadowLedger!C:C, "&gt;="&amp;DATE(B193,A193,1), 
  ShadowLedger!C:C, "&lt;"&amp;EOMONTH(DATE(B193,A193,1),0)+1), 0))
</f>
        <v>6405</v>
      </c>
      <c r="BR193" s="32">
        <f t="shared" si="42"/>
        <v>5287737.412</v>
      </c>
      <c r="BS193" s="32">
        <f t="shared" si="43"/>
        <v>3637.181</v>
      </c>
      <c r="BT193" s="32">
        <f>IF(BY192&gt;=Assumptions!$B$92,MAX(0,(AM193-BE193-BO193-BQ193)-Assumptions!$B$93),MAX(0,(AM193-BE193-BO193-BQ193)-Assumptions!$B$93)*Assumptions!$B$99)</f>
        <v>22007.022</v>
      </c>
      <c r="BU193" s="32">
        <f>(BR193+BS193+MAX(0,BT193))*(Assumptions!$B$43-1)</f>
        <v>36226.63585</v>
      </c>
      <c r="BV193" s="32">
        <f t="shared" si="13"/>
        <v>5349608.251</v>
      </c>
      <c r="BW193" s="32">
        <f t="shared" si="44"/>
        <v>15476.04728</v>
      </c>
      <c r="BX193" s="32">
        <f>IF(BY192&lt;Assumptions!$B$92,MAX(0,(AM193-BE193-BO193-BQ193)-Assumptions!$B$93)*Assumptions!$B$98,0)</f>
        <v>0</v>
      </c>
      <c r="BY193" s="32">
        <f t="shared" si="14"/>
        <v>15476.04728</v>
      </c>
      <c r="BZ193" s="32">
        <f t="shared" si="45"/>
        <v>97460</v>
      </c>
      <c r="CA193" s="32">
        <f t="shared" si="15"/>
        <v>8860</v>
      </c>
      <c r="CB193" s="32">
        <f t="shared" si="16"/>
        <v>106320</v>
      </c>
      <c r="CC193" s="55">
        <f>CC192+(G193+J193)/(Salary_Schedule!E193*12/208)</f>
        <v>1893.67427</v>
      </c>
      <c r="CD193" s="55">
        <f>CD192+(O193+R193)/(Salary_Schedule!G193*12/208)</f>
        <v>233.4705025</v>
      </c>
      <c r="CE193" s="32">
        <f t="shared" si="17"/>
        <v>5349608.251</v>
      </c>
      <c r="CF193" s="32">
        <f>Assumptions!$B$55*(1+Assumptions!$B$56)^((B193-2025)+(A193-1)/12)</f>
        <v>668940.0911</v>
      </c>
      <c r="CG193" s="32">
        <f t="shared" si="18"/>
        <v>0</v>
      </c>
      <c r="CH193" s="32">
        <f t="shared" si="19"/>
        <v>-10500</v>
      </c>
      <c r="CI193" s="32">
        <f>CC193*(Salary_Schedule!E193/173.33)*(1-Assumptions!$B$28)+CD193*(Salary_Schedule!G193/173.33)*(1-Assumptions!$B$28)</f>
        <v>117840.7724</v>
      </c>
      <c r="CJ193" s="32">
        <f t="shared" si="20"/>
        <v>6125889.115</v>
      </c>
    </row>
    <row r="194" ht="15.0" customHeight="1">
      <c r="A194" s="1">
        <v>1.0</v>
      </c>
      <c r="B194" s="1">
        <v>2042.0</v>
      </c>
      <c r="C194" s="1" t="s">
        <v>863</v>
      </c>
      <c r="D194" s="1" t="str">
        <f t="shared" si="21"/>
        <v>12/2041</v>
      </c>
      <c r="E194" s="1" t="str">
        <f t="shared" si="2"/>
        <v>FAT_RSU</v>
      </c>
      <c r="F194" s="32">
        <f>Salary_Schedule!E194</f>
        <v>16079.96</v>
      </c>
      <c r="G194" s="32">
        <f>Assumptions!$B$8</f>
        <v>200</v>
      </c>
      <c r="H194" s="32">
        <f>F194*Assumptions!$B$58</f>
        <v>1607.996</v>
      </c>
      <c r="I194" s="32">
        <f>Salary_Schedule!F194</f>
        <v>0</v>
      </c>
      <c r="J194" s="32">
        <f>I194*Assumptions!$B$9</f>
        <v>0</v>
      </c>
      <c r="K194" s="54">
        <f t="shared" si="3"/>
        <v>14271.964</v>
      </c>
      <c r="L194" s="32">
        <f>IF(COUNTIFS(SL_Income_Log!$B:$B,TEXT(B194,"0000")&amp;"-"&amp;TEXT(A194,"00"),SL_Income_Log!$C:$C,"salary",SL_Income_Log!$E:$E,"H")&gt;0,SUMIFS(SL_Income_Log!$D:$D,SL_Income_Log!$B:$B,TEXT(B194,"0000")&amp;"-"&amp;TEXT(A194,"00"),SL_Income_Log!$C:$C,"salary",SL_Income_Log!$E:$E,"H"),K194*(1-Assumptions!$B$102)-Z194-Y194)</f>
        <v>8563.1784</v>
      </c>
      <c r="M194" s="32">
        <f>RSU_Schedule!H193</f>
        <v>2784.99</v>
      </c>
      <c r="N194" s="32">
        <f>Salary_Schedule!G194</f>
        <v>10743.2</v>
      </c>
      <c r="O194" s="32">
        <f>Assumptions!$B$19</f>
        <v>200</v>
      </c>
      <c r="P194" s="32">
        <f>N194*Assumptions!$B$59</f>
        <v>1074.32</v>
      </c>
      <c r="Q194" s="32">
        <f>Salary_Schedule!H194</f>
        <v>0</v>
      </c>
      <c r="R194" s="32">
        <f>Q194*Assumptions!$B$20</f>
        <v>0</v>
      </c>
      <c r="S194" s="54">
        <f t="shared" si="4"/>
        <v>9468.88</v>
      </c>
      <c r="T194" s="32">
        <f>IF(COUNTIFS(SL_Income_Log!$B:$B,TEXT(B194,"0000")&amp;"-"&amp;TEXT(A194,"00"),SL_Income_Log!$C:$C,"salary",SL_Income_Log!$E:$E,"W")&gt;0,SUMIFS(SL_Income_Log!$D:$D,SL_Income_Log!$B:$B,TEXT(B194,"0000")&amp;"-"&amp;TEXT(A194,"00"),SL_Income_Log!$C:$C,"salary",SL_Income_Log!$E:$E,"W"),S194*(1-Assumptions!$B$102)-AC194-AB194)
</f>
        <v>5681.328</v>
      </c>
      <c r="U194" s="32">
        <f>RSU_Schedule!M193</f>
        <v>1392.51</v>
      </c>
      <c r="V194" s="32">
        <f>H194*(1+Assumptions!$B$60)+Assumptions!$B$61</f>
        <v>2271.1944</v>
      </c>
      <c r="W194" s="32">
        <f>P194*(1+Assumptions!$B$60)+Assumptions!$B$61</f>
        <v>1524.048</v>
      </c>
      <c r="X194" s="32">
        <f t="shared" si="5"/>
        <v>3795.2424</v>
      </c>
      <c r="Y194" s="32">
        <v>0.0</v>
      </c>
      <c r="Z194" s="32">
        <v>0.0</v>
      </c>
      <c r="AA194" s="32">
        <v>0.0</v>
      </c>
      <c r="AB194" s="32">
        <v>0.0</v>
      </c>
      <c r="AC194" s="32">
        <v>0.0</v>
      </c>
      <c r="AD194" s="32">
        <v>0.0</v>
      </c>
      <c r="AE194" s="32">
        <f t="shared" ref="AE194:AF194" si="235">Z194+AC194</f>
        <v>0</v>
      </c>
      <c r="AF194" s="32">
        <f t="shared" si="235"/>
        <v>0</v>
      </c>
      <c r="AG194" s="32">
        <f>IF(COUNTIFS(SL_Income_Log!$B:$B,TEXT(B194,"0000")&amp;"-"&amp;TEXT(A194,"00"),SL_Income_Log!$C:$C,"youtube")&gt;0,SUMIFS(SL_Income_Log!$D:$D,SL_Income_Log!$B:$B,TEXT(B194,"0000")&amp;"-"&amp;TEXT(A194,"00"),SL_Income_Log!$C:$C,"youtube"),MIN(Assumptions!$B$49+FLOOR((ROW()-2)/6,1)*Assumptions!$B$50,Assumptions!$B$51))
</f>
        <v>20000</v>
      </c>
      <c r="AH194" s="32">
        <f>AG194*Assumptions!$B$104</f>
        <v>8860</v>
      </c>
      <c r="AI194" s="32">
        <f t="shared" si="7"/>
        <v>11140</v>
      </c>
      <c r="AJ194" s="32">
        <f>SUMIFS(SL_Income_Log!$D:$D,SL_Income_Log!$B:$B,TEXT(B194,"0000")&amp;"-"&amp;TEXT(A194,"00"),SL_Income_Log!$C:$C,"other")</f>
        <v>0</v>
      </c>
      <c r="AK194" s="32">
        <f t="shared" si="27"/>
        <v>10000</v>
      </c>
      <c r="AL194" s="32">
        <f>L194+M194+T194+U194+AI194+AJ194-Y194-Z194-AB194-AC194+IF((Debt_Register!$C$2+Debt_Register!$C$6+Debt_Register!$C$7+Debt_Register!$C$8+Debt_Register!$C$9)&gt;5,X194,0)</f>
        <v>33357.2488</v>
      </c>
      <c r="AM194" s="32">
        <f t="shared" si="8"/>
        <v>43357.2488</v>
      </c>
      <c r="AN194" s="32">
        <f>MAX(Assumptions!$B$94,MIN(Assumptions!$B$93,AM194-AP194-BE194-BO194-BQ194))</f>
        <v>10000</v>
      </c>
      <c r="AO194" s="32">
        <v>0.0</v>
      </c>
      <c r="AP194" s="32">
        <v>0.0</v>
      </c>
      <c r="AQ194" s="32">
        <v>0.0</v>
      </c>
      <c r="AR194" s="32">
        <v>0.0</v>
      </c>
      <c r="AS194" s="32">
        <v>0.0</v>
      </c>
      <c r="AT194" s="32">
        <v>0.0</v>
      </c>
      <c r="AU194" s="32">
        <f t="shared" si="30"/>
        <v>0</v>
      </c>
      <c r="AV194" s="32">
        <f t="shared" si="31"/>
        <v>0</v>
      </c>
      <c r="AW194" s="32">
        <f t="shared" si="32"/>
        <v>0</v>
      </c>
      <c r="AX194" s="32">
        <f t="shared" si="33"/>
        <v>0</v>
      </c>
      <c r="AY194" s="32">
        <f t="shared" si="34"/>
        <v>0</v>
      </c>
      <c r="AZ194" s="32">
        <f t="shared" si="35"/>
        <v>0</v>
      </c>
      <c r="BA194" s="32">
        <f t="shared" si="36"/>
        <v>0</v>
      </c>
      <c r="BB194" s="32">
        <f t="shared" si="37"/>
        <v>0</v>
      </c>
      <c r="BC194" s="32">
        <f t="shared" si="38"/>
        <v>0</v>
      </c>
      <c r="BD194" s="32">
        <f t="shared" si="39"/>
        <v>0</v>
      </c>
      <c r="BE194" s="32">
        <f t="shared" si="11"/>
        <v>0</v>
      </c>
      <c r="BF194" s="32">
        <v>0.0</v>
      </c>
      <c r="BG194" s="32">
        <f t="shared" si="40"/>
        <v>5500</v>
      </c>
      <c r="BH194" s="32">
        <v>0.0</v>
      </c>
      <c r="BI194" s="32">
        <f t="shared" si="41"/>
        <v>5000</v>
      </c>
      <c r="BJ194" s="32">
        <f>IF(OR(B194&lt;Assumptions!$B$111,AND(B194=Assumptions!$B$111,A194&lt;=Assumptions!$B$112)),Assumptions!$B$110,0)</f>
        <v>0</v>
      </c>
      <c r="BK194" s="32">
        <f>IF(B194&lt;2027,Assumptions!$B$116+IF(OR(A194=4,A194=10),Assumptions!$B$117,0),IF(AND(B194=2027,A194&lt;=4),IF(A194=4,MIN(950,Assumptions!$B$116+Assumptions!$B$117),Assumptions!$B$116),0))</f>
        <v>0</v>
      </c>
      <c r="BL194" s="32">
        <f>IF(OR(B194&lt;2030,AND(B194=2030,A194&lt;8)),Assumptions!$B$118,IF(AND(B194=2030,A194=8),MOD(11000,200),0))</f>
        <v>0</v>
      </c>
      <c r="BM194" s="32">
        <f>IF(OR(B194&lt;Assumptions!$B$120,AND(B194=Assumptions!$B$120,A194&lt;=Assumptions!$B$121)),Assumptions!$B$119,0)</f>
        <v>0</v>
      </c>
      <c r="BN194" s="32">
        <f>IF(AND(B194&lt;=Assumptions!$B$123,A194&lt;=Assumptions!$B$124),Assumptions!$B$122,0)</f>
        <v>0</v>
      </c>
      <c r="BO194" s="32">
        <f t="shared" si="12"/>
        <v>0</v>
      </c>
      <c r="BP194" s="32">
        <f>SUMIFS(SL_Budget!$B:$B,SL_Budget!$C:$C,"'"&amp;TEXT(DATE(B194,A194,1),"YYYY-MM"))</f>
        <v>6593</v>
      </c>
      <c r="BQ194" s="32">
        <f>MAX(BP194, IFERROR(SUMIFS(ShadowLedger!D:D, 
  ShadowLedger!C:C, "&gt;="&amp;DATE(B194,A194,1), 
  ShadowLedger!C:C, "&lt;"&amp;EOMONTH(DATE(B194,A194,1),0)+1), 0))
</f>
        <v>6593</v>
      </c>
      <c r="BR194" s="32">
        <f t="shared" si="42"/>
        <v>5349608.251</v>
      </c>
      <c r="BS194" s="32">
        <f t="shared" si="43"/>
        <v>3795.2424</v>
      </c>
      <c r="BT194" s="32">
        <f>IF(BY193&gt;=Assumptions!$B$92,MAX(0,(AM194-BE194-BO194-BQ194)-Assumptions!$B$93),MAX(0,(AM194-BE194-BO194-BQ194)-Assumptions!$B$93)*Assumptions!$B$99)</f>
        <v>26764.2488</v>
      </c>
      <c r="BU194" s="32">
        <f>(BR194+BS194+MAX(0,BT194))*(Assumptions!$B$43-1)</f>
        <v>36681.98367</v>
      </c>
      <c r="BV194" s="32">
        <f t="shared" si="13"/>
        <v>5416849.726</v>
      </c>
      <c r="BW194" s="32">
        <f t="shared" si="44"/>
        <v>15476.04728</v>
      </c>
      <c r="BX194" s="32">
        <f>IF(BY193&lt;Assumptions!$B$92,MAX(0,(AM194-BE194-BO194-BQ194)-Assumptions!$B$93)*Assumptions!$B$98,0)</f>
        <v>0</v>
      </c>
      <c r="BY194" s="32">
        <f t="shared" si="14"/>
        <v>15476.04728</v>
      </c>
      <c r="BZ194" s="32">
        <f t="shared" si="45"/>
        <v>0</v>
      </c>
      <c r="CA194" s="32">
        <f t="shared" si="15"/>
        <v>8860</v>
      </c>
      <c r="CB194" s="32">
        <f t="shared" si="16"/>
        <v>8860</v>
      </c>
      <c r="CC194" s="55">
        <f>CC193+(G194+J194)/(Salary_Schedule!E194*12/208)</f>
        <v>1893.889859</v>
      </c>
      <c r="CD194" s="55">
        <f>CD193+(O194+R194)/(Salary_Schedule!G194*12/208)</f>
        <v>233.7931872</v>
      </c>
      <c r="CE194" s="32">
        <f t="shared" si="17"/>
        <v>5416849.726</v>
      </c>
      <c r="CF194" s="32">
        <f>Assumptions!$B$55*(1+Assumptions!$B$56)^((B194-2025)+(A194-1)/12)</f>
        <v>669770.5721</v>
      </c>
      <c r="CG194" s="32">
        <f t="shared" si="18"/>
        <v>0</v>
      </c>
      <c r="CH194" s="32">
        <f t="shared" si="19"/>
        <v>-10500</v>
      </c>
      <c r="CI194" s="32">
        <f>CC194*(Salary_Schedule!E194/173.33)*(1-Assumptions!$B$28)+CD194*(Salary_Schedule!G194/173.33)*(1-Assumptions!$B$28)</f>
        <v>123622.4779</v>
      </c>
      <c r="CJ194" s="32">
        <f t="shared" si="20"/>
        <v>6199742.776</v>
      </c>
    </row>
    <row r="195" ht="15.0" customHeight="1">
      <c r="A195" s="1">
        <v>2.0</v>
      </c>
      <c r="B195" s="1">
        <v>2042.0</v>
      </c>
      <c r="C195" s="1" t="s">
        <v>864</v>
      </c>
      <c r="D195" s="1" t="str">
        <f t="shared" si="21"/>
        <v>01/2042</v>
      </c>
      <c r="E195" s="1" t="str">
        <f t="shared" si="2"/>
        <v>LEAN</v>
      </c>
      <c r="F195" s="32">
        <f>Salary_Schedule!E195</f>
        <v>16079.96</v>
      </c>
      <c r="G195" s="32">
        <f>Assumptions!$B$8</f>
        <v>200</v>
      </c>
      <c r="H195" s="32">
        <f>F195*Assumptions!$B$58</f>
        <v>1607.996</v>
      </c>
      <c r="I195" s="32">
        <f>Salary_Schedule!F195</f>
        <v>0</v>
      </c>
      <c r="J195" s="32">
        <f>I195*Assumptions!$B$9</f>
        <v>0</v>
      </c>
      <c r="K195" s="54">
        <f t="shared" si="3"/>
        <v>14271.964</v>
      </c>
      <c r="L195" s="32">
        <f>IF(COUNTIFS(SL_Income_Log!$B:$B,TEXT(B195,"0000")&amp;"-"&amp;TEXT(A195,"00"),SL_Income_Log!$C:$C,"salary",SL_Income_Log!$E:$E,"H")&gt;0,SUMIFS(SL_Income_Log!$D:$D,SL_Income_Log!$B:$B,TEXT(B195,"0000")&amp;"-"&amp;TEXT(A195,"00"),SL_Income_Log!$C:$C,"salary",SL_Income_Log!$E:$E,"H"),K195*(1-Assumptions!$B$102)-Z195-Y195)</f>
        <v>8563.1784</v>
      </c>
      <c r="M195" s="32">
        <f>RSU_Schedule!H194</f>
        <v>0</v>
      </c>
      <c r="N195" s="32">
        <f>Salary_Schedule!G195</f>
        <v>10743.2</v>
      </c>
      <c r="O195" s="32">
        <f>Assumptions!$B$19</f>
        <v>200</v>
      </c>
      <c r="P195" s="32">
        <f>N195*Assumptions!$B$59</f>
        <v>1074.32</v>
      </c>
      <c r="Q195" s="32">
        <f>Salary_Schedule!H195</f>
        <v>0</v>
      </c>
      <c r="R195" s="32">
        <f>Q195*Assumptions!$B$20</f>
        <v>0</v>
      </c>
      <c r="S195" s="54">
        <f t="shared" si="4"/>
        <v>9468.88</v>
      </c>
      <c r="T195" s="32">
        <f>IF(COUNTIFS(SL_Income_Log!$B:$B,TEXT(B195,"0000")&amp;"-"&amp;TEXT(A195,"00"),SL_Income_Log!$C:$C,"salary",SL_Income_Log!$E:$E,"W")&gt;0,SUMIFS(SL_Income_Log!$D:$D,SL_Income_Log!$B:$B,TEXT(B195,"0000")&amp;"-"&amp;TEXT(A195,"00"),SL_Income_Log!$C:$C,"salary",SL_Income_Log!$E:$E,"W"),S195*(1-Assumptions!$B$102)-AC195-AB195)
</f>
        <v>5681.328</v>
      </c>
      <c r="U195" s="32">
        <f>RSU_Schedule!M194</f>
        <v>0</v>
      </c>
      <c r="V195" s="32">
        <f>H195*(1+Assumptions!$B$60)+Assumptions!$B$61</f>
        <v>2271.1944</v>
      </c>
      <c r="W195" s="32">
        <f>P195*(1+Assumptions!$B$60)+Assumptions!$B$61</f>
        <v>1524.048</v>
      </c>
      <c r="X195" s="32">
        <f t="shared" si="5"/>
        <v>3795.2424</v>
      </c>
      <c r="Y195" s="32">
        <v>0.0</v>
      </c>
      <c r="Z195" s="32">
        <v>0.0</v>
      </c>
      <c r="AA195" s="32">
        <v>0.0</v>
      </c>
      <c r="AB195" s="32">
        <v>0.0</v>
      </c>
      <c r="AC195" s="32">
        <v>0.0</v>
      </c>
      <c r="AD195" s="32">
        <v>0.0</v>
      </c>
      <c r="AE195" s="32">
        <f t="shared" ref="AE195:AF195" si="236">Z195+AC195</f>
        <v>0</v>
      </c>
      <c r="AF195" s="32">
        <f t="shared" si="236"/>
        <v>0</v>
      </c>
      <c r="AG195" s="32">
        <f>IF(COUNTIFS(SL_Income_Log!$B:$B,TEXT(B195,"0000")&amp;"-"&amp;TEXT(A195,"00"),SL_Income_Log!$C:$C,"youtube")&gt;0,SUMIFS(SL_Income_Log!$D:$D,SL_Income_Log!$B:$B,TEXT(B195,"0000")&amp;"-"&amp;TEXT(A195,"00"),SL_Income_Log!$C:$C,"youtube"),MIN(Assumptions!$B$49+FLOOR((ROW()-2)/6,1)*Assumptions!$B$50,Assumptions!$B$51))
</f>
        <v>20000</v>
      </c>
      <c r="AH195" s="32">
        <f>AG195*Assumptions!$B$104</f>
        <v>8860</v>
      </c>
      <c r="AI195" s="32">
        <f t="shared" si="7"/>
        <v>11140</v>
      </c>
      <c r="AJ195" s="32">
        <f>SUMIFS(SL_Income_Log!$D:$D,SL_Income_Log!$B:$B,TEXT(B195,"0000")&amp;"-"&amp;TEXT(A195,"00"),SL_Income_Log!$C:$C,"other")</f>
        <v>0</v>
      </c>
      <c r="AK195" s="32">
        <f t="shared" si="27"/>
        <v>10000</v>
      </c>
      <c r="AL195" s="32">
        <f>L195+M195+T195+U195+AI195+AJ195-Y195-Z195-AB195-AC195+IF((Debt_Register!$C$2+Debt_Register!$C$6+Debt_Register!$C$7+Debt_Register!$C$8+Debt_Register!$C$9)&gt;5,X195,0)</f>
        <v>29179.7488</v>
      </c>
      <c r="AM195" s="32">
        <f t="shared" si="8"/>
        <v>39179.7488</v>
      </c>
      <c r="AN195" s="32">
        <f>MAX(Assumptions!$B$94,MIN(Assumptions!$B$93,AM195-AP195-BE195-BO195-BQ195))</f>
        <v>10000</v>
      </c>
      <c r="AO195" s="32">
        <v>0.0</v>
      </c>
      <c r="AP195" s="32">
        <v>0.0</v>
      </c>
      <c r="AQ195" s="32">
        <v>0.0</v>
      </c>
      <c r="AR195" s="32">
        <v>0.0</v>
      </c>
      <c r="AS195" s="32">
        <v>0.0</v>
      </c>
      <c r="AT195" s="32">
        <v>0.0</v>
      </c>
      <c r="AU195" s="32">
        <f t="shared" si="30"/>
        <v>0</v>
      </c>
      <c r="AV195" s="32">
        <f t="shared" si="31"/>
        <v>0</v>
      </c>
      <c r="AW195" s="32">
        <f t="shared" si="32"/>
        <v>0</v>
      </c>
      <c r="AX195" s="32">
        <f t="shared" si="33"/>
        <v>0</v>
      </c>
      <c r="AY195" s="32">
        <f t="shared" si="34"/>
        <v>0</v>
      </c>
      <c r="AZ195" s="32">
        <f t="shared" si="35"/>
        <v>0</v>
      </c>
      <c r="BA195" s="32">
        <f t="shared" si="36"/>
        <v>0</v>
      </c>
      <c r="BB195" s="32">
        <f t="shared" si="37"/>
        <v>0</v>
      </c>
      <c r="BC195" s="32">
        <f t="shared" si="38"/>
        <v>0</v>
      </c>
      <c r="BD195" s="32">
        <f t="shared" si="39"/>
        <v>0</v>
      </c>
      <c r="BE195" s="32">
        <f t="shared" si="11"/>
        <v>0</v>
      </c>
      <c r="BF195" s="32">
        <v>0.0</v>
      </c>
      <c r="BG195" s="32">
        <f t="shared" si="40"/>
        <v>5500</v>
      </c>
      <c r="BH195" s="32">
        <v>0.0</v>
      </c>
      <c r="BI195" s="32">
        <f t="shared" si="41"/>
        <v>5000</v>
      </c>
      <c r="BJ195" s="32">
        <f>IF(OR(B195&lt;Assumptions!$B$111,AND(B195=Assumptions!$B$111,A195&lt;=Assumptions!$B$112)),Assumptions!$B$110,0)</f>
        <v>0</v>
      </c>
      <c r="BK195" s="32">
        <f>IF(B195&lt;2027,Assumptions!$B$116+IF(OR(A195=4,A195=10),Assumptions!$B$117,0),IF(AND(B195=2027,A195&lt;=4),IF(A195=4,MIN(950,Assumptions!$B$116+Assumptions!$B$117),Assumptions!$B$116),0))</f>
        <v>0</v>
      </c>
      <c r="BL195" s="32">
        <f>IF(OR(B195&lt;2030,AND(B195=2030,A195&lt;8)),Assumptions!$B$118,IF(AND(B195=2030,A195=8),MOD(11000,200),0))</f>
        <v>0</v>
      </c>
      <c r="BM195" s="32">
        <f>IF(OR(B195&lt;Assumptions!$B$120,AND(B195=Assumptions!$B$120,A195&lt;=Assumptions!$B$121)),Assumptions!$B$119,0)</f>
        <v>0</v>
      </c>
      <c r="BN195" s="32">
        <f>IF(AND(B195&lt;=Assumptions!$B$123,A195&lt;=Assumptions!$B$124),Assumptions!$B$122,0)</f>
        <v>0</v>
      </c>
      <c r="BO195" s="32">
        <f t="shared" si="12"/>
        <v>0</v>
      </c>
      <c r="BP195" s="32">
        <f>SUMIFS(SL_Budget!$B:$B,SL_Budget!$C:$C,"'"&amp;TEXT(DATE(B195,A195,1),"YYYY-MM"))</f>
        <v>6593</v>
      </c>
      <c r="BQ195" s="32">
        <f>MAX(BP195, IFERROR(SUMIFS(ShadowLedger!D:D, 
  ShadowLedger!C:C, "&gt;="&amp;DATE(B195,A195,1), 
  ShadowLedger!C:C, "&lt;"&amp;EOMONTH(DATE(B195,A195,1),0)+1), 0))
</f>
        <v>6593</v>
      </c>
      <c r="BR195" s="32">
        <f t="shared" si="42"/>
        <v>5416849.726</v>
      </c>
      <c r="BS195" s="32">
        <f t="shared" si="43"/>
        <v>3795.2424</v>
      </c>
      <c r="BT195" s="32">
        <f>IF(BY194&gt;=Assumptions!$B$92,MAX(0,(AM195-BE195-BO195-BQ195)-Assumptions!$B$93),MAX(0,(AM195-BE195-BO195-BQ195)-Assumptions!$B$93)*Assumptions!$B$99)</f>
        <v>22586.7488</v>
      </c>
      <c r="BU195" s="32">
        <f>(BR195+BS195+MAX(0,BT195))*(Assumptions!$B$43-1)</f>
        <v>37111.95385</v>
      </c>
      <c r="BV195" s="32">
        <f t="shared" si="13"/>
        <v>5480343.671</v>
      </c>
      <c r="BW195" s="32">
        <f t="shared" si="44"/>
        <v>15476.04728</v>
      </c>
      <c r="BX195" s="32">
        <f>IF(BY194&lt;Assumptions!$B$92,MAX(0,(AM195-BE195-BO195-BQ195)-Assumptions!$B$93)*Assumptions!$B$98,0)</f>
        <v>0</v>
      </c>
      <c r="BY195" s="32">
        <f t="shared" si="14"/>
        <v>15476.04728</v>
      </c>
      <c r="BZ195" s="32">
        <f t="shared" si="45"/>
        <v>8860</v>
      </c>
      <c r="CA195" s="32">
        <f t="shared" si="15"/>
        <v>8860</v>
      </c>
      <c r="CB195" s="32">
        <f t="shared" si="16"/>
        <v>17720</v>
      </c>
      <c r="CC195" s="55">
        <f>CC194+(G195+J195)/(Salary_Schedule!E195*12/208)</f>
        <v>1894.105448</v>
      </c>
      <c r="CD195" s="55">
        <f>CD194+(O195+R195)/(Salary_Schedule!G195*12/208)</f>
        <v>234.115872</v>
      </c>
      <c r="CE195" s="32">
        <f t="shared" si="17"/>
        <v>5480343.671</v>
      </c>
      <c r="CF195" s="32">
        <f>Assumptions!$B$55*(1+Assumptions!$B$56)^((B195-2025)+(A195-1)/12)</f>
        <v>670602.084</v>
      </c>
      <c r="CG195" s="32">
        <f t="shared" si="18"/>
        <v>0</v>
      </c>
      <c r="CH195" s="32">
        <f t="shared" si="19"/>
        <v>-10500</v>
      </c>
      <c r="CI195" s="32">
        <f>CC195*(Salary_Schedule!E195/173.33)*(1-Assumptions!$B$28)+CD195*(Salary_Schedule!G195/173.33)*(1-Assumptions!$B$28)</f>
        <v>123648.4784</v>
      </c>
      <c r="CJ195" s="32">
        <f t="shared" si="20"/>
        <v>6264094.233</v>
      </c>
    </row>
    <row r="196" ht="15.0" customHeight="1">
      <c r="A196" s="1">
        <v>3.0</v>
      </c>
      <c r="B196" s="1">
        <v>2042.0</v>
      </c>
      <c r="C196" s="1" t="s">
        <v>865</v>
      </c>
      <c r="D196" s="1" t="str">
        <f t="shared" si="21"/>
        <v>02/2042</v>
      </c>
      <c r="E196" s="1" t="str">
        <f t="shared" si="2"/>
        <v>LEAN</v>
      </c>
      <c r="F196" s="32">
        <f>Salary_Schedule!E196</f>
        <v>16079.96</v>
      </c>
      <c r="G196" s="32">
        <f>Assumptions!$B$8</f>
        <v>200</v>
      </c>
      <c r="H196" s="32">
        <f>F196*Assumptions!$B$58</f>
        <v>1607.996</v>
      </c>
      <c r="I196" s="32">
        <f>Salary_Schedule!F196</f>
        <v>0</v>
      </c>
      <c r="J196" s="32">
        <f>I196*Assumptions!$B$9</f>
        <v>0</v>
      </c>
      <c r="K196" s="54">
        <f t="shared" si="3"/>
        <v>14271.964</v>
      </c>
      <c r="L196" s="32">
        <f>IF(COUNTIFS(SL_Income_Log!$B:$B,TEXT(B196,"0000")&amp;"-"&amp;TEXT(A196,"00"),SL_Income_Log!$C:$C,"salary",SL_Income_Log!$E:$E,"H")&gt;0,SUMIFS(SL_Income_Log!$D:$D,SL_Income_Log!$B:$B,TEXT(B196,"0000")&amp;"-"&amp;TEXT(A196,"00"),SL_Income_Log!$C:$C,"salary",SL_Income_Log!$E:$E,"H"),K196*(1-Assumptions!$B$102)-Z196-Y196)</f>
        <v>8563.1784</v>
      </c>
      <c r="M196" s="32">
        <f>RSU_Schedule!H195</f>
        <v>0</v>
      </c>
      <c r="N196" s="32">
        <f>Salary_Schedule!G196</f>
        <v>10743.2</v>
      </c>
      <c r="O196" s="32">
        <f>Assumptions!$B$19</f>
        <v>200</v>
      </c>
      <c r="P196" s="32">
        <f>N196*Assumptions!$B$59</f>
        <v>1074.32</v>
      </c>
      <c r="Q196" s="32">
        <f>Salary_Schedule!H196</f>
        <v>0</v>
      </c>
      <c r="R196" s="32">
        <f>Q196*Assumptions!$B$20</f>
        <v>0</v>
      </c>
      <c r="S196" s="54">
        <f t="shared" si="4"/>
        <v>9468.88</v>
      </c>
      <c r="T196" s="32">
        <f>IF(COUNTIFS(SL_Income_Log!$B:$B,TEXT(B196,"0000")&amp;"-"&amp;TEXT(A196,"00"),SL_Income_Log!$C:$C,"salary",SL_Income_Log!$E:$E,"W")&gt;0,SUMIFS(SL_Income_Log!$D:$D,SL_Income_Log!$B:$B,TEXT(B196,"0000")&amp;"-"&amp;TEXT(A196,"00"),SL_Income_Log!$C:$C,"salary",SL_Income_Log!$E:$E,"W"),S196*(1-Assumptions!$B$102)-AC196-AB196)
</f>
        <v>5681.328</v>
      </c>
      <c r="U196" s="32">
        <f>RSU_Schedule!M195</f>
        <v>0</v>
      </c>
      <c r="V196" s="32">
        <f>H196*(1+Assumptions!$B$60)+Assumptions!$B$61</f>
        <v>2271.1944</v>
      </c>
      <c r="W196" s="32">
        <f>P196*(1+Assumptions!$B$60)+Assumptions!$B$61</f>
        <v>1524.048</v>
      </c>
      <c r="X196" s="32">
        <f t="shared" si="5"/>
        <v>3795.2424</v>
      </c>
      <c r="Y196" s="32">
        <v>0.0</v>
      </c>
      <c r="Z196" s="32">
        <v>0.0</v>
      </c>
      <c r="AA196" s="32">
        <v>0.0</v>
      </c>
      <c r="AB196" s="32">
        <v>0.0</v>
      </c>
      <c r="AC196" s="32">
        <v>0.0</v>
      </c>
      <c r="AD196" s="32">
        <v>0.0</v>
      </c>
      <c r="AE196" s="32">
        <f t="shared" ref="AE196:AF196" si="237">Z196+AC196</f>
        <v>0</v>
      </c>
      <c r="AF196" s="32">
        <f t="shared" si="237"/>
        <v>0</v>
      </c>
      <c r="AG196" s="32">
        <f>IF(COUNTIFS(SL_Income_Log!$B:$B,TEXT(B196,"0000")&amp;"-"&amp;TEXT(A196,"00"),SL_Income_Log!$C:$C,"youtube")&gt;0,SUMIFS(SL_Income_Log!$D:$D,SL_Income_Log!$B:$B,TEXT(B196,"0000")&amp;"-"&amp;TEXT(A196,"00"),SL_Income_Log!$C:$C,"youtube"),MIN(Assumptions!$B$49+FLOOR((ROW()-2)/6,1)*Assumptions!$B$50,Assumptions!$B$51))
</f>
        <v>20000</v>
      </c>
      <c r="AH196" s="32">
        <f>AG196*Assumptions!$B$104</f>
        <v>8860</v>
      </c>
      <c r="AI196" s="32">
        <f t="shared" si="7"/>
        <v>11140</v>
      </c>
      <c r="AJ196" s="32">
        <f>SUMIFS(SL_Income_Log!$D:$D,SL_Income_Log!$B:$B,TEXT(B196,"0000")&amp;"-"&amp;TEXT(A196,"00"),SL_Income_Log!$C:$C,"other")</f>
        <v>0</v>
      </c>
      <c r="AK196" s="32">
        <f t="shared" si="27"/>
        <v>10000</v>
      </c>
      <c r="AL196" s="32">
        <f>L196+M196+T196+U196+AI196+AJ196-Y196-Z196-AB196-AC196+IF((Debt_Register!$C$2+Debt_Register!$C$6+Debt_Register!$C$7+Debt_Register!$C$8+Debt_Register!$C$9)&gt;5,X196,0)</f>
        <v>29179.7488</v>
      </c>
      <c r="AM196" s="32">
        <f t="shared" si="8"/>
        <v>39179.7488</v>
      </c>
      <c r="AN196" s="32">
        <f>MAX(Assumptions!$B$94,MIN(Assumptions!$B$93,AM196-AP196-BE196-BO196-BQ196))</f>
        <v>10000</v>
      </c>
      <c r="AO196" s="32">
        <v>0.0</v>
      </c>
      <c r="AP196" s="32">
        <v>0.0</v>
      </c>
      <c r="AQ196" s="32">
        <v>0.0</v>
      </c>
      <c r="AR196" s="32">
        <v>0.0</v>
      </c>
      <c r="AS196" s="32">
        <v>0.0</v>
      </c>
      <c r="AT196" s="32">
        <v>0.0</v>
      </c>
      <c r="AU196" s="32">
        <f t="shared" si="30"/>
        <v>0</v>
      </c>
      <c r="AV196" s="32">
        <f t="shared" si="31"/>
        <v>0</v>
      </c>
      <c r="AW196" s="32">
        <f t="shared" si="32"/>
        <v>0</v>
      </c>
      <c r="AX196" s="32">
        <f t="shared" si="33"/>
        <v>0</v>
      </c>
      <c r="AY196" s="32">
        <f t="shared" si="34"/>
        <v>0</v>
      </c>
      <c r="AZ196" s="32">
        <f t="shared" si="35"/>
        <v>0</v>
      </c>
      <c r="BA196" s="32">
        <f t="shared" si="36"/>
        <v>0</v>
      </c>
      <c r="BB196" s="32">
        <f t="shared" si="37"/>
        <v>0</v>
      </c>
      <c r="BC196" s="32">
        <f t="shared" si="38"/>
        <v>0</v>
      </c>
      <c r="BD196" s="32">
        <f t="shared" si="39"/>
        <v>0</v>
      </c>
      <c r="BE196" s="32">
        <f t="shared" si="11"/>
        <v>0</v>
      </c>
      <c r="BF196" s="32">
        <v>0.0</v>
      </c>
      <c r="BG196" s="32">
        <f t="shared" si="40"/>
        <v>5500</v>
      </c>
      <c r="BH196" s="32">
        <v>0.0</v>
      </c>
      <c r="BI196" s="32">
        <f t="shared" si="41"/>
        <v>5000</v>
      </c>
      <c r="BJ196" s="32">
        <f>IF(OR(B196&lt;Assumptions!$B$111,AND(B196=Assumptions!$B$111,A196&lt;=Assumptions!$B$112)),Assumptions!$B$110,0)</f>
        <v>0</v>
      </c>
      <c r="BK196" s="32">
        <f>IF(B196&lt;2027,Assumptions!$B$116+IF(OR(A196=4,A196=10),Assumptions!$B$117,0),IF(AND(B196=2027,A196&lt;=4),IF(A196=4,MIN(950,Assumptions!$B$116+Assumptions!$B$117),Assumptions!$B$116),0))</f>
        <v>0</v>
      </c>
      <c r="BL196" s="32">
        <f>IF(OR(B196&lt;2030,AND(B196=2030,A196&lt;8)),Assumptions!$B$118,IF(AND(B196=2030,A196=8),MOD(11000,200),0))</f>
        <v>0</v>
      </c>
      <c r="BM196" s="32">
        <f>IF(OR(B196&lt;Assumptions!$B$120,AND(B196=Assumptions!$B$120,A196&lt;=Assumptions!$B$121)),Assumptions!$B$119,0)</f>
        <v>0</v>
      </c>
      <c r="BN196" s="32">
        <f>IF(AND(B196&lt;=Assumptions!$B$123,A196&lt;=Assumptions!$B$124),Assumptions!$B$122,0)</f>
        <v>0</v>
      </c>
      <c r="BO196" s="32">
        <f t="shared" si="12"/>
        <v>0</v>
      </c>
      <c r="BP196" s="32">
        <f>SUMIFS(SL_Budget!$B:$B,SL_Budget!$C:$C,"'"&amp;TEXT(DATE(B196,A196,1),"YYYY-MM"))</f>
        <v>6593</v>
      </c>
      <c r="BQ196" s="32">
        <f>MAX(BP196, IFERROR(SUMIFS(ShadowLedger!D:D, 
  ShadowLedger!C:C, "&gt;="&amp;DATE(B196,A196,1), 
  ShadowLedger!C:C, "&lt;"&amp;EOMONTH(DATE(B196,A196,1),0)+1), 0))
</f>
        <v>6593</v>
      </c>
      <c r="BR196" s="32">
        <f t="shared" si="42"/>
        <v>5480343.671</v>
      </c>
      <c r="BS196" s="32">
        <f t="shared" si="43"/>
        <v>3795.2424</v>
      </c>
      <c r="BT196" s="32">
        <f>IF(BY195&gt;=Assumptions!$B$92,MAX(0,(AM196-BE196-BO196-BQ196)-Assumptions!$B$93),MAX(0,(AM196-BE196-BO196-BQ196)-Assumptions!$B$93)*Assumptions!$B$99)</f>
        <v>22586.7488</v>
      </c>
      <c r="BU196" s="32">
        <f>(BR196+BS196+MAX(0,BT196))*(Assumptions!$B$43-1)</f>
        <v>37544.85556</v>
      </c>
      <c r="BV196" s="32">
        <f t="shared" si="13"/>
        <v>5544270.518</v>
      </c>
      <c r="BW196" s="32">
        <f t="shared" si="44"/>
        <v>15476.04728</v>
      </c>
      <c r="BX196" s="32">
        <f>IF(BY195&lt;Assumptions!$B$92,MAX(0,(AM196-BE196-BO196-BQ196)-Assumptions!$B$93)*Assumptions!$B$98,0)</f>
        <v>0</v>
      </c>
      <c r="BY196" s="32">
        <f t="shared" si="14"/>
        <v>15476.04728</v>
      </c>
      <c r="BZ196" s="32">
        <f t="shared" si="45"/>
        <v>17720</v>
      </c>
      <c r="CA196" s="32">
        <f t="shared" si="15"/>
        <v>8860</v>
      </c>
      <c r="CB196" s="32">
        <f t="shared" si="16"/>
        <v>26580</v>
      </c>
      <c r="CC196" s="55">
        <f>CC195+(G196+J196)/(Salary_Schedule!E196*12/208)</f>
        <v>1894.321037</v>
      </c>
      <c r="CD196" s="55">
        <f>CD195+(O196+R196)/(Salary_Schedule!G196*12/208)</f>
        <v>234.4385567</v>
      </c>
      <c r="CE196" s="32">
        <f t="shared" si="17"/>
        <v>5544270.518</v>
      </c>
      <c r="CF196" s="32">
        <f>Assumptions!$B$55*(1+Assumptions!$B$56)^((B196-2025)+(A196-1)/12)</f>
        <v>671434.6282</v>
      </c>
      <c r="CG196" s="32">
        <f t="shared" si="18"/>
        <v>0</v>
      </c>
      <c r="CH196" s="32">
        <f t="shared" si="19"/>
        <v>-10500</v>
      </c>
      <c r="CI196" s="32">
        <f>CC196*(Salary_Schedule!E196/173.33)*(1-Assumptions!$B$28)+CD196*(Salary_Schedule!G196/173.33)*(1-Assumptions!$B$28)</f>
        <v>123674.4789</v>
      </c>
      <c r="CJ196" s="32">
        <f t="shared" si="20"/>
        <v>6328879.625</v>
      </c>
    </row>
    <row r="197" ht="15.0" customHeight="1">
      <c r="A197" s="1">
        <v>4.0</v>
      </c>
      <c r="B197" s="1">
        <v>2042.0</v>
      </c>
      <c r="C197" s="1" t="s">
        <v>866</v>
      </c>
      <c r="D197" s="1" t="str">
        <f t="shared" si="21"/>
        <v>03/2042</v>
      </c>
      <c r="E197" s="1" t="str">
        <f t="shared" si="2"/>
        <v>FAT_BONUS</v>
      </c>
      <c r="F197" s="32">
        <f>Salary_Schedule!E197</f>
        <v>16079.96</v>
      </c>
      <c r="G197" s="32">
        <f>Assumptions!$B$8</f>
        <v>200</v>
      </c>
      <c r="H197" s="32">
        <f>F197*Assumptions!$B$58</f>
        <v>1607.996</v>
      </c>
      <c r="I197" s="32">
        <f>Salary_Schedule!F197</f>
        <v>21438.01</v>
      </c>
      <c r="J197" s="32">
        <f>I197*Assumptions!$B$9</f>
        <v>7503.3035</v>
      </c>
      <c r="K197" s="54">
        <f t="shared" si="3"/>
        <v>28206.6705</v>
      </c>
      <c r="L197" s="32">
        <f>IF(COUNTIFS(SL_Income_Log!$B:$B,TEXT(B197,"0000")&amp;"-"&amp;TEXT(A197,"00"),SL_Income_Log!$C:$C,"salary",SL_Income_Log!$E:$E,"H")&gt;0,SUMIFS(SL_Income_Log!$D:$D,SL_Income_Log!$B:$B,TEXT(B197,"0000")&amp;"-"&amp;TEXT(A197,"00"),SL_Income_Log!$C:$C,"salary",SL_Income_Log!$E:$E,"H"),K197*(1-Assumptions!$B$102)-Z197-Y197)</f>
        <v>16924.0023</v>
      </c>
      <c r="M197" s="32">
        <f>RSU_Schedule!H196</f>
        <v>2784.99</v>
      </c>
      <c r="N197" s="32">
        <f>Salary_Schedule!G197</f>
        <v>10743.2</v>
      </c>
      <c r="O197" s="32">
        <f>Assumptions!$B$19</f>
        <v>200</v>
      </c>
      <c r="P197" s="32">
        <f>N197*Assumptions!$B$59</f>
        <v>1074.32</v>
      </c>
      <c r="Q197" s="32">
        <f>Salary_Schedule!H197</f>
        <v>14324.46</v>
      </c>
      <c r="R197" s="32">
        <f>Q197*Assumptions!$B$20</f>
        <v>5013.561</v>
      </c>
      <c r="S197" s="54">
        <f t="shared" si="4"/>
        <v>18779.779</v>
      </c>
      <c r="T197" s="32">
        <f>IF(COUNTIFS(SL_Income_Log!$B:$B,TEXT(B197,"0000")&amp;"-"&amp;TEXT(A197,"00"),SL_Income_Log!$C:$C,"salary",SL_Income_Log!$E:$E,"W")&gt;0,SUMIFS(SL_Income_Log!$D:$D,SL_Income_Log!$B:$B,TEXT(B197,"0000")&amp;"-"&amp;TEXT(A197,"00"),SL_Income_Log!$C:$C,"salary",SL_Income_Log!$E:$E,"W"),S197*(1-Assumptions!$B$102)-AC197-AB197)
</f>
        <v>11267.8674</v>
      </c>
      <c r="U197" s="32">
        <f>RSU_Schedule!M196</f>
        <v>1392.51</v>
      </c>
      <c r="V197" s="32">
        <f>H197*(1+Assumptions!$B$60)+Assumptions!$B$61</f>
        <v>2271.1944</v>
      </c>
      <c r="W197" s="32">
        <f>P197*(1+Assumptions!$B$60)+Assumptions!$B$61</f>
        <v>1524.048</v>
      </c>
      <c r="X197" s="32">
        <f t="shared" si="5"/>
        <v>3795.2424</v>
      </c>
      <c r="Y197" s="32">
        <v>0.0</v>
      </c>
      <c r="Z197" s="32">
        <v>0.0</v>
      </c>
      <c r="AA197" s="32">
        <v>0.0</v>
      </c>
      <c r="AB197" s="32">
        <v>0.0</v>
      </c>
      <c r="AC197" s="32">
        <v>0.0</v>
      </c>
      <c r="AD197" s="32">
        <v>0.0</v>
      </c>
      <c r="AE197" s="32">
        <f t="shared" ref="AE197:AF197" si="238">Z197+AC197</f>
        <v>0</v>
      </c>
      <c r="AF197" s="32">
        <f t="shared" si="238"/>
        <v>0</v>
      </c>
      <c r="AG197" s="32">
        <f>IF(COUNTIFS(SL_Income_Log!$B:$B,TEXT(B197,"0000")&amp;"-"&amp;TEXT(A197,"00"),SL_Income_Log!$C:$C,"youtube")&gt;0,SUMIFS(SL_Income_Log!$D:$D,SL_Income_Log!$B:$B,TEXT(B197,"0000")&amp;"-"&amp;TEXT(A197,"00"),SL_Income_Log!$C:$C,"youtube"),MIN(Assumptions!$B$49+FLOOR((ROW()-2)/6,1)*Assumptions!$B$50,Assumptions!$B$51))
</f>
        <v>20000</v>
      </c>
      <c r="AH197" s="32">
        <f>AG197*Assumptions!$B$104</f>
        <v>8860</v>
      </c>
      <c r="AI197" s="32">
        <f t="shared" si="7"/>
        <v>11140</v>
      </c>
      <c r="AJ197" s="32">
        <f>SUMIFS(SL_Income_Log!$D:$D,SL_Income_Log!$B:$B,TEXT(B197,"0000")&amp;"-"&amp;TEXT(A197,"00"),SL_Income_Log!$C:$C,"other")</f>
        <v>0</v>
      </c>
      <c r="AK197" s="32">
        <f t="shared" si="27"/>
        <v>10000</v>
      </c>
      <c r="AL197" s="32">
        <f>L197+M197+T197+U197+AI197+AJ197-Y197-Z197-AB197-AC197+IF((Debt_Register!$C$2+Debt_Register!$C$6+Debt_Register!$C$7+Debt_Register!$C$8+Debt_Register!$C$9)&gt;5,X197,0)</f>
        <v>47304.6121</v>
      </c>
      <c r="AM197" s="32">
        <f t="shared" si="8"/>
        <v>57304.6121</v>
      </c>
      <c r="AN197" s="32">
        <f>MAX(Assumptions!$B$94,MIN(Assumptions!$B$93,AM197-AP197-BE197-BO197-BQ197))</f>
        <v>10000</v>
      </c>
      <c r="AO197" s="32">
        <v>0.0</v>
      </c>
      <c r="AP197" s="32">
        <v>0.0</v>
      </c>
      <c r="AQ197" s="32">
        <v>0.0</v>
      </c>
      <c r="AR197" s="32">
        <v>0.0</v>
      </c>
      <c r="AS197" s="32">
        <v>0.0</v>
      </c>
      <c r="AT197" s="32">
        <v>0.0</v>
      </c>
      <c r="AU197" s="32">
        <f t="shared" si="30"/>
        <v>0</v>
      </c>
      <c r="AV197" s="32">
        <f t="shared" si="31"/>
        <v>0</v>
      </c>
      <c r="AW197" s="32">
        <f t="shared" si="32"/>
        <v>0</v>
      </c>
      <c r="AX197" s="32">
        <f t="shared" si="33"/>
        <v>0</v>
      </c>
      <c r="AY197" s="32">
        <f t="shared" si="34"/>
        <v>0</v>
      </c>
      <c r="AZ197" s="32">
        <f t="shared" si="35"/>
        <v>0</v>
      </c>
      <c r="BA197" s="32">
        <f t="shared" si="36"/>
        <v>0</v>
      </c>
      <c r="BB197" s="32">
        <f t="shared" si="37"/>
        <v>0</v>
      </c>
      <c r="BC197" s="32">
        <f t="shared" si="38"/>
        <v>0</v>
      </c>
      <c r="BD197" s="32">
        <f t="shared" si="39"/>
        <v>0</v>
      </c>
      <c r="BE197" s="32">
        <f t="shared" si="11"/>
        <v>0</v>
      </c>
      <c r="BF197" s="32">
        <v>0.0</v>
      </c>
      <c r="BG197" s="32">
        <f t="shared" si="40"/>
        <v>5500</v>
      </c>
      <c r="BH197" s="32">
        <v>0.0</v>
      </c>
      <c r="BI197" s="32">
        <f t="shared" si="41"/>
        <v>5000</v>
      </c>
      <c r="BJ197" s="32">
        <f>IF(OR(B197&lt;Assumptions!$B$111,AND(B197=Assumptions!$B$111,A197&lt;=Assumptions!$B$112)),Assumptions!$B$110,0)</f>
        <v>0</v>
      </c>
      <c r="BK197" s="32">
        <f>IF(B197&lt;2027,Assumptions!$B$116+IF(OR(A197=4,A197=10),Assumptions!$B$117,0),IF(AND(B197=2027,A197&lt;=4),IF(A197=4,MIN(950,Assumptions!$B$116+Assumptions!$B$117),Assumptions!$B$116),0))</f>
        <v>0</v>
      </c>
      <c r="BL197" s="32">
        <f>IF(OR(B197&lt;2030,AND(B197=2030,A197&lt;8)),Assumptions!$B$118,IF(AND(B197=2030,A197=8),MOD(11000,200),0))</f>
        <v>0</v>
      </c>
      <c r="BM197" s="32">
        <f>IF(OR(B197&lt;Assumptions!$B$120,AND(B197=Assumptions!$B$120,A197&lt;=Assumptions!$B$121)),Assumptions!$B$119,0)</f>
        <v>0</v>
      </c>
      <c r="BN197" s="32">
        <f>IF(AND(B197&lt;=Assumptions!$B$123,A197&lt;=Assumptions!$B$124),Assumptions!$B$122,0)</f>
        <v>0</v>
      </c>
      <c r="BO197" s="32">
        <f t="shared" si="12"/>
        <v>0</v>
      </c>
      <c r="BP197" s="32">
        <f>SUMIFS(SL_Budget!$B:$B,SL_Budget!$C:$C,"'"&amp;TEXT(DATE(B197,A197,1),"YYYY-MM"))</f>
        <v>6593</v>
      </c>
      <c r="BQ197" s="32">
        <f>MAX(BP197, IFERROR(SUMIFS(ShadowLedger!D:D, 
  ShadowLedger!C:C, "&gt;="&amp;DATE(B197,A197,1), 
  ShadowLedger!C:C, "&lt;"&amp;EOMONTH(DATE(B197,A197,1),0)+1), 0))
</f>
        <v>6593</v>
      </c>
      <c r="BR197" s="32">
        <f t="shared" si="42"/>
        <v>5544270.518</v>
      </c>
      <c r="BS197" s="32">
        <f t="shared" si="43"/>
        <v>3795.2424</v>
      </c>
      <c r="BT197" s="32">
        <f>IF(BY196&gt;=Assumptions!$B$92,MAX(0,(AM197-BE197-BO197-BQ197)-Assumptions!$B$93),MAX(0,(AM197-BE197-BO197-BQ197)-Assumptions!$B$93)*Assumptions!$B$99)</f>
        <v>40711.6121</v>
      </c>
      <c r="BU197" s="32">
        <f>(BR197+BS197+MAX(0,BT197))*(Assumptions!$B$43-1)</f>
        <v>38104.28412</v>
      </c>
      <c r="BV197" s="32">
        <f t="shared" si="13"/>
        <v>5626881.656</v>
      </c>
      <c r="BW197" s="32">
        <f t="shared" si="44"/>
        <v>15476.04728</v>
      </c>
      <c r="BX197" s="32">
        <f>IF(BY196&lt;Assumptions!$B$92,MAX(0,(AM197-BE197-BO197-BQ197)-Assumptions!$B$93)*Assumptions!$B$98,0)</f>
        <v>0</v>
      </c>
      <c r="BY197" s="32">
        <f t="shared" si="14"/>
        <v>15476.04728</v>
      </c>
      <c r="BZ197" s="32">
        <f t="shared" si="45"/>
        <v>26580</v>
      </c>
      <c r="CA197" s="32">
        <f t="shared" si="15"/>
        <v>8860</v>
      </c>
      <c r="CB197" s="32">
        <f t="shared" si="16"/>
        <v>35440</v>
      </c>
      <c r="CC197" s="55">
        <f>CC196+(G197+J197)/(Salary_Schedule!E197*12/208)</f>
        <v>1902.624785</v>
      </c>
      <c r="CD197" s="55">
        <f>CD196+(O197+R197)/(Salary_Schedule!G197*12/208)</f>
        <v>242.8502395</v>
      </c>
      <c r="CE197" s="32">
        <f t="shared" si="17"/>
        <v>5626881.656</v>
      </c>
      <c r="CF197" s="32">
        <f>Assumptions!$B$55*(1+Assumptions!$B$56)^((B197-2025)+(A197-1)/12)</f>
        <v>672268.2061</v>
      </c>
      <c r="CG197" s="32">
        <f t="shared" si="18"/>
        <v>0</v>
      </c>
      <c r="CH197" s="32">
        <f t="shared" si="19"/>
        <v>-10500</v>
      </c>
      <c r="CI197" s="32">
        <f>CC197*(Salary_Schedule!E197/173.33)*(1-Assumptions!$B$28)+CD197*(Salary_Schedule!G197/173.33)*(1-Assumptions!$B$28)</f>
        <v>124514.0912</v>
      </c>
      <c r="CJ197" s="32">
        <f t="shared" si="20"/>
        <v>6413163.954</v>
      </c>
    </row>
    <row r="198" ht="15.0" customHeight="1">
      <c r="A198" s="1">
        <v>5.0</v>
      </c>
      <c r="B198" s="1">
        <v>2042.0</v>
      </c>
      <c r="C198" s="1" t="s">
        <v>867</v>
      </c>
      <c r="D198" s="1" t="str">
        <f t="shared" si="21"/>
        <v>04/2042</v>
      </c>
      <c r="E198" s="1" t="str">
        <f t="shared" si="2"/>
        <v>LEAN</v>
      </c>
      <c r="F198" s="32">
        <f>Salary_Schedule!E198</f>
        <v>16079.96</v>
      </c>
      <c r="G198" s="32">
        <f>Assumptions!$B$8</f>
        <v>200</v>
      </c>
      <c r="H198" s="32">
        <f>F198*Assumptions!$B$58</f>
        <v>1607.996</v>
      </c>
      <c r="I198" s="32">
        <f>Salary_Schedule!F198</f>
        <v>0</v>
      </c>
      <c r="J198" s="32">
        <f>I198*Assumptions!$B$9</f>
        <v>0</v>
      </c>
      <c r="K198" s="54">
        <f t="shared" si="3"/>
        <v>14271.964</v>
      </c>
      <c r="L198" s="32">
        <f>IF(COUNTIFS(SL_Income_Log!$B:$B,TEXT(B198,"0000")&amp;"-"&amp;TEXT(A198,"00"),SL_Income_Log!$C:$C,"salary",SL_Income_Log!$E:$E,"H")&gt;0,SUMIFS(SL_Income_Log!$D:$D,SL_Income_Log!$B:$B,TEXT(B198,"0000")&amp;"-"&amp;TEXT(A198,"00"),SL_Income_Log!$C:$C,"salary",SL_Income_Log!$E:$E,"H"),K198*(1-Assumptions!$B$102)-Z198-Y198)</f>
        <v>8563.1784</v>
      </c>
      <c r="M198" s="32">
        <f>RSU_Schedule!H197</f>
        <v>0</v>
      </c>
      <c r="N198" s="32">
        <f>Salary_Schedule!G198</f>
        <v>10743.2</v>
      </c>
      <c r="O198" s="32">
        <f>Assumptions!$B$19</f>
        <v>200</v>
      </c>
      <c r="P198" s="32">
        <f>N198*Assumptions!$B$59</f>
        <v>1074.32</v>
      </c>
      <c r="Q198" s="32">
        <f>Salary_Schedule!H198</f>
        <v>0</v>
      </c>
      <c r="R198" s="32">
        <f>Q198*Assumptions!$B$20</f>
        <v>0</v>
      </c>
      <c r="S198" s="54">
        <f t="shared" si="4"/>
        <v>9468.88</v>
      </c>
      <c r="T198" s="32">
        <f>IF(COUNTIFS(SL_Income_Log!$B:$B,TEXT(B198,"0000")&amp;"-"&amp;TEXT(A198,"00"),SL_Income_Log!$C:$C,"salary",SL_Income_Log!$E:$E,"W")&gt;0,SUMIFS(SL_Income_Log!$D:$D,SL_Income_Log!$B:$B,TEXT(B198,"0000")&amp;"-"&amp;TEXT(A198,"00"),SL_Income_Log!$C:$C,"salary",SL_Income_Log!$E:$E,"W"),S198*(1-Assumptions!$B$102)-AC198-AB198)
</f>
        <v>5681.328</v>
      </c>
      <c r="U198" s="32">
        <f>RSU_Schedule!M197</f>
        <v>0</v>
      </c>
      <c r="V198" s="32">
        <f>H198*(1+Assumptions!$B$60)+Assumptions!$B$61</f>
        <v>2271.1944</v>
      </c>
      <c r="W198" s="32">
        <f>P198*(1+Assumptions!$B$60)+Assumptions!$B$61</f>
        <v>1524.048</v>
      </c>
      <c r="X198" s="32">
        <f t="shared" si="5"/>
        <v>3795.2424</v>
      </c>
      <c r="Y198" s="32">
        <v>0.0</v>
      </c>
      <c r="Z198" s="32">
        <v>0.0</v>
      </c>
      <c r="AA198" s="32">
        <v>0.0</v>
      </c>
      <c r="AB198" s="32">
        <v>0.0</v>
      </c>
      <c r="AC198" s="32">
        <v>0.0</v>
      </c>
      <c r="AD198" s="32">
        <v>0.0</v>
      </c>
      <c r="AE198" s="32">
        <f t="shared" ref="AE198:AF198" si="239">Z198+AC198</f>
        <v>0</v>
      </c>
      <c r="AF198" s="32">
        <f t="shared" si="239"/>
        <v>0</v>
      </c>
      <c r="AG198" s="32">
        <f>IF(COUNTIFS(SL_Income_Log!$B:$B,TEXT(B198,"0000")&amp;"-"&amp;TEXT(A198,"00"),SL_Income_Log!$C:$C,"youtube")&gt;0,SUMIFS(SL_Income_Log!$D:$D,SL_Income_Log!$B:$B,TEXT(B198,"0000")&amp;"-"&amp;TEXT(A198,"00"),SL_Income_Log!$C:$C,"youtube"),MIN(Assumptions!$B$49+FLOOR((ROW()-2)/6,1)*Assumptions!$B$50,Assumptions!$B$51))
</f>
        <v>20000</v>
      </c>
      <c r="AH198" s="32">
        <f>AG198*Assumptions!$B$104</f>
        <v>8860</v>
      </c>
      <c r="AI198" s="32">
        <f t="shared" si="7"/>
        <v>11140</v>
      </c>
      <c r="AJ198" s="32">
        <f>SUMIFS(SL_Income_Log!$D:$D,SL_Income_Log!$B:$B,TEXT(B198,"0000")&amp;"-"&amp;TEXT(A198,"00"),SL_Income_Log!$C:$C,"other")</f>
        <v>0</v>
      </c>
      <c r="AK198" s="32">
        <f t="shared" si="27"/>
        <v>10000</v>
      </c>
      <c r="AL198" s="32">
        <f>L198+M198+T198+U198+AI198+AJ198-Y198-Z198-AB198-AC198+IF((Debt_Register!$C$2+Debt_Register!$C$6+Debt_Register!$C$7+Debt_Register!$C$8+Debt_Register!$C$9)&gt;5,X198,0)</f>
        <v>29179.7488</v>
      </c>
      <c r="AM198" s="32">
        <f t="shared" si="8"/>
        <v>39179.7488</v>
      </c>
      <c r="AN198" s="32">
        <f>MAX(Assumptions!$B$94,MIN(Assumptions!$B$93,AM198-AP198-BE198-BO198-BQ198))</f>
        <v>10000</v>
      </c>
      <c r="AO198" s="32">
        <v>0.0</v>
      </c>
      <c r="AP198" s="32">
        <v>0.0</v>
      </c>
      <c r="AQ198" s="32">
        <v>0.0</v>
      </c>
      <c r="AR198" s="32">
        <v>0.0</v>
      </c>
      <c r="AS198" s="32">
        <v>0.0</v>
      </c>
      <c r="AT198" s="32">
        <v>0.0</v>
      </c>
      <c r="AU198" s="32">
        <f t="shared" si="30"/>
        <v>0</v>
      </c>
      <c r="AV198" s="32">
        <f t="shared" si="31"/>
        <v>0</v>
      </c>
      <c r="AW198" s="32">
        <f t="shared" si="32"/>
        <v>0</v>
      </c>
      <c r="AX198" s="32">
        <f t="shared" si="33"/>
        <v>0</v>
      </c>
      <c r="AY198" s="32">
        <f t="shared" si="34"/>
        <v>0</v>
      </c>
      <c r="AZ198" s="32">
        <f t="shared" si="35"/>
        <v>0</v>
      </c>
      <c r="BA198" s="32">
        <f t="shared" si="36"/>
        <v>0</v>
      </c>
      <c r="BB198" s="32">
        <f t="shared" si="37"/>
        <v>0</v>
      </c>
      <c r="BC198" s="32">
        <f t="shared" si="38"/>
        <v>0</v>
      </c>
      <c r="BD198" s="32">
        <f t="shared" si="39"/>
        <v>0</v>
      </c>
      <c r="BE198" s="32">
        <f t="shared" si="11"/>
        <v>0</v>
      </c>
      <c r="BF198" s="32">
        <v>0.0</v>
      </c>
      <c r="BG198" s="32">
        <f t="shared" si="40"/>
        <v>5500</v>
      </c>
      <c r="BH198" s="32">
        <v>0.0</v>
      </c>
      <c r="BI198" s="32">
        <f t="shared" si="41"/>
        <v>5000</v>
      </c>
      <c r="BJ198" s="32">
        <f>IF(OR(B198&lt;Assumptions!$B$111,AND(B198=Assumptions!$B$111,A198&lt;=Assumptions!$B$112)),Assumptions!$B$110,0)</f>
        <v>0</v>
      </c>
      <c r="BK198" s="32">
        <f>IF(B198&lt;2027,Assumptions!$B$116+IF(OR(A198=4,A198=10),Assumptions!$B$117,0),IF(AND(B198=2027,A198&lt;=4),IF(A198=4,MIN(950,Assumptions!$B$116+Assumptions!$B$117),Assumptions!$B$116),0))</f>
        <v>0</v>
      </c>
      <c r="BL198" s="32">
        <f>IF(OR(B198&lt;2030,AND(B198=2030,A198&lt;8)),Assumptions!$B$118,IF(AND(B198=2030,A198=8),MOD(11000,200),0))</f>
        <v>0</v>
      </c>
      <c r="BM198" s="32">
        <f>IF(OR(B198&lt;Assumptions!$B$120,AND(B198=Assumptions!$B$120,A198&lt;=Assumptions!$B$121)),Assumptions!$B$119,0)</f>
        <v>0</v>
      </c>
      <c r="BN198" s="32">
        <f>IF(AND(B198&lt;=Assumptions!$B$123,A198&lt;=Assumptions!$B$124),Assumptions!$B$122,0)</f>
        <v>0</v>
      </c>
      <c r="BO198" s="32">
        <f t="shared" si="12"/>
        <v>0</v>
      </c>
      <c r="BP198" s="32">
        <f>SUMIFS(SL_Budget!$B:$B,SL_Budget!$C:$C,"'"&amp;TEXT(DATE(B198,A198,1),"YYYY-MM"))</f>
        <v>6593</v>
      </c>
      <c r="BQ198" s="32">
        <f>MAX(BP198, IFERROR(SUMIFS(ShadowLedger!D:D, 
  ShadowLedger!C:C, "&gt;="&amp;DATE(B198,A198,1), 
  ShadowLedger!C:C, "&lt;"&amp;EOMONTH(DATE(B198,A198,1),0)+1), 0))
</f>
        <v>6593</v>
      </c>
      <c r="BR198" s="32">
        <f t="shared" si="42"/>
        <v>5626881.656</v>
      </c>
      <c r="BS198" s="32">
        <f t="shared" si="43"/>
        <v>3795.2424</v>
      </c>
      <c r="BT198" s="32">
        <f>IF(BY197&gt;=Assumptions!$B$92,MAX(0,(AM198-BE198-BO198-BQ198)-Assumptions!$B$93),MAX(0,(AM198-BE198-BO198-BQ198)-Assumptions!$B$93)*Assumptions!$B$99)</f>
        <v>22586.7488</v>
      </c>
      <c r="BU198" s="32">
        <f>(BR198+BS198+MAX(0,BT198))*(Assumptions!$B$43-1)</f>
        <v>38543.95155</v>
      </c>
      <c r="BV198" s="32">
        <f t="shared" si="13"/>
        <v>5691807.599</v>
      </c>
      <c r="BW198" s="32">
        <f t="shared" si="44"/>
        <v>15476.04728</v>
      </c>
      <c r="BX198" s="32">
        <f>IF(BY197&lt;Assumptions!$B$92,MAX(0,(AM198-BE198-BO198-BQ198)-Assumptions!$B$93)*Assumptions!$B$98,0)</f>
        <v>0</v>
      </c>
      <c r="BY198" s="32">
        <f t="shared" si="14"/>
        <v>15476.04728</v>
      </c>
      <c r="BZ198" s="32">
        <f t="shared" si="45"/>
        <v>35440</v>
      </c>
      <c r="CA198" s="32">
        <f t="shared" si="15"/>
        <v>8860</v>
      </c>
      <c r="CB198" s="32">
        <f t="shared" si="16"/>
        <v>44300</v>
      </c>
      <c r="CC198" s="55">
        <f>CC197+(G198+J198)/(Salary_Schedule!E198*12/208)</f>
        <v>1902.840374</v>
      </c>
      <c r="CD198" s="55">
        <f>CD197+(O198+R198)/(Salary_Schedule!G198*12/208)</f>
        <v>243.1729242</v>
      </c>
      <c r="CE198" s="32">
        <f t="shared" si="17"/>
        <v>5691807.599</v>
      </c>
      <c r="CF198" s="32">
        <f>Assumptions!$B$55*(1+Assumptions!$B$56)^((B198-2025)+(A198-1)/12)</f>
        <v>673102.8188</v>
      </c>
      <c r="CG198" s="32">
        <f t="shared" si="18"/>
        <v>0</v>
      </c>
      <c r="CH198" s="32">
        <f t="shared" si="19"/>
        <v>-10500</v>
      </c>
      <c r="CI198" s="32">
        <f>CC198*(Salary_Schedule!E198/173.33)*(1-Assumptions!$B$28)+CD198*(Salary_Schedule!G198/173.33)*(1-Assumptions!$B$28)</f>
        <v>124540.0917</v>
      </c>
      <c r="CJ198" s="32">
        <f t="shared" si="20"/>
        <v>6478950.51</v>
      </c>
    </row>
    <row r="199" ht="15.0" customHeight="1">
      <c r="A199" s="1">
        <v>6.0</v>
      </c>
      <c r="B199" s="1">
        <v>2042.0</v>
      </c>
      <c r="C199" s="1" t="s">
        <v>868</v>
      </c>
      <c r="D199" s="1" t="str">
        <f t="shared" si="21"/>
        <v>05/2042</v>
      </c>
      <c r="E199" s="1" t="str">
        <f t="shared" si="2"/>
        <v>LEAN</v>
      </c>
      <c r="F199" s="32">
        <f>Salary_Schedule!E199</f>
        <v>16079.96</v>
      </c>
      <c r="G199" s="32">
        <f>Assumptions!$B$8</f>
        <v>200</v>
      </c>
      <c r="H199" s="32">
        <f>F199*Assumptions!$B$58</f>
        <v>1607.996</v>
      </c>
      <c r="I199" s="32">
        <f>Salary_Schedule!F199</f>
        <v>0</v>
      </c>
      <c r="J199" s="32">
        <f>I199*Assumptions!$B$9</f>
        <v>0</v>
      </c>
      <c r="K199" s="54">
        <f t="shared" si="3"/>
        <v>14271.964</v>
      </c>
      <c r="L199" s="32">
        <f>IF(COUNTIFS(SL_Income_Log!$B:$B,TEXT(B199,"0000")&amp;"-"&amp;TEXT(A199,"00"),SL_Income_Log!$C:$C,"salary",SL_Income_Log!$E:$E,"H")&gt;0,SUMIFS(SL_Income_Log!$D:$D,SL_Income_Log!$B:$B,TEXT(B199,"0000")&amp;"-"&amp;TEXT(A199,"00"),SL_Income_Log!$C:$C,"salary",SL_Income_Log!$E:$E,"H"),K199*(1-Assumptions!$B$102)-Z199-Y199)</f>
        <v>8563.1784</v>
      </c>
      <c r="M199" s="32">
        <f>RSU_Schedule!H198</f>
        <v>0</v>
      </c>
      <c r="N199" s="32">
        <f>Salary_Schedule!G199</f>
        <v>10743.2</v>
      </c>
      <c r="O199" s="32">
        <f>Assumptions!$B$19</f>
        <v>200</v>
      </c>
      <c r="P199" s="32">
        <f>N199*Assumptions!$B$59</f>
        <v>1074.32</v>
      </c>
      <c r="Q199" s="32">
        <f>Salary_Schedule!H199</f>
        <v>0</v>
      </c>
      <c r="R199" s="32">
        <f>Q199*Assumptions!$B$20</f>
        <v>0</v>
      </c>
      <c r="S199" s="54">
        <f t="shared" si="4"/>
        <v>9468.88</v>
      </c>
      <c r="T199" s="32">
        <f>IF(COUNTIFS(SL_Income_Log!$B:$B,TEXT(B199,"0000")&amp;"-"&amp;TEXT(A199,"00"),SL_Income_Log!$C:$C,"salary",SL_Income_Log!$E:$E,"W")&gt;0,SUMIFS(SL_Income_Log!$D:$D,SL_Income_Log!$B:$B,TEXT(B199,"0000")&amp;"-"&amp;TEXT(A199,"00"),SL_Income_Log!$C:$C,"salary",SL_Income_Log!$E:$E,"W"),S199*(1-Assumptions!$B$102)-AC199-AB199)
</f>
        <v>5681.328</v>
      </c>
      <c r="U199" s="32">
        <f>RSU_Schedule!M198</f>
        <v>0</v>
      </c>
      <c r="V199" s="32">
        <f>H199*(1+Assumptions!$B$60)+Assumptions!$B$61</f>
        <v>2271.1944</v>
      </c>
      <c r="W199" s="32">
        <f>P199*(1+Assumptions!$B$60)+Assumptions!$B$61</f>
        <v>1524.048</v>
      </c>
      <c r="X199" s="32">
        <f t="shared" si="5"/>
        <v>3795.2424</v>
      </c>
      <c r="Y199" s="32">
        <v>0.0</v>
      </c>
      <c r="Z199" s="32">
        <v>0.0</v>
      </c>
      <c r="AA199" s="32">
        <v>0.0</v>
      </c>
      <c r="AB199" s="32">
        <v>0.0</v>
      </c>
      <c r="AC199" s="32">
        <v>0.0</v>
      </c>
      <c r="AD199" s="32">
        <v>0.0</v>
      </c>
      <c r="AE199" s="32">
        <f t="shared" ref="AE199:AF199" si="240">Z199+AC199</f>
        <v>0</v>
      </c>
      <c r="AF199" s="32">
        <f t="shared" si="240"/>
        <v>0</v>
      </c>
      <c r="AG199" s="32">
        <f>IF(COUNTIFS(SL_Income_Log!$B:$B,TEXT(B199,"0000")&amp;"-"&amp;TEXT(A199,"00"),SL_Income_Log!$C:$C,"youtube")&gt;0,SUMIFS(SL_Income_Log!$D:$D,SL_Income_Log!$B:$B,TEXT(B199,"0000")&amp;"-"&amp;TEXT(A199,"00"),SL_Income_Log!$C:$C,"youtube"),MIN(Assumptions!$B$49+FLOOR((ROW()-2)/6,1)*Assumptions!$B$50,Assumptions!$B$51))
</f>
        <v>20000</v>
      </c>
      <c r="AH199" s="32">
        <f>AG199*Assumptions!$B$104</f>
        <v>8860</v>
      </c>
      <c r="AI199" s="32">
        <f t="shared" si="7"/>
        <v>11140</v>
      </c>
      <c r="AJ199" s="32">
        <f>SUMIFS(SL_Income_Log!$D:$D,SL_Income_Log!$B:$B,TEXT(B199,"0000")&amp;"-"&amp;TEXT(A199,"00"),SL_Income_Log!$C:$C,"other")</f>
        <v>0</v>
      </c>
      <c r="AK199" s="32">
        <f t="shared" si="27"/>
        <v>10000</v>
      </c>
      <c r="AL199" s="32">
        <f>L199+M199+T199+U199+AI199+AJ199-Y199-Z199-AB199-AC199+IF((Debt_Register!$C$2+Debt_Register!$C$6+Debt_Register!$C$7+Debt_Register!$C$8+Debt_Register!$C$9)&gt;5,X199,0)</f>
        <v>29179.7488</v>
      </c>
      <c r="AM199" s="32">
        <f t="shared" si="8"/>
        <v>39179.7488</v>
      </c>
      <c r="AN199" s="32">
        <f>MAX(Assumptions!$B$94,MIN(Assumptions!$B$93,AM199-AP199-BE199-BO199-BQ199))</f>
        <v>10000</v>
      </c>
      <c r="AO199" s="32">
        <v>0.0</v>
      </c>
      <c r="AP199" s="32">
        <v>0.0</v>
      </c>
      <c r="AQ199" s="32">
        <v>0.0</v>
      </c>
      <c r="AR199" s="32">
        <v>0.0</v>
      </c>
      <c r="AS199" s="32">
        <v>0.0</v>
      </c>
      <c r="AT199" s="32">
        <v>0.0</v>
      </c>
      <c r="AU199" s="32">
        <f t="shared" si="30"/>
        <v>0</v>
      </c>
      <c r="AV199" s="32">
        <f t="shared" si="31"/>
        <v>0</v>
      </c>
      <c r="AW199" s="32">
        <f t="shared" si="32"/>
        <v>0</v>
      </c>
      <c r="AX199" s="32">
        <f t="shared" si="33"/>
        <v>0</v>
      </c>
      <c r="AY199" s="32">
        <f t="shared" si="34"/>
        <v>0</v>
      </c>
      <c r="AZ199" s="32">
        <f t="shared" si="35"/>
        <v>0</v>
      </c>
      <c r="BA199" s="32">
        <f t="shared" si="36"/>
        <v>0</v>
      </c>
      <c r="BB199" s="32">
        <f t="shared" si="37"/>
        <v>0</v>
      </c>
      <c r="BC199" s="32">
        <f t="shared" si="38"/>
        <v>0</v>
      </c>
      <c r="BD199" s="32">
        <f t="shared" si="39"/>
        <v>0</v>
      </c>
      <c r="BE199" s="32">
        <f t="shared" si="11"/>
        <v>0</v>
      </c>
      <c r="BF199" s="32">
        <v>0.0</v>
      </c>
      <c r="BG199" s="32">
        <f t="shared" si="40"/>
        <v>5500</v>
      </c>
      <c r="BH199" s="32">
        <v>0.0</v>
      </c>
      <c r="BI199" s="32">
        <f t="shared" si="41"/>
        <v>5000</v>
      </c>
      <c r="BJ199" s="32">
        <f>IF(OR(B199&lt;Assumptions!$B$111,AND(B199=Assumptions!$B$111,A199&lt;=Assumptions!$B$112)),Assumptions!$B$110,0)</f>
        <v>0</v>
      </c>
      <c r="BK199" s="32">
        <f>IF(B199&lt;2027,Assumptions!$B$116+IF(OR(A199=4,A199=10),Assumptions!$B$117,0),IF(AND(B199=2027,A199&lt;=4),IF(A199=4,MIN(950,Assumptions!$B$116+Assumptions!$B$117),Assumptions!$B$116),0))</f>
        <v>0</v>
      </c>
      <c r="BL199" s="32">
        <f>IF(OR(B199&lt;2030,AND(B199=2030,A199&lt;8)),Assumptions!$B$118,IF(AND(B199=2030,A199=8),MOD(11000,200),0))</f>
        <v>0</v>
      </c>
      <c r="BM199" s="32">
        <f>IF(OR(B199&lt;Assumptions!$B$120,AND(B199=Assumptions!$B$120,A199&lt;=Assumptions!$B$121)),Assumptions!$B$119,0)</f>
        <v>0</v>
      </c>
      <c r="BN199" s="32">
        <f>IF(AND(B199&lt;=Assumptions!$B$123,A199&lt;=Assumptions!$B$124),Assumptions!$B$122,0)</f>
        <v>0</v>
      </c>
      <c r="BO199" s="32">
        <f t="shared" si="12"/>
        <v>0</v>
      </c>
      <c r="BP199" s="32">
        <f>SUMIFS(SL_Budget!$B:$B,SL_Budget!$C:$C,"'"&amp;TEXT(DATE(B199,A199,1),"YYYY-MM"))</f>
        <v>6593</v>
      </c>
      <c r="BQ199" s="32">
        <f>MAX(BP199, IFERROR(SUMIFS(ShadowLedger!D:D, 
  ShadowLedger!C:C, "&gt;="&amp;DATE(B199,A199,1), 
  ShadowLedger!C:C, "&lt;"&amp;EOMONTH(DATE(B199,A199,1),0)+1), 0))
</f>
        <v>6593</v>
      </c>
      <c r="BR199" s="32">
        <f t="shared" si="42"/>
        <v>5691807.599</v>
      </c>
      <c r="BS199" s="32">
        <f t="shared" si="43"/>
        <v>3795.2424</v>
      </c>
      <c r="BT199" s="32">
        <f>IF(BY198&gt;=Assumptions!$B$92,MAX(0,(AM199-BE199-BO199-BQ199)-Assumptions!$B$93),MAX(0,(AM199-BE199-BO199-BQ199)-Assumptions!$B$93)*Assumptions!$B$99)</f>
        <v>22586.7488</v>
      </c>
      <c r="BU199" s="32">
        <f>(BR199+BS199+MAX(0,BT199))*(Assumptions!$B$43-1)</f>
        <v>38986.61663</v>
      </c>
      <c r="BV199" s="32">
        <f t="shared" si="13"/>
        <v>5757176.207</v>
      </c>
      <c r="BW199" s="32">
        <f t="shared" si="44"/>
        <v>15476.04728</v>
      </c>
      <c r="BX199" s="32">
        <f>IF(BY198&lt;Assumptions!$B$92,MAX(0,(AM199-BE199-BO199-BQ199)-Assumptions!$B$93)*Assumptions!$B$98,0)</f>
        <v>0</v>
      </c>
      <c r="BY199" s="32">
        <f t="shared" si="14"/>
        <v>15476.04728</v>
      </c>
      <c r="BZ199" s="32">
        <f t="shared" si="45"/>
        <v>44300</v>
      </c>
      <c r="CA199" s="32">
        <f t="shared" si="15"/>
        <v>8860</v>
      </c>
      <c r="CB199" s="32">
        <f t="shared" si="16"/>
        <v>53160</v>
      </c>
      <c r="CC199" s="55">
        <f>CC198+(G199+J199)/(Salary_Schedule!E199*12/208)</f>
        <v>1903.055963</v>
      </c>
      <c r="CD199" s="55">
        <f>CD198+(O199+R199)/(Salary_Schedule!G199*12/208)</f>
        <v>243.495609</v>
      </c>
      <c r="CE199" s="32">
        <f t="shared" si="17"/>
        <v>5757176.207</v>
      </c>
      <c r="CF199" s="32">
        <f>Assumptions!$B$55*(1+Assumptions!$B$56)^((B199-2025)+(A199-1)/12)</f>
        <v>673938.4677</v>
      </c>
      <c r="CG199" s="32">
        <f t="shared" si="18"/>
        <v>0</v>
      </c>
      <c r="CH199" s="32">
        <f t="shared" si="19"/>
        <v>-10500</v>
      </c>
      <c r="CI199" s="32">
        <f>CC199*(Salary_Schedule!E199/173.33)*(1-Assumptions!$B$28)+CD199*(Salary_Schedule!G199/173.33)*(1-Assumptions!$B$28)</f>
        <v>124566.0922</v>
      </c>
      <c r="CJ199" s="32">
        <f t="shared" si="20"/>
        <v>6545180.767</v>
      </c>
    </row>
    <row r="200" ht="15.0" customHeight="1">
      <c r="A200" s="1">
        <v>7.0</v>
      </c>
      <c r="B200" s="1">
        <v>2042.0</v>
      </c>
      <c r="C200" s="1" t="s">
        <v>869</v>
      </c>
      <c r="D200" s="1" t="str">
        <f t="shared" si="21"/>
        <v>06/2042</v>
      </c>
      <c r="E200" s="1" t="str">
        <f t="shared" si="2"/>
        <v>FAT_RSU</v>
      </c>
      <c r="F200" s="32">
        <f>Salary_Schedule!E200</f>
        <v>16079.96</v>
      </c>
      <c r="G200" s="32">
        <f>Assumptions!$B$8</f>
        <v>200</v>
      </c>
      <c r="H200" s="32">
        <f>F200*Assumptions!$B$58</f>
        <v>1607.996</v>
      </c>
      <c r="I200" s="32">
        <f>Salary_Schedule!F200</f>
        <v>0</v>
      </c>
      <c r="J200" s="32">
        <f>I200*Assumptions!$B$9</f>
        <v>0</v>
      </c>
      <c r="K200" s="54">
        <f t="shared" si="3"/>
        <v>14271.964</v>
      </c>
      <c r="L200" s="32">
        <f>IF(COUNTIFS(SL_Income_Log!$B:$B,TEXT(B200,"0000")&amp;"-"&amp;TEXT(A200,"00"),SL_Income_Log!$C:$C,"salary",SL_Income_Log!$E:$E,"H")&gt;0,SUMIFS(SL_Income_Log!$D:$D,SL_Income_Log!$B:$B,TEXT(B200,"0000")&amp;"-"&amp;TEXT(A200,"00"),SL_Income_Log!$C:$C,"salary",SL_Income_Log!$E:$E,"H"),K200*(1-Assumptions!$B$102)-Z200-Y200)</f>
        <v>8563.1784</v>
      </c>
      <c r="M200" s="32">
        <f>RSU_Schedule!H199</f>
        <v>2784.99</v>
      </c>
      <c r="N200" s="32">
        <f>Salary_Schedule!G200</f>
        <v>10743.2</v>
      </c>
      <c r="O200" s="32">
        <f>Assumptions!$B$19</f>
        <v>200</v>
      </c>
      <c r="P200" s="32">
        <f>N200*Assumptions!$B$59</f>
        <v>1074.32</v>
      </c>
      <c r="Q200" s="32">
        <f>Salary_Schedule!H200</f>
        <v>0</v>
      </c>
      <c r="R200" s="32">
        <f>Q200*Assumptions!$B$20</f>
        <v>0</v>
      </c>
      <c r="S200" s="54">
        <f t="shared" si="4"/>
        <v>9468.88</v>
      </c>
      <c r="T200" s="32">
        <f>IF(COUNTIFS(SL_Income_Log!$B:$B,TEXT(B200,"0000")&amp;"-"&amp;TEXT(A200,"00"),SL_Income_Log!$C:$C,"salary",SL_Income_Log!$E:$E,"W")&gt;0,SUMIFS(SL_Income_Log!$D:$D,SL_Income_Log!$B:$B,TEXT(B200,"0000")&amp;"-"&amp;TEXT(A200,"00"),SL_Income_Log!$C:$C,"salary",SL_Income_Log!$E:$E,"W"),S200*(1-Assumptions!$B$102)-AC200-AB200)
</f>
        <v>5681.328</v>
      </c>
      <c r="U200" s="32">
        <f>RSU_Schedule!M199</f>
        <v>1392.51</v>
      </c>
      <c r="V200" s="32">
        <f>H200*(1+Assumptions!$B$60)+Assumptions!$B$61</f>
        <v>2271.1944</v>
      </c>
      <c r="W200" s="32">
        <f>P200*(1+Assumptions!$B$60)+Assumptions!$B$61</f>
        <v>1524.048</v>
      </c>
      <c r="X200" s="32">
        <f t="shared" si="5"/>
        <v>3795.2424</v>
      </c>
      <c r="Y200" s="32">
        <v>0.0</v>
      </c>
      <c r="Z200" s="32">
        <v>0.0</v>
      </c>
      <c r="AA200" s="32">
        <v>0.0</v>
      </c>
      <c r="AB200" s="32">
        <v>0.0</v>
      </c>
      <c r="AC200" s="32">
        <v>0.0</v>
      </c>
      <c r="AD200" s="32">
        <v>0.0</v>
      </c>
      <c r="AE200" s="32">
        <f t="shared" ref="AE200:AF200" si="241">Z200+AC200</f>
        <v>0</v>
      </c>
      <c r="AF200" s="32">
        <f t="shared" si="241"/>
        <v>0</v>
      </c>
      <c r="AG200" s="32">
        <f>IF(COUNTIFS(SL_Income_Log!$B:$B,TEXT(B200,"0000")&amp;"-"&amp;TEXT(A200,"00"),SL_Income_Log!$C:$C,"youtube")&gt;0,SUMIFS(SL_Income_Log!$D:$D,SL_Income_Log!$B:$B,TEXT(B200,"0000")&amp;"-"&amp;TEXT(A200,"00"),SL_Income_Log!$C:$C,"youtube"),MIN(Assumptions!$B$49+FLOOR((ROW()-2)/6,1)*Assumptions!$B$50,Assumptions!$B$51))
</f>
        <v>20000</v>
      </c>
      <c r="AH200" s="32">
        <f>AG200*Assumptions!$B$104</f>
        <v>8860</v>
      </c>
      <c r="AI200" s="32">
        <f t="shared" si="7"/>
        <v>11140</v>
      </c>
      <c r="AJ200" s="32">
        <f>SUMIFS(SL_Income_Log!$D:$D,SL_Income_Log!$B:$B,TEXT(B200,"0000")&amp;"-"&amp;TEXT(A200,"00"),SL_Income_Log!$C:$C,"other")</f>
        <v>0</v>
      </c>
      <c r="AK200" s="32">
        <f t="shared" si="27"/>
        <v>10000</v>
      </c>
      <c r="AL200" s="32">
        <f>L200+M200+T200+U200+AI200+AJ200-Y200-Z200-AB200-AC200+IF((Debt_Register!$C$2+Debt_Register!$C$6+Debt_Register!$C$7+Debt_Register!$C$8+Debt_Register!$C$9)&gt;5,X200,0)</f>
        <v>33357.2488</v>
      </c>
      <c r="AM200" s="32">
        <f t="shared" si="8"/>
        <v>43357.2488</v>
      </c>
      <c r="AN200" s="32">
        <f>MAX(Assumptions!$B$94,MIN(Assumptions!$B$93,AM200-AP200-BE200-BO200-BQ200))</f>
        <v>10000</v>
      </c>
      <c r="AO200" s="32">
        <v>0.0</v>
      </c>
      <c r="AP200" s="32">
        <v>0.0</v>
      </c>
      <c r="AQ200" s="32">
        <v>0.0</v>
      </c>
      <c r="AR200" s="32">
        <v>0.0</v>
      </c>
      <c r="AS200" s="32">
        <v>0.0</v>
      </c>
      <c r="AT200" s="32">
        <v>0.0</v>
      </c>
      <c r="AU200" s="32">
        <f t="shared" si="30"/>
        <v>0</v>
      </c>
      <c r="AV200" s="32">
        <f t="shared" si="31"/>
        <v>0</v>
      </c>
      <c r="AW200" s="32">
        <f t="shared" si="32"/>
        <v>0</v>
      </c>
      <c r="AX200" s="32">
        <f t="shared" si="33"/>
        <v>0</v>
      </c>
      <c r="AY200" s="32">
        <f t="shared" si="34"/>
        <v>0</v>
      </c>
      <c r="AZ200" s="32">
        <f t="shared" si="35"/>
        <v>0</v>
      </c>
      <c r="BA200" s="32">
        <f t="shared" si="36"/>
        <v>0</v>
      </c>
      <c r="BB200" s="32">
        <f t="shared" si="37"/>
        <v>0</v>
      </c>
      <c r="BC200" s="32">
        <f t="shared" si="38"/>
        <v>0</v>
      </c>
      <c r="BD200" s="32">
        <f t="shared" si="39"/>
        <v>0</v>
      </c>
      <c r="BE200" s="32">
        <f t="shared" si="11"/>
        <v>0</v>
      </c>
      <c r="BF200" s="32">
        <v>0.0</v>
      </c>
      <c r="BG200" s="32">
        <f t="shared" si="40"/>
        <v>5500</v>
      </c>
      <c r="BH200" s="32">
        <v>0.0</v>
      </c>
      <c r="BI200" s="32">
        <f t="shared" si="41"/>
        <v>5000</v>
      </c>
      <c r="BJ200" s="32">
        <f>IF(OR(B200&lt;Assumptions!$B$111,AND(B200=Assumptions!$B$111,A200&lt;=Assumptions!$B$112)),Assumptions!$B$110,0)</f>
        <v>0</v>
      </c>
      <c r="BK200" s="32">
        <f>IF(B200&lt;2027,Assumptions!$B$116+IF(OR(A200=4,A200=10),Assumptions!$B$117,0),IF(AND(B200=2027,A200&lt;=4),IF(A200=4,MIN(950,Assumptions!$B$116+Assumptions!$B$117),Assumptions!$B$116),0))</f>
        <v>0</v>
      </c>
      <c r="BL200" s="32">
        <f>IF(OR(B200&lt;2030,AND(B200=2030,A200&lt;8)),Assumptions!$B$118,IF(AND(B200=2030,A200=8),MOD(11000,200),0))</f>
        <v>0</v>
      </c>
      <c r="BM200" s="32">
        <f>IF(OR(B200&lt;Assumptions!$B$120,AND(B200=Assumptions!$B$120,A200&lt;=Assumptions!$B$121)),Assumptions!$B$119,0)</f>
        <v>0</v>
      </c>
      <c r="BN200" s="32">
        <f>IF(AND(B200&lt;=Assumptions!$B$123,A200&lt;=Assumptions!$B$124),Assumptions!$B$122,0)</f>
        <v>0</v>
      </c>
      <c r="BO200" s="32">
        <f t="shared" si="12"/>
        <v>0</v>
      </c>
      <c r="BP200" s="32">
        <f>SUMIFS(SL_Budget!$B:$B,SL_Budget!$C:$C,"'"&amp;TEXT(DATE(B200,A200,1),"YYYY-MM"))</f>
        <v>6593</v>
      </c>
      <c r="BQ200" s="32">
        <f>MAX(BP200, IFERROR(SUMIFS(ShadowLedger!D:D, 
  ShadowLedger!C:C, "&gt;="&amp;DATE(B200,A200,1), 
  ShadowLedger!C:C, "&lt;"&amp;EOMONTH(DATE(B200,A200,1),0)+1), 0))
</f>
        <v>6593</v>
      </c>
      <c r="BR200" s="32">
        <f t="shared" si="42"/>
        <v>5757176.207</v>
      </c>
      <c r="BS200" s="32">
        <f t="shared" si="43"/>
        <v>3795.2424</v>
      </c>
      <c r="BT200" s="32">
        <f>IF(BY199&gt;=Assumptions!$B$92,MAX(0,(AM200-BE200-BO200-BQ200)-Assumptions!$B$93),MAX(0,(AM200-BE200-BO200-BQ200)-Assumptions!$B$93)*Assumptions!$B$99)</f>
        <v>26764.2488</v>
      </c>
      <c r="BU200" s="32">
        <f>(BR200+BS200+MAX(0,BT200))*(Assumptions!$B$43-1)</f>
        <v>39460.78199</v>
      </c>
      <c r="BV200" s="32">
        <f t="shared" si="13"/>
        <v>5827196.48</v>
      </c>
      <c r="BW200" s="32">
        <f t="shared" si="44"/>
        <v>15476.04728</v>
      </c>
      <c r="BX200" s="32">
        <f>IF(BY199&lt;Assumptions!$B$92,MAX(0,(AM200-BE200-BO200-BQ200)-Assumptions!$B$93)*Assumptions!$B$98,0)</f>
        <v>0</v>
      </c>
      <c r="BY200" s="32">
        <f t="shared" si="14"/>
        <v>15476.04728</v>
      </c>
      <c r="BZ200" s="32">
        <f t="shared" si="45"/>
        <v>53160</v>
      </c>
      <c r="CA200" s="32">
        <f t="shared" si="15"/>
        <v>8860</v>
      </c>
      <c r="CB200" s="32">
        <f t="shared" si="16"/>
        <v>62020</v>
      </c>
      <c r="CC200" s="55">
        <f>CC199+(G200+J200)/(Salary_Schedule!E200*12/208)</f>
        <v>1903.271553</v>
      </c>
      <c r="CD200" s="55">
        <f>CD199+(O200+R200)/(Salary_Schedule!G200*12/208)</f>
        <v>243.8182937</v>
      </c>
      <c r="CE200" s="32">
        <f t="shared" si="17"/>
        <v>5827196.48</v>
      </c>
      <c r="CF200" s="32">
        <f>Assumptions!$B$55*(1+Assumptions!$B$56)^((B200-2025)+(A200-1)/12)</f>
        <v>674775.154</v>
      </c>
      <c r="CG200" s="32">
        <f t="shared" si="18"/>
        <v>0</v>
      </c>
      <c r="CH200" s="32">
        <f t="shared" si="19"/>
        <v>-10500</v>
      </c>
      <c r="CI200" s="32">
        <f>CC200*(Salary_Schedule!E200/173.33)*(1-Assumptions!$B$28)+CD200*(Salary_Schedule!G200/173.33)*(1-Assumptions!$B$28)</f>
        <v>124592.0927</v>
      </c>
      <c r="CJ200" s="32">
        <f t="shared" si="20"/>
        <v>6616063.727</v>
      </c>
    </row>
    <row r="201" ht="15.0" customHeight="1">
      <c r="A201" s="1">
        <v>8.0</v>
      </c>
      <c r="B201" s="1">
        <v>2042.0</v>
      </c>
      <c r="C201" s="1" t="s">
        <v>870</v>
      </c>
      <c r="D201" s="1" t="str">
        <f t="shared" si="21"/>
        <v>07/2042</v>
      </c>
      <c r="E201" s="1" t="str">
        <f t="shared" si="2"/>
        <v>LEAN</v>
      </c>
      <c r="F201" s="32">
        <f>Salary_Schedule!E201</f>
        <v>16079.96</v>
      </c>
      <c r="G201" s="32">
        <f>Assumptions!$B$8</f>
        <v>200</v>
      </c>
      <c r="H201" s="32">
        <f>F201*Assumptions!$B$58</f>
        <v>1607.996</v>
      </c>
      <c r="I201" s="32">
        <f>Salary_Schedule!F201</f>
        <v>0</v>
      </c>
      <c r="J201" s="32">
        <f>I201*Assumptions!$B$9</f>
        <v>0</v>
      </c>
      <c r="K201" s="54">
        <f t="shared" si="3"/>
        <v>14271.964</v>
      </c>
      <c r="L201" s="32">
        <f>IF(COUNTIFS(SL_Income_Log!$B:$B,TEXT(B201,"0000")&amp;"-"&amp;TEXT(A201,"00"),SL_Income_Log!$C:$C,"salary",SL_Income_Log!$E:$E,"H")&gt;0,SUMIFS(SL_Income_Log!$D:$D,SL_Income_Log!$B:$B,TEXT(B201,"0000")&amp;"-"&amp;TEXT(A201,"00"),SL_Income_Log!$C:$C,"salary",SL_Income_Log!$E:$E,"H"),K201*(1-Assumptions!$B$102)-Z201-Y201)</f>
        <v>8563.1784</v>
      </c>
      <c r="M201" s="32">
        <f>RSU_Schedule!H200</f>
        <v>0</v>
      </c>
      <c r="N201" s="32">
        <f>Salary_Schedule!G201</f>
        <v>10743.2</v>
      </c>
      <c r="O201" s="32">
        <f>Assumptions!$B$19</f>
        <v>200</v>
      </c>
      <c r="P201" s="32">
        <f>N201*Assumptions!$B$59</f>
        <v>1074.32</v>
      </c>
      <c r="Q201" s="32">
        <f>Salary_Schedule!H201</f>
        <v>0</v>
      </c>
      <c r="R201" s="32">
        <f>Q201*Assumptions!$B$20</f>
        <v>0</v>
      </c>
      <c r="S201" s="54">
        <f t="shared" si="4"/>
        <v>9468.88</v>
      </c>
      <c r="T201" s="32">
        <f>IF(COUNTIFS(SL_Income_Log!$B:$B,TEXT(B201,"0000")&amp;"-"&amp;TEXT(A201,"00"),SL_Income_Log!$C:$C,"salary",SL_Income_Log!$E:$E,"W")&gt;0,SUMIFS(SL_Income_Log!$D:$D,SL_Income_Log!$B:$B,TEXT(B201,"0000")&amp;"-"&amp;TEXT(A201,"00"),SL_Income_Log!$C:$C,"salary",SL_Income_Log!$E:$E,"W"),S201*(1-Assumptions!$B$102)-AC201-AB201)
</f>
        <v>5681.328</v>
      </c>
      <c r="U201" s="32">
        <f>RSU_Schedule!M200</f>
        <v>0</v>
      </c>
      <c r="V201" s="32">
        <f>H201*(1+Assumptions!$B$60)+Assumptions!$B$61</f>
        <v>2271.1944</v>
      </c>
      <c r="W201" s="32">
        <f>P201*(1+Assumptions!$B$60)+Assumptions!$B$61</f>
        <v>1524.048</v>
      </c>
      <c r="X201" s="32">
        <f t="shared" si="5"/>
        <v>3795.2424</v>
      </c>
      <c r="Y201" s="32">
        <v>0.0</v>
      </c>
      <c r="Z201" s="32">
        <v>0.0</v>
      </c>
      <c r="AA201" s="32">
        <v>0.0</v>
      </c>
      <c r="AB201" s="32">
        <v>0.0</v>
      </c>
      <c r="AC201" s="32">
        <v>0.0</v>
      </c>
      <c r="AD201" s="32">
        <v>0.0</v>
      </c>
      <c r="AE201" s="32">
        <f t="shared" ref="AE201:AF201" si="242">Z201+AC201</f>
        <v>0</v>
      </c>
      <c r="AF201" s="32">
        <f t="shared" si="242"/>
        <v>0</v>
      </c>
      <c r="AG201" s="32">
        <f>IF(COUNTIFS(SL_Income_Log!$B:$B,TEXT(B201,"0000")&amp;"-"&amp;TEXT(A201,"00"),SL_Income_Log!$C:$C,"youtube")&gt;0,SUMIFS(SL_Income_Log!$D:$D,SL_Income_Log!$B:$B,TEXT(B201,"0000")&amp;"-"&amp;TEXT(A201,"00"),SL_Income_Log!$C:$C,"youtube"),MIN(Assumptions!$B$49+FLOOR((ROW()-2)/6,1)*Assumptions!$B$50,Assumptions!$B$51))
</f>
        <v>20000</v>
      </c>
      <c r="AH201" s="32">
        <f>AG201*Assumptions!$B$104</f>
        <v>8860</v>
      </c>
      <c r="AI201" s="32">
        <f t="shared" si="7"/>
        <v>11140</v>
      </c>
      <c r="AJ201" s="32">
        <f>SUMIFS(SL_Income_Log!$D:$D,SL_Income_Log!$B:$B,TEXT(B201,"0000")&amp;"-"&amp;TEXT(A201,"00"),SL_Income_Log!$C:$C,"other")</f>
        <v>0</v>
      </c>
      <c r="AK201" s="32">
        <f t="shared" si="27"/>
        <v>10000</v>
      </c>
      <c r="AL201" s="32">
        <f>L201+M201+T201+U201+AI201+AJ201-Y201-Z201-AB201-AC201+IF((Debt_Register!$C$2+Debt_Register!$C$6+Debt_Register!$C$7+Debt_Register!$C$8+Debt_Register!$C$9)&gt;5,X201,0)</f>
        <v>29179.7488</v>
      </c>
      <c r="AM201" s="32">
        <f t="shared" si="8"/>
        <v>39179.7488</v>
      </c>
      <c r="AN201" s="32">
        <f>MAX(Assumptions!$B$94,MIN(Assumptions!$B$93,AM201-AP201-BE201-BO201-BQ201))</f>
        <v>10000</v>
      </c>
      <c r="AO201" s="32">
        <v>0.0</v>
      </c>
      <c r="AP201" s="32">
        <v>0.0</v>
      </c>
      <c r="AQ201" s="32">
        <v>0.0</v>
      </c>
      <c r="AR201" s="32">
        <v>0.0</v>
      </c>
      <c r="AS201" s="32">
        <v>0.0</v>
      </c>
      <c r="AT201" s="32">
        <v>0.0</v>
      </c>
      <c r="AU201" s="32">
        <f t="shared" si="30"/>
        <v>0</v>
      </c>
      <c r="AV201" s="32">
        <f t="shared" si="31"/>
        <v>0</v>
      </c>
      <c r="AW201" s="32">
        <f t="shared" si="32"/>
        <v>0</v>
      </c>
      <c r="AX201" s="32">
        <f t="shared" si="33"/>
        <v>0</v>
      </c>
      <c r="AY201" s="32">
        <f t="shared" si="34"/>
        <v>0</v>
      </c>
      <c r="AZ201" s="32">
        <f t="shared" si="35"/>
        <v>0</v>
      </c>
      <c r="BA201" s="32">
        <f t="shared" si="36"/>
        <v>0</v>
      </c>
      <c r="BB201" s="32">
        <f t="shared" si="37"/>
        <v>0</v>
      </c>
      <c r="BC201" s="32">
        <f t="shared" si="38"/>
        <v>0</v>
      </c>
      <c r="BD201" s="32">
        <f t="shared" si="39"/>
        <v>0</v>
      </c>
      <c r="BE201" s="32">
        <f t="shared" si="11"/>
        <v>0</v>
      </c>
      <c r="BF201" s="32">
        <v>0.0</v>
      </c>
      <c r="BG201" s="32">
        <f t="shared" si="40"/>
        <v>5500</v>
      </c>
      <c r="BH201" s="32">
        <v>0.0</v>
      </c>
      <c r="BI201" s="32">
        <f t="shared" si="41"/>
        <v>5000</v>
      </c>
      <c r="BJ201" s="32">
        <f>IF(OR(B201&lt;Assumptions!$B$111,AND(B201=Assumptions!$B$111,A201&lt;=Assumptions!$B$112)),Assumptions!$B$110,0)</f>
        <v>0</v>
      </c>
      <c r="BK201" s="32">
        <f>IF(B201&lt;2027,Assumptions!$B$116+IF(OR(A201=4,A201=10),Assumptions!$B$117,0),IF(AND(B201=2027,A201&lt;=4),IF(A201=4,MIN(950,Assumptions!$B$116+Assumptions!$B$117),Assumptions!$B$116),0))</f>
        <v>0</v>
      </c>
      <c r="BL201" s="32">
        <f>IF(OR(B201&lt;2030,AND(B201=2030,A201&lt;8)),Assumptions!$B$118,IF(AND(B201=2030,A201=8),MOD(11000,200),0))</f>
        <v>0</v>
      </c>
      <c r="BM201" s="32">
        <f>IF(OR(B201&lt;Assumptions!$B$120,AND(B201=Assumptions!$B$120,A201&lt;=Assumptions!$B$121)),Assumptions!$B$119,0)</f>
        <v>0</v>
      </c>
      <c r="BN201" s="32">
        <f>IF(AND(B201&lt;=Assumptions!$B$123,A201&lt;=Assumptions!$B$124),Assumptions!$B$122,0)</f>
        <v>0</v>
      </c>
      <c r="BO201" s="32">
        <f t="shared" si="12"/>
        <v>0</v>
      </c>
      <c r="BP201" s="32">
        <f>SUMIFS(SL_Budget!$B:$B,SL_Budget!$C:$C,"'"&amp;TEXT(DATE(B201,A201,1),"YYYY-MM"))</f>
        <v>6593</v>
      </c>
      <c r="BQ201" s="32">
        <f>MAX(BP201, IFERROR(SUMIFS(ShadowLedger!D:D, 
  ShadowLedger!C:C, "&gt;="&amp;DATE(B201,A201,1), 
  ShadowLedger!C:C, "&lt;"&amp;EOMONTH(DATE(B201,A201,1),0)+1), 0))
</f>
        <v>6593</v>
      </c>
      <c r="BR201" s="32">
        <f t="shared" si="42"/>
        <v>5827196.48</v>
      </c>
      <c r="BS201" s="32">
        <f t="shared" si="43"/>
        <v>3795.2424</v>
      </c>
      <c r="BT201" s="32">
        <f>IF(BY200&gt;=Assumptions!$B$92,MAX(0,(AM201-BE201-BO201-BQ201)-Assumptions!$B$93),MAX(0,(AM201-BE201-BO201-BQ201)-Assumptions!$B$93)*Assumptions!$B$99)</f>
        <v>22586.7488</v>
      </c>
      <c r="BU201" s="32">
        <f>(BR201+BS201+MAX(0,BT201))*(Assumptions!$B$43-1)</f>
        <v>39909.69802</v>
      </c>
      <c r="BV201" s="32">
        <f t="shared" si="13"/>
        <v>5893488.169</v>
      </c>
      <c r="BW201" s="32">
        <f t="shared" si="44"/>
        <v>15476.04728</v>
      </c>
      <c r="BX201" s="32">
        <f>IF(BY200&lt;Assumptions!$B$92,MAX(0,(AM201-BE201-BO201-BQ201)-Assumptions!$B$93)*Assumptions!$B$98,0)</f>
        <v>0</v>
      </c>
      <c r="BY201" s="32">
        <f t="shared" si="14"/>
        <v>15476.04728</v>
      </c>
      <c r="BZ201" s="32">
        <f t="shared" si="45"/>
        <v>62020</v>
      </c>
      <c r="CA201" s="32">
        <f t="shared" si="15"/>
        <v>8860</v>
      </c>
      <c r="CB201" s="32">
        <f t="shared" si="16"/>
        <v>70880</v>
      </c>
      <c r="CC201" s="55">
        <f>CC200+(G201+J201)/(Salary_Schedule!E201*12/208)</f>
        <v>1903.487142</v>
      </c>
      <c r="CD201" s="55">
        <f>CD200+(O201+R201)/(Salary_Schedule!G201*12/208)</f>
        <v>244.1409784</v>
      </c>
      <c r="CE201" s="32">
        <f t="shared" si="17"/>
        <v>5893488.169</v>
      </c>
      <c r="CF201" s="32">
        <f>Assumptions!$B$55*(1+Assumptions!$B$56)^((B201-2025)+(A201-1)/12)</f>
        <v>675612.8791</v>
      </c>
      <c r="CG201" s="32">
        <f t="shared" si="18"/>
        <v>0</v>
      </c>
      <c r="CH201" s="32">
        <f t="shared" si="19"/>
        <v>-10500</v>
      </c>
      <c r="CI201" s="32">
        <f>CC201*(Salary_Schedule!E201/173.33)*(1-Assumptions!$B$28)+CD201*(Salary_Schedule!G201/173.33)*(1-Assumptions!$B$28)</f>
        <v>124618.0932</v>
      </c>
      <c r="CJ201" s="32">
        <f t="shared" si="20"/>
        <v>6683219.142</v>
      </c>
    </row>
    <row r="202" ht="15.0" customHeight="1">
      <c r="A202" s="1">
        <v>9.0</v>
      </c>
      <c r="B202" s="1">
        <v>2042.0</v>
      </c>
      <c r="C202" s="1" t="s">
        <v>871</v>
      </c>
      <c r="D202" s="1" t="str">
        <f t="shared" si="21"/>
        <v>08/2042</v>
      </c>
      <c r="E202" s="1" t="str">
        <f t="shared" si="2"/>
        <v>LEAN</v>
      </c>
      <c r="F202" s="32">
        <f>Salary_Schedule!E202</f>
        <v>16079.96</v>
      </c>
      <c r="G202" s="32">
        <f>Assumptions!$B$8</f>
        <v>200</v>
      </c>
      <c r="H202" s="32">
        <f>F202*Assumptions!$B$58</f>
        <v>1607.996</v>
      </c>
      <c r="I202" s="32">
        <f>Salary_Schedule!F202</f>
        <v>0</v>
      </c>
      <c r="J202" s="32">
        <f>I202*Assumptions!$B$9</f>
        <v>0</v>
      </c>
      <c r="K202" s="54">
        <f t="shared" si="3"/>
        <v>14271.964</v>
      </c>
      <c r="L202" s="32">
        <f>IF(COUNTIFS(SL_Income_Log!$B:$B,TEXT(B202,"0000")&amp;"-"&amp;TEXT(A202,"00"),SL_Income_Log!$C:$C,"salary",SL_Income_Log!$E:$E,"H")&gt;0,SUMIFS(SL_Income_Log!$D:$D,SL_Income_Log!$B:$B,TEXT(B202,"0000")&amp;"-"&amp;TEXT(A202,"00"),SL_Income_Log!$C:$C,"salary",SL_Income_Log!$E:$E,"H"),K202*(1-Assumptions!$B$102)-Z202-Y202)</f>
        <v>8563.1784</v>
      </c>
      <c r="M202" s="32">
        <f>RSU_Schedule!H201</f>
        <v>0</v>
      </c>
      <c r="N202" s="32">
        <f>Salary_Schedule!G202</f>
        <v>10743.2</v>
      </c>
      <c r="O202" s="32">
        <f>Assumptions!$B$19</f>
        <v>200</v>
      </c>
      <c r="P202" s="32">
        <f>N202*Assumptions!$B$59</f>
        <v>1074.32</v>
      </c>
      <c r="Q202" s="32">
        <f>Salary_Schedule!H202</f>
        <v>0</v>
      </c>
      <c r="R202" s="32">
        <f>Q202*Assumptions!$B$20</f>
        <v>0</v>
      </c>
      <c r="S202" s="54">
        <f t="shared" si="4"/>
        <v>9468.88</v>
      </c>
      <c r="T202" s="32">
        <f>IF(COUNTIFS(SL_Income_Log!$B:$B,TEXT(B202,"0000")&amp;"-"&amp;TEXT(A202,"00"),SL_Income_Log!$C:$C,"salary",SL_Income_Log!$E:$E,"W")&gt;0,SUMIFS(SL_Income_Log!$D:$D,SL_Income_Log!$B:$B,TEXT(B202,"0000")&amp;"-"&amp;TEXT(A202,"00"),SL_Income_Log!$C:$C,"salary",SL_Income_Log!$E:$E,"W"),S202*(1-Assumptions!$B$102)-AC202-AB202)
</f>
        <v>5681.328</v>
      </c>
      <c r="U202" s="32">
        <f>RSU_Schedule!M201</f>
        <v>0</v>
      </c>
      <c r="V202" s="32">
        <f>H202*(1+Assumptions!$B$60)+Assumptions!$B$61</f>
        <v>2271.1944</v>
      </c>
      <c r="W202" s="32">
        <f>P202*(1+Assumptions!$B$60)+Assumptions!$B$61</f>
        <v>1524.048</v>
      </c>
      <c r="X202" s="32">
        <f t="shared" si="5"/>
        <v>3795.2424</v>
      </c>
      <c r="Y202" s="32">
        <v>0.0</v>
      </c>
      <c r="Z202" s="32">
        <v>0.0</v>
      </c>
      <c r="AA202" s="32">
        <v>0.0</v>
      </c>
      <c r="AB202" s="32">
        <v>0.0</v>
      </c>
      <c r="AC202" s="32">
        <v>0.0</v>
      </c>
      <c r="AD202" s="32">
        <v>0.0</v>
      </c>
      <c r="AE202" s="32">
        <f t="shared" ref="AE202:AF202" si="243">Z202+AC202</f>
        <v>0</v>
      </c>
      <c r="AF202" s="32">
        <f t="shared" si="243"/>
        <v>0</v>
      </c>
      <c r="AG202" s="32">
        <f>IF(COUNTIFS(SL_Income_Log!$B:$B,TEXT(B202,"0000")&amp;"-"&amp;TEXT(A202,"00"),SL_Income_Log!$C:$C,"youtube")&gt;0,SUMIFS(SL_Income_Log!$D:$D,SL_Income_Log!$B:$B,TEXT(B202,"0000")&amp;"-"&amp;TEXT(A202,"00"),SL_Income_Log!$C:$C,"youtube"),MIN(Assumptions!$B$49+FLOOR((ROW()-2)/6,1)*Assumptions!$B$50,Assumptions!$B$51))
</f>
        <v>20000</v>
      </c>
      <c r="AH202" s="32">
        <f>AG202*Assumptions!$B$104</f>
        <v>8860</v>
      </c>
      <c r="AI202" s="32">
        <f t="shared" si="7"/>
        <v>11140</v>
      </c>
      <c r="AJ202" s="32">
        <f>SUMIFS(SL_Income_Log!$D:$D,SL_Income_Log!$B:$B,TEXT(B202,"0000")&amp;"-"&amp;TEXT(A202,"00"),SL_Income_Log!$C:$C,"other")</f>
        <v>0</v>
      </c>
      <c r="AK202" s="32">
        <f t="shared" si="27"/>
        <v>10000</v>
      </c>
      <c r="AL202" s="32">
        <f>L202+M202+T202+U202+AI202+AJ202-Y202-Z202-AB202-AC202+IF((Debt_Register!$C$2+Debt_Register!$C$6+Debt_Register!$C$7+Debt_Register!$C$8+Debt_Register!$C$9)&gt;5,X202,0)</f>
        <v>29179.7488</v>
      </c>
      <c r="AM202" s="32">
        <f t="shared" si="8"/>
        <v>39179.7488</v>
      </c>
      <c r="AN202" s="32">
        <f>MAX(Assumptions!$B$94,MIN(Assumptions!$B$93,AM202-AP202-BE202-BO202-BQ202))</f>
        <v>10000</v>
      </c>
      <c r="AO202" s="32">
        <v>0.0</v>
      </c>
      <c r="AP202" s="32">
        <v>0.0</v>
      </c>
      <c r="AQ202" s="32">
        <v>0.0</v>
      </c>
      <c r="AR202" s="32">
        <v>0.0</v>
      </c>
      <c r="AS202" s="32">
        <v>0.0</v>
      </c>
      <c r="AT202" s="32">
        <v>0.0</v>
      </c>
      <c r="AU202" s="32">
        <f t="shared" si="30"/>
        <v>0</v>
      </c>
      <c r="AV202" s="32">
        <f t="shared" si="31"/>
        <v>0</v>
      </c>
      <c r="AW202" s="32">
        <f t="shared" si="32"/>
        <v>0</v>
      </c>
      <c r="AX202" s="32">
        <f t="shared" si="33"/>
        <v>0</v>
      </c>
      <c r="AY202" s="32">
        <f t="shared" si="34"/>
        <v>0</v>
      </c>
      <c r="AZ202" s="32">
        <f t="shared" si="35"/>
        <v>0</v>
      </c>
      <c r="BA202" s="32">
        <f t="shared" si="36"/>
        <v>0</v>
      </c>
      <c r="BB202" s="32">
        <f t="shared" si="37"/>
        <v>0</v>
      </c>
      <c r="BC202" s="32">
        <f t="shared" si="38"/>
        <v>0</v>
      </c>
      <c r="BD202" s="32">
        <f t="shared" si="39"/>
        <v>0</v>
      </c>
      <c r="BE202" s="32">
        <f t="shared" si="11"/>
        <v>0</v>
      </c>
      <c r="BF202" s="32">
        <v>0.0</v>
      </c>
      <c r="BG202" s="32">
        <f t="shared" si="40"/>
        <v>5500</v>
      </c>
      <c r="BH202" s="32">
        <v>0.0</v>
      </c>
      <c r="BI202" s="32">
        <f t="shared" si="41"/>
        <v>5000</v>
      </c>
      <c r="BJ202" s="32">
        <f>IF(OR(B202&lt;Assumptions!$B$111,AND(B202=Assumptions!$B$111,A202&lt;=Assumptions!$B$112)),Assumptions!$B$110,0)</f>
        <v>0</v>
      </c>
      <c r="BK202" s="32">
        <f>IF(B202&lt;2027,Assumptions!$B$116+IF(OR(A202=4,A202=10),Assumptions!$B$117,0),IF(AND(B202=2027,A202&lt;=4),IF(A202=4,MIN(950,Assumptions!$B$116+Assumptions!$B$117),Assumptions!$B$116),0))</f>
        <v>0</v>
      </c>
      <c r="BL202" s="32">
        <f>IF(OR(B202&lt;2030,AND(B202=2030,A202&lt;8)),Assumptions!$B$118,IF(AND(B202=2030,A202=8),MOD(11000,200),0))</f>
        <v>0</v>
      </c>
      <c r="BM202" s="32">
        <f>IF(OR(B202&lt;Assumptions!$B$120,AND(B202=Assumptions!$B$120,A202&lt;=Assumptions!$B$121)),Assumptions!$B$119,0)</f>
        <v>0</v>
      </c>
      <c r="BN202" s="32">
        <f>IF(AND(B202&lt;=Assumptions!$B$123,A202&lt;=Assumptions!$B$124),Assumptions!$B$122,0)</f>
        <v>0</v>
      </c>
      <c r="BO202" s="32">
        <f t="shared" si="12"/>
        <v>0</v>
      </c>
      <c r="BP202" s="32">
        <f>SUMIFS(SL_Budget!$B:$B,SL_Budget!$C:$C,"'"&amp;TEXT(DATE(B202,A202,1),"YYYY-MM"))</f>
        <v>6593</v>
      </c>
      <c r="BQ202" s="32">
        <f>MAX(BP202, IFERROR(SUMIFS(ShadowLedger!D:D, 
  ShadowLedger!C:C, "&gt;="&amp;DATE(B202,A202,1), 
  ShadowLedger!C:C, "&lt;"&amp;EOMONTH(DATE(B202,A202,1),0)+1), 0))
</f>
        <v>6593</v>
      </c>
      <c r="BR202" s="32">
        <f t="shared" si="42"/>
        <v>5893488.169</v>
      </c>
      <c r="BS202" s="32">
        <f t="shared" si="43"/>
        <v>3795.2424</v>
      </c>
      <c r="BT202" s="32">
        <f>IF(BY201&gt;=Assumptions!$B$92,MAX(0,(AM202-BE202-BO202-BQ202)-Assumptions!$B$93),MAX(0,(AM202-BE202-BO202-BQ202)-Assumptions!$B$93)*Assumptions!$B$99)</f>
        <v>22586.7488</v>
      </c>
      <c r="BU202" s="32">
        <f>(BR202+BS202+MAX(0,BT202))*(Assumptions!$B$43-1)</f>
        <v>40361.67475</v>
      </c>
      <c r="BV202" s="32">
        <f t="shared" si="13"/>
        <v>5960231.835</v>
      </c>
      <c r="BW202" s="32">
        <f t="shared" si="44"/>
        <v>15476.04728</v>
      </c>
      <c r="BX202" s="32">
        <f>IF(BY201&lt;Assumptions!$B$92,MAX(0,(AM202-BE202-BO202-BQ202)-Assumptions!$B$93)*Assumptions!$B$98,0)</f>
        <v>0</v>
      </c>
      <c r="BY202" s="32">
        <f t="shared" si="14"/>
        <v>15476.04728</v>
      </c>
      <c r="BZ202" s="32">
        <f t="shared" si="45"/>
        <v>70880</v>
      </c>
      <c r="CA202" s="32">
        <f t="shared" si="15"/>
        <v>8860</v>
      </c>
      <c r="CB202" s="32">
        <f t="shared" si="16"/>
        <v>79740</v>
      </c>
      <c r="CC202" s="55">
        <f>CC201+(G202+J202)/(Salary_Schedule!E202*12/208)</f>
        <v>1903.702731</v>
      </c>
      <c r="CD202" s="55">
        <f>CD201+(O202+R202)/(Salary_Schedule!G202*12/208)</f>
        <v>244.4636632</v>
      </c>
      <c r="CE202" s="32">
        <f t="shared" si="17"/>
        <v>5960231.835</v>
      </c>
      <c r="CF202" s="32">
        <f>Assumptions!$B$55*(1+Assumptions!$B$56)^((B202-2025)+(A202-1)/12)</f>
        <v>676451.6442</v>
      </c>
      <c r="CG202" s="32">
        <f t="shared" si="18"/>
        <v>0</v>
      </c>
      <c r="CH202" s="32">
        <f t="shared" si="19"/>
        <v>-10500</v>
      </c>
      <c r="CI202" s="32">
        <f>CC202*(Salary_Schedule!E202/173.33)*(1-Assumptions!$B$28)+CD202*(Salary_Schedule!G202/173.33)*(1-Assumptions!$B$28)</f>
        <v>124644.0937</v>
      </c>
      <c r="CJ202" s="32">
        <f t="shared" si="20"/>
        <v>6750827.573</v>
      </c>
    </row>
    <row r="203" ht="15.0" customHeight="1">
      <c r="A203" s="1">
        <v>10.0</v>
      </c>
      <c r="B203" s="1">
        <v>2042.0</v>
      </c>
      <c r="C203" s="1" t="s">
        <v>872</v>
      </c>
      <c r="D203" s="1" t="str">
        <f t="shared" si="21"/>
        <v>09/2042</v>
      </c>
      <c r="E203" s="1" t="str">
        <f t="shared" si="2"/>
        <v>FAT_RSU</v>
      </c>
      <c r="F203" s="32">
        <f>Salary_Schedule!E203</f>
        <v>16079.96</v>
      </c>
      <c r="G203" s="32">
        <f>Assumptions!$B$8</f>
        <v>200</v>
      </c>
      <c r="H203" s="32">
        <f>F203*Assumptions!$B$58</f>
        <v>1607.996</v>
      </c>
      <c r="I203" s="32">
        <f>Salary_Schedule!F203</f>
        <v>0</v>
      </c>
      <c r="J203" s="32">
        <f>I203*Assumptions!$B$9</f>
        <v>0</v>
      </c>
      <c r="K203" s="54">
        <f t="shared" si="3"/>
        <v>14271.964</v>
      </c>
      <c r="L203" s="32">
        <f>IF(COUNTIFS(SL_Income_Log!$B:$B,TEXT(B203,"0000")&amp;"-"&amp;TEXT(A203,"00"),SL_Income_Log!$C:$C,"salary",SL_Income_Log!$E:$E,"H")&gt;0,SUMIFS(SL_Income_Log!$D:$D,SL_Income_Log!$B:$B,TEXT(B203,"0000")&amp;"-"&amp;TEXT(A203,"00"),SL_Income_Log!$C:$C,"salary",SL_Income_Log!$E:$E,"H"),K203*(1-Assumptions!$B$102)-Z203-Y203)</f>
        <v>8563.1784</v>
      </c>
      <c r="M203" s="32">
        <f>RSU_Schedule!H202</f>
        <v>2784.99</v>
      </c>
      <c r="N203" s="32">
        <f>Salary_Schedule!G203</f>
        <v>10743.2</v>
      </c>
      <c r="O203" s="32">
        <f>Assumptions!$B$19</f>
        <v>200</v>
      </c>
      <c r="P203" s="32">
        <f>N203*Assumptions!$B$59</f>
        <v>1074.32</v>
      </c>
      <c r="Q203" s="32">
        <f>Salary_Schedule!H203</f>
        <v>0</v>
      </c>
      <c r="R203" s="32">
        <f>Q203*Assumptions!$B$20</f>
        <v>0</v>
      </c>
      <c r="S203" s="54">
        <f t="shared" si="4"/>
        <v>9468.88</v>
      </c>
      <c r="T203" s="32">
        <f>IF(COUNTIFS(SL_Income_Log!$B:$B,TEXT(B203,"0000")&amp;"-"&amp;TEXT(A203,"00"),SL_Income_Log!$C:$C,"salary",SL_Income_Log!$E:$E,"W")&gt;0,SUMIFS(SL_Income_Log!$D:$D,SL_Income_Log!$B:$B,TEXT(B203,"0000")&amp;"-"&amp;TEXT(A203,"00"),SL_Income_Log!$C:$C,"salary",SL_Income_Log!$E:$E,"W"),S203*(1-Assumptions!$B$102)-AC203-AB203)
</f>
        <v>5681.328</v>
      </c>
      <c r="U203" s="32">
        <f>RSU_Schedule!M202</f>
        <v>1392.51</v>
      </c>
      <c r="V203" s="32">
        <f>H203*(1+Assumptions!$B$60)+Assumptions!$B$61</f>
        <v>2271.1944</v>
      </c>
      <c r="W203" s="32">
        <f>P203*(1+Assumptions!$B$60)+Assumptions!$B$61</f>
        <v>1524.048</v>
      </c>
      <c r="X203" s="32">
        <f t="shared" si="5"/>
        <v>3795.2424</v>
      </c>
      <c r="Y203" s="32">
        <v>0.0</v>
      </c>
      <c r="Z203" s="32">
        <v>0.0</v>
      </c>
      <c r="AA203" s="32">
        <v>0.0</v>
      </c>
      <c r="AB203" s="32">
        <v>0.0</v>
      </c>
      <c r="AC203" s="32">
        <v>0.0</v>
      </c>
      <c r="AD203" s="32">
        <v>0.0</v>
      </c>
      <c r="AE203" s="32">
        <f t="shared" ref="AE203:AF203" si="244">Z203+AC203</f>
        <v>0</v>
      </c>
      <c r="AF203" s="32">
        <f t="shared" si="244"/>
        <v>0</v>
      </c>
      <c r="AG203" s="32">
        <f>IF(COUNTIFS(SL_Income_Log!$B:$B,TEXT(B203,"0000")&amp;"-"&amp;TEXT(A203,"00"),SL_Income_Log!$C:$C,"youtube")&gt;0,SUMIFS(SL_Income_Log!$D:$D,SL_Income_Log!$B:$B,TEXT(B203,"0000")&amp;"-"&amp;TEXT(A203,"00"),SL_Income_Log!$C:$C,"youtube"),MIN(Assumptions!$B$49+FLOOR((ROW()-2)/6,1)*Assumptions!$B$50,Assumptions!$B$51))
</f>
        <v>20000</v>
      </c>
      <c r="AH203" s="32">
        <f>AG203*Assumptions!$B$104</f>
        <v>8860</v>
      </c>
      <c r="AI203" s="32">
        <f t="shared" si="7"/>
        <v>11140</v>
      </c>
      <c r="AJ203" s="32">
        <f>SUMIFS(SL_Income_Log!$D:$D,SL_Income_Log!$B:$B,TEXT(B203,"0000")&amp;"-"&amp;TEXT(A203,"00"),SL_Income_Log!$C:$C,"other")</f>
        <v>0</v>
      </c>
      <c r="AK203" s="32">
        <f t="shared" si="27"/>
        <v>10000</v>
      </c>
      <c r="AL203" s="32">
        <f>L203+M203+T203+U203+AI203+AJ203-Y203-Z203-AB203-AC203+IF((Debt_Register!$C$2+Debt_Register!$C$6+Debt_Register!$C$7+Debt_Register!$C$8+Debt_Register!$C$9)&gt;5,X203,0)</f>
        <v>33357.2488</v>
      </c>
      <c r="AM203" s="32">
        <f t="shared" si="8"/>
        <v>43357.2488</v>
      </c>
      <c r="AN203" s="32">
        <f>MAX(Assumptions!$B$94,MIN(Assumptions!$B$93,AM203-AP203-BE203-BO203-BQ203))</f>
        <v>10000</v>
      </c>
      <c r="AO203" s="32">
        <v>0.0</v>
      </c>
      <c r="AP203" s="32">
        <v>0.0</v>
      </c>
      <c r="AQ203" s="32">
        <v>0.0</v>
      </c>
      <c r="AR203" s="32">
        <v>0.0</v>
      </c>
      <c r="AS203" s="32">
        <v>0.0</v>
      </c>
      <c r="AT203" s="32">
        <v>0.0</v>
      </c>
      <c r="AU203" s="32">
        <f t="shared" si="30"/>
        <v>0</v>
      </c>
      <c r="AV203" s="32">
        <f t="shared" si="31"/>
        <v>0</v>
      </c>
      <c r="AW203" s="32">
        <f t="shared" si="32"/>
        <v>0</v>
      </c>
      <c r="AX203" s="32">
        <f t="shared" si="33"/>
        <v>0</v>
      </c>
      <c r="AY203" s="32">
        <f t="shared" si="34"/>
        <v>0</v>
      </c>
      <c r="AZ203" s="32">
        <f t="shared" si="35"/>
        <v>0</v>
      </c>
      <c r="BA203" s="32">
        <f t="shared" si="36"/>
        <v>0</v>
      </c>
      <c r="BB203" s="32">
        <f t="shared" si="37"/>
        <v>0</v>
      </c>
      <c r="BC203" s="32">
        <f t="shared" si="38"/>
        <v>0</v>
      </c>
      <c r="BD203" s="32">
        <f t="shared" si="39"/>
        <v>0</v>
      </c>
      <c r="BE203" s="32">
        <f t="shared" si="11"/>
        <v>0</v>
      </c>
      <c r="BF203" s="32">
        <v>0.0</v>
      </c>
      <c r="BG203" s="32">
        <f t="shared" si="40"/>
        <v>5500</v>
      </c>
      <c r="BH203" s="32">
        <v>0.0</v>
      </c>
      <c r="BI203" s="32">
        <f t="shared" si="41"/>
        <v>5000</v>
      </c>
      <c r="BJ203" s="32">
        <f>IF(OR(B203&lt;Assumptions!$B$111,AND(B203=Assumptions!$B$111,A203&lt;=Assumptions!$B$112)),Assumptions!$B$110,0)</f>
        <v>0</v>
      </c>
      <c r="BK203" s="32">
        <f>IF(B203&lt;2027,Assumptions!$B$116+IF(OR(A203=4,A203=10),Assumptions!$B$117,0),IF(AND(B203=2027,A203&lt;=4),IF(A203=4,MIN(950,Assumptions!$B$116+Assumptions!$B$117),Assumptions!$B$116),0))</f>
        <v>0</v>
      </c>
      <c r="BL203" s="32">
        <f>IF(OR(B203&lt;2030,AND(B203=2030,A203&lt;8)),Assumptions!$B$118,IF(AND(B203=2030,A203=8),MOD(11000,200),0))</f>
        <v>0</v>
      </c>
      <c r="BM203" s="32">
        <f>IF(OR(B203&lt;Assumptions!$B$120,AND(B203=Assumptions!$B$120,A203&lt;=Assumptions!$B$121)),Assumptions!$B$119,0)</f>
        <v>0</v>
      </c>
      <c r="BN203" s="32">
        <f>IF(AND(B203&lt;=Assumptions!$B$123,A203&lt;=Assumptions!$B$124),Assumptions!$B$122,0)</f>
        <v>0</v>
      </c>
      <c r="BO203" s="32">
        <f t="shared" si="12"/>
        <v>0</v>
      </c>
      <c r="BP203" s="32">
        <f>SUMIFS(SL_Budget!$B:$B,SL_Budget!$C:$C,"'"&amp;TEXT(DATE(B203,A203,1),"YYYY-MM"))</f>
        <v>6593</v>
      </c>
      <c r="BQ203" s="32">
        <f>MAX(BP203, IFERROR(SUMIFS(ShadowLedger!D:D, 
  ShadowLedger!C:C, "&gt;="&amp;DATE(B203,A203,1), 
  ShadowLedger!C:C, "&lt;"&amp;EOMONTH(DATE(B203,A203,1),0)+1), 0))
</f>
        <v>6593</v>
      </c>
      <c r="BR203" s="32">
        <f t="shared" si="42"/>
        <v>5960231.835</v>
      </c>
      <c r="BS203" s="32">
        <f t="shared" si="43"/>
        <v>3795.2424</v>
      </c>
      <c r="BT203" s="32">
        <f>IF(BY202&gt;=Assumptions!$B$92,MAX(0,(AM203-BE203-BO203-BQ203)-Assumptions!$B$93),MAX(0,(AM203-BE203-BO203-BQ203)-Assumptions!$B$93)*Assumptions!$B$99)</f>
        <v>26764.2488</v>
      </c>
      <c r="BU203" s="32">
        <f>(BR203+BS203+MAX(0,BT203))*(Assumptions!$B$43-1)</f>
        <v>40845.21526</v>
      </c>
      <c r="BV203" s="32">
        <f t="shared" si="13"/>
        <v>6031636.542</v>
      </c>
      <c r="BW203" s="32">
        <f t="shared" si="44"/>
        <v>15476.04728</v>
      </c>
      <c r="BX203" s="32">
        <f>IF(BY202&lt;Assumptions!$B$92,MAX(0,(AM203-BE203-BO203-BQ203)-Assumptions!$B$93)*Assumptions!$B$98,0)</f>
        <v>0</v>
      </c>
      <c r="BY203" s="32">
        <f t="shared" si="14"/>
        <v>15476.04728</v>
      </c>
      <c r="BZ203" s="32">
        <f t="shared" si="45"/>
        <v>79740</v>
      </c>
      <c r="CA203" s="32">
        <f t="shared" si="15"/>
        <v>8860</v>
      </c>
      <c r="CB203" s="32">
        <f t="shared" si="16"/>
        <v>88600</v>
      </c>
      <c r="CC203" s="55">
        <f>CC202+(G203+J203)/(Salary_Schedule!E203*12/208)</f>
        <v>1903.91832</v>
      </c>
      <c r="CD203" s="55">
        <f>CD202+(O203+R203)/(Salary_Schedule!G203*12/208)</f>
        <v>244.7863479</v>
      </c>
      <c r="CE203" s="32">
        <f t="shared" si="17"/>
        <v>6031636.542</v>
      </c>
      <c r="CF203" s="32">
        <f>Assumptions!$B$55*(1+Assumptions!$B$56)^((B203-2025)+(A203-1)/12)</f>
        <v>677291.4506</v>
      </c>
      <c r="CG203" s="32">
        <f t="shared" si="18"/>
        <v>0</v>
      </c>
      <c r="CH203" s="32">
        <f t="shared" si="19"/>
        <v>-10500</v>
      </c>
      <c r="CI203" s="32">
        <f>CC203*(Salary_Schedule!E203/173.33)*(1-Assumptions!$B$28)+CD203*(Salary_Schedule!G203/173.33)*(1-Assumptions!$B$28)</f>
        <v>124670.0942</v>
      </c>
      <c r="CJ203" s="32">
        <f t="shared" si="20"/>
        <v>6823098.087</v>
      </c>
    </row>
    <row r="204" ht="15.0" customHeight="1">
      <c r="A204" s="1">
        <v>11.0</v>
      </c>
      <c r="B204" s="1">
        <v>2042.0</v>
      </c>
      <c r="C204" s="1" t="s">
        <v>873</v>
      </c>
      <c r="D204" s="1" t="str">
        <f t="shared" si="21"/>
        <v>10/2042</v>
      </c>
      <c r="E204" s="1" t="str">
        <f t="shared" si="2"/>
        <v>LEAN</v>
      </c>
      <c r="F204" s="32">
        <f>Salary_Schedule!E204</f>
        <v>16079.96</v>
      </c>
      <c r="G204" s="32">
        <f>Assumptions!$B$8</f>
        <v>200</v>
      </c>
      <c r="H204" s="32">
        <f>F204*Assumptions!$B$58</f>
        <v>1607.996</v>
      </c>
      <c r="I204" s="32">
        <f>Salary_Schedule!F204</f>
        <v>0</v>
      </c>
      <c r="J204" s="32">
        <f>I204*Assumptions!$B$9</f>
        <v>0</v>
      </c>
      <c r="K204" s="54">
        <f t="shared" si="3"/>
        <v>14271.964</v>
      </c>
      <c r="L204" s="32">
        <f>IF(COUNTIFS(SL_Income_Log!$B:$B,TEXT(B204,"0000")&amp;"-"&amp;TEXT(A204,"00"),SL_Income_Log!$C:$C,"salary",SL_Income_Log!$E:$E,"H")&gt;0,SUMIFS(SL_Income_Log!$D:$D,SL_Income_Log!$B:$B,TEXT(B204,"0000")&amp;"-"&amp;TEXT(A204,"00"),SL_Income_Log!$C:$C,"salary",SL_Income_Log!$E:$E,"H"),K204*(1-Assumptions!$B$102)-Z204-Y204)</f>
        <v>8563.1784</v>
      </c>
      <c r="M204" s="32">
        <f>RSU_Schedule!H203</f>
        <v>0</v>
      </c>
      <c r="N204" s="32">
        <f>Salary_Schedule!G204</f>
        <v>10743.2</v>
      </c>
      <c r="O204" s="32">
        <f>Assumptions!$B$19</f>
        <v>200</v>
      </c>
      <c r="P204" s="32">
        <f>N204*Assumptions!$B$59</f>
        <v>1074.32</v>
      </c>
      <c r="Q204" s="32">
        <f>Salary_Schedule!H204</f>
        <v>0</v>
      </c>
      <c r="R204" s="32">
        <f>Q204*Assumptions!$B$20</f>
        <v>0</v>
      </c>
      <c r="S204" s="54">
        <f t="shared" si="4"/>
        <v>9468.88</v>
      </c>
      <c r="T204" s="32">
        <f>IF(COUNTIFS(SL_Income_Log!$B:$B,TEXT(B204,"0000")&amp;"-"&amp;TEXT(A204,"00"),SL_Income_Log!$C:$C,"salary",SL_Income_Log!$E:$E,"W")&gt;0,SUMIFS(SL_Income_Log!$D:$D,SL_Income_Log!$B:$B,TEXT(B204,"0000")&amp;"-"&amp;TEXT(A204,"00"),SL_Income_Log!$C:$C,"salary",SL_Income_Log!$E:$E,"W"),S204*(1-Assumptions!$B$102)-AC204-AB204)
</f>
        <v>5681.328</v>
      </c>
      <c r="U204" s="32">
        <f>RSU_Schedule!M203</f>
        <v>0</v>
      </c>
      <c r="V204" s="32">
        <f>H204*(1+Assumptions!$B$60)+Assumptions!$B$61</f>
        <v>2271.1944</v>
      </c>
      <c r="W204" s="32">
        <f>P204*(1+Assumptions!$B$60)+Assumptions!$B$61</f>
        <v>1524.048</v>
      </c>
      <c r="X204" s="32">
        <f t="shared" si="5"/>
        <v>3795.2424</v>
      </c>
      <c r="Y204" s="32">
        <v>0.0</v>
      </c>
      <c r="Z204" s="32">
        <v>0.0</v>
      </c>
      <c r="AA204" s="32">
        <v>0.0</v>
      </c>
      <c r="AB204" s="32">
        <v>0.0</v>
      </c>
      <c r="AC204" s="32">
        <v>0.0</v>
      </c>
      <c r="AD204" s="32">
        <v>0.0</v>
      </c>
      <c r="AE204" s="32">
        <f t="shared" ref="AE204:AF204" si="245">Z204+AC204</f>
        <v>0</v>
      </c>
      <c r="AF204" s="32">
        <f t="shared" si="245"/>
        <v>0</v>
      </c>
      <c r="AG204" s="32">
        <f>IF(COUNTIFS(SL_Income_Log!$B:$B,TEXT(B204,"0000")&amp;"-"&amp;TEXT(A204,"00"),SL_Income_Log!$C:$C,"youtube")&gt;0,SUMIFS(SL_Income_Log!$D:$D,SL_Income_Log!$B:$B,TEXT(B204,"0000")&amp;"-"&amp;TEXT(A204,"00"),SL_Income_Log!$C:$C,"youtube"),MIN(Assumptions!$B$49+FLOOR((ROW()-2)/6,1)*Assumptions!$B$50,Assumptions!$B$51))
</f>
        <v>20000</v>
      </c>
      <c r="AH204" s="32">
        <f>AG204*Assumptions!$B$104</f>
        <v>8860</v>
      </c>
      <c r="AI204" s="32">
        <f t="shared" si="7"/>
        <v>11140</v>
      </c>
      <c r="AJ204" s="32">
        <f>SUMIFS(SL_Income_Log!$D:$D,SL_Income_Log!$B:$B,TEXT(B204,"0000")&amp;"-"&amp;TEXT(A204,"00"),SL_Income_Log!$C:$C,"other")</f>
        <v>0</v>
      </c>
      <c r="AK204" s="32">
        <f t="shared" si="27"/>
        <v>10000</v>
      </c>
      <c r="AL204" s="32">
        <f>L204+M204+T204+U204+AI204+AJ204-Y204-Z204-AB204-AC204+IF((Debt_Register!$C$2+Debt_Register!$C$6+Debt_Register!$C$7+Debt_Register!$C$8+Debt_Register!$C$9)&gt;5,X204,0)</f>
        <v>29179.7488</v>
      </c>
      <c r="AM204" s="32">
        <f t="shared" si="8"/>
        <v>39179.7488</v>
      </c>
      <c r="AN204" s="32">
        <f>MAX(Assumptions!$B$94,MIN(Assumptions!$B$93,AM204-AP204-BE204-BO204-BQ204))</f>
        <v>10000</v>
      </c>
      <c r="AO204" s="32">
        <v>0.0</v>
      </c>
      <c r="AP204" s="32">
        <v>0.0</v>
      </c>
      <c r="AQ204" s="32">
        <v>0.0</v>
      </c>
      <c r="AR204" s="32">
        <v>0.0</v>
      </c>
      <c r="AS204" s="32">
        <v>0.0</v>
      </c>
      <c r="AT204" s="32">
        <v>0.0</v>
      </c>
      <c r="AU204" s="32">
        <f t="shared" si="30"/>
        <v>0</v>
      </c>
      <c r="AV204" s="32">
        <f t="shared" si="31"/>
        <v>0</v>
      </c>
      <c r="AW204" s="32">
        <f t="shared" si="32"/>
        <v>0</v>
      </c>
      <c r="AX204" s="32">
        <f t="shared" si="33"/>
        <v>0</v>
      </c>
      <c r="AY204" s="32">
        <f t="shared" si="34"/>
        <v>0</v>
      </c>
      <c r="AZ204" s="32">
        <f t="shared" si="35"/>
        <v>0</v>
      </c>
      <c r="BA204" s="32">
        <f t="shared" si="36"/>
        <v>0</v>
      </c>
      <c r="BB204" s="32">
        <f t="shared" si="37"/>
        <v>0</v>
      </c>
      <c r="BC204" s="32">
        <f t="shared" si="38"/>
        <v>0</v>
      </c>
      <c r="BD204" s="32">
        <f t="shared" si="39"/>
        <v>0</v>
      </c>
      <c r="BE204" s="32">
        <f t="shared" si="11"/>
        <v>0</v>
      </c>
      <c r="BF204" s="32">
        <v>0.0</v>
      </c>
      <c r="BG204" s="32">
        <f t="shared" si="40"/>
        <v>5500</v>
      </c>
      <c r="BH204" s="32">
        <v>0.0</v>
      </c>
      <c r="BI204" s="32">
        <f t="shared" si="41"/>
        <v>5000</v>
      </c>
      <c r="BJ204" s="32">
        <f>IF(OR(B204&lt;Assumptions!$B$111,AND(B204=Assumptions!$B$111,A204&lt;=Assumptions!$B$112)),Assumptions!$B$110,0)</f>
        <v>0</v>
      </c>
      <c r="BK204" s="32">
        <f>IF(B204&lt;2027,Assumptions!$B$116+IF(OR(A204=4,A204=10),Assumptions!$B$117,0),IF(AND(B204=2027,A204&lt;=4),IF(A204=4,MIN(950,Assumptions!$B$116+Assumptions!$B$117),Assumptions!$B$116),0))</f>
        <v>0</v>
      </c>
      <c r="BL204" s="32">
        <f>IF(OR(B204&lt;2030,AND(B204=2030,A204&lt;8)),Assumptions!$B$118,IF(AND(B204=2030,A204=8),MOD(11000,200),0))</f>
        <v>0</v>
      </c>
      <c r="BM204" s="32">
        <f>IF(OR(B204&lt;Assumptions!$B$120,AND(B204=Assumptions!$B$120,A204&lt;=Assumptions!$B$121)),Assumptions!$B$119,0)</f>
        <v>0</v>
      </c>
      <c r="BN204" s="32">
        <f>IF(AND(B204&lt;=Assumptions!$B$123,A204&lt;=Assumptions!$B$124),Assumptions!$B$122,0)</f>
        <v>0</v>
      </c>
      <c r="BO204" s="32">
        <f t="shared" si="12"/>
        <v>0</v>
      </c>
      <c r="BP204" s="32">
        <f>SUMIFS(SL_Budget!$B:$B,SL_Budget!$C:$C,"'"&amp;TEXT(DATE(B204,A204,1),"YYYY-MM"))</f>
        <v>6593</v>
      </c>
      <c r="BQ204" s="32">
        <f>MAX(BP204, IFERROR(SUMIFS(ShadowLedger!D:D, 
  ShadowLedger!C:C, "&gt;="&amp;DATE(B204,A204,1), 
  ShadowLedger!C:C, "&lt;"&amp;EOMONTH(DATE(B204,A204,1),0)+1), 0))
</f>
        <v>6593</v>
      </c>
      <c r="BR204" s="32">
        <f t="shared" si="42"/>
        <v>6031636.542</v>
      </c>
      <c r="BS204" s="32">
        <f t="shared" si="43"/>
        <v>3795.2424</v>
      </c>
      <c r="BT204" s="32">
        <f>IF(BY203&gt;=Assumptions!$B$92,MAX(0,(AM204-BE204-BO204-BQ204)-Assumptions!$B$93),MAX(0,(AM204-BE204-BO204-BQ204)-Assumptions!$B$93)*Assumptions!$B$99)</f>
        <v>22586.7488</v>
      </c>
      <c r="BU204" s="32">
        <f>(BR204+BS204+MAX(0,BT204))*(Assumptions!$B$43-1)</f>
        <v>41303.57036</v>
      </c>
      <c r="BV204" s="32">
        <f t="shared" si="13"/>
        <v>6099322.103</v>
      </c>
      <c r="BW204" s="32">
        <f t="shared" si="44"/>
        <v>15476.04728</v>
      </c>
      <c r="BX204" s="32">
        <f>IF(BY203&lt;Assumptions!$B$92,MAX(0,(AM204-BE204-BO204-BQ204)-Assumptions!$B$93)*Assumptions!$B$98,0)</f>
        <v>0</v>
      </c>
      <c r="BY204" s="32">
        <f t="shared" si="14"/>
        <v>15476.04728</v>
      </c>
      <c r="BZ204" s="32">
        <f t="shared" si="45"/>
        <v>88600</v>
      </c>
      <c r="CA204" s="32">
        <f t="shared" si="15"/>
        <v>8860</v>
      </c>
      <c r="CB204" s="32">
        <f t="shared" si="16"/>
        <v>97460</v>
      </c>
      <c r="CC204" s="55">
        <f>CC203+(G204+J204)/(Salary_Schedule!E204*12/208)</f>
        <v>1904.13391</v>
      </c>
      <c r="CD204" s="55">
        <f>CD203+(O204+R204)/(Salary_Schedule!G204*12/208)</f>
        <v>245.1090327</v>
      </c>
      <c r="CE204" s="32">
        <f t="shared" si="17"/>
        <v>6099322.103</v>
      </c>
      <c r="CF204" s="32">
        <f>Assumptions!$B$55*(1+Assumptions!$B$56)^((B204-2025)+(A204-1)/12)</f>
        <v>678132.2996</v>
      </c>
      <c r="CG204" s="32">
        <f t="shared" si="18"/>
        <v>0</v>
      </c>
      <c r="CH204" s="32">
        <f t="shared" si="19"/>
        <v>-10500</v>
      </c>
      <c r="CI204" s="32">
        <f>CC204*(Salary_Schedule!E204/173.33)*(1-Assumptions!$B$28)+CD204*(Salary_Schedule!G204/173.33)*(1-Assumptions!$B$28)</f>
        <v>124696.0947</v>
      </c>
      <c r="CJ204" s="32">
        <f t="shared" si="20"/>
        <v>6891650.498</v>
      </c>
    </row>
    <row r="205" ht="15.0" customHeight="1">
      <c r="A205" s="1">
        <v>12.0</v>
      </c>
      <c r="B205" s="1">
        <v>2042.0</v>
      </c>
      <c r="C205" s="1" t="s">
        <v>874</v>
      </c>
      <c r="D205" s="1" t="str">
        <f t="shared" si="21"/>
        <v>11/2042</v>
      </c>
      <c r="E205" s="1" t="str">
        <f t="shared" si="2"/>
        <v>LEAN</v>
      </c>
      <c r="F205" s="32">
        <f>Salary_Schedule!E205</f>
        <v>16079.96</v>
      </c>
      <c r="G205" s="32">
        <f>Assumptions!$B$8</f>
        <v>200</v>
      </c>
      <c r="H205" s="32">
        <f>F205*Assumptions!$B$58</f>
        <v>1607.996</v>
      </c>
      <c r="I205" s="32">
        <f>Salary_Schedule!F205</f>
        <v>0</v>
      </c>
      <c r="J205" s="32">
        <f>I205*Assumptions!$B$9</f>
        <v>0</v>
      </c>
      <c r="K205" s="54">
        <f t="shared" si="3"/>
        <v>14271.964</v>
      </c>
      <c r="L205" s="32">
        <f>IF(COUNTIFS(SL_Income_Log!$B:$B,TEXT(B205,"0000")&amp;"-"&amp;TEXT(A205,"00"),SL_Income_Log!$C:$C,"salary",SL_Income_Log!$E:$E,"H")&gt;0,SUMIFS(SL_Income_Log!$D:$D,SL_Income_Log!$B:$B,TEXT(B205,"0000")&amp;"-"&amp;TEXT(A205,"00"),SL_Income_Log!$C:$C,"salary",SL_Income_Log!$E:$E,"H"),K205*(1-Assumptions!$B$102)-Z205-Y205)</f>
        <v>8563.1784</v>
      </c>
      <c r="M205" s="32">
        <f>RSU_Schedule!H204</f>
        <v>0</v>
      </c>
      <c r="N205" s="32">
        <f>Salary_Schedule!G205</f>
        <v>10743.2</v>
      </c>
      <c r="O205" s="32">
        <f>Assumptions!$B$19</f>
        <v>200</v>
      </c>
      <c r="P205" s="32">
        <f>N205*Assumptions!$B$59</f>
        <v>1074.32</v>
      </c>
      <c r="Q205" s="32">
        <f>Salary_Schedule!H205</f>
        <v>0</v>
      </c>
      <c r="R205" s="32">
        <f>Q205*Assumptions!$B$20</f>
        <v>0</v>
      </c>
      <c r="S205" s="54">
        <f t="shared" si="4"/>
        <v>9468.88</v>
      </c>
      <c r="T205" s="32">
        <f>IF(COUNTIFS(SL_Income_Log!$B:$B,TEXT(B205,"0000")&amp;"-"&amp;TEXT(A205,"00"),SL_Income_Log!$C:$C,"salary",SL_Income_Log!$E:$E,"W")&gt;0,SUMIFS(SL_Income_Log!$D:$D,SL_Income_Log!$B:$B,TEXT(B205,"0000")&amp;"-"&amp;TEXT(A205,"00"),SL_Income_Log!$C:$C,"salary",SL_Income_Log!$E:$E,"W"),S205*(1-Assumptions!$B$102)-AC205-AB205)
</f>
        <v>5681.328</v>
      </c>
      <c r="U205" s="32">
        <f>RSU_Schedule!M204</f>
        <v>0</v>
      </c>
      <c r="V205" s="32">
        <f>H205*(1+Assumptions!$B$60)+Assumptions!$B$61</f>
        <v>2271.1944</v>
      </c>
      <c r="W205" s="32">
        <f>P205*(1+Assumptions!$B$60)+Assumptions!$B$61</f>
        <v>1524.048</v>
      </c>
      <c r="X205" s="32">
        <f t="shared" si="5"/>
        <v>3795.2424</v>
      </c>
      <c r="Y205" s="32">
        <v>0.0</v>
      </c>
      <c r="Z205" s="32">
        <v>0.0</v>
      </c>
      <c r="AA205" s="32">
        <v>0.0</v>
      </c>
      <c r="AB205" s="32">
        <v>0.0</v>
      </c>
      <c r="AC205" s="32">
        <v>0.0</v>
      </c>
      <c r="AD205" s="32">
        <v>0.0</v>
      </c>
      <c r="AE205" s="32">
        <f t="shared" ref="AE205:AF205" si="246">Z205+AC205</f>
        <v>0</v>
      </c>
      <c r="AF205" s="32">
        <f t="shared" si="246"/>
        <v>0</v>
      </c>
      <c r="AG205" s="32">
        <f>IF(COUNTIFS(SL_Income_Log!$B:$B,TEXT(B205,"0000")&amp;"-"&amp;TEXT(A205,"00"),SL_Income_Log!$C:$C,"youtube")&gt;0,SUMIFS(SL_Income_Log!$D:$D,SL_Income_Log!$B:$B,TEXT(B205,"0000")&amp;"-"&amp;TEXT(A205,"00"),SL_Income_Log!$C:$C,"youtube"),MIN(Assumptions!$B$49+FLOOR((ROW()-2)/6,1)*Assumptions!$B$50,Assumptions!$B$51))
</f>
        <v>20000</v>
      </c>
      <c r="AH205" s="32">
        <f>AG205*Assumptions!$B$104</f>
        <v>8860</v>
      </c>
      <c r="AI205" s="32">
        <f t="shared" si="7"/>
        <v>11140</v>
      </c>
      <c r="AJ205" s="32">
        <f>SUMIFS(SL_Income_Log!$D:$D,SL_Income_Log!$B:$B,TEXT(B205,"0000")&amp;"-"&amp;TEXT(A205,"00"),SL_Income_Log!$C:$C,"other")</f>
        <v>0</v>
      </c>
      <c r="AK205" s="32">
        <f t="shared" si="27"/>
        <v>10000</v>
      </c>
      <c r="AL205" s="32">
        <f>L205+M205+T205+U205+AI205+AJ205-Y205-Z205-AB205-AC205+IF((Debt_Register!$C$2+Debt_Register!$C$6+Debt_Register!$C$7+Debt_Register!$C$8+Debt_Register!$C$9)&gt;5,X205,0)</f>
        <v>29179.7488</v>
      </c>
      <c r="AM205" s="32">
        <f t="shared" si="8"/>
        <v>39179.7488</v>
      </c>
      <c r="AN205" s="32">
        <f>MAX(Assumptions!$B$94,MIN(Assumptions!$B$93,AM205-AP205-BE205-BO205-BQ205))</f>
        <v>10000</v>
      </c>
      <c r="AO205" s="32">
        <v>0.0</v>
      </c>
      <c r="AP205" s="32">
        <v>0.0</v>
      </c>
      <c r="AQ205" s="32">
        <v>0.0</v>
      </c>
      <c r="AR205" s="32">
        <v>0.0</v>
      </c>
      <c r="AS205" s="32">
        <v>0.0</v>
      </c>
      <c r="AT205" s="32">
        <v>0.0</v>
      </c>
      <c r="AU205" s="32">
        <f t="shared" si="30"/>
        <v>0</v>
      </c>
      <c r="AV205" s="32">
        <f t="shared" si="31"/>
        <v>0</v>
      </c>
      <c r="AW205" s="32">
        <f t="shared" si="32"/>
        <v>0</v>
      </c>
      <c r="AX205" s="32">
        <f t="shared" si="33"/>
        <v>0</v>
      </c>
      <c r="AY205" s="32">
        <f t="shared" si="34"/>
        <v>0</v>
      </c>
      <c r="AZ205" s="32">
        <f t="shared" si="35"/>
        <v>0</v>
      </c>
      <c r="BA205" s="32">
        <f t="shared" si="36"/>
        <v>0</v>
      </c>
      <c r="BB205" s="32">
        <f t="shared" si="37"/>
        <v>0</v>
      </c>
      <c r="BC205" s="32">
        <f t="shared" si="38"/>
        <v>0</v>
      </c>
      <c r="BD205" s="32">
        <f t="shared" si="39"/>
        <v>0</v>
      </c>
      <c r="BE205" s="32">
        <f t="shared" si="11"/>
        <v>0</v>
      </c>
      <c r="BF205" s="32">
        <v>0.0</v>
      </c>
      <c r="BG205" s="32">
        <f t="shared" si="40"/>
        <v>5500</v>
      </c>
      <c r="BH205" s="32">
        <v>0.0</v>
      </c>
      <c r="BI205" s="32">
        <f t="shared" si="41"/>
        <v>5000</v>
      </c>
      <c r="BJ205" s="32">
        <f>IF(OR(B205&lt;Assumptions!$B$111,AND(B205=Assumptions!$B$111,A205&lt;=Assumptions!$B$112)),Assumptions!$B$110,0)</f>
        <v>0</v>
      </c>
      <c r="BK205" s="32">
        <f>IF(B205&lt;2027,Assumptions!$B$116+IF(OR(A205=4,A205=10),Assumptions!$B$117,0),IF(AND(B205=2027,A205&lt;=4),IF(A205=4,MIN(950,Assumptions!$B$116+Assumptions!$B$117),Assumptions!$B$116),0))</f>
        <v>0</v>
      </c>
      <c r="BL205" s="32">
        <f>IF(OR(B205&lt;2030,AND(B205=2030,A205&lt;8)),Assumptions!$B$118,IF(AND(B205=2030,A205=8),MOD(11000,200),0))</f>
        <v>0</v>
      </c>
      <c r="BM205" s="32">
        <f>IF(OR(B205&lt;Assumptions!$B$120,AND(B205=Assumptions!$B$120,A205&lt;=Assumptions!$B$121)),Assumptions!$B$119,0)</f>
        <v>0</v>
      </c>
      <c r="BN205" s="32">
        <f>IF(AND(B205&lt;=Assumptions!$B$123,A205&lt;=Assumptions!$B$124),Assumptions!$B$122,0)</f>
        <v>0</v>
      </c>
      <c r="BO205" s="32">
        <f t="shared" si="12"/>
        <v>0</v>
      </c>
      <c r="BP205" s="32">
        <f>SUMIFS(SL_Budget!$B:$B,SL_Budget!$C:$C,"'"&amp;TEXT(DATE(B205,A205,1),"YYYY-MM"))</f>
        <v>6593</v>
      </c>
      <c r="BQ205" s="32">
        <f>MAX(BP205, IFERROR(SUMIFS(ShadowLedger!D:D, 
  ShadowLedger!C:C, "&gt;="&amp;DATE(B205,A205,1), 
  ShadowLedger!C:C, "&lt;"&amp;EOMONTH(DATE(B205,A205,1),0)+1), 0))
</f>
        <v>6593</v>
      </c>
      <c r="BR205" s="32">
        <f t="shared" si="42"/>
        <v>6099322.103</v>
      </c>
      <c r="BS205" s="32">
        <f t="shared" si="43"/>
        <v>3795.2424</v>
      </c>
      <c r="BT205" s="32">
        <f>IF(BY204&gt;=Assumptions!$B$92,MAX(0,(AM205-BE205-BO205-BQ205)-Assumptions!$B$93),MAX(0,(AM205-BE205-BO205-BQ205)-Assumptions!$B$93)*Assumptions!$B$99)</f>
        <v>22586.7488</v>
      </c>
      <c r="BU205" s="32">
        <f>(BR205+BS205+MAX(0,BT205))*(Assumptions!$B$43-1)</f>
        <v>41765.05052</v>
      </c>
      <c r="BV205" s="32">
        <f t="shared" si="13"/>
        <v>6167469.145</v>
      </c>
      <c r="BW205" s="32">
        <f t="shared" si="44"/>
        <v>15476.04728</v>
      </c>
      <c r="BX205" s="32">
        <f>IF(BY204&lt;Assumptions!$B$92,MAX(0,(AM205-BE205-BO205-BQ205)-Assumptions!$B$93)*Assumptions!$B$98,0)</f>
        <v>0</v>
      </c>
      <c r="BY205" s="32">
        <f t="shared" si="14"/>
        <v>15476.04728</v>
      </c>
      <c r="BZ205" s="32">
        <f t="shared" si="45"/>
        <v>97460</v>
      </c>
      <c r="CA205" s="32">
        <f t="shared" si="15"/>
        <v>8860</v>
      </c>
      <c r="CB205" s="32">
        <f t="shared" si="16"/>
        <v>106320</v>
      </c>
      <c r="CC205" s="55">
        <f>CC204+(G205+J205)/(Salary_Schedule!E205*12/208)</f>
        <v>1904.349499</v>
      </c>
      <c r="CD205" s="55">
        <f>CD204+(O205+R205)/(Salary_Schedule!G205*12/208)</f>
        <v>245.4317174</v>
      </c>
      <c r="CE205" s="32">
        <f t="shared" si="17"/>
        <v>6167469.145</v>
      </c>
      <c r="CF205" s="32">
        <f>Assumptions!$B$55*(1+Assumptions!$B$56)^((B205-2025)+(A205-1)/12)</f>
        <v>678974.1925</v>
      </c>
      <c r="CG205" s="32">
        <f t="shared" si="18"/>
        <v>0</v>
      </c>
      <c r="CH205" s="32">
        <f t="shared" si="19"/>
        <v>-10500</v>
      </c>
      <c r="CI205" s="32">
        <f>CC205*(Salary_Schedule!E205/173.33)*(1-Assumptions!$B$28)+CD205*(Salary_Schedule!G205/173.33)*(1-Assumptions!$B$28)</f>
        <v>124722.0952</v>
      </c>
      <c r="CJ205" s="32">
        <f t="shared" si="20"/>
        <v>6960665.433</v>
      </c>
    </row>
    <row r="206" ht="15.75" customHeight="1">
      <c r="A206" s="1"/>
      <c r="B206" s="1"/>
      <c r="C206" s="1"/>
      <c r="D206" s="1"/>
      <c r="E206" s="1"/>
      <c r="F206" s="32"/>
      <c r="G206" s="32"/>
      <c r="H206" s="32"/>
      <c r="I206" s="32"/>
      <c r="J206" s="32"/>
      <c r="K206" s="54"/>
      <c r="L206" s="32"/>
      <c r="M206" s="32"/>
      <c r="N206" s="32"/>
      <c r="O206" s="32"/>
      <c r="P206" s="32"/>
      <c r="Q206" s="32"/>
      <c r="R206" s="32"/>
      <c r="S206" s="54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55"/>
      <c r="CD206" s="55"/>
      <c r="CE206" s="32"/>
      <c r="CF206" s="32"/>
      <c r="CG206" s="32"/>
      <c r="CH206" s="32"/>
      <c r="CI206" s="32"/>
      <c r="CJ206" s="32"/>
    </row>
    <row r="207" ht="15.75" customHeight="1">
      <c r="A207" s="1"/>
      <c r="B207" s="1"/>
      <c r="C207" s="1"/>
      <c r="D207" s="1"/>
      <c r="E207" s="1"/>
      <c r="F207" s="32"/>
      <c r="G207" s="32"/>
      <c r="H207" s="32"/>
      <c r="I207" s="32"/>
      <c r="J207" s="32"/>
      <c r="K207" s="54"/>
      <c r="L207" s="32"/>
      <c r="M207" s="32"/>
      <c r="N207" s="32"/>
      <c r="O207" s="32"/>
      <c r="P207" s="32"/>
      <c r="Q207" s="32"/>
      <c r="R207" s="32"/>
      <c r="S207" s="54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55"/>
      <c r="CD207" s="55"/>
      <c r="CE207" s="32"/>
      <c r="CF207" s="32"/>
      <c r="CG207" s="32"/>
      <c r="CH207" s="32"/>
      <c r="CI207" s="32"/>
      <c r="CJ207" s="32"/>
    </row>
    <row r="208" ht="15.75" customHeight="1">
      <c r="A208" s="1"/>
      <c r="B208" s="1"/>
      <c r="C208" s="1"/>
      <c r="D208" s="1"/>
      <c r="E208" s="1"/>
      <c r="F208" s="32"/>
      <c r="G208" s="32"/>
      <c r="H208" s="32"/>
      <c r="I208" s="32"/>
      <c r="J208" s="32"/>
      <c r="K208" s="54"/>
      <c r="L208" s="32"/>
      <c r="M208" s="32"/>
      <c r="N208" s="32"/>
      <c r="O208" s="32"/>
      <c r="P208" s="32"/>
      <c r="Q208" s="32"/>
      <c r="R208" s="32"/>
      <c r="S208" s="54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55"/>
      <c r="CD208" s="55"/>
      <c r="CE208" s="32"/>
      <c r="CF208" s="32"/>
      <c r="CG208" s="32"/>
      <c r="CH208" s="32"/>
      <c r="CI208" s="32"/>
      <c r="CJ208" s="32"/>
    </row>
    <row r="209" ht="15.75" customHeight="1">
      <c r="A209" s="1"/>
      <c r="B209" s="1"/>
      <c r="C209" s="1"/>
      <c r="D209" s="1"/>
      <c r="E209" s="1"/>
      <c r="F209" s="32"/>
      <c r="G209" s="32"/>
      <c r="H209" s="32"/>
      <c r="I209" s="32"/>
      <c r="J209" s="32"/>
      <c r="K209" s="54"/>
      <c r="L209" s="32"/>
      <c r="M209" s="32"/>
      <c r="N209" s="32"/>
      <c r="O209" s="32"/>
      <c r="P209" s="32"/>
      <c r="Q209" s="32"/>
      <c r="R209" s="32"/>
      <c r="S209" s="54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55"/>
      <c r="CD209" s="55"/>
      <c r="CE209" s="32"/>
      <c r="CF209" s="32"/>
      <c r="CG209" s="32"/>
      <c r="CH209" s="32"/>
      <c r="CI209" s="32"/>
      <c r="CJ209" s="32"/>
    </row>
    <row r="210" ht="15.75" customHeight="1">
      <c r="A210" s="1"/>
      <c r="B210" s="1"/>
      <c r="C210" s="1"/>
      <c r="D210" s="1"/>
      <c r="E210" s="1"/>
      <c r="F210" s="32"/>
      <c r="G210" s="32"/>
      <c r="H210" s="32"/>
      <c r="I210" s="32"/>
      <c r="J210" s="32"/>
      <c r="K210" s="54"/>
      <c r="L210" s="32"/>
      <c r="M210" s="32"/>
      <c r="N210" s="32"/>
      <c r="O210" s="32"/>
      <c r="P210" s="32"/>
      <c r="Q210" s="32"/>
      <c r="R210" s="32"/>
      <c r="S210" s="54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55"/>
      <c r="CD210" s="55"/>
      <c r="CE210" s="32"/>
      <c r="CF210" s="32"/>
      <c r="CG210" s="32"/>
      <c r="CH210" s="32"/>
      <c r="CI210" s="32"/>
      <c r="CJ210" s="32"/>
    </row>
    <row r="211" ht="15.75" customHeight="1">
      <c r="A211" s="1"/>
      <c r="B211" s="1"/>
      <c r="C211" s="1"/>
      <c r="D211" s="1"/>
      <c r="E211" s="1"/>
      <c r="F211" s="32"/>
      <c r="G211" s="32"/>
      <c r="H211" s="32"/>
      <c r="I211" s="32"/>
      <c r="J211" s="32"/>
      <c r="K211" s="54"/>
      <c r="L211" s="32"/>
      <c r="M211" s="32"/>
      <c r="N211" s="32"/>
      <c r="O211" s="32"/>
      <c r="P211" s="32"/>
      <c r="Q211" s="32"/>
      <c r="R211" s="32"/>
      <c r="S211" s="54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55"/>
      <c r="CD211" s="55"/>
      <c r="CE211" s="32"/>
      <c r="CF211" s="32"/>
      <c r="CG211" s="32"/>
      <c r="CH211" s="32"/>
      <c r="CI211" s="32"/>
      <c r="CJ211" s="32"/>
    </row>
    <row r="212" ht="15.75" customHeight="1">
      <c r="A212" s="1"/>
      <c r="B212" s="1"/>
      <c r="C212" s="1"/>
      <c r="D212" s="1"/>
      <c r="E212" s="1"/>
      <c r="F212" s="32"/>
      <c r="G212" s="32"/>
      <c r="H212" s="32"/>
      <c r="I212" s="32"/>
      <c r="J212" s="32"/>
      <c r="K212" s="54"/>
      <c r="L212" s="32"/>
      <c r="M212" s="32"/>
      <c r="N212" s="32"/>
      <c r="O212" s="32"/>
      <c r="P212" s="32"/>
      <c r="Q212" s="32"/>
      <c r="R212" s="32"/>
      <c r="S212" s="54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55"/>
      <c r="CD212" s="55"/>
      <c r="CE212" s="32"/>
      <c r="CF212" s="32"/>
      <c r="CG212" s="32"/>
      <c r="CH212" s="32"/>
      <c r="CI212" s="32"/>
      <c r="CJ212" s="32"/>
    </row>
    <row r="213" ht="15.75" customHeight="1">
      <c r="A213" s="1"/>
      <c r="B213" s="1"/>
      <c r="C213" s="1"/>
      <c r="D213" s="1"/>
      <c r="E213" s="1"/>
      <c r="F213" s="32"/>
      <c r="G213" s="32"/>
      <c r="H213" s="32"/>
      <c r="I213" s="32"/>
      <c r="J213" s="32"/>
      <c r="K213" s="54"/>
      <c r="L213" s="32"/>
      <c r="M213" s="32"/>
      <c r="N213" s="32"/>
      <c r="O213" s="32"/>
      <c r="P213" s="32"/>
      <c r="Q213" s="32"/>
      <c r="R213" s="32"/>
      <c r="S213" s="54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55"/>
      <c r="CD213" s="55"/>
      <c r="CE213" s="32"/>
      <c r="CF213" s="32"/>
      <c r="CG213" s="32"/>
      <c r="CH213" s="32"/>
      <c r="CI213" s="32"/>
      <c r="CJ213" s="32"/>
    </row>
    <row r="214" ht="15.75" customHeight="1">
      <c r="A214" s="1"/>
      <c r="B214" s="1"/>
      <c r="C214" s="1"/>
      <c r="D214" s="1"/>
      <c r="E214" s="1"/>
      <c r="F214" s="32"/>
      <c r="G214" s="32"/>
      <c r="H214" s="32"/>
      <c r="I214" s="32"/>
      <c r="J214" s="32"/>
      <c r="K214" s="54"/>
      <c r="L214" s="32"/>
      <c r="M214" s="32"/>
      <c r="N214" s="32"/>
      <c r="O214" s="32"/>
      <c r="P214" s="32"/>
      <c r="Q214" s="32"/>
      <c r="R214" s="32"/>
      <c r="S214" s="54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55"/>
      <c r="CD214" s="55"/>
      <c r="CE214" s="32"/>
      <c r="CF214" s="32"/>
      <c r="CG214" s="32"/>
      <c r="CH214" s="32"/>
      <c r="CI214" s="32"/>
      <c r="CJ214" s="32"/>
    </row>
    <row r="215" ht="15.75" customHeight="1">
      <c r="A215" s="1"/>
      <c r="B215" s="1"/>
      <c r="C215" s="1"/>
      <c r="D215" s="1"/>
      <c r="E215" s="1"/>
      <c r="F215" s="32"/>
      <c r="G215" s="32"/>
      <c r="H215" s="32"/>
      <c r="I215" s="32"/>
      <c r="J215" s="32"/>
      <c r="K215" s="54"/>
      <c r="L215" s="32"/>
      <c r="M215" s="32"/>
      <c r="N215" s="32"/>
      <c r="O215" s="32"/>
      <c r="P215" s="32"/>
      <c r="Q215" s="32"/>
      <c r="R215" s="32"/>
      <c r="S215" s="54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55"/>
      <c r="CD215" s="55"/>
      <c r="CE215" s="32"/>
      <c r="CF215" s="32"/>
      <c r="CG215" s="32"/>
      <c r="CH215" s="32"/>
      <c r="CI215" s="32"/>
      <c r="CJ215" s="32"/>
    </row>
    <row r="216" ht="15.75" customHeight="1">
      <c r="A216" s="1"/>
      <c r="B216" s="1"/>
      <c r="C216" s="1"/>
      <c r="D216" s="1"/>
      <c r="E216" s="1"/>
      <c r="F216" s="32"/>
      <c r="G216" s="32"/>
      <c r="H216" s="32"/>
      <c r="I216" s="32"/>
      <c r="J216" s="32"/>
      <c r="K216" s="54"/>
      <c r="L216" s="32"/>
      <c r="M216" s="32"/>
      <c r="N216" s="32"/>
      <c r="O216" s="32"/>
      <c r="P216" s="32"/>
      <c r="Q216" s="32"/>
      <c r="R216" s="32"/>
      <c r="S216" s="54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55"/>
      <c r="CD216" s="55"/>
      <c r="CE216" s="32"/>
      <c r="CF216" s="32"/>
      <c r="CG216" s="32"/>
      <c r="CH216" s="32"/>
      <c r="CI216" s="32"/>
      <c r="CJ216" s="32"/>
    </row>
    <row r="217" ht="15.75" customHeight="1">
      <c r="A217" s="1"/>
      <c r="B217" s="1"/>
      <c r="C217" s="1"/>
      <c r="D217" s="1"/>
      <c r="E217" s="1"/>
      <c r="F217" s="32"/>
      <c r="G217" s="32"/>
      <c r="H217" s="32"/>
      <c r="I217" s="32"/>
      <c r="J217" s="32"/>
      <c r="K217" s="54"/>
      <c r="L217" s="32"/>
      <c r="M217" s="32"/>
      <c r="N217" s="32"/>
      <c r="O217" s="32"/>
      <c r="P217" s="32"/>
      <c r="Q217" s="32"/>
      <c r="R217" s="32"/>
      <c r="S217" s="54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55"/>
      <c r="CD217" s="55"/>
      <c r="CE217" s="32"/>
      <c r="CF217" s="32"/>
      <c r="CG217" s="32"/>
      <c r="CH217" s="32"/>
      <c r="CI217" s="32"/>
      <c r="CJ217" s="32"/>
    </row>
    <row r="218" ht="15.75" customHeight="1">
      <c r="A218" s="1"/>
      <c r="B218" s="1"/>
      <c r="C218" s="1"/>
      <c r="D218" s="1"/>
      <c r="E218" s="1"/>
      <c r="F218" s="32"/>
      <c r="G218" s="32"/>
      <c r="H218" s="32"/>
      <c r="I218" s="32"/>
      <c r="J218" s="32"/>
      <c r="K218" s="54"/>
      <c r="L218" s="32"/>
      <c r="M218" s="32"/>
      <c r="N218" s="32"/>
      <c r="O218" s="32"/>
      <c r="P218" s="32"/>
      <c r="Q218" s="32"/>
      <c r="R218" s="32"/>
      <c r="S218" s="54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55"/>
      <c r="CD218" s="55"/>
      <c r="CE218" s="32"/>
      <c r="CF218" s="32"/>
      <c r="CG218" s="32"/>
      <c r="CH218" s="32"/>
      <c r="CI218" s="32"/>
      <c r="CJ218" s="32"/>
    </row>
    <row r="219" ht="15.75" customHeight="1">
      <c r="A219" s="1"/>
      <c r="B219" s="1"/>
      <c r="C219" s="1"/>
      <c r="D219" s="1"/>
      <c r="E219" s="1"/>
      <c r="F219" s="32"/>
      <c r="G219" s="32"/>
      <c r="H219" s="32"/>
      <c r="I219" s="32"/>
      <c r="J219" s="32"/>
      <c r="K219" s="54"/>
      <c r="L219" s="32"/>
      <c r="M219" s="32"/>
      <c r="N219" s="32"/>
      <c r="O219" s="32"/>
      <c r="P219" s="32"/>
      <c r="Q219" s="32"/>
      <c r="R219" s="32"/>
      <c r="S219" s="54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55"/>
      <c r="CD219" s="55"/>
      <c r="CE219" s="32"/>
      <c r="CF219" s="32"/>
      <c r="CG219" s="32"/>
      <c r="CH219" s="32"/>
      <c r="CI219" s="32"/>
      <c r="CJ219" s="32"/>
    </row>
    <row r="220" ht="15.75" customHeight="1">
      <c r="A220" s="1"/>
      <c r="B220" s="1"/>
      <c r="C220" s="1"/>
      <c r="D220" s="1"/>
      <c r="E220" s="1"/>
      <c r="F220" s="32"/>
      <c r="G220" s="32"/>
      <c r="H220" s="32"/>
      <c r="I220" s="32"/>
      <c r="J220" s="32"/>
      <c r="K220" s="54"/>
      <c r="L220" s="32"/>
      <c r="M220" s="32"/>
      <c r="N220" s="32"/>
      <c r="O220" s="32"/>
      <c r="P220" s="32"/>
      <c r="Q220" s="32"/>
      <c r="R220" s="32"/>
      <c r="S220" s="54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55"/>
      <c r="CD220" s="55"/>
      <c r="CE220" s="32"/>
      <c r="CF220" s="32"/>
      <c r="CG220" s="32"/>
      <c r="CH220" s="32"/>
      <c r="CI220" s="32"/>
      <c r="CJ220" s="32"/>
    </row>
    <row r="221" ht="15.75" customHeight="1">
      <c r="A221" s="1"/>
      <c r="B221" s="1"/>
      <c r="C221" s="1"/>
      <c r="D221" s="1"/>
      <c r="E221" s="1"/>
      <c r="F221" s="32"/>
      <c r="G221" s="32"/>
      <c r="H221" s="32"/>
      <c r="I221" s="32"/>
      <c r="J221" s="32"/>
      <c r="K221" s="54"/>
      <c r="L221" s="32"/>
      <c r="M221" s="32"/>
      <c r="N221" s="32"/>
      <c r="O221" s="32"/>
      <c r="P221" s="32"/>
      <c r="Q221" s="32"/>
      <c r="R221" s="32"/>
      <c r="S221" s="54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55"/>
      <c r="CD221" s="55"/>
      <c r="CE221" s="32"/>
      <c r="CF221" s="32"/>
      <c r="CG221" s="32"/>
      <c r="CH221" s="32"/>
      <c r="CI221" s="32"/>
      <c r="CJ221" s="32"/>
    </row>
    <row r="222" ht="15.75" customHeight="1">
      <c r="A222" s="1"/>
      <c r="B222" s="1"/>
      <c r="C222" s="1"/>
      <c r="D222" s="1"/>
      <c r="E222" s="1"/>
      <c r="F222" s="32"/>
      <c r="G222" s="32"/>
      <c r="H222" s="32"/>
      <c r="I222" s="32"/>
      <c r="J222" s="32"/>
      <c r="K222" s="54"/>
      <c r="L222" s="32"/>
      <c r="M222" s="32"/>
      <c r="N222" s="32"/>
      <c r="O222" s="32"/>
      <c r="P222" s="32"/>
      <c r="Q222" s="32"/>
      <c r="R222" s="32"/>
      <c r="S222" s="54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55"/>
      <c r="CD222" s="55"/>
      <c r="CE222" s="32"/>
      <c r="CF222" s="32"/>
      <c r="CG222" s="32"/>
      <c r="CH222" s="32"/>
      <c r="CI222" s="32"/>
      <c r="CJ222" s="32"/>
    </row>
    <row r="223" ht="15.75" customHeight="1">
      <c r="A223" s="1"/>
      <c r="B223" s="1"/>
      <c r="C223" s="1"/>
      <c r="D223" s="1"/>
      <c r="E223" s="1"/>
      <c r="F223" s="32"/>
      <c r="G223" s="32"/>
      <c r="H223" s="32"/>
      <c r="I223" s="32"/>
      <c r="J223" s="32"/>
      <c r="K223" s="54"/>
      <c r="L223" s="32"/>
      <c r="M223" s="32"/>
      <c r="N223" s="32"/>
      <c r="O223" s="32"/>
      <c r="P223" s="32"/>
      <c r="Q223" s="32"/>
      <c r="R223" s="32"/>
      <c r="S223" s="54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55"/>
      <c r="CD223" s="55"/>
      <c r="CE223" s="32"/>
      <c r="CF223" s="32"/>
      <c r="CG223" s="32"/>
      <c r="CH223" s="32"/>
      <c r="CI223" s="32"/>
      <c r="CJ223" s="32"/>
    </row>
    <row r="224" ht="15.75" customHeight="1">
      <c r="A224" s="1"/>
      <c r="B224" s="1"/>
      <c r="C224" s="1"/>
      <c r="D224" s="1"/>
      <c r="E224" s="1"/>
      <c r="F224" s="32"/>
      <c r="G224" s="32"/>
      <c r="H224" s="32"/>
      <c r="I224" s="32"/>
      <c r="J224" s="32"/>
      <c r="K224" s="54"/>
      <c r="L224" s="32"/>
      <c r="M224" s="32"/>
      <c r="N224" s="32"/>
      <c r="O224" s="32"/>
      <c r="P224" s="32"/>
      <c r="Q224" s="32"/>
      <c r="R224" s="32"/>
      <c r="S224" s="54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55"/>
      <c r="CD224" s="55"/>
      <c r="CE224" s="32"/>
      <c r="CF224" s="32"/>
      <c r="CG224" s="32"/>
      <c r="CH224" s="32"/>
      <c r="CI224" s="32"/>
      <c r="CJ224" s="32"/>
    </row>
    <row r="225" ht="15.75" customHeight="1">
      <c r="A225" s="1"/>
      <c r="B225" s="1"/>
      <c r="C225" s="1"/>
      <c r="D225" s="1"/>
      <c r="E225" s="1"/>
      <c r="F225" s="32"/>
      <c r="G225" s="32"/>
      <c r="H225" s="32"/>
      <c r="I225" s="32"/>
      <c r="J225" s="32"/>
      <c r="K225" s="54"/>
      <c r="L225" s="32"/>
      <c r="M225" s="32"/>
      <c r="N225" s="32"/>
      <c r="O225" s="32"/>
      <c r="P225" s="32"/>
      <c r="Q225" s="32"/>
      <c r="R225" s="32"/>
      <c r="S225" s="54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55"/>
      <c r="CD225" s="55"/>
      <c r="CE225" s="32"/>
      <c r="CF225" s="32"/>
      <c r="CG225" s="32"/>
      <c r="CH225" s="32"/>
      <c r="CI225" s="32"/>
      <c r="CJ225" s="32"/>
    </row>
    <row r="226" ht="15.75" customHeight="1">
      <c r="A226" s="1"/>
      <c r="B226" s="1"/>
      <c r="C226" s="1"/>
      <c r="D226" s="1"/>
      <c r="E226" s="1"/>
      <c r="F226" s="32"/>
      <c r="G226" s="32"/>
      <c r="H226" s="32"/>
      <c r="I226" s="32"/>
      <c r="J226" s="32"/>
      <c r="K226" s="54"/>
      <c r="L226" s="32"/>
      <c r="M226" s="32"/>
      <c r="N226" s="32"/>
      <c r="O226" s="32"/>
      <c r="P226" s="32"/>
      <c r="Q226" s="32"/>
      <c r="R226" s="32"/>
      <c r="S226" s="54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55"/>
      <c r="CD226" s="55"/>
      <c r="CE226" s="32"/>
      <c r="CF226" s="32"/>
      <c r="CG226" s="32"/>
      <c r="CH226" s="32"/>
      <c r="CI226" s="32"/>
      <c r="CJ226" s="32"/>
    </row>
    <row r="227" ht="15.75" customHeight="1">
      <c r="A227" s="1"/>
      <c r="B227" s="1"/>
      <c r="C227" s="1"/>
      <c r="D227" s="1"/>
      <c r="E227" s="1"/>
      <c r="F227" s="32"/>
      <c r="G227" s="32"/>
      <c r="H227" s="32"/>
      <c r="I227" s="32"/>
      <c r="J227" s="32"/>
      <c r="K227" s="54"/>
      <c r="L227" s="32"/>
      <c r="M227" s="32"/>
      <c r="N227" s="32"/>
      <c r="O227" s="32"/>
      <c r="P227" s="32"/>
      <c r="Q227" s="32"/>
      <c r="R227" s="32"/>
      <c r="S227" s="54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55"/>
      <c r="CD227" s="55"/>
      <c r="CE227" s="32"/>
      <c r="CF227" s="32"/>
      <c r="CG227" s="32"/>
      <c r="CH227" s="32"/>
      <c r="CI227" s="32"/>
      <c r="CJ227" s="32"/>
    </row>
    <row r="228" ht="15.75" customHeight="1">
      <c r="A228" s="1"/>
      <c r="B228" s="1"/>
      <c r="C228" s="1"/>
      <c r="D228" s="1"/>
      <c r="E228" s="1"/>
      <c r="F228" s="32"/>
      <c r="G228" s="32"/>
      <c r="H228" s="32"/>
      <c r="I228" s="32"/>
      <c r="J228" s="32"/>
      <c r="K228" s="54"/>
      <c r="L228" s="32"/>
      <c r="M228" s="32"/>
      <c r="N228" s="32"/>
      <c r="O228" s="32"/>
      <c r="P228" s="32"/>
      <c r="Q228" s="32"/>
      <c r="R228" s="32"/>
      <c r="S228" s="54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55"/>
      <c r="CD228" s="55"/>
      <c r="CE228" s="32"/>
      <c r="CF228" s="32"/>
      <c r="CG228" s="32"/>
      <c r="CH228" s="32"/>
      <c r="CI228" s="32"/>
      <c r="CJ228" s="32"/>
    </row>
    <row r="229" ht="15.75" customHeight="1">
      <c r="A229" s="1"/>
      <c r="B229" s="1"/>
      <c r="C229" s="1"/>
      <c r="D229" s="1"/>
      <c r="E229" s="1"/>
      <c r="F229" s="32"/>
      <c r="G229" s="32"/>
      <c r="H229" s="32"/>
      <c r="I229" s="32"/>
      <c r="J229" s="32"/>
      <c r="K229" s="54"/>
      <c r="L229" s="32"/>
      <c r="M229" s="32"/>
      <c r="N229" s="32"/>
      <c r="O229" s="32"/>
      <c r="P229" s="32"/>
      <c r="Q229" s="32"/>
      <c r="R229" s="32"/>
      <c r="S229" s="54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55"/>
      <c r="CD229" s="55"/>
      <c r="CE229" s="32"/>
      <c r="CF229" s="32"/>
      <c r="CG229" s="32"/>
      <c r="CH229" s="32"/>
      <c r="CI229" s="32"/>
      <c r="CJ229" s="32"/>
    </row>
    <row r="230" ht="15.75" customHeight="1">
      <c r="A230" s="1"/>
      <c r="B230" s="1"/>
      <c r="C230" s="1"/>
      <c r="D230" s="1"/>
      <c r="E230" s="1"/>
      <c r="F230" s="32"/>
      <c r="G230" s="32"/>
      <c r="H230" s="32"/>
      <c r="I230" s="32"/>
      <c r="J230" s="32"/>
      <c r="K230" s="54"/>
      <c r="L230" s="32"/>
      <c r="M230" s="32"/>
      <c r="N230" s="32"/>
      <c r="O230" s="32"/>
      <c r="P230" s="32"/>
      <c r="Q230" s="32"/>
      <c r="R230" s="32"/>
      <c r="S230" s="54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55"/>
      <c r="CD230" s="55"/>
      <c r="CE230" s="32"/>
      <c r="CF230" s="32"/>
      <c r="CG230" s="32"/>
      <c r="CH230" s="32"/>
      <c r="CI230" s="32"/>
      <c r="CJ230" s="32"/>
    </row>
    <row r="231" ht="15.75" customHeight="1">
      <c r="A231" s="1"/>
      <c r="B231" s="1"/>
      <c r="C231" s="1"/>
      <c r="D231" s="1"/>
      <c r="E231" s="1"/>
      <c r="F231" s="32"/>
      <c r="G231" s="32"/>
      <c r="H231" s="32"/>
      <c r="I231" s="32"/>
      <c r="J231" s="32"/>
      <c r="K231" s="54"/>
      <c r="L231" s="32"/>
      <c r="M231" s="32"/>
      <c r="N231" s="32"/>
      <c r="O231" s="32"/>
      <c r="P231" s="32"/>
      <c r="Q231" s="32"/>
      <c r="R231" s="32"/>
      <c r="S231" s="54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55"/>
      <c r="CD231" s="55"/>
      <c r="CE231" s="32"/>
      <c r="CF231" s="32"/>
      <c r="CG231" s="32"/>
      <c r="CH231" s="32"/>
      <c r="CI231" s="32"/>
      <c r="CJ231" s="32"/>
    </row>
    <row r="232" ht="15.75" customHeight="1">
      <c r="A232" s="1"/>
      <c r="B232" s="1"/>
      <c r="C232" s="1"/>
      <c r="D232" s="1"/>
      <c r="E232" s="1"/>
      <c r="F232" s="32"/>
      <c r="G232" s="32"/>
      <c r="H232" s="32"/>
      <c r="I232" s="32"/>
      <c r="J232" s="32"/>
      <c r="K232" s="54"/>
      <c r="L232" s="32"/>
      <c r="M232" s="32"/>
      <c r="N232" s="32"/>
      <c r="O232" s="32"/>
      <c r="P232" s="32"/>
      <c r="Q232" s="32"/>
      <c r="R232" s="32"/>
      <c r="S232" s="54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55"/>
      <c r="CD232" s="55"/>
      <c r="CE232" s="32"/>
      <c r="CF232" s="32"/>
      <c r="CG232" s="32"/>
      <c r="CH232" s="32"/>
      <c r="CI232" s="32"/>
      <c r="CJ232" s="32"/>
    </row>
    <row r="233" ht="15.75" customHeight="1">
      <c r="A233" s="1"/>
      <c r="B233" s="1"/>
      <c r="C233" s="1"/>
      <c r="D233" s="1"/>
      <c r="E233" s="1"/>
      <c r="F233" s="32"/>
      <c r="G233" s="32"/>
      <c r="H233" s="32"/>
      <c r="I233" s="32"/>
      <c r="J233" s="32"/>
      <c r="K233" s="54"/>
      <c r="L233" s="32"/>
      <c r="M233" s="32"/>
      <c r="N233" s="32"/>
      <c r="O233" s="32"/>
      <c r="P233" s="32"/>
      <c r="Q233" s="32"/>
      <c r="R233" s="32"/>
      <c r="S233" s="54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55"/>
      <c r="CD233" s="55"/>
      <c r="CE233" s="32"/>
      <c r="CF233" s="32"/>
      <c r="CG233" s="32"/>
      <c r="CH233" s="32"/>
      <c r="CI233" s="32"/>
      <c r="CJ233" s="32"/>
    </row>
    <row r="234" ht="15.75" customHeight="1">
      <c r="A234" s="1"/>
      <c r="B234" s="1"/>
      <c r="C234" s="1"/>
      <c r="D234" s="1"/>
      <c r="E234" s="1"/>
      <c r="F234" s="32"/>
      <c r="G234" s="32"/>
      <c r="H234" s="32"/>
      <c r="I234" s="32"/>
      <c r="J234" s="32"/>
      <c r="K234" s="54"/>
      <c r="L234" s="32"/>
      <c r="M234" s="32"/>
      <c r="N234" s="32"/>
      <c r="O234" s="32"/>
      <c r="P234" s="32"/>
      <c r="Q234" s="32"/>
      <c r="R234" s="32"/>
      <c r="S234" s="54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55"/>
      <c r="CD234" s="55"/>
      <c r="CE234" s="32"/>
      <c r="CF234" s="32"/>
      <c r="CG234" s="32"/>
      <c r="CH234" s="32"/>
      <c r="CI234" s="32"/>
      <c r="CJ234" s="32"/>
    </row>
    <row r="235" ht="15.75" customHeight="1">
      <c r="A235" s="1"/>
      <c r="B235" s="1"/>
      <c r="C235" s="1"/>
      <c r="D235" s="1"/>
      <c r="E235" s="1"/>
      <c r="F235" s="32"/>
      <c r="G235" s="32"/>
      <c r="H235" s="32"/>
      <c r="I235" s="32"/>
      <c r="J235" s="32"/>
      <c r="K235" s="54"/>
      <c r="L235" s="32"/>
      <c r="M235" s="32"/>
      <c r="N235" s="32"/>
      <c r="O235" s="32"/>
      <c r="P235" s="32"/>
      <c r="Q235" s="32"/>
      <c r="R235" s="32"/>
      <c r="S235" s="54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55"/>
      <c r="CD235" s="55"/>
      <c r="CE235" s="32"/>
      <c r="CF235" s="32"/>
      <c r="CG235" s="32"/>
      <c r="CH235" s="32"/>
      <c r="CI235" s="32"/>
      <c r="CJ235" s="32"/>
    </row>
    <row r="236" ht="15.75" customHeight="1">
      <c r="A236" s="1"/>
      <c r="B236" s="1"/>
      <c r="C236" s="1"/>
      <c r="D236" s="1"/>
      <c r="E236" s="1"/>
      <c r="F236" s="32"/>
      <c r="G236" s="32"/>
      <c r="H236" s="32"/>
      <c r="I236" s="32"/>
      <c r="J236" s="32"/>
      <c r="K236" s="54"/>
      <c r="L236" s="32"/>
      <c r="M236" s="32"/>
      <c r="N236" s="32"/>
      <c r="O236" s="32"/>
      <c r="P236" s="32"/>
      <c r="Q236" s="32"/>
      <c r="R236" s="32"/>
      <c r="S236" s="54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55"/>
      <c r="CD236" s="55"/>
      <c r="CE236" s="32"/>
      <c r="CF236" s="32"/>
      <c r="CG236" s="32"/>
      <c r="CH236" s="32"/>
      <c r="CI236" s="32"/>
      <c r="CJ236" s="32"/>
    </row>
    <row r="237" ht="15.75" customHeight="1">
      <c r="A237" s="1"/>
      <c r="B237" s="1"/>
      <c r="C237" s="1"/>
      <c r="D237" s="1"/>
      <c r="E237" s="1"/>
      <c r="F237" s="32"/>
      <c r="G237" s="32"/>
      <c r="H237" s="32"/>
      <c r="I237" s="32"/>
      <c r="J237" s="32"/>
      <c r="K237" s="54"/>
      <c r="L237" s="32"/>
      <c r="M237" s="32"/>
      <c r="N237" s="32"/>
      <c r="O237" s="32"/>
      <c r="P237" s="32"/>
      <c r="Q237" s="32"/>
      <c r="R237" s="32"/>
      <c r="S237" s="54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55"/>
      <c r="CD237" s="55"/>
      <c r="CE237" s="32"/>
      <c r="CF237" s="32"/>
      <c r="CG237" s="32"/>
      <c r="CH237" s="32"/>
      <c r="CI237" s="32"/>
      <c r="CJ237" s="32"/>
    </row>
    <row r="238" ht="15.75" customHeight="1">
      <c r="A238" s="1"/>
      <c r="B238" s="1"/>
      <c r="C238" s="1"/>
      <c r="D238" s="1"/>
      <c r="E238" s="1"/>
      <c r="F238" s="32"/>
      <c r="G238" s="32"/>
      <c r="H238" s="32"/>
      <c r="I238" s="32"/>
      <c r="J238" s="32"/>
      <c r="K238" s="54"/>
      <c r="L238" s="32"/>
      <c r="M238" s="32"/>
      <c r="N238" s="32"/>
      <c r="O238" s="32"/>
      <c r="P238" s="32"/>
      <c r="Q238" s="32"/>
      <c r="R238" s="32"/>
      <c r="S238" s="54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55"/>
      <c r="CD238" s="55"/>
      <c r="CE238" s="32"/>
      <c r="CF238" s="32"/>
      <c r="CG238" s="32"/>
      <c r="CH238" s="32"/>
      <c r="CI238" s="32"/>
      <c r="CJ238" s="32"/>
    </row>
    <row r="239" ht="15.75" customHeight="1">
      <c r="A239" s="1"/>
      <c r="B239" s="1"/>
      <c r="C239" s="1"/>
      <c r="D239" s="1"/>
      <c r="E239" s="1"/>
      <c r="F239" s="32"/>
      <c r="G239" s="32"/>
      <c r="H239" s="32"/>
      <c r="I239" s="32"/>
      <c r="J239" s="32"/>
      <c r="K239" s="54"/>
      <c r="L239" s="32"/>
      <c r="M239" s="32"/>
      <c r="N239" s="32"/>
      <c r="O239" s="32"/>
      <c r="P239" s="32"/>
      <c r="Q239" s="32"/>
      <c r="R239" s="32"/>
      <c r="S239" s="54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55"/>
      <c r="CD239" s="55"/>
      <c r="CE239" s="32"/>
      <c r="CF239" s="32"/>
      <c r="CG239" s="32"/>
      <c r="CH239" s="32"/>
      <c r="CI239" s="32"/>
      <c r="CJ239" s="32"/>
    </row>
    <row r="240" ht="15.75" customHeight="1">
      <c r="A240" s="1"/>
      <c r="B240" s="1"/>
      <c r="C240" s="1"/>
      <c r="D240" s="1"/>
      <c r="E240" s="1"/>
      <c r="F240" s="32"/>
      <c r="G240" s="32"/>
      <c r="H240" s="32"/>
      <c r="I240" s="32"/>
      <c r="J240" s="32"/>
      <c r="K240" s="54"/>
      <c r="L240" s="32"/>
      <c r="M240" s="32"/>
      <c r="N240" s="32"/>
      <c r="O240" s="32"/>
      <c r="P240" s="32"/>
      <c r="Q240" s="32"/>
      <c r="R240" s="32"/>
      <c r="S240" s="54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55"/>
      <c r="CD240" s="55"/>
      <c r="CE240" s="32"/>
      <c r="CF240" s="32"/>
      <c r="CG240" s="32"/>
      <c r="CH240" s="32"/>
      <c r="CI240" s="32"/>
      <c r="CJ240" s="32"/>
    </row>
    <row r="241" ht="15.75" customHeight="1">
      <c r="A241" s="1"/>
      <c r="B241" s="1"/>
      <c r="C241" s="1"/>
      <c r="D241" s="1"/>
      <c r="E241" s="1"/>
      <c r="F241" s="32"/>
      <c r="G241" s="32"/>
      <c r="H241" s="32"/>
      <c r="I241" s="32"/>
      <c r="J241" s="32"/>
      <c r="K241" s="54"/>
      <c r="L241" s="32"/>
      <c r="M241" s="32"/>
      <c r="N241" s="32"/>
      <c r="O241" s="32"/>
      <c r="P241" s="32"/>
      <c r="Q241" s="32"/>
      <c r="R241" s="32"/>
      <c r="S241" s="54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55"/>
      <c r="CD241" s="55"/>
      <c r="CE241" s="32"/>
      <c r="CF241" s="32"/>
      <c r="CG241" s="32"/>
      <c r="CH241" s="32"/>
      <c r="CI241" s="32"/>
      <c r="CJ241" s="32"/>
    </row>
    <row r="242" ht="15.75" customHeight="1">
      <c r="A242" s="1"/>
      <c r="B242" s="1"/>
      <c r="C242" s="1"/>
      <c r="D242" s="1"/>
      <c r="E242" s="1"/>
      <c r="F242" s="32"/>
      <c r="G242" s="32"/>
      <c r="H242" s="32"/>
      <c r="I242" s="32"/>
      <c r="J242" s="32"/>
      <c r="K242" s="54"/>
      <c r="L242" s="32"/>
      <c r="M242" s="32"/>
      <c r="N242" s="32"/>
      <c r="O242" s="32"/>
      <c r="P242" s="32"/>
      <c r="Q242" s="32"/>
      <c r="R242" s="32"/>
      <c r="S242" s="54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55"/>
      <c r="CD242" s="55"/>
      <c r="CE242" s="32"/>
      <c r="CF242" s="32"/>
      <c r="CG242" s="32"/>
      <c r="CH242" s="32"/>
      <c r="CI242" s="32"/>
      <c r="CJ242" s="32"/>
    </row>
    <row r="243" ht="15.75" customHeight="1">
      <c r="A243" s="1"/>
      <c r="B243" s="1"/>
      <c r="C243" s="1"/>
      <c r="D243" s="1"/>
      <c r="E243" s="1"/>
      <c r="F243" s="32"/>
      <c r="G243" s="32"/>
      <c r="H243" s="32"/>
      <c r="I243" s="32"/>
      <c r="J243" s="32"/>
      <c r="K243" s="54"/>
      <c r="L243" s="32"/>
      <c r="M243" s="32"/>
      <c r="N243" s="32"/>
      <c r="O243" s="32"/>
      <c r="P243" s="32"/>
      <c r="Q243" s="32"/>
      <c r="R243" s="32"/>
      <c r="S243" s="54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55"/>
      <c r="CD243" s="55"/>
      <c r="CE243" s="32"/>
      <c r="CF243" s="32"/>
      <c r="CG243" s="32"/>
      <c r="CH243" s="32"/>
      <c r="CI243" s="32"/>
      <c r="CJ243" s="32"/>
    </row>
    <row r="244" ht="15.75" customHeight="1">
      <c r="A244" s="1"/>
      <c r="B244" s="1"/>
      <c r="C244" s="1"/>
      <c r="D244" s="1"/>
      <c r="E244" s="1"/>
      <c r="F244" s="32"/>
      <c r="G244" s="32"/>
      <c r="H244" s="32"/>
      <c r="I244" s="32"/>
      <c r="J244" s="32"/>
      <c r="K244" s="54"/>
      <c r="L244" s="32"/>
      <c r="M244" s="32"/>
      <c r="N244" s="32"/>
      <c r="O244" s="32"/>
      <c r="P244" s="32"/>
      <c r="Q244" s="32"/>
      <c r="R244" s="32"/>
      <c r="S244" s="54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55"/>
      <c r="CD244" s="55"/>
      <c r="CE244" s="32"/>
      <c r="CF244" s="32"/>
      <c r="CG244" s="32"/>
      <c r="CH244" s="32"/>
      <c r="CI244" s="32"/>
      <c r="CJ244" s="32"/>
    </row>
    <row r="245" ht="15.75" customHeight="1">
      <c r="A245" s="1"/>
      <c r="B245" s="1"/>
      <c r="C245" s="1"/>
      <c r="D245" s="1"/>
      <c r="E245" s="1"/>
      <c r="F245" s="32"/>
      <c r="G245" s="32"/>
      <c r="H245" s="32"/>
      <c r="I245" s="32"/>
      <c r="J245" s="32"/>
      <c r="K245" s="54"/>
      <c r="L245" s="32"/>
      <c r="M245" s="32"/>
      <c r="N245" s="32"/>
      <c r="O245" s="32"/>
      <c r="P245" s="32"/>
      <c r="Q245" s="32"/>
      <c r="R245" s="32"/>
      <c r="S245" s="54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55"/>
      <c r="CD245" s="55"/>
      <c r="CE245" s="32"/>
      <c r="CF245" s="32"/>
      <c r="CG245" s="32"/>
      <c r="CH245" s="32"/>
      <c r="CI245" s="32"/>
      <c r="CJ245" s="32"/>
    </row>
    <row r="246" ht="15.75" customHeight="1">
      <c r="A246" s="1"/>
      <c r="B246" s="1"/>
      <c r="C246" s="1"/>
      <c r="D246" s="1"/>
      <c r="E246" s="1"/>
      <c r="F246" s="32"/>
      <c r="G246" s="32"/>
      <c r="H246" s="32"/>
      <c r="I246" s="32"/>
      <c r="J246" s="32"/>
      <c r="K246" s="54"/>
      <c r="L246" s="32"/>
      <c r="M246" s="32"/>
      <c r="N246" s="32"/>
      <c r="O246" s="32"/>
      <c r="P246" s="32"/>
      <c r="Q246" s="32"/>
      <c r="R246" s="32"/>
      <c r="S246" s="54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55"/>
      <c r="CD246" s="55"/>
      <c r="CE246" s="32"/>
      <c r="CF246" s="32"/>
      <c r="CG246" s="32"/>
      <c r="CH246" s="32"/>
      <c r="CI246" s="32"/>
      <c r="CJ246" s="32"/>
    </row>
    <row r="247" ht="15.75" customHeight="1">
      <c r="A247" s="1"/>
      <c r="B247" s="1"/>
      <c r="C247" s="1"/>
      <c r="D247" s="1"/>
      <c r="E247" s="1"/>
      <c r="F247" s="32"/>
      <c r="G247" s="32"/>
      <c r="H247" s="32"/>
      <c r="I247" s="32"/>
      <c r="J247" s="32"/>
      <c r="K247" s="54"/>
      <c r="L247" s="32"/>
      <c r="M247" s="32"/>
      <c r="N247" s="32"/>
      <c r="O247" s="32"/>
      <c r="P247" s="32"/>
      <c r="Q247" s="32"/>
      <c r="R247" s="32"/>
      <c r="S247" s="54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55"/>
      <c r="CD247" s="55"/>
      <c r="CE247" s="32"/>
      <c r="CF247" s="32"/>
      <c r="CG247" s="32"/>
      <c r="CH247" s="32"/>
      <c r="CI247" s="32"/>
      <c r="CJ247" s="32"/>
    </row>
    <row r="248" ht="15.75" customHeight="1">
      <c r="A248" s="1"/>
      <c r="B248" s="1"/>
      <c r="C248" s="1"/>
      <c r="D248" s="1"/>
      <c r="E248" s="1"/>
      <c r="F248" s="32"/>
      <c r="G248" s="32"/>
      <c r="H248" s="32"/>
      <c r="I248" s="32"/>
      <c r="J248" s="32"/>
      <c r="K248" s="54"/>
      <c r="L248" s="32"/>
      <c r="M248" s="32"/>
      <c r="N248" s="32"/>
      <c r="O248" s="32"/>
      <c r="P248" s="32"/>
      <c r="Q248" s="32"/>
      <c r="R248" s="32"/>
      <c r="S248" s="54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55"/>
      <c r="CD248" s="55"/>
      <c r="CE248" s="32"/>
      <c r="CF248" s="32"/>
      <c r="CG248" s="32"/>
      <c r="CH248" s="32"/>
      <c r="CI248" s="32"/>
      <c r="CJ248" s="32"/>
    </row>
    <row r="249" ht="15.75" customHeight="1">
      <c r="A249" s="1"/>
      <c r="B249" s="1"/>
      <c r="C249" s="1"/>
      <c r="D249" s="1"/>
      <c r="E249" s="1"/>
      <c r="F249" s="32"/>
      <c r="G249" s="32"/>
      <c r="H249" s="32"/>
      <c r="I249" s="32"/>
      <c r="J249" s="32"/>
      <c r="K249" s="54"/>
      <c r="L249" s="32"/>
      <c r="M249" s="32"/>
      <c r="N249" s="32"/>
      <c r="O249" s="32"/>
      <c r="P249" s="32"/>
      <c r="Q249" s="32"/>
      <c r="R249" s="32"/>
      <c r="S249" s="54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55"/>
      <c r="CD249" s="55"/>
      <c r="CE249" s="32"/>
      <c r="CF249" s="32"/>
      <c r="CG249" s="32"/>
      <c r="CH249" s="32"/>
      <c r="CI249" s="32"/>
      <c r="CJ249" s="32"/>
    </row>
    <row r="250" ht="15.75" customHeight="1">
      <c r="A250" s="1"/>
      <c r="B250" s="1"/>
      <c r="C250" s="1"/>
      <c r="D250" s="1"/>
      <c r="E250" s="1"/>
      <c r="F250" s="32"/>
      <c r="G250" s="32"/>
      <c r="H250" s="32"/>
      <c r="I250" s="32"/>
      <c r="J250" s="32"/>
      <c r="K250" s="54"/>
      <c r="L250" s="32"/>
      <c r="M250" s="32"/>
      <c r="N250" s="32"/>
      <c r="O250" s="32"/>
      <c r="P250" s="32"/>
      <c r="Q250" s="32"/>
      <c r="R250" s="32"/>
      <c r="S250" s="54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55"/>
      <c r="CD250" s="55"/>
      <c r="CE250" s="32"/>
      <c r="CF250" s="32"/>
      <c r="CG250" s="32"/>
      <c r="CH250" s="32"/>
      <c r="CI250" s="32"/>
      <c r="CJ250" s="32"/>
    </row>
    <row r="251" ht="15.75" customHeight="1">
      <c r="A251" s="1"/>
      <c r="B251" s="1"/>
      <c r="C251" s="1"/>
      <c r="D251" s="1"/>
      <c r="E251" s="1"/>
      <c r="F251" s="32"/>
      <c r="G251" s="32"/>
      <c r="H251" s="32"/>
      <c r="I251" s="32"/>
      <c r="J251" s="32"/>
      <c r="K251" s="54"/>
      <c r="L251" s="32"/>
      <c r="M251" s="32"/>
      <c r="N251" s="32"/>
      <c r="O251" s="32"/>
      <c r="P251" s="32"/>
      <c r="Q251" s="32"/>
      <c r="R251" s="32"/>
      <c r="S251" s="54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55"/>
      <c r="CD251" s="55"/>
      <c r="CE251" s="32"/>
      <c r="CF251" s="32"/>
      <c r="CG251" s="32"/>
      <c r="CH251" s="32"/>
      <c r="CI251" s="32"/>
      <c r="CJ251" s="32"/>
    </row>
    <row r="252" ht="15.75" customHeight="1">
      <c r="A252" s="1"/>
      <c r="B252" s="1"/>
      <c r="C252" s="1"/>
      <c r="D252" s="1"/>
      <c r="E252" s="1"/>
      <c r="F252" s="32"/>
      <c r="G252" s="32"/>
      <c r="H252" s="32"/>
      <c r="I252" s="32"/>
      <c r="J252" s="32"/>
      <c r="K252" s="54"/>
      <c r="L252" s="32"/>
      <c r="M252" s="32"/>
      <c r="N252" s="32"/>
      <c r="O252" s="32"/>
      <c r="P252" s="32"/>
      <c r="Q252" s="32"/>
      <c r="R252" s="32"/>
      <c r="S252" s="54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55"/>
      <c r="CD252" s="55"/>
      <c r="CE252" s="32"/>
      <c r="CF252" s="32"/>
      <c r="CG252" s="32"/>
      <c r="CH252" s="32"/>
      <c r="CI252" s="32"/>
      <c r="CJ252" s="32"/>
    </row>
    <row r="253" ht="15.75" customHeight="1">
      <c r="A253" s="1"/>
      <c r="B253" s="1"/>
      <c r="C253" s="1"/>
      <c r="D253" s="1"/>
      <c r="E253" s="1"/>
      <c r="F253" s="32"/>
      <c r="G253" s="32"/>
      <c r="H253" s="32"/>
      <c r="I253" s="32"/>
      <c r="J253" s="32"/>
      <c r="K253" s="54"/>
      <c r="L253" s="32"/>
      <c r="M253" s="32"/>
      <c r="N253" s="32"/>
      <c r="O253" s="32"/>
      <c r="P253" s="32"/>
      <c r="Q253" s="32"/>
      <c r="R253" s="32"/>
      <c r="S253" s="54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55"/>
      <c r="CD253" s="55"/>
      <c r="CE253" s="32"/>
      <c r="CF253" s="32"/>
      <c r="CG253" s="32"/>
      <c r="CH253" s="32"/>
      <c r="CI253" s="32"/>
      <c r="CJ253" s="32"/>
    </row>
    <row r="254" ht="15.75" customHeight="1">
      <c r="A254" s="1"/>
      <c r="B254" s="1"/>
      <c r="C254" s="1"/>
      <c r="D254" s="1"/>
      <c r="E254" s="1"/>
      <c r="F254" s="32"/>
      <c r="G254" s="32"/>
      <c r="H254" s="32"/>
      <c r="I254" s="32"/>
      <c r="J254" s="32"/>
      <c r="K254" s="54"/>
      <c r="L254" s="32"/>
      <c r="M254" s="32"/>
      <c r="N254" s="32"/>
      <c r="O254" s="32"/>
      <c r="P254" s="32"/>
      <c r="Q254" s="32"/>
      <c r="R254" s="32"/>
      <c r="S254" s="54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2"/>
      <c r="BB254" s="32"/>
      <c r="BC254" s="32"/>
      <c r="BD254" s="32"/>
      <c r="BE254" s="32"/>
      <c r="BF254" s="32"/>
      <c r="BG254" s="32"/>
      <c r="BH254" s="32"/>
      <c r="BI254" s="32"/>
      <c r="BJ254" s="32"/>
      <c r="BK254" s="32"/>
      <c r="BL254" s="32"/>
      <c r="BM254" s="32"/>
      <c r="BN254" s="32"/>
      <c r="BO254" s="32"/>
      <c r="BP254" s="32"/>
      <c r="BQ254" s="32"/>
      <c r="BR254" s="32"/>
      <c r="BS254" s="32"/>
      <c r="BT254" s="32"/>
      <c r="BU254" s="32"/>
      <c r="BV254" s="32"/>
      <c r="BW254" s="32"/>
      <c r="BX254" s="32"/>
      <c r="BY254" s="32"/>
      <c r="BZ254" s="32"/>
      <c r="CA254" s="32"/>
      <c r="CB254" s="32"/>
      <c r="CC254" s="55"/>
      <c r="CD254" s="55"/>
      <c r="CE254" s="32"/>
      <c r="CF254" s="32"/>
      <c r="CG254" s="32"/>
      <c r="CH254" s="32"/>
      <c r="CI254" s="32"/>
      <c r="CJ254" s="32"/>
    </row>
    <row r="255" ht="15.75" customHeight="1">
      <c r="A255" s="1"/>
      <c r="B255" s="1"/>
      <c r="C255" s="1"/>
      <c r="D255" s="1"/>
      <c r="E255" s="1"/>
      <c r="F255" s="32"/>
      <c r="G255" s="32"/>
      <c r="H255" s="32"/>
      <c r="I255" s="32"/>
      <c r="J255" s="32"/>
      <c r="K255" s="54"/>
      <c r="L255" s="32"/>
      <c r="M255" s="32"/>
      <c r="N255" s="32"/>
      <c r="O255" s="32"/>
      <c r="P255" s="32"/>
      <c r="Q255" s="32"/>
      <c r="R255" s="32"/>
      <c r="S255" s="54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  <c r="BA255" s="32"/>
      <c r="BB255" s="32"/>
      <c r="BC255" s="32"/>
      <c r="BD255" s="32"/>
      <c r="BE255" s="32"/>
      <c r="BF255" s="32"/>
      <c r="BG255" s="32"/>
      <c r="BH255" s="32"/>
      <c r="BI255" s="32"/>
      <c r="BJ255" s="32"/>
      <c r="BK255" s="32"/>
      <c r="BL255" s="32"/>
      <c r="BM255" s="32"/>
      <c r="BN255" s="32"/>
      <c r="BO255" s="32"/>
      <c r="BP255" s="32"/>
      <c r="BQ255" s="32"/>
      <c r="BR255" s="32"/>
      <c r="BS255" s="32"/>
      <c r="BT255" s="32"/>
      <c r="BU255" s="32"/>
      <c r="BV255" s="32"/>
      <c r="BW255" s="32"/>
      <c r="BX255" s="32"/>
      <c r="BY255" s="32"/>
      <c r="BZ255" s="32"/>
      <c r="CA255" s="32"/>
      <c r="CB255" s="32"/>
      <c r="CC255" s="55"/>
      <c r="CD255" s="55"/>
      <c r="CE255" s="32"/>
      <c r="CF255" s="32"/>
      <c r="CG255" s="32"/>
      <c r="CH255" s="32"/>
      <c r="CI255" s="32"/>
      <c r="CJ255" s="32"/>
    </row>
    <row r="256" ht="15.75" customHeight="1">
      <c r="A256" s="1"/>
      <c r="B256" s="1"/>
      <c r="C256" s="1"/>
      <c r="D256" s="1"/>
      <c r="E256" s="1"/>
      <c r="F256" s="32"/>
      <c r="G256" s="32"/>
      <c r="H256" s="32"/>
      <c r="I256" s="32"/>
      <c r="J256" s="32"/>
      <c r="K256" s="54"/>
      <c r="L256" s="32"/>
      <c r="M256" s="32"/>
      <c r="N256" s="32"/>
      <c r="O256" s="32"/>
      <c r="P256" s="32"/>
      <c r="Q256" s="32"/>
      <c r="R256" s="32"/>
      <c r="S256" s="54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  <c r="AY256" s="32"/>
      <c r="AZ256" s="32"/>
      <c r="BA256" s="32"/>
      <c r="BB256" s="32"/>
      <c r="BC256" s="32"/>
      <c r="BD256" s="32"/>
      <c r="BE256" s="32"/>
      <c r="BF256" s="32"/>
      <c r="BG256" s="32"/>
      <c r="BH256" s="32"/>
      <c r="BI256" s="32"/>
      <c r="BJ256" s="32"/>
      <c r="BK256" s="32"/>
      <c r="BL256" s="32"/>
      <c r="BM256" s="32"/>
      <c r="BN256" s="32"/>
      <c r="BO256" s="32"/>
      <c r="BP256" s="32"/>
      <c r="BQ256" s="32"/>
      <c r="BR256" s="32"/>
      <c r="BS256" s="32"/>
      <c r="BT256" s="32"/>
      <c r="BU256" s="32"/>
      <c r="BV256" s="32"/>
      <c r="BW256" s="32"/>
      <c r="BX256" s="32"/>
      <c r="BY256" s="32"/>
      <c r="BZ256" s="32"/>
      <c r="CA256" s="32"/>
      <c r="CB256" s="32"/>
      <c r="CC256" s="55"/>
      <c r="CD256" s="55"/>
      <c r="CE256" s="32"/>
      <c r="CF256" s="32"/>
      <c r="CG256" s="32"/>
      <c r="CH256" s="32"/>
      <c r="CI256" s="32"/>
      <c r="CJ256" s="32"/>
    </row>
    <row r="257" ht="15.75" customHeight="1">
      <c r="A257" s="1"/>
      <c r="B257" s="1"/>
      <c r="C257" s="1"/>
      <c r="D257" s="1"/>
      <c r="E257" s="1"/>
      <c r="F257" s="32"/>
      <c r="G257" s="32"/>
      <c r="H257" s="32"/>
      <c r="I257" s="32"/>
      <c r="J257" s="32"/>
      <c r="K257" s="54"/>
      <c r="L257" s="32"/>
      <c r="M257" s="32"/>
      <c r="N257" s="32"/>
      <c r="O257" s="32"/>
      <c r="P257" s="32"/>
      <c r="Q257" s="32"/>
      <c r="R257" s="32"/>
      <c r="S257" s="54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  <c r="AY257" s="32"/>
      <c r="AZ257" s="32"/>
      <c r="BA257" s="32"/>
      <c r="BB257" s="32"/>
      <c r="BC257" s="32"/>
      <c r="BD257" s="32"/>
      <c r="BE257" s="32"/>
      <c r="BF257" s="32"/>
      <c r="BG257" s="32"/>
      <c r="BH257" s="32"/>
      <c r="BI257" s="32"/>
      <c r="BJ257" s="32"/>
      <c r="BK257" s="32"/>
      <c r="BL257" s="32"/>
      <c r="BM257" s="32"/>
      <c r="BN257" s="32"/>
      <c r="BO257" s="32"/>
      <c r="BP257" s="32"/>
      <c r="BQ257" s="32"/>
      <c r="BR257" s="32"/>
      <c r="BS257" s="32"/>
      <c r="BT257" s="32"/>
      <c r="BU257" s="32"/>
      <c r="BV257" s="32"/>
      <c r="BW257" s="32"/>
      <c r="BX257" s="32"/>
      <c r="BY257" s="32"/>
      <c r="BZ257" s="32"/>
      <c r="CA257" s="32"/>
      <c r="CB257" s="32"/>
      <c r="CC257" s="55"/>
      <c r="CD257" s="55"/>
      <c r="CE257" s="32"/>
      <c r="CF257" s="32"/>
      <c r="CG257" s="32"/>
      <c r="CH257" s="32"/>
      <c r="CI257" s="32"/>
      <c r="CJ257" s="32"/>
    </row>
    <row r="258" ht="15.75" customHeight="1">
      <c r="A258" s="1"/>
      <c r="B258" s="1"/>
      <c r="C258" s="1"/>
      <c r="D258" s="1"/>
      <c r="E258" s="1"/>
      <c r="F258" s="32"/>
      <c r="G258" s="32"/>
      <c r="H258" s="32"/>
      <c r="I258" s="32"/>
      <c r="J258" s="32"/>
      <c r="K258" s="54"/>
      <c r="L258" s="32"/>
      <c r="M258" s="32"/>
      <c r="N258" s="32"/>
      <c r="O258" s="32"/>
      <c r="P258" s="32"/>
      <c r="Q258" s="32"/>
      <c r="R258" s="32"/>
      <c r="S258" s="54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2"/>
      <c r="BB258" s="32"/>
      <c r="BC258" s="32"/>
      <c r="BD258" s="32"/>
      <c r="BE258" s="32"/>
      <c r="BF258" s="32"/>
      <c r="BG258" s="32"/>
      <c r="BH258" s="32"/>
      <c r="BI258" s="32"/>
      <c r="BJ258" s="32"/>
      <c r="BK258" s="32"/>
      <c r="BL258" s="32"/>
      <c r="BM258" s="32"/>
      <c r="BN258" s="32"/>
      <c r="BO258" s="32"/>
      <c r="BP258" s="32"/>
      <c r="BQ258" s="32"/>
      <c r="BR258" s="32"/>
      <c r="BS258" s="32"/>
      <c r="BT258" s="32"/>
      <c r="BU258" s="32"/>
      <c r="BV258" s="32"/>
      <c r="BW258" s="32"/>
      <c r="BX258" s="32"/>
      <c r="BY258" s="32"/>
      <c r="BZ258" s="32"/>
      <c r="CA258" s="32"/>
      <c r="CB258" s="32"/>
      <c r="CC258" s="55"/>
      <c r="CD258" s="55"/>
      <c r="CE258" s="32"/>
      <c r="CF258" s="32"/>
      <c r="CG258" s="32"/>
      <c r="CH258" s="32"/>
      <c r="CI258" s="32"/>
      <c r="CJ258" s="32"/>
    </row>
    <row r="259" ht="15.75" customHeight="1">
      <c r="A259" s="1"/>
      <c r="B259" s="1"/>
      <c r="C259" s="1"/>
      <c r="D259" s="1"/>
      <c r="E259" s="1"/>
      <c r="F259" s="32"/>
      <c r="G259" s="32"/>
      <c r="H259" s="32"/>
      <c r="I259" s="32"/>
      <c r="J259" s="32"/>
      <c r="K259" s="54"/>
      <c r="L259" s="32"/>
      <c r="M259" s="32"/>
      <c r="N259" s="32"/>
      <c r="O259" s="32"/>
      <c r="P259" s="32"/>
      <c r="Q259" s="32"/>
      <c r="R259" s="32"/>
      <c r="S259" s="54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  <c r="BD259" s="32"/>
      <c r="BE259" s="32"/>
      <c r="BF259" s="32"/>
      <c r="BG259" s="32"/>
      <c r="BH259" s="32"/>
      <c r="BI259" s="32"/>
      <c r="BJ259" s="32"/>
      <c r="BK259" s="32"/>
      <c r="BL259" s="32"/>
      <c r="BM259" s="32"/>
      <c r="BN259" s="32"/>
      <c r="BO259" s="32"/>
      <c r="BP259" s="32"/>
      <c r="BQ259" s="32"/>
      <c r="BR259" s="32"/>
      <c r="BS259" s="32"/>
      <c r="BT259" s="32"/>
      <c r="BU259" s="32"/>
      <c r="BV259" s="32"/>
      <c r="BW259" s="32"/>
      <c r="BX259" s="32"/>
      <c r="BY259" s="32"/>
      <c r="BZ259" s="32"/>
      <c r="CA259" s="32"/>
      <c r="CB259" s="32"/>
      <c r="CC259" s="55"/>
      <c r="CD259" s="55"/>
      <c r="CE259" s="32"/>
      <c r="CF259" s="32"/>
      <c r="CG259" s="32"/>
      <c r="CH259" s="32"/>
      <c r="CI259" s="32"/>
      <c r="CJ259" s="32"/>
    </row>
    <row r="260" ht="15.75" customHeight="1">
      <c r="A260" s="1"/>
      <c r="B260" s="1"/>
      <c r="C260" s="1"/>
      <c r="D260" s="1"/>
      <c r="E260" s="1"/>
      <c r="F260" s="32"/>
      <c r="G260" s="32"/>
      <c r="H260" s="32"/>
      <c r="I260" s="32"/>
      <c r="J260" s="32"/>
      <c r="K260" s="54"/>
      <c r="L260" s="32"/>
      <c r="M260" s="32"/>
      <c r="N260" s="32"/>
      <c r="O260" s="32"/>
      <c r="P260" s="32"/>
      <c r="Q260" s="32"/>
      <c r="R260" s="32"/>
      <c r="S260" s="54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  <c r="BA260" s="32"/>
      <c r="BB260" s="32"/>
      <c r="BC260" s="32"/>
      <c r="BD260" s="32"/>
      <c r="BE260" s="32"/>
      <c r="BF260" s="32"/>
      <c r="BG260" s="32"/>
      <c r="BH260" s="32"/>
      <c r="BI260" s="32"/>
      <c r="BJ260" s="32"/>
      <c r="BK260" s="32"/>
      <c r="BL260" s="32"/>
      <c r="BM260" s="32"/>
      <c r="BN260" s="32"/>
      <c r="BO260" s="32"/>
      <c r="BP260" s="32"/>
      <c r="BQ260" s="32"/>
      <c r="BR260" s="32"/>
      <c r="BS260" s="32"/>
      <c r="BT260" s="32"/>
      <c r="BU260" s="32"/>
      <c r="BV260" s="32"/>
      <c r="BW260" s="32"/>
      <c r="BX260" s="32"/>
      <c r="BY260" s="32"/>
      <c r="BZ260" s="32"/>
      <c r="CA260" s="32"/>
      <c r="CB260" s="32"/>
      <c r="CC260" s="55"/>
      <c r="CD260" s="55"/>
      <c r="CE260" s="32"/>
      <c r="CF260" s="32"/>
      <c r="CG260" s="32"/>
      <c r="CH260" s="32"/>
      <c r="CI260" s="32"/>
      <c r="CJ260" s="32"/>
    </row>
    <row r="261" ht="15.75" customHeight="1">
      <c r="A261" s="1"/>
      <c r="B261" s="1"/>
      <c r="C261" s="1"/>
      <c r="D261" s="1"/>
      <c r="E261" s="1"/>
      <c r="F261" s="32"/>
      <c r="G261" s="32"/>
      <c r="H261" s="32"/>
      <c r="I261" s="32"/>
      <c r="J261" s="32"/>
      <c r="K261" s="54"/>
      <c r="L261" s="32"/>
      <c r="M261" s="32"/>
      <c r="N261" s="32"/>
      <c r="O261" s="32"/>
      <c r="P261" s="32"/>
      <c r="Q261" s="32"/>
      <c r="R261" s="32"/>
      <c r="S261" s="54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2"/>
      <c r="BB261" s="32"/>
      <c r="BC261" s="32"/>
      <c r="BD261" s="32"/>
      <c r="BE261" s="32"/>
      <c r="BF261" s="32"/>
      <c r="BG261" s="32"/>
      <c r="BH261" s="32"/>
      <c r="BI261" s="32"/>
      <c r="BJ261" s="32"/>
      <c r="BK261" s="32"/>
      <c r="BL261" s="32"/>
      <c r="BM261" s="32"/>
      <c r="BN261" s="32"/>
      <c r="BO261" s="32"/>
      <c r="BP261" s="32"/>
      <c r="BQ261" s="32"/>
      <c r="BR261" s="32"/>
      <c r="BS261" s="32"/>
      <c r="BT261" s="32"/>
      <c r="BU261" s="32"/>
      <c r="BV261" s="32"/>
      <c r="BW261" s="32"/>
      <c r="BX261" s="32"/>
      <c r="BY261" s="32"/>
      <c r="BZ261" s="32"/>
      <c r="CA261" s="32"/>
      <c r="CB261" s="32"/>
      <c r="CC261" s="55"/>
      <c r="CD261" s="55"/>
      <c r="CE261" s="32"/>
      <c r="CF261" s="32"/>
      <c r="CG261" s="32"/>
      <c r="CH261" s="32"/>
      <c r="CI261" s="32"/>
      <c r="CJ261" s="32"/>
    </row>
    <row r="262" ht="15.75" customHeight="1">
      <c r="A262" s="1"/>
      <c r="B262" s="1"/>
      <c r="C262" s="1"/>
      <c r="D262" s="1"/>
      <c r="E262" s="1"/>
      <c r="F262" s="32"/>
      <c r="G262" s="32"/>
      <c r="H262" s="32"/>
      <c r="I262" s="32"/>
      <c r="J262" s="32"/>
      <c r="K262" s="54"/>
      <c r="L262" s="32"/>
      <c r="M262" s="32"/>
      <c r="N262" s="32"/>
      <c r="O262" s="32"/>
      <c r="P262" s="32"/>
      <c r="Q262" s="32"/>
      <c r="R262" s="32"/>
      <c r="S262" s="54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  <c r="BC262" s="32"/>
      <c r="BD262" s="32"/>
      <c r="BE262" s="32"/>
      <c r="BF262" s="32"/>
      <c r="BG262" s="32"/>
      <c r="BH262" s="32"/>
      <c r="BI262" s="32"/>
      <c r="BJ262" s="32"/>
      <c r="BK262" s="32"/>
      <c r="BL262" s="32"/>
      <c r="BM262" s="32"/>
      <c r="BN262" s="32"/>
      <c r="BO262" s="32"/>
      <c r="BP262" s="32"/>
      <c r="BQ262" s="32"/>
      <c r="BR262" s="32"/>
      <c r="BS262" s="32"/>
      <c r="BT262" s="32"/>
      <c r="BU262" s="32"/>
      <c r="BV262" s="32"/>
      <c r="BW262" s="32"/>
      <c r="BX262" s="32"/>
      <c r="BY262" s="32"/>
      <c r="BZ262" s="32"/>
      <c r="CA262" s="32"/>
      <c r="CB262" s="32"/>
      <c r="CC262" s="55"/>
      <c r="CD262" s="55"/>
      <c r="CE262" s="32"/>
      <c r="CF262" s="32"/>
      <c r="CG262" s="32"/>
      <c r="CH262" s="32"/>
      <c r="CI262" s="32"/>
      <c r="CJ262" s="32"/>
    </row>
    <row r="263" ht="15.75" customHeight="1">
      <c r="A263" s="1"/>
      <c r="B263" s="1"/>
      <c r="C263" s="1"/>
      <c r="D263" s="1"/>
      <c r="E263" s="1"/>
      <c r="F263" s="32"/>
      <c r="G263" s="32"/>
      <c r="H263" s="32"/>
      <c r="I263" s="32"/>
      <c r="J263" s="32"/>
      <c r="K263" s="54"/>
      <c r="L263" s="32"/>
      <c r="M263" s="32"/>
      <c r="N263" s="32"/>
      <c r="O263" s="32"/>
      <c r="P263" s="32"/>
      <c r="Q263" s="32"/>
      <c r="R263" s="32"/>
      <c r="S263" s="54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2"/>
      <c r="BA263" s="32"/>
      <c r="BB263" s="32"/>
      <c r="BC263" s="32"/>
      <c r="BD263" s="32"/>
      <c r="BE263" s="32"/>
      <c r="BF263" s="32"/>
      <c r="BG263" s="32"/>
      <c r="BH263" s="32"/>
      <c r="BI263" s="32"/>
      <c r="BJ263" s="32"/>
      <c r="BK263" s="32"/>
      <c r="BL263" s="32"/>
      <c r="BM263" s="32"/>
      <c r="BN263" s="32"/>
      <c r="BO263" s="32"/>
      <c r="BP263" s="32"/>
      <c r="BQ263" s="32"/>
      <c r="BR263" s="32"/>
      <c r="BS263" s="32"/>
      <c r="BT263" s="32"/>
      <c r="BU263" s="32"/>
      <c r="BV263" s="32"/>
      <c r="BW263" s="32"/>
      <c r="BX263" s="32"/>
      <c r="BY263" s="32"/>
      <c r="BZ263" s="32"/>
      <c r="CA263" s="32"/>
      <c r="CB263" s="32"/>
      <c r="CC263" s="55"/>
      <c r="CD263" s="55"/>
      <c r="CE263" s="32"/>
      <c r="CF263" s="32"/>
      <c r="CG263" s="32"/>
      <c r="CH263" s="32"/>
      <c r="CI263" s="32"/>
      <c r="CJ263" s="32"/>
    </row>
    <row r="264" ht="15.75" customHeight="1">
      <c r="A264" s="1"/>
      <c r="B264" s="1"/>
      <c r="C264" s="1"/>
      <c r="D264" s="1"/>
      <c r="E264" s="1"/>
      <c r="F264" s="32"/>
      <c r="G264" s="32"/>
      <c r="H264" s="32"/>
      <c r="I264" s="32"/>
      <c r="J264" s="32"/>
      <c r="K264" s="54"/>
      <c r="L264" s="32"/>
      <c r="M264" s="32"/>
      <c r="N264" s="32"/>
      <c r="O264" s="32"/>
      <c r="P264" s="32"/>
      <c r="Q264" s="32"/>
      <c r="R264" s="32"/>
      <c r="S264" s="54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2"/>
      <c r="BB264" s="32"/>
      <c r="BC264" s="32"/>
      <c r="BD264" s="32"/>
      <c r="BE264" s="32"/>
      <c r="BF264" s="32"/>
      <c r="BG264" s="32"/>
      <c r="BH264" s="32"/>
      <c r="BI264" s="32"/>
      <c r="BJ264" s="32"/>
      <c r="BK264" s="32"/>
      <c r="BL264" s="32"/>
      <c r="BM264" s="32"/>
      <c r="BN264" s="32"/>
      <c r="BO264" s="32"/>
      <c r="BP264" s="32"/>
      <c r="BQ264" s="32"/>
      <c r="BR264" s="32"/>
      <c r="BS264" s="32"/>
      <c r="BT264" s="32"/>
      <c r="BU264" s="32"/>
      <c r="BV264" s="32"/>
      <c r="BW264" s="32"/>
      <c r="BX264" s="32"/>
      <c r="BY264" s="32"/>
      <c r="BZ264" s="32"/>
      <c r="CA264" s="32"/>
      <c r="CB264" s="32"/>
      <c r="CC264" s="55"/>
      <c r="CD264" s="55"/>
      <c r="CE264" s="32"/>
      <c r="CF264" s="32"/>
      <c r="CG264" s="32"/>
      <c r="CH264" s="32"/>
      <c r="CI264" s="32"/>
      <c r="CJ264" s="32"/>
    </row>
    <row r="265" ht="15.75" customHeight="1">
      <c r="A265" s="1"/>
      <c r="B265" s="1"/>
      <c r="C265" s="1"/>
      <c r="D265" s="1"/>
      <c r="E265" s="1"/>
      <c r="F265" s="32"/>
      <c r="G265" s="32"/>
      <c r="H265" s="32"/>
      <c r="I265" s="32"/>
      <c r="J265" s="32"/>
      <c r="K265" s="54"/>
      <c r="L265" s="32"/>
      <c r="M265" s="32"/>
      <c r="N265" s="32"/>
      <c r="O265" s="32"/>
      <c r="P265" s="32"/>
      <c r="Q265" s="32"/>
      <c r="R265" s="32"/>
      <c r="S265" s="54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  <c r="BA265" s="32"/>
      <c r="BB265" s="32"/>
      <c r="BC265" s="32"/>
      <c r="BD265" s="32"/>
      <c r="BE265" s="32"/>
      <c r="BF265" s="32"/>
      <c r="BG265" s="32"/>
      <c r="BH265" s="32"/>
      <c r="BI265" s="32"/>
      <c r="BJ265" s="32"/>
      <c r="BK265" s="32"/>
      <c r="BL265" s="32"/>
      <c r="BM265" s="32"/>
      <c r="BN265" s="32"/>
      <c r="BO265" s="32"/>
      <c r="BP265" s="32"/>
      <c r="BQ265" s="32"/>
      <c r="BR265" s="32"/>
      <c r="BS265" s="32"/>
      <c r="BT265" s="32"/>
      <c r="BU265" s="32"/>
      <c r="BV265" s="32"/>
      <c r="BW265" s="32"/>
      <c r="BX265" s="32"/>
      <c r="BY265" s="32"/>
      <c r="BZ265" s="32"/>
      <c r="CA265" s="32"/>
      <c r="CB265" s="32"/>
      <c r="CC265" s="55"/>
      <c r="CD265" s="55"/>
      <c r="CE265" s="32"/>
      <c r="CF265" s="32"/>
      <c r="CG265" s="32"/>
      <c r="CH265" s="32"/>
      <c r="CI265" s="32"/>
      <c r="CJ265" s="32"/>
    </row>
    <row r="266" ht="15.75" customHeight="1">
      <c r="A266" s="1"/>
      <c r="B266" s="1"/>
      <c r="C266" s="1"/>
      <c r="D266" s="1"/>
      <c r="E266" s="1"/>
      <c r="F266" s="32"/>
      <c r="G266" s="32"/>
      <c r="H266" s="32"/>
      <c r="I266" s="32"/>
      <c r="J266" s="32"/>
      <c r="K266" s="54"/>
      <c r="L266" s="32"/>
      <c r="M266" s="32"/>
      <c r="N266" s="32"/>
      <c r="O266" s="32"/>
      <c r="P266" s="32"/>
      <c r="Q266" s="32"/>
      <c r="R266" s="32"/>
      <c r="S266" s="54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  <c r="BA266" s="32"/>
      <c r="BB266" s="32"/>
      <c r="BC266" s="32"/>
      <c r="BD266" s="32"/>
      <c r="BE266" s="32"/>
      <c r="BF266" s="32"/>
      <c r="BG266" s="32"/>
      <c r="BH266" s="32"/>
      <c r="BI266" s="32"/>
      <c r="BJ266" s="32"/>
      <c r="BK266" s="32"/>
      <c r="BL266" s="32"/>
      <c r="BM266" s="32"/>
      <c r="BN266" s="32"/>
      <c r="BO266" s="32"/>
      <c r="BP266" s="32"/>
      <c r="BQ266" s="32"/>
      <c r="BR266" s="32"/>
      <c r="BS266" s="32"/>
      <c r="BT266" s="32"/>
      <c r="BU266" s="32"/>
      <c r="BV266" s="32"/>
      <c r="BW266" s="32"/>
      <c r="BX266" s="32"/>
      <c r="BY266" s="32"/>
      <c r="BZ266" s="32"/>
      <c r="CA266" s="32"/>
      <c r="CB266" s="32"/>
      <c r="CC266" s="55"/>
      <c r="CD266" s="55"/>
      <c r="CE266" s="32"/>
      <c r="CF266" s="32"/>
      <c r="CG266" s="32"/>
      <c r="CH266" s="32"/>
      <c r="CI266" s="32"/>
      <c r="CJ266" s="32"/>
    </row>
    <row r="267" ht="15.75" customHeight="1">
      <c r="A267" s="1"/>
      <c r="B267" s="1"/>
      <c r="C267" s="1"/>
      <c r="D267" s="1"/>
      <c r="E267" s="1"/>
      <c r="F267" s="32"/>
      <c r="G267" s="32"/>
      <c r="H267" s="32"/>
      <c r="I267" s="32"/>
      <c r="J267" s="32"/>
      <c r="K267" s="54"/>
      <c r="L267" s="32"/>
      <c r="M267" s="32"/>
      <c r="N267" s="32"/>
      <c r="O267" s="32"/>
      <c r="P267" s="32"/>
      <c r="Q267" s="32"/>
      <c r="R267" s="32"/>
      <c r="S267" s="54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  <c r="AY267" s="32"/>
      <c r="AZ267" s="32"/>
      <c r="BA267" s="32"/>
      <c r="BB267" s="32"/>
      <c r="BC267" s="32"/>
      <c r="BD267" s="32"/>
      <c r="BE267" s="32"/>
      <c r="BF267" s="32"/>
      <c r="BG267" s="32"/>
      <c r="BH267" s="32"/>
      <c r="BI267" s="32"/>
      <c r="BJ267" s="32"/>
      <c r="BK267" s="32"/>
      <c r="BL267" s="32"/>
      <c r="BM267" s="32"/>
      <c r="BN267" s="32"/>
      <c r="BO267" s="32"/>
      <c r="BP267" s="32"/>
      <c r="BQ267" s="32"/>
      <c r="BR267" s="32"/>
      <c r="BS267" s="32"/>
      <c r="BT267" s="32"/>
      <c r="BU267" s="32"/>
      <c r="BV267" s="32"/>
      <c r="BW267" s="32"/>
      <c r="BX267" s="32"/>
      <c r="BY267" s="32"/>
      <c r="BZ267" s="32"/>
      <c r="CA267" s="32"/>
      <c r="CB267" s="32"/>
      <c r="CC267" s="55"/>
      <c r="CD267" s="55"/>
      <c r="CE267" s="32"/>
      <c r="CF267" s="32"/>
      <c r="CG267" s="32"/>
      <c r="CH267" s="32"/>
      <c r="CI267" s="32"/>
      <c r="CJ267" s="32"/>
    </row>
    <row r="268" ht="15.75" customHeight="1">
      <c r="A268" s="1"/>
      <c r="B268" s="1"/>
      <c r="C268" s="1"/>
      <c r="D268" s="1"/>
      <c r="E268" s="1"/>
      <c r="F268" s="32"/>
      <c r="G268" s="32"/>
      <c r="H268" s="32"/>
      <c r="I268" s="32"/>
      <c r="J268" s="32"/>
      <c r="K268" s="54"/>
      <c r="L268" s="32"/>
      <c r="M268" s="32"/>
      <c r="N268" s="32"/>
      <c r="O268" s="32"/>
      <c r="P268" s="32"/>
      <c r="Q268" s="32"/>
      <c r="R268" s="32"/>
      <c r="S268" s="54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  <c r="BA268" s="32"/>
      <c r="BB268" s="32"/>
      <c r="BC268" s="32"/>
      <c r="BD268" s="32"/>
      <c r="BE268" s="32"/>
      <c r="BF268" s="32"/>
      <c r="BG268" s="32"/>
      <c r="BH268" s="32"/>
      <c r="BI268" s="32"/>
      <c r="BJ268" s="32"/>
      <c r="BK268" s="32"/>
      <c r="BL268" s="32"/>
      <c r="BM268" s="32"/>
      <c r="BN268" s="32"/>
      <c r="BO268" s="32"/>
      <c r="BP268" s="32"/>
      <c r="BQ268" s="32"/>
      <c r="BR268" s="32"/>
      <c r="BS268" s="32"/>
      <c r="BT268" s="32"/>
      <c r="BU268" s="32"/>
      <c r="BV268" s="32"/>
      <c r="BW268" s="32"/>
      <c r="BX268" s="32"/>
      <c r="BY268" s="32"/>
      <c r="BZ268" s="32"/>
      <c r="CA268" s="32"/>
      <c r="CB268" s="32"/>
      <c r="CC268" s="55"/>
      <c r="CD268" s="55"/>
      <c r="CE268" s="32"/>
      <c r="CF268" s="32"/>
      <c r="CG268" s="32"/>
      <c r="CH268" s="32"/>
      <c r="CI268" s="32"/>
      <c r="CJ268" s="32"/>
    </row>
    <row r="269" ht="15.75" customHeight="1">
      <c r="A269" s="1"/>
      <c r="B269" s="1"/>
      <c r="C269" s="1"/>
      <c r="D269" s="1"/>
      <c r="E269" s="1"/>
      <c r="F269" s="32"/>
      <c r="G269" s="32"/>
      <c r="H269" s="32"/>
      <c r="I269" s="32"/>
      <c r="J269" s="32"/>
      <c r="K269" s="54"/>
      <c r="L269" s="32"/>
      <c r="M269" s="32"/>
      <c r="N269" s="32"/>
      <c r="O269" s="32"/>
      <c r="P269" s="32"/>
      <c r="Q269" s="32"/>
      <c r="R269" s="32"/>
      <c r="S269" s="54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  <c r="BE269" s="32"/>
      <c r="BF269" s="32"/>
      <c r="BG269" s="32"/>
      <c r="BH269" s="32"/>
      <c r="BI269" s="32"/>
      <c r="BJ269" s="32"/>
      <c r="BK269" s="32"/>
      <c r="BL269" s="32"/>
      <c r="BM269" s="32"/>
      <c r="BN269" s="32"/>
      <c r="BO269" s="32"/>
      <c r="BP269" s="32"/>
      <c r="BQ269" s="32"/>
      <c r="BR269" s="32"/>
      <c r="BS269" s="32"/>
      <c r="BT269" s="32"/>
      <c r="BU269" s="32"/>
      <c r="BV269" s="32"/>
      <c r="BW269" s="32"/>
      <c r="BX269" s="32"/>
      <c r="BY269" s="32"/>
      <c r="BZ269" s="32"/>
      <c r="CA269" s="32"/>
      <c r="CB269" s="32"/>
      <c r="CC269" s="55"/>
      <c r="CD269" s="55"/>
      <c r="CE269" s="32"/>
      <c r="CF269" s="32"/>
      <c r="CG269" s="32"/>
      <c r="CH269" s="32"/>
      <c r="CI269" s="32"/>
      <c r="CJ269" s="32"/>
    </row>
    <row r="270" ht="15.75" customHeight="1">
      <c r="A270" s="1"/>
      <c r="B270" s="1"/>
      <c r="C270" s="1"/>
      <c r="D270" s="1"/>
      <c r="E270" s="1"/>
      <c r="F270" s="32"/>
      <c r="G270" s="32"/>
      <c r="H270" s="32"/>
      <c r="I270" s="32"/>
      <c r="J270" s="32"/>
      <c r="K270" s="54"/>
      <c r="L270" s="32"/>
      <c r="M270" s="32"/>
      <c r="N270" s="32"/>
      <c r="O270" s="32"/>
      <c r="P270" s="32"/>
      <c r="Q270" s="32"/>
      <c r="R270" s="32"/>
      <c r="S270" s="54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2"/>
      <c r="BB270" s="32"/>
      <c r="BC270" s="32"/>
      <c r="BD270" s="32"/>
      <c r="BE270" s="32"/>
      <c r="BF270" s="32"/>
      <c r="BG270" s="32"/>
      <c r="BH270" s="32"/>
      <c r="BI270" s="32"/>
      <c r="BJ270" s="32"/>
      <c r="BK270" s="32"/>
      <c r="BL270" s="32"/>
      <c r="BM270" s="32"/>
      <c r="BN270" s="32"/>
      <c r="BO270" s="32"/>
      <c r="BP270" s="32"/>
      <c r="BQ270" s="32"/>
      <c r="BR270" s="32"/>
      <c r="BS270" s="32"/>
      <c r="BT270" s="32"/>
      <c r="BU270" s="32"/>
      <c r="BV270" s="32"/>
      <c r="BW270" s="32"/>
      <c r="BX270" s="32"/>
      <c r="BY270" s="32"/>
      <c r="BZ270" s="32"/>
      <c r="CA270" s="32"/>
      <c r="CB270" s="32"/>
      <c r="CC270" s="55"/>
      <c r="CD270" s="55"/>
      <c r="CE270" s="32"/>
      <c r="CF270" s="32"/>
      <c r="CG270" s="32"/>
      <c r="CH270" s="32"/>
      <c r="CI270" s="32"/>
      <c r="CJ270" s="32"/>
    </row>
    <row r="271" ht="15.75" customHeight="1">
      <c r="A271" s="1"/>
      <c r="B271" s="1"/>
      <c r="C271" s="1"/>
      <c r="D271" s="1"/>
      <c r="E271" s="1"/>
      <c r="F271" s="32"/>
      <c r="G271" s="32"/>
      <c r="H271" s="32"/>
      <c r="I271" s="32"/>
      <c r="J271" s="32"/>
      <c r="K271" s="54"/>
      <c r="L271" s="32"/>
      <c r="M271" s="32"/>
      <c r="N271" s="32"/>
      <c r="O271" s="32"/>
      <c r="P271" s="32"/>
      <c r="Q271" s="32"/>
      <c r="R271" s="32"/>
      <c r="S271" s="54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  <c r="BD271" s="32"/>
      <c r="BE271" s="32"/>
      <c r="BF271" s="32"/>
      <c r="BG271" s="32"/>
      <c r="BH271" s="32"/>
      <c r="BI271" s="32"/>
      <c r="BJ271" s="32"/>
      <c r="BK271" s="32"/>
      <c r="BL271" s="32"/>
      <c r="BM271" s="32"/>
      <c r="BN271" s="32"/>
      <c r="BO271" s="32"/>
      <c r="BP271" s="32"/>
      <c r="BQ271" s="32"/>
      <c r="BR271" s="32"/>
      <c r="BS271" s="32"/>
      <c r="BT271" s="32"/>
      <c r="BU271" s="32"/>
      <c r="BV271" s="32"/>
      <c r="BW271" s="32"/>
      <c r="BX271" s="32"/>
      <c r="BY271" s="32"/>
      <c r="BZ271" s="32"/>
      <c r="CA271" s="32"/>
      <c r="CB271" s="32"/>
      <c r="CC271" s="55"/>
      <c r="CD271" s="55"/>
      <c r="CE271" s="32"/>
      <c r="CF271" s="32"/>
      <c r="CG271" s="32"/>
      <c r="CH271" s="32"/>
      <c r="CI271" s="32"/>
      <c r="CJ271" s="32"/>
    </row>
    <row r="272" ht="15.75" customHeight="1">
      <c r="A272" s="1"/>
      <c r="B272" s="1"/>
      <c r="C272" s="1"/>
      <c r="D272" s="1"/>
      <c r="E272" s="1"/>
      <c r="F272" s="32"/>
      <c r="G272" s="32"/>
      <c r="H272" s="32"/>
      <c r="I272" s="32"/>
      <c r="J272" s="32"/>
      <c r="K272" s="54"/>
      <c r="L272" s="32"/>
      <c r="M272" s="32"/>
      <c r="N272" s="32"/>
      <c r="O272" s="32"/>
      <c r="P272" s="32"/>
      <c r="Q272" s="32"/>
      <c r="R272" s="32"/>
      <c r="S272" s="54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  <c r="BC272" s="32"/>
      <c r="BD272" s="32"/>
      <c r="BE272" s="32"/>
      <c r="BF272" s="32"/>
      <c r="BG272" s="32"/>
      <c r="BH272" s="32"/>
      <c r="BI272" s="32"/>
      <c r="BJ272" s="32"/>
      <c r="BK272" s="32"/>
      <c r="BL272" s="32"/>
      <c r="BM272" s="32"/>
      <c r="BN272" s="32"/>
      <c r="BO272" s="32"/>
      <c r="BP272" s="32"/>
      <c r="BQ272" s="32"/>
      <c r="BR272" s="32"/>
      <c r="BS272" s="32"/>
      <c r="BT272" s="32"/>
      <c r="BU272" s="32"/>
      <c r="BV272" s="32"/>
      <c r="BW272" s="32"/>
      <c r="BX272" s="32"/>
      <c r="BY272" s="32"/>
      <c r="BZ272" s="32"/>
      <c r="CA272" s="32"/>
      <c r="CB272" s="32"/>
      <c r="CC272" s="55"/>
      <c r="CD272" s="55"/>
      <c r="CE272" s="32"/>
      <c r="CF272" s="32"/>
      <c r="CG272" s="32"/>
      <c r="CH272" s="32"/>
      <c r="CI272" s="32"/>
      <c r="CJ272" s="32"/>
    </row>
    <row r="273" ht="15.75" customHeight="1">
      <c r="A273" s="1"/>
      <c r="B273" s="1"/>
      <c r="C273" s="1"/>
      <c r="D273" s="1"/>
      <c r="E273" s="1"/>
      <c r="F273" s="32"/>
      <c r="G273" s="32"/>
      <c r="H273" s="32"/>
      <c r="I273" s="32"/>
      <c r="J273" s="32"/>
      <c r="K273" s="54"/>
      <c r="L273" s="32"/>
      <c r="M273" s="32"/>
      <c r="N273" s="32"/>
      <c r="O273" s="32"/>
      <c r="P273" s="32"/>
      <c r="Q273" s="32"/>
      <c r="R273" s="32"/>
      <c r="S273" s="54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  <c r="AY273" s="32"/>
      <c r="AZ273" s="32"/>
      <c r="BA273" s="32"/>
      <c r="BB273" s="32"/>
      <c r="BC273" s="32"/>
      <c r="BD273" s="32"/>
      <c r="BE273" s="32"/>
      <c r="BF273" s="32"/>
      <c r="BG273" s="32"/>
      <c r="BH273" s="32"/>
      <c r="BI273" s="32"/>
      <c r="BJ273" s="32"/>
      <c r="BK273" s="32"/>
      <c r="BL273" s="32"/>
      <c r="BM273" s="32"/>
      <c r="BN273" s="32"/>
      <c r="BO273" s="32"/>
      <c r="BP273" s="32"/>
      <c r="BQ273" s="32"/>
      <c r="BR273" s="32"/>
      <c r="BS273" s="32"/>
      <c r="BT273" s="32"/>
      <c r="BU273" s="32"/>
      <c r="BV273" s="32"/>
      <c r="BW273" s="32"/>
      <c r="BX273" s="32"/>
      <c r="BY273" s="32"/>
      <c r="BZ273" s="32"/>
      <c r="CA273" s="32"/>
      <c r="CB273" s="32"/>
      <c r="CC273" s="55"/>
      <c r="CD273" s="55"/>
      <c r="CE273" s="32"/>
      <c r="CF273" s="32"/>
      <c r="CG273" s="32"/>
      <c r="CH273" s="32"/>
      <c r="CI273" s="32"/>
      <c r="CJ273" s="32"/>
    </row>
    <row r="274" ht="15.75" customHeight="1">
      <c r="A274" s="1"/>
      <c r="B274" s="1"/>
      <c r="C274" s="1"/>
      <c r="D274" s="1"/>
      <c r="E274" s="1"/>
      <c r="F274" s="32"/>
      <c r="G274" s="32"/>
      <c r="H274" s="32"/>
      <c r="I274" s="32"/>
      <c r="J274" s="32"/>
      <c r="K274" s="54"/>
      <c r="L274" s="32"/>
      <c r="M274" s="32"/>
      <c r="N274" s="32"/>
      <c r="O274" s="32"/>
      <c r="P274" s="32"/>
      <c r="Q274" s="32"/>
      <c r="R274" s="32"/>
      <c r="S274" s="54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2"/>
      <c r="BB274" s="32"/>
      <c r="BC274" s="32"/>
      <c r="BD274" s="32"/>
      <c r="BE274" s="32"/>
      <c r="BF274" s="32"/>
      <c r="BG274" s="32"/>
      <c r="BH274" s="32"/>
      <c r="BI274" s="32"/>
      <c r="BJ274" s="32"/>
      <c r="BK274" s="32"/>
      <c r="BL274" s="32"/>
      <c r="BM274" s="32"/>
      <c r="BN274" s="32"/>
      <c r="BO274" s="32"/>
      <c r="BP274" s="32"/>
      <c r="BQ274" s="32"/>
      <c r="BR274" s="32"/>
      <c r="BS274" s="32"/>
      <c r="BT274" s="32"/>
      <c r="BU274" s="32"/>
      <c r="BV274" s="32"/>
      <c r="BW274" s="32"/>
      <c r="BX274" s="32"/>
      <c r="BY274" s="32"/>
      <c r="BZ274" s="32"/>
      <c r="CA274" s="32"/>
      <c r="CB274" s="32"/>
      <c r="CC274" s="55"/>
      <c r="CD274" s="55"/>
      <c r="CE274" s="32"/>
      <c r="CF274" s="32"/>
      <c r="CG274" s="32"/>
      <c r="CH274" s="32"/>
      <c r="CI274" s="32"/>
      <c r="CJ274" s="32"/>
    </row>
    <row r="275" ht="15.75" customHeight="1">
      <c r="A275" s="1"/>
      <c r="B275" s="1"/>
      <c r="C275" s="1"/>
      <c r="D275" s="1"/>
      <c r="E275" s="1"/>
      <c r="F275" s="32"/>
      <c r="G275" s="32"/>
      <c r="H275" s="32"/>
      <c r="I275" s="32"/>
      <c r="J275" s="32"/>
      <c r="K275" s="54"/>
      <c r="L275" s="32"/>
      <c r="M275" s="32"/>
      <c r="N275" s="32"/>
      <c r="O275" s="32"/>
      <c r="P275" s="32"/>
      <c r="Q275" s="32"/>
      <c r="R275" s="32"/>
      <c r="S275" s="54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  <c r="BA275" s="32"/>
      <c r="BB275" s="32"/>
      <c r="BC275" s="32"/>
      <c r="BD275" s="32"/>
      <c r="BE275" s="32"/>
      <c r="BF275" s="32"/>
      <c r="BG275" s="32"/>
      <c r="BH275" s="32"/>
      <c r="BI275" s="32"/>
      <c r="BJ275" s="32"/>
      <c r="BK275" s="32"/>
      <c r="BL275" s="32"/>
      <c r="BM275" s="32"/>
      <c r="BN275" s="32"/>
      <c r="BO275" s="32"/>
      <c r="BP275" s="32"/>
      <c r="BQ275" s="32"/>
      <c r="BR275" s="32"/>
      <c r="BS275" s="32"/>
      <c r="BT275" s="32"/>
      <c r="BU275" s="32"/>
      <c r="BV275" s="32"/>
      <c r="BW275" s="32"/>
      <c r="BX275" s="32"/>
      <c r="BY275" s="32"/>
      <c r="BZ275" s="32"/>
      <c r="CA275" s="32"/>
      <c r="CB275" s="32"/>
      <c r="CC275" s="55"/>
      <c r="CD275" s="55"/>
      <c r="CE275" s="32"/>
      <c r="CF275" s="32"/>
      <c r="CG275" s="32"/>
      <c r="CH275" s="32"/>
      <c r="CI275" s="32"/>
      <c r="CJ275" s="32"/>
    </row>
    <row r="276" ht="15.75" customHeight="1">
      <c r="A276" s="1"/>
      <c r="B276" s="1"/>
      <c r="C276" s="1"/>
      <c r="D276" s="1"/>
      <c r="E276" s="1"/>
      <c r="F276" s="32"/>
      <c r="G276" s="32"/>
      <c r="H276" s="32"/>
      <c r="I276" s="32"/>
      <c r="J276" s="32"/>
      <c r="K276" s="54"/>
      <c r="L276" s="32"/>
      <c r="M276" s="32"/>
      <c r="N276" s="32"/>
      <c r="O276" s="32"/>
      <c r="P276" s="32"/>
      <c r="Q276" s="32"/>
      <c r="R276" s="32"/>
      <c r="S276" s="54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  <c r="AY276" s="32"/>
      <c r="AZ276" s="32"/>
      <c r="BA276" s="32"/>
      <c r="BB276" s="32"/>
      <c r="BC276" s="32"/>
      <c r="BD276" s="32"/>
      <c r="BE276" s="32"/>
      <c r="BF276" s="32"/>
      <c r="BG276" s="32"/>
      <c r="BH276" s="32"/>
      <c r="BI276" s="32"/>
      <c r="BJ276" s="32"/>
      <c r="BK276" s="32"/>
      <c r="BL276" s="32"/>
      <c r="BM276" s="32"/>
      <c r="BN276" s="32"/>
      <c r="BO276" s="32"/>
      <c r="BP276" s="32"/>
      <c r="BQ276" s="32"/>
      <c r="BR276" s="32"/>
      <c r="BS276" s="32"/>
      <c r="BT276" s="32"/>
      <c r="BU276" s="32"/>
      <c r="BV276" s="32"/>
      <c r="BW276" s="32"/>
      <c r="BX276" s="32"/>
      <c r="BY276" s="32"/>
      <c r="BZ276" s="32"/>
      <c r="CA276" s="32"/>
      <c r="CB276" s="32"/>
      <c r="CC276" s="55"/>
      <c r="CD276" s="55"/>
      <c r="CE276" s="32"/>
      <c r="CF276" s="32"/>
      <c r="CG276" s="32"/>
      <c r="CH276" s="32"/>
      <c r="CI276" s="32"/>
      <c r="CJ276" s="32"/>
    </row>
    <row r="277" ht="15.75" customHeight="1">
      <c r="A277" s="1"/>
      <c r="B277" s="1"/>
      <c r="C277" s="1"/>
      <c r="D277" s="1"/>
      <c r="E277" s="1"/>
      <c r="F277" s="32"/>
      <c r="G277" s="32"/>
      <c r="H277" s="32"/>
      <c r="I277" s="32"/>
      <c r="J277" s="32"/>
      <c r="K277" s="54"/>
      <c r="L277" s="32"/>
      <c r="M277" s="32"/>
      <c r="N277" s="32"/>
      <c r="O277" s="32"/>
      <c r="P277" s="32"/>
      <c r="Q277" s="32"/>
      <c r="R277" s="32"/>
      <c r="S277" s="54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  <c r="BA277" s="32"/>
      <c r="BB277" s="32"/>
      <c r="BC277" s="32"/>
      <c r="BD277" s="32"/>
      <c r="BE277" s="32"/>
      <c r="BF277" s="32"/>
      <c r="BG277" s="32"/>
      <c r="BH277" s="32"/>
      <c r="BI277" s="32"/>
      <c r="BJ277" s="32"/>
      <c r="BK277" s="32"/>
      <c r="BL277" s="32"/>
      <c r="BM277" s="32"/>
      <c r="BN277" s="32"/>
      <c r="BO277" s="32"/>
      <c r="BP277" s="32"/>
      <c r="BQ277" s="32"/>
      <c r="BR277" s="32"/>
      <c r="BS277" s="32"/>
      <c r="BT277" s="32"/>
      <c r="BU277" s="32"/>
      <c r="BV277" s="32"/>
      <c r="BW277" s="32"/>
      <c r="BX277" s="32"/>
      <c r="BY277" s="32"/>
      <c r="BZ277" s="32"/>
      <c r="CA277" s="32"/>
      <c r="CB277" s="32"/>
      <c r="CC277" s="55"/>
      <c r="CD277" s="55"/>
      <c r="CE277" s="32"/>
      <c r="CF277" s="32"/>
      <c r="CG277" s="32"/>
      <c r="CH277" s="32"/>
      <c r="CI277" s="32"/>
      <c r="CJ277" s="32"/>
    </row>
    <row r="278" ht="15.75" customHeight="1">
      <c r="A278" s="1"/>
      <c r="B278" s="1"/>
      <c r="C278" s="1"/>
      <c r="D278" s="1"/>
      <c r="E278" s="1"/>
      <c r="F278" s="32"/>
      <c r="G278" s="32"/>
      <c r="H278" s="32"/>
      <c r="I278" s="32"/>
      <c r="J278" s="32"/>
      <c r="K278" s="54"/>
      <c r="L278" s="32"/>
      <c r="M278" s="32"/>
      <c r="N278" s="32"/>
      <c r="O278" s="32"/>
      <c r="P278" s="32"/>
      <c r="Q278" s="32"/>
      <c r="R278" s="32"/>
      <c r="S278" s="54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  <c r="BA278" s="32"/>
      <c r="BB278" s="32"/>
      <c r="BC278" s="32"/>
      <c r="BD278" s="32"/>
      <c r="BE278" s="32"/>
      <c r="BF278" s="32"/>
      <c r="BG278" s="32"/>
      <c r="BH278" s="32"/>
      <c r="BI278" s="32"/>
      <c r="BJ278" s="32"/>
      <c r="BK278" s="32"/>
      <c r="BL278" s="32"/>
      <c r="BM278" s="32"/>
      <c r="BN278" s="32"/>
      <c r="BO278" s="32"/>
      <c r="BP278" s="32"/>
      <c r="BQ278" s="32"/>
      <c r="BR278" s="32"/>
      <c r="BS278" s="32"/>
      <c r="BT278" s="32"/>
      <c r="BU278" s="32"/>
      <c r="BV278" s="32"/>
      <c r="BW278" s="32"/>
      <c r="BX278" s="32"/>
      <c r="BY278" s="32"/>
      <c r="BZ278" s="32"/>
      <c r="CA278" s="32"/>
      <c r="CB278" s="32"/>
      <c r="CC278" s="55"/>
      <c r="CD278" s="55"/>
      <c r="CE278" s="32"/>
      <c r="CF278" s="32"/>
      <c r="CG278" s="32"/>
      <c r="CH278" s="32"/>
      <c r="CI278" s="32"/>
      <c r="CJ278" s="32"/>
    </row>
    <row r="279" ht="15.75" customHeight="1">
      <c r="A279" s="1"/>
      <c r="B279" s="1"/>
      <c r="C279" s="1"/>
      <c r="D279" s="1"/>
      <c r="E279" s="1"/>
      <c r="F279" s="32"/>
      <c r="G279" s="32"/>
      <c r="H279" s="32"/>
      <c r="I279" s="32"/>
      <c r="J279" s="32"/>
      <c r="K279" s="54"/>
      <c r="L279" s="32"/>
      <c r="M279" s="32"/>
      <c r="N279" s="32"/>
      <c r="O279" s="32"/>
      <c r="P279" s="32"/>
      <c r="Q279" s="32"/>
      <c r="R279" s="32"/>
      <c r="S279" s="54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  <c r="AY279" s="32"/>
      <c r="AZ279" s="32"/>
      <c r="BA279" s="32"/>
      <c r="BB279" s="32"/>
      <c r="BC279" s="32"/>
      <c r="BD279" s="32"/>
      <c r="BE279" s="32"/>
      <c r="BF279" s="32"/>
      <c r="BG279" s="32"/>
      <c r="BH279" s="32"/>
      <c r="BI279" s="32"/>
      <c r="BJ279" s="32"/>
      <c r="BK279" s="32"/>
      <c r="BL279" s="32"/>
      <c r="BM279" s="32"/>
      <c r="BN279" s="32"/>
      <c r="BO279" s="32"/>
      <c r="BP279" s="32"/>
      <c r="BQ279" s="32"/>
      <c r="BR279" s="32"/>
      <c r="BS279" s="32"/>
      <c r="BT279" s="32"/>
      <c r="BU279" s="32"/>
      <c r="BV279" s="32"/>
      <c r="BW279" s="32"/>
      <c r="BX279" s="32"/>
      <c r="BY279" s="32"/>
      <c r="BZ279" s="32"/>
      <c r="CA279" s="32"/>
      <c r="CB279" s="32"/>
      <c r="CC279" s="55"/>
      <c r="CD279" s="55"/>
      <c r="CE279" s="32"/>
      <c r="CF279" s="32"/>
      <c r="CG279" s="32"/>
      <c r="CH279" s="32"/>
      <c r="CI279" s="32"/>
      <c r="CJ279" s="32"/>
    </row>
    <row r="280" ht="15.75" customHeight="1">
      <c r="A280" s="1"/>
      <c r="B280" s="1"/>
      <c r="C280" s="1"/>
      <c r="D280" s="1"/>
      <c r="E280" s="1"/>
      <c r="F280" s="32"/>
      <c r="G280" s="32"/>
      <c r="H280" s="32"/>
      <c r="I280" s="32"/>
      <c r="J280" s="32"/>
      <c r="K280" s="54"/>
      <c r="L280" s="32"/>
      <c r="M280" s="32"/>
      <c r="N280" s="32"/>
      <c r="O280" s="32"/>
      <c r="P280" s="32"/>
      <c r="Q280" s="32"/>
      <c r="R280" s="32"/>
      <c r="S280" s="54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  <c r="AY280" s="32"/>
      <c r="AZ280" s="32"/>
      <c r="BA280" s="32"/>
      <c r="BB280" s="32"/>
      <c r="BC280" s="32"/>
      <c r="BD280" s="32"/>
      <c r="BE280" s="32"/>
      <c r="BF280" s="32"/>
      <c r="BG280" s="32"/>
      <c r="BH280" s="32"/>
      <c r="BI280" s="32"/>
      <c r="BJ280" s="32"/>
      <c r="BK280" s="32"/>
      <c r="BL280" s="32"/>
      <c r="BM280" s="32"/>
      <c r="BN280" s="32"/>
      <c r="BO280" s="32"/>
      <c r="BP280" s="32"/>
      <c r="BQ280" s="32"/>
      <c r="BR280" s="32"/>
      <c r="BS280" s="32"/>
      <c r="BT280" s="32"/>
      <c r="BU280" s="32"/>
      <c r="BV280" s="32"/>
      <c r="BW280" s="32"/>
      <c r="BX280" s="32"/>
      <c r="BY280" s="32"/>
      <c r="BZ280" s="32"/>
      <c r="CA280" s="32"/>
      <c r="CB280" s="32"/>
      <c r="CC280" s="55"/>
      <c r="CD280" s="55"/>
      <c r="CE280" s="32"/>
      <c r="CF280" s="32"/>
      <c r="CG280" s="32"/>
      <c r="CH280" s="32"/>
      <c r="CI280" s="32"/>
      <c r="CJ280" s="32"/>
    </row>
    <row r="281" ht="15.75" customHeight="1">
      <c r="A281" s="1"/>
      <c r="B281" s="1"/>
      <c r="C281" s="1"/>
      <c r="D281" s="1"/>
      <c r="E281" s="1"/>
      <c r="F281" s="32"/>
      <c r="G281" s="32"/>
      <c r="H281" s="32"/>
      <c r="I281" s="32"/>
      <c r="J281" s="32"/>
      <c r="K281" s="54"/>
      <c r="L281" s="32"/>
      <c r="M281" s="32"/>
      <c r="N281" s="32"/>
      <c r="O281" s="32"/>
      <c r="P281" s="32"/>
      <c r="Q281" s="32"/>
      <c r="R281" s="32"/>
      <c r="S281" s="54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  <c r="BA281" s="32"/>
      <c r="BB281" s="32"/>
      <c r="BC281" s="32"/>
      <c r="BD281" s="32"/>
      <c r="BE281" s="32"/>
      <c r="BF281" s="32"/>
      <c r="BG281" s="32"/>
      <c r="BH281" s="32"/>
      <c r="BI281" s="32"/>
      <c r="BJ281" s="32"/>
      <c r="BK281" s="32"/>
      <c r="BL281" s="32"/>
      <c r="BM281" s="32"/>
      <c r="BN281" s="32"/>
      <c r="BO281" s="32"/>
      <c r="BP281" s="32"/>
      <c r="BQ281" s="32"/>
      <c r="BR281" s="32"/>
      <c r="BS281" s="32"/>
      <c r="BT281" s="32"/>
      <c r="BU281" s="32"/>
      <c r="BV281" s="32"/>
      <c r="BW281" s="32"/>
      <c r="BX281" s="32"/>
      <c r="BY281" s="32"/>
      <c r="BZ281" s="32"/>
      <c r="CA281" s="32"/>
      <c r="CB281" s="32"/>
      <c r="CC281" s="55"/>
      <c r="CD281" s="55"/>
      <c r="CE281" s="32"/>
      <c r="CF281" s="32"/>
      <c r="CG281" s="32"/>
      <c r="CH281" s="32"/>
      <c r="CI281" s="32"/>
      <c r="CJ281" s="32"/>
    </row>
    <row r="282" ht="15.75" customHeight="1">
      <c r="A282" s="1"/>
      <c r="B282" s="1"/>
      <c r="C282" s="1"/>
      <c r="D282" s="1"/>
      <c r="E282" s="1"/>
      <c r="F282" s="32"/>
      <c r="G282" s="32"/>
      <c r="H282" s="32"/>
      <c r="I282" s="32"/>
      <c r="J282" s="32"/>
      <c r="K282" s="54"/>
      <c r="L282" s="32"/>
      <c r="M282" s="32"/>
      <c r="N282" s="32"/>
      <c r="O282" s="32"/>
      <c r="P282" s="32"/>
      <c r="Q282" s="32"/>
      <c r="R282" s="32"/>
      <c r="S282" s="54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  <c r="BA282" s="32"/>
      <c r="BB282" s="32"/>
      <c r="BC282" s="32"/>
      <c r="BD282" s="32"/>
      <c r="BE282" s="32"/>
      <c r="BF282" s="32"/>
      <c r="BG282" s="32"/>
      <c r="BH282" s="32"/>
      <c r="BI282" s="32"/>
      <c r="BJ282" s="32"/>
      <c r="BK282" s="32"/>
      <c r="BL282" s="32"/>
      <c r="BM282" s="32"/>
      <c r="BN282" s="32"/>
      <c r="BO282" s="32"/>
      <c r="BP282" s="32"/>
      <c r="BQ282" s="32"/>
      <c r="BR282" s="32"/>
      <c r="BS282" s="32"/>
      <c r="BT282" s="32"/>
      <c r="BU282" s="32"/>
      <c r="BV282" s="32"/>
      <c r="BW282" s="32"/>
      <c r="BX282" s="32"/>
      <c r="BY282" s="32"/>
      <c r="BZ282" s="32"/>
      <c r="CA282" s="32"/>
      <c r="CB282" s="32"/>
      <c r="CC282" s="55"/>
      <c r="CD282" s="55"/>
      <c r="CE282" s="32"/>
      <c r="CF282" s="32"/>
      <c r="CG282" s="32"/>
      <c r="CH282" s="32"/>
      <c r="CI282" s="32"/>
      <c r="CJ282" s="32"/>
    </row>
    <row r="283" ht="15.75" customHeight="1">
      <c r="A283" s="1"/>
      <c r="B283" s="1"/>
      <c r="C283" s="1"/>
      <c r="D283" s="1"/>
      <c r="E283" s="1"/>
      <c r="F283" s="32"/>
      <c r="G283" s="32"/>
      <c r="H283" s="32"/>
      <c r="I283" s="32"/>
      <c r="J283" s="32"/>
      <c r="K283" s="54"/>
      <c r="L283" s="32"/>
      <c r="M283" s="32"/>
      <c r="N283" s="32"/>
      <c r="O283" s="32"/>
      <c r="P283" s="32"/>
      <c r="Q283" s="32"/>
      <c r="R283" s="32"/>
      <c r="S283" s="54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  <c r="AY283" s="32"/>
      <c r="AZ283" s="32"/>
      <c r="BA283" s="32"/>
      <c r="BB283" s="32"/>
      <c r="BC283" s="32"/>
      <c r="BD283" s="32"/>
      <c r="BE283" s="32"/>
      <c r="BF283" s="32"/>
      <c r="BG283" s="32"/>
      <c r="BH283" s="32"/>
      <c r="BI283" s="32"/>
      <c r="BJ283" s="32"/>
      <c r="BK283" s="32"/>
      <c r="BL283" s="32"/>
      <c r="BM283" s="32"/>
      <c r="BN283" s="32"/>
      <c r="BO283" s="32"/>
      <c r="BP283" s="32"/>
      <c r="BQ283" s="32"/>
      <c r="BR283" s="32"/>
      <c r="BS283" s="32"/>
      <c r="BT283" s="32"/>
      <c r="BU283" s="32"/>
      <c r="BV283" s="32"/>
      <c r="BW283" s="32"/>
      <c r="BX283" s="32"/>
      <c r="BY283" s="32"/>
      <c r="BZ283" s="32"/>
      <c r="CA283" s="32"/>
      <c r="CB283" s="32"/>
      <c r="CC283" s="55"/>
      <c r="CD283" s="55"/>
      <c r="CE283" s="32"/>
      <c r="CF283" s="32"/>
      <c r="CG283" s="32"/>
      <c r="CH283" s="32"/>
      <c r="CI283" s="32"/>
      <c r="CJ283" s="32"/>
    </row>
    <row r="284" ht="15.75" customHeight="1">
      <c r="A284" s="1"/>
      <c r="B284" s="1"/>
      <c r="C284" s="1"/>
      <c r="D284" s="1"/>
      <c r="E284" s="1"/>
      <c r="F284" s="32"/>
      <c r="G284" s="32"/>
      <c r="H284" s="32"/>
      <c r="I284" s="32"/>
      <c r="J284" s="32"/>
      <c r="K284" s="54"/>
      <c r="L284" s="32"/>
      <c r="M284" s="32"/>
      <c r="N284" s="32"/>
      <c r="O284" s="32"/>
      <c r="P284" s="32"/>
      <c r="Q284" s="32"/>
      <c r="R284" s="32"/>
      <c r="S284" s="54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  <c r="BD284" s="32"/>
      <c r="BE284" s="32"/>
      <c r="BF284" s="32"/>
      <c r="BG284" s="32"/>
      <c r="BH284" s="32"/>
      <c r="BI284" s="32"/>
      <c r="BJ284" s="32"/>
      <c r="BK284" s="32"/>
      <c r="BL284" s="32"/>
      <c r="BM284" s="32"/>
      <c r="BN284" s="32"/>
      <c r="BO284" s="32"/>
      <c r="BP284" s="32"/>
      <c r="BQ284" s="32"/>
      <c r="BR284" s="32"/>
      <c r="BS284" s="32"/>
      <c r="BT284" s="32"/>
      <c r="BU284" s="32"/>
      <c r="BV284" s="32"/>
      <c r="BW284" s="32"/>
      <c r="BX284" s="32"/>
      <c r="BY284" s="32"/>
      <c r="BZ284" s="32"/>
      <c r="CA284" s="32"/>
      <c r="CB284" s="32"/>
      <c r="CC284" s="55"/>
      <c r="CD284" s="55"/>
      <c r="CE284" s="32"/>
      <c r="CF284" s="32"/>
      <c r="CG284" s="32"/>
      <c r="CH284" s="32"/>
      <c r="CI284" s="32"/>
      <c r="CJ284" s="32"/>
    </row>
    <row r="285" ht="15.75" customHeight="1">
      <c r="A285" s="1"/>
      <c r="B285" s="1"/>
      <c r="C285" s="1"/>
      <c r="D285" s="1"/>
      <c r="E285" s="1"/>
      <c r="F285" s="32"/>
      <c r="G285" s="32"/>
      <c r="H285" s="32"/>
      <c r="I285" s="32"/>
      <c r="J285" s="32"/>
      <c r="K285" s="54"/>
      <c r="L285" s="32"/>
      <c r="M285" s="32"/>
      <c r="N285" s="32"/>
      <c r="O285" s="32"/>
      <c r="P285" s="32"/>
      <c r="Q285" s="32"/>
      <c r="R285" s="32"/>
      <c r="S285" s="54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  <c r="AY285" s="32"/>
      <c r="AZ285" s="32"/>
      <c r="BA285" s="32"/>
      <c r="BB285" s="32"/>
      <c r="BC285" s="32"/>
      <c r="BD285" s="32"/>
      <c r="BE285" s="32"/>
      <c r="BF285" s="32"/>
      <c r="BG285" s="32"/>
      <c r="BH285" s="32"/>
      <c r="BI285" s="32"/>
      <c r="BJ285" s="32"/>
      <c r="BK285" s="32"/>
      <c r="BL285" s="32"/>
      <c r="BM285" s="32"/>
      <c r="BN285" s="32"/>
      <c r="BO285" s="32"/>
      <c r="BP285" s="32"/>
      <c r="BQ285" s="32"/>
      <c r="BR285" s="32"/>
      <c r="BS285" s="32"/>
      <c r="BT285" s="32"/>
      <c r="BU285" s="32"/>
      <c r="BV285" s="32"/>
      <c r="BW285" s="32"/>
      <c r="BX285" s="32"/>
      <c r="BY285" s="32"/>
      <c r="BZ285" s="32"/>
      <c r="CA285" s="32"/>
      <c r="CB285" s="32"/>
      <c r="CC285" s="55"/>
      <c r="CD285" s="55"/>
      <c r="CE285" s="32"/>
      <c r="CF285" s="32"/>
      <c r="CG285" s="32"/>
      <c r="CH285" s="32"/>
      <c r="CI285" s="32"/>
      <c r="CJ285" s="32"/>
    </row>
    <row r="286" ht="15.75" customHeight="1">
      <c r="A286" s="1"/>
      <c r="B286" s="1"/>
      <c r="C286" s="1"/>
      <c r="D286" s="1"/>
      <c r="E286" s="1"/>
      <c r="F286" s="32"/>
      <c r="G286" s="32"/>
      <c r="H286" s="32"/>
      <c r="I286" s="32"/>
      <c r="J286" s="32"/>
      <c r="K286" s="54"/>
      <c r="L286" s="32"/>
      <c r="M286" s="32"/>
      <c r="N286" s="32"/>
      <c r="O286" s="32"/>
      <c r="P286" s="32"/>
      <c r="Q286" s="32"/>
      <c r="R286" s="32"/>
      <c r="S286" s="54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2"/>
      <c r="AY286" s="32"/>
      <c r="AZ286" s="32"/>
      <c r="BA286" s="32"/>
      <c r="BB286" s="32"/>
      <c r="BC286" s="32"/>
      <c r="BD286" s="32"/>
      <c r="BE286" s="32"/>
      <c r="BF286" s="32"/>
      <c r="BG286" s="32"/>
      <c r="BH286" s="32"/>
      <c r="BI286" s="32"/>
      <c r="BJ286" s="32"/>
      <c r="BK286" s="32"/>
      <c r="BL286" s="32"/>
      <c r="BM286" s="32"/>
      <c r="BN286" s="32"/>
      <c r="BO286" s="32"/>
      <c r="BP286" s="32"/>
      <c r="BQ286" s="32"/>
      <c r="BR286" s="32"/>
      <c r="BS286" s="32"/>
      <c r="BT286" s="32"/>
      <c r="BU286" s="32"/>
      <c r="BV286" s="32"/>
      <c r="BW286" s="32"/>
      <c r="BX286" s="32"/>
      <c r="BY286" s="32"/>
      <c r="BZ286" s="32"/>
      <c r="CA286" s="32"/>
      <c r="CB286" s="32"/>
      <c r="CC286" s="55"/>
      <c r="CD286" s="55"/>
      <c r="CE286" s="32"/>
      <c r="CF286" s="32"/>
      <c r="CG286" s="32"/>
      <c r="CH286" s="32"/>
      <c r="CI286" s="32"/>
      <c r="CJ286" s="32"/>
    </row>
    <row r="287" ht="15.75" customHeight="1">
      <c r="A287" s="1"/>
      <c r="B287" s="1"/>
      <c r="C287" s="1"/>
      <c r="D287" s="1"/>
      <c r="E287" s="1"/>
      <c r="F287" s="32"/>
      <c r="G287" s="32"/>
      <c r="H287" s="32"/>
      <c r="I287" s="32"/>
      <c r="J287" s="32"/>
      <c r="K287" s="54"/>
      <c r="L287" s="32"/>
      <c r="M287" s="32"/>
      <c r="N287" s="32"/>
      <c r="O287" s="32"/>
      <c r="P287" s="32"/>
      <c r="Q287" s="32"/>
      <c r="R287" s="32"/>
      <c r="S287" s="54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  <c r="AW287" s="32"/>
      <c r="AX287" s="32"/>
      <c r="AY287" s="32"/>
      <c r="AZ287" s="32"/>
      <c r="BA287" s="32"/>
      <c r="BB287" s="32"/>
      <c r="BC287" s="32"/>
      <c r="BD287" s="32"/>
      <c r="BE287" s="32"/>
      <c r="BF287" s="32"/>
      <c r="BG287" s="32"/>
      <c r="BH287" s="32"/>
      <c r="BI287" s="32"/>
      <c r="BJ287" s="32"/>
      <c r="BK287" s="32"/>
      <c r="BL287" s="32"/>
      <c r="BM287" s="32"/>
      <c r="BN287" s="32"/>
      <c r="BO287" s="32"/>
      <c r="BP287" s="32"/>
      <c r="BQ287" s="32"/>
      <c r="BR287" s="32"/>
      <c r="BS287" s="32"/>
      <c r="BT287" s="32"/>
      <c r="BU287" s="32"/>
      <c r="BV287" s="32"/>
      <c r="BW287" s="32"/>
      <c r="BX287" s="32"/>
      <c r="BY287" s="32"/>
      <c r="BZ287" s="32"/>
      <c r="CA287" s="32"/>
      <c r="CB287" s="32"/>
      <c r="CC287" s="55"/>
      <c r="CD287" s="55"/>
      <c r="CE287" s="32"/>
      <c r="CF287" s="32"/>
      <c r="CG287" s="32"/>
      <c r="CH287" s="32"/>
      <c r="CI287" s="32"/>
      <c r="CJ287" s="32"/>
    </row>
    <row r="288" ht="15.75" customHeight="1">
      <c r="A288" s="1"/>
      <c r="B288" s="1"/>
      <c r="C288" s="1"/>
      <c r="D288" s="1"/>
      <c r="E288" s="1"/>
      <c r="F288" s="32"/>
      <c r="G288" s="32"/>
      <c r="H288" s="32"/>
      <c r="I288" s="32"/>
      <c r="J288" s="32"/>
      <c r="K288" s="54"/>
      <c r="L288" s="32"/>
      <c r="M288" s="32"/>
      <c r="N288" s="32"/>
      <c r="O288" s="32"/>
      <c r="P288" s="32"/>
      <c r="Q288" s="32"/>
      <c r="R288" s="32"/>
      <c r="S288" s="54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2"/>
      <c r="AY288" s="32"/>
      <c r="AZ288" s="32"/>
      <c r="BA288" s="32"/>
      <c r="BB288" s="32"/>
      <c r="BC288" s="32"/>
      <c r="BD288" s="32"/>
      <c r="BE288" s="32"/>
      <c r="BF288" s="32"/>
      <c r="BG288" s="32"/>
      <c r="BH288" s="32"/>
      <c r="BI288" s="32"/>
      <c r="BJ288" s="32"/>
      <c r="BK288" s="32"/>
      <c r="BL288" s="32"/>
      <c r="BM288" s="32"/>
      <c r="BN288" s="32"/>
      <c r="BO288" s="32"/>
      <c r="BP288" s="32"/>
      <c r="BQ288" s="32"/>
      <c r="BR288" s="32"/>
      <c r="BS288" s="32"/>
      <c r="BT288" s="32"/>
      <c r="BU288" s="32"/>
      <c r="BV288" s="32"/>
      <c r="BW288" s="32"/>
      <c r="BX288" s="32"/>
      <c r="BY288" s="32"/>
      <c r="BZ288" s="32"/>
      <c r="CA288" s="32"/>
      <c r="CB288" s="32"/>
      <c r="CC288" s="55"/>
      <c r="CD288" s="55"/>
      <c r="CE288" s="32"/>
      <c r="CF288" s="32"/>
      <c r="CG288" s="32"/>
      <c r="CH288" s="32"/>
      <c r="CI288" s="32"/>
      <c r="CJ288" s="32"/>
    </row>
    <row r="289" ht="15.75" customHeight="1">
      <c r="A289" s="1"/>
      <c r="B289" s="1"/>
      <c r="C289" s="1"/>
      <c r="D289" s="1"/>
      <c r="E289" s="1"/>
      <c r="F289" s="32"/>
      <c r="G289" s="32"/>
      <c r="H289" s="32"/>
      <c r="I289" s="32"/>
      <c r="J289" s="32"/>
      <c r="K289" s="54"/>
      <c r="L289" s="32"/>
      <c r="M289" s="32"/>
      <c r="N289" s="32"/>
      <c r="O289" s="32"/>
      <c r="P289" s="32"/>
      <c r="Q289" s="32"/>
      <c r="R289" s="32"/>
      <c r="S289" s="54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  <c r="AW289" s="32"/>
      <c r="AX289" s="32"/>
      <c r="AY289" s="32"/>
      <c r="AZ289" s="32"/>
      <c r="BA289" s="32"/>
      <c r="BB289" s="32"/>
      <c r="BC289" s="32"/>
      <c r="BD289" s="32"/>
      <c r="BE289" s="32"/>
      <c r="BF289" s="32"/>
      <c r="BG289" s="32"/>
      <c r="BH289" s="32"/>
      <c r="BI289" s="32"/>
      <c r="BJ289" s="32"/>
      <c r="BK289" s="32"/>
      <c r="BL289" s="32"/>
      <c r="BM289" s="32"/>
      <c r="BN289" s="32"/>
      <c r="BO289" s="32"/>
      <c r="BP289" s="32"/>
      <c r="BQ289" s="32"/>
      <c r="BR289" s="32"/>
      <c r="BS289" s="32"/>
      <c r="BT289" s="32"/>
      <c r="BU289" s="32"/>
      <c r="BV289" s="32"/>
      <c r="BW289" s="32"/>
      <c r="BX289" s="32"/>
      <c r="BY289" s="32"/>
      <c r="BZ289" s="32"/>
      <c r="CA289" s="32"/>
      <c r="CB289" s="32"/>
      <c r="CC289" s="55"/>
      <c r="CD289" s="55"/>
      <c r="CE289" s="32"/>
      <c r="CF289" s="32"/>
      <c r="CG289" s="32"/>
      <c r="CH289" s="32"/>
      <c r="CI289" s="32"/>
      <c r="CJ289" s="32"/>
    </row>
    <row r="290" ht="15.75" customHeight="1">
      <c r="A290" s="1"/>
      <c r="B290" s="1"/>
      <c r="C290" s="1"/>
      <c r="D290" s="1"/>
      <c r="E290" s="1"/>
      <c r="F290" s="32"/>
      <c r="G290" s="32"/>
      <c r="H290" s="32"/>
      <c r="I290" s="32"/>
      <c r="J290" s="32"/>
      <c r="K290" s="54"/>
      <c r="L290" s="32"/>
      <c r="M290" s="32"/>
      <c r="N290" s="32"/>
      <c r="O290" s="32"/>
      <c r="P290" s="32"/>
      <c r="Q290" s="32"/>
      <c r="R290" s="32"/>
      <c r="S290" s="54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2"/>
      <c r="BB290" s="32"/>
      <c r="BC290" s="32"/>
      <c r="BD290" s="32"/>
      <c r="BE290" s="32"/>
      <c r="BF290" s="32"/>
      <c r="BG290" s="32"/>
      <c r="BH290" s="32"/>
      <c r="BI290" s="32"/>
      <c r="BJ290" s="32"/>
      <c r="BK290" s="32"/>
      <c r="BL290" s="32"/>
      <c r="BM290" s="32"/>
      <c r="BN290" s="32"/>
      <c r="BO290" s="32"/>
      <c r="BP290" s="32"/>
      <c r="BQ290" s="32"/>
      <c r="BR290" s="32"/>
      <c r="BS290" s="32"/>
      <c r="BT290" s="32"/>
      <c r="BU290" s="32"/>
      <c r="BV290" s="32"/>
      <c r="BW290" s="32"/>
      <c r="BX290" s="32"/>
      <c r="BY290" s="32"/>
      <c r="BZ290" s="32"/>
      <c r="CA290" s="32"/>
      <c r="CB290" s="32"/>
      <c r="CC290" s="55"/>
      <c r="CD290" s="55"/>
      <c r="CE290" s="32"/>
      <c r="CF290" s="32"/>
      <c r="CG290" s="32"/>
      <c r="CH290" s="32"/>
      <c r="CI290" s="32"/>
      <c r="CJ290" s="32"/>
    </row>
    <row r="291" ht="15.75" customHeight="1">
      <c r="A291" s="1"/>
      <c r="B291" s="1"/>
      <c r="C291" s="1"/>
      <c r="D291" s="1"/>
      <c r="E291" s="1"/>
      <c r="F291" s="32"/>
      <c r="G291" s="32"/>
      <c r="H291" s="32"/>
      <c r="I291" s="32"/>
      <c r="J291" s="32"/>
      <c r="K291" s="54"/>
      <c r="L291" s="32"/>
      <c r="M291" s="32"/>
      <c r="N291" s="32"/>
      <c r="O291" s="32"/>
      <c r="P291" s="32"/>
      <c r="Q291" s="32"/>
      <c r="R291" s="32"/>
      <c r="S291" s="54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  <c r="AX291" s="32"/>
      <c r="AY291" s="32"/>
      <c r="AZ291" s="32"/>
      <c r="BA291" s="32"/>
      <c r="BB291" s="32"/>
      <c r="BC291" s="32"/>
      <c r="BD291" s="32"/>
      <c r="BE291" s="32"/>
      <c r="BF291" s="32"/>
      <c r="BG291" s="32"/>
      <c r="BH291" s="32"/>
      <c r="BI291" s="32"/>
      <c r="BJ291" s="32"/>
      <c r="BK291" s="32"/>
      <c r="BL291" s="32"/>
      <c r="BM291" s="32"/>
      <c r="BN291" s="32"/>
      <c r="BO291" s="32"/>
      <c r="BP291" s="32"/>
      <c r="BQ291" s="32"/>
      <c r="BR291" s="32"/>
      <c r="BS291" s="32"/>
      <c r="BT291" s="32"/>
      <c r="BU291" s="32"/>
      <c r="BV291" s="32"/>
      <c r="BW291" s="32"/>
      <c r="BX291" s="32"/>
      <c r="BY291" s="32"/>
      <c r="BZ291" s="32"/>
      <c r="CA291" s="32"/>
      <c r="CB291" s="32"/>
      <c r="CC291" s="55"/>
      <c r="CD291" s="55"/>
      <c r="CE291" s="32"/>
      <c r="CF291" s="32"/>
      <c r="CG291" s="32"/>
      <c r="CH291" s="32"/>
      <c r="CI291" s="32"/>
      <c r="CJ291" s="32"/>
    </row>
    <row r="292" ht="15.75" customHeight="1">
      <c r="A292" s="1"/>
      <c r="B292" s="1"/>
      <c r="C292" s="1"/>
      <c r="D292" s="1"/>
      <c r="E292" s="1"/>
      <c r="F292" s="32"/>
      <c r="G292" s="32"/>
      <c r="H292" s="32"/>
      <c r="I292" s="32"/>
      <c r="J292" s="32"/>
      <c r="K292" s="54"/>
      <c r="L292" s="32"/>
      <c r="M292" s="32"/>
      <c r="N292" s="32"/>
      <c r="O292" s="32"/>
      <c r="P292" s="32"/>
      <c r="Q292" s="32"/>
      <c r="R292" s="32"/>
      <c r="S292" s="54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2"/>
      <c r="AY292" s="32"/>
      <c r="AZ292" s="32"/>
      <c r="BA292" s="32"/>
      <c r="BB292" s="32"/>
      <c r="BC292" s="32"/>
      <c r="BD292" s="32"/>
      <c r="BE292" s="32"/>
      <c r="BF292" s="32"/>
      <c r="BG292" s="32"/>
      <c r="BH292" s="32"/>
      <c r="BI292" s="32"/>
      <c r="BJ292" s="32"/>
      <c r="BK292" s="32"/>
      <c r="BL292" s="32"/>
      <c r="BM292" s="32"/>
      <c r="BN292" s="32"/>
      <c r="BO292" s="32"/>
      <c r="BP292" s="32"/>
      <c r="BQ292" s="32"/>
      <c r="BR292" s="32"/>
      <c r="BS292" s="32"/>
      <c r="BT292" s="32"/>
      <c r="BU292" s="32"/>
      <c r="BV292" s="32"/>
      <c r="BW292" s="32"/>
      <c r="BX292" s="32"/>
      <c r="BY292" s="32"/>
      <c r="BZ292" s="32"/>
      <c r="CA292" s="32"/>
      <c r="CB292" s="32"/>
      <c r="CC292" s="55"/>
      <c r="CD292" s="55"/>
      <c r="CE292" s="32"/>
      <c r="CF292" s="32"/>
      <c r="CG292" s="32"/>
      <c r="CH292" s="32"/>
      <c r="CI292" s="32"/>
      <c r="CJ292" s="32"/>
    </row>
    <row r="293" ht="15.75" customHeight="1">
      <c r="A293" s="1"/>
      <c r="B293" s="1"/>
      <c r="C293" s="1"/>
      <c r="D293" s="1"/>
      <c r="E293" s="1"/>
      <c r="F293" s="32"/>
      <c r="G293" s="32"/>
      <c r="H293" s="32"/>
      <c r="I293" s="32"/>
      <c r="J293" s="32"/>
      <c r="K293" s="54"/>
      <c r="L293" s="32"/>
      <c r="M293" s="32"/>
      <c r="N293" s="32"/>
      <c r="O293" s="32"/>
      <c r="P293" s="32"/>
      <c r="Q293" s="32"/>
      <c r="R293" s="32"/>
      <c r="S293" s="54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  <c r="AT293" s="32"/>
      <c r="AU293" s="32"/>
      <c r="AV293" s="32"/>
      <c r="AW293" s="32"/>
      <c r="AX293" s="32"/>
      <c r="AY293" s="32"/>
      <c r="AZ293" s="32"/>
      <c r="BA293" s="32"/>
      <c r="BB293" s="32"/>
      <c r="BC293" s="32"/>
      <c r="BD293" s="32"/>
      <c r="BE293" s="32"/>
      <c r="BF293" s="32"/>
      <c r="BG293" s="32"/>
      <c r="BH293" s="32"/>
      <c r="BI293" s="32"/>
      <c r="BJ293" s="32"/>
      <c r="BK293" s="32"/>
      <c r="BL293" s="32"/>
      <c r="BM293" s="32"/>
      <c r="BN293" s="32"/>
      <c r="BO293" s="32"/>
      <c r="BP293" s="32"/>
      <c r="BQ293" s="32"/>
      <c r="BR293" s="32"/>
      <c r="BS293" s="32"/>
      <c r="BT293" s="32"/>
      <c r="BU293" s="32"/>
      <c r="BV293" s="32"/>
      <c r="BW293" s="32"/>
      <c r="BX293" s="32"/>
      <c r="BY293" s="32"/>
      <c r="BZ293" s="32"/>
      <c r="CA293" s="32"/>
      <c r="CB293" s="32"/>
      <c r="CC293" s="55"/>
      <c r="CD293" s="55"/>
      <c r="CE293" s="32"/>
      <c r="CF293" s="32"/>
      <c r="CG293" s="32"/>
      <c r="CH293" s="32"/>
      <c r="CI293" s="32"/>
      <c r="CJ293" s="32"/>
    </row>
    <row r="294" ht="15.75" customHeight="1">
      <c r="A294" s="1"/>
      <c r="B294" s="1"/>
      <c r="C294" s="1"/>
      <c r="D294" s="1"/>
      <c r="E294" s="1"/>
      <c r="F294" s="32"/>
      <c r="G294" s="32"/>
      <c r="H294" s="32"/>
      <c r="I294" s="32"/>
      <c r="J294" s="32"/>
      <c r="K294" s="54"/>
      <c r="L294" s="32"/>
      <c r="M294" s="32"/>
      <c r="N294" s="32"/>
      <c r="O294" s="32"/>
      <c r="P294" s="32"/>
      <c r="Q294" s="32"/>
      <c r="R294" s="32"/>
      <c r="S294" s="54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  <c r="AW294" s="32"/>
      <c r="AX294" s="32"/>
      <c r="AY294" s="32"/>
      <c r="AZ294" s="32"/>
      <c r="BA294" s="32"/>
      <c r="BB294" s="32"/>
      <c r="BC294" s="32"/>
      <c r="BD294" s="32"/>
      <c r="BE294" s="32"/>
      <c r="BF294" s="32"/>
      <c r="BG294" s="32"/>
      <c r="BH294" s="32"/>
      <c r="BI294" s="32"/>
      <c r="BJ294" s="32"/>
      <c r="BK294" s="32"/>
      <c r="BL294" s="32"/>
      <c r="BM294" s="32"/>
      <c r="BN294" s="32"/>
      <c r="BO294" s="32"/>
      <c r="BP294" s="32"/>
      <c r="BQ294" s="32"/>
      <c r="BR294" s="32"/>
      <c r="BS294" s="32"/>
      <c r="BT294" s="32"/>
      <c r="BU294" s="32"/>
      <c r="BV294" s="32"/>
      <c r="BW294" s="32"/>
      <c r="BX294" s="32"/>
      <c r="BY294" s="32"/>
      <c r="BZ294" s="32"/>
      <c r="CA294" s="32"/>
      <c r="CB294" s="32"/>
      <c r="CC294" s="55"/>
      <c r="CD294" s="55"/>
      <c r="CE294" s="32"/>
      <c r="CF294" s="32"/>
      <c r="CG294" s="32"/>
      <c r="CH294" s="32"/>
      <c r="CI294" s="32"/>
      <c r="CJ294" s="32"/>
    </row>
    <row r="295" ht="15.75" customHeight="1">
      <c r="A295" s="1"/>
      <c r="B295" s="1"/>
      <c r="C295" s="1"/>
      <c r="D295" s="1"/>
      <c r="E295" s="1"/>
      <c r="F295" s="32"/>
      <c r="G295" s="32"/>
      <c r="H295" s="32"/>
      <c r="I295" s="32"/>
      <c r="J295" s="32"/>
      <c r="K295" s="54"/>
      <c r="L295" s="32"/>
      <c r="M295" s="32"/>
      <c r="N295" s="32"/>
      <c r="O295" s="32"/>
      <c r="P295" s="32"/>
      <c r="Q295" s="32"/>
      <c r="R295" s="32"/>
      <c r="S295" s="54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  <c r="AW295" s="32"/>
      <c r="AX295" s="32"/>
      <c r="AY295" s="32"/>
      <c r="AZ295" s="32"/>
      <c r="BA295" s="32"/>
      <c r="BB295" s="32"/>
      <c r="BC295" s="32"/>
      <c r="BD295" s="32"/>
      <c r="BE295" s="32"/>
      <c r="BF295" s="32"/>
      <c r="BG295" s="32"/>
      <c r="BH295" s="32"/>
      <c r="BI295" s="32"/>
      <c r="BJ295" s="32"/>
      <c r="BK295" s="32"/>
      <c r="BL295" s="32"/>
      <c r="BM295" s="32"/>
      <c r="BN295" s="32"/>
      <c r="BO295" s="32"/>
      <c r="BP295" s="32"/>
      <c r="BQ295" s="32"/>
      <c r="BR295" s="32"/>
      <c r="BS295" s="32"/>
      <c r="BT295" s="32"/>
      <c r="BU295" s="32"/>
      <c r="BV295" s="32"/>
      <c r="BW295" s="32"/>
      <c r="BX295" s="32"/>
      <c r="BY295" s="32"/>
      <c r="BZ295" s="32"/>
      <c r="CA295" s="32"/>
      <c r="CB295" s="32"/>
      <c r="CC295" s="55"/>
      <c r="CD295" s="55"/>
      <c r="CE295" s="32"/>
      <c r="CF295" s="32"/>
      <c r="CG295" s="32"/>
      <c r="CH295" s="32"/>
      <c r="CI295" s="32"/>
      <c r="CJ295" s="32"/>
    </row>
    <row r="296" ht="15.75" customHeight="1">
      <c r="A296" s="1"/>
      <c r="B296" s="1"/>
      <c r="C296" s="1"/>
      <c r="D296" s="1"/>
      <c r="E296" s="1"/>
      <c r="F296" s="32"/>
      <c r="G296" s="32"/>
      <c r="H296" s="32"/>
      <c r="I296" s="32"/>
      <c r="J296" s="32"/>
      <c r="K296" s="54"/>
      <c r="L296" s="32"/>
      <c r="M296" s="32"/>
      <c r="N296" s="32"/>
      <c r="O296" s="32"/>
      <c r="P296" s="32"/>
      <c r="Q296" s="32"/>
      <c r="R296" s="32"/>
      <c r="S296" s="54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  <c r="AW296" s="32"/>
      <c r="AX296" s="32"/>
      <c r="AY296" s="32"/>
      <c r="AZ296" s="32"/>
      <c r="BA296" s="32"/>
      <c r="BB296" s="32"/>
      <c r="BC296" s="32"/>
      <c r="BD296" s="32"/>
      <c r="BE296" s="32"/>
      <c r="BF296" s="32"/>
      <c r="BG296" s="32"/>
      <c r="BH296" s="32"/>
      <c r="BI296" s="32"/>
      <c r="BJ296" s="32"/>
      <c r="BK296" s="32"/>
      <c r="BL296" s="32"/>
      <c r="BM296" s="32"/>
      <c r="BN296" s="32"/>
      <c r="BO296" s="32"/>
      <c r="BP296" s="32"/>
      <c r="BQ296" s="32"/>
      <c r="BR296" s="32"/>
      <c r="BS296" s="32"/>
      <c r="BT296" s="32"/>
      <c r="BU296" s="32"/>
      <c r="BV296" s="32"/>
      <c r="BW296" s="32"/>
      <c r="BX296" s="32"/>
      <c r="BY296" s="32"/>
      <c r="BZ296" s="32"/>
      <c r="CA296" s="32"/>
      <c r="CB296" s="32"/>
      <c r="CC296" s="55"/>
      <c r="CD296" s="55"/>
      <c r="CE296" s="32"/>
      <c r="CF296" s="32"/>
      <c r="CG296" s="32"/>
      <c r="CH296" s="32"/>
      <c r="CI296" s="32"/>
      <c r="CJ296" s="32"/>
    </row>
    <row r="297" ht="15.75" customHeight="1">
      <c r="A297" s="1"/>
      <c r="B297" s="1"/>
      <c r="C297" s="1"/>
      <c r="D297" s="1"/>
      <c r="E297" s="1"/>
      <c r="F297" s="32"/>
      <c r="G297" s="32"/>
      <c r="H297" s="32"/>
      <c r="I297" s="32"/>
      <c r="J297" s="32"/>
      <c r="K297" s="54"/>
      <c r="L297" s="32"/>
      <c r="M297" s="32"/>
      <c r="N297" s="32"/>
      <c r="O297" s="32"/>
      <c r="P297" s="32"/>
      <c r="Q297" s="32"/>
      <c r="R297" s="32"/>
      <c r="S297" s="54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  <c r="AW297" s="32"/>
      <c r="AX297" s="32"/>
      <c r="AY297" s="32"/>
      <c r="AZ297" s="32"/>
      <c r="BA297" s="32"/>
      <c r="BB297" s="32"/>
      <c r="BC297" s="32"/>
      <c r="BD297" s="32"/>
      <c r="BE297" s="32"/>
      <c r="BF297" s="32"/>
      <c r="BG297" s="32"/>
      <c r="BH297" s="32"/>
      <c r="BI297" s="32"/>
      <c r="BJ297" s="32"/>
      <c r="BK297" s="32"/>
      <c r="BL297" s="32"/>
      <c r="BM297" s="32"/>
      <c r="BN297" s="32"/>
      <c r="BO297" s="32"/>
      <c r="BP297" s="32"/>
      <c r="BQ297" s="32"/>
      <c r="BR297" s="32"/>
      <c r="BS297" s="32"/>
      <c r="BT297" s="32"/>
      <c r="BU297" s="32"/>
      <c r="BV297" s="32"/>
      <c r="BW297" s="32"/>
      <c r="BX297" s="32"/>
      <c r="BY297" s="32"/>
      <c r="BZ297" s="32"/>
      <c r="CA297" s="32"/>
      <c r="CB297" s="32"/>
      <c r="CC297" s="55"/>
      <c r="CD297" s="55"/>
      <c r="CE297" s="32"/>
      <c r="CF297" s="32"/>
      <c r="CG297" s="32"/>
      <c r="CH297" s="32"/>
      <c r="CI297" s="32"/>
      <c r="CJ297" s="32"/>
    </row>
    <row r="298" ht="15.75" customHeight="1">
      <c r="A298" s="1"/>
      <c r="B298" s="1"/>
      <c r="C298" s="1"/>
      <c r="D298" s="1"/>
      <c r="E298" s="1"/>
      <c r="F298" s="32"/>
      <c r="G298" s="32"/>
      <c r="H298" s="32"/>
      <c r="I298" s="32"/>
      <c r="J298" s="32"/>
      <c r="K298" s="54"/>
      <c r="L298" s="32"/>
      <c r="M298" s="32"/>
      <c r="N298" s="32"/>
      <c r="O298" s="32"/>
      <c r="P298" s="32"/>
      <c r="Q298" s="32"/>
      <c r="R298" s="32"/>
      <c r="S298" s="54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  <c r="AW298" s="32"/>
      <c r="AX298" s="32"/>
      <c r="AY298" s="32"/>
      <c r="AZ298" s="32"/>
      <c r="BA298" s="32"/>
      <c r="BB298" s="32"/>
      <c r="BC298" s="32"/>
      <c r="BD298" s="32"/>
      <c r="BE298" s="32"/>
      <c r="BF298" s="32"/>
      <c r="BG298" s="32"/>
      <c r="BH298" s="32"/>
      <c r="BI298" s="32"/>
      <c r="BJ298" s="32"/>
      <c r="BK298" s="32"/>
      <c r="BL298" s="32"/>
      <c r="BM298" s="32"/>
      <c r="BN298" s="32"/>
      <c r="BO298" s="32"/>
      <c r="BP298" s="32"/>
      <c r="BQ298" s="32"/>
      <c r="BR298" s="32"/>
      <c r="BS298" s="32"/>
      <c r="BT298" s="32"/>
      <c r="BU298" s="32"/>
      <c r="BV298" s="32"/>
      <c r="BW298" s="32"/>
      <c r="BX298" s="32"/>
      <c r="BY298" s="32"/>
      <c r="BZ298" s="32"/>
      <c r="CA298" s="32"/>
      <c r="CB298" s="32"/>
      <c r="CC298" s="55"/>
      <c r="CD298" s="55"/>
      <c r="CE298" s="32"/>
      <c r="CF298" s="32"/>
      <c r="CG298" s="32"/>
      <c r="CH298" s="32"/>
      <c r="CI298" s="32"/>
      <c r="CJ298" s="32"/>
    </row>
    <row r="299" ht="15.75" customHeight="1">
      <c r="A299" s="1"/>
      <c r="B299" s="1"/>
      <c r="C299" s="1"/>
      <c r="D299" s="1"/>
      <c r="E299" s="1"/>
      <c r="F299" s="32"/>
      <c r="G299" s="32"/>
      <c r="H299" s="32"/>
      <c r="I299" s="32"/>
      <c r="J299" s="32"/>
      <c r="K299" s="54"/>
      <c r="L299" s="32"/>
      <c r="M299" s="32"/>
      <c r="N299" s="32"/>
      <c r="O299" s="32"/>
      <c r="P299" s="32"/>
      <c r="Q299" s="32"/>
      <c r="R299" s="32"/>
      <c r="S299" s="54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  <c r="AX299" s="32"/>
      <c r="AY299" s="32"/>
      <c r="AZ299" s="32"/>
      <c r="BA299" s="32"/>
      <c r="BB299" s="32"/>
      <c r="BC299" s="32"/>
      <c r="BD299" s="32"/>
      <c r="BE299" s="32"/>
      <c r="BF299" s="32"/>
      <c r="BG299" s="32"/>
      <c r="BH299" s="32"/>
      <c r="BI299" s="32"/>
      <c r="BJ299" s="32"/>
      <c r="BK299" s="32"/>
      <c r="BL299" s="32"/>
      <c r="BM299" s="32"/>
      <c r="BN299" s="32"/>
      <c r="BO299" s="32"/>
      <c r="BP299" s="32"/>
      <c r="BQ299" s="32"/>
      <c r="BR299" s="32"/>
      <c r="BS299" s="32"/>
      <c r="BT299" s="32"/>
      <c r="BU299" s="32"/>
      <c r="BV299" s="32"/>
      <c r="BW299" s="32"/>
      <c r="BX299" s="32"/>
      <c r="BY299" s="32"/>
      <c r="BZ299" s="32"/>
      <c r="CA299" s="32"/>
      <c r="CB299" s="32"/>
      <c r="CC299" s="55"/>
      <c r="CD299" s="55"/>
      <c r="CE299" s="32"/>
      <c r="CF299" s="32"/>
      <c r="CG299" s="32"/>
      <c r="CH299" s="32"/>
      <c r="CI299" s="32"/>
      <c r="CJ299" s="32"/>
    </row>
    <row r="300" ht="15.75" customHeight="1">
      <c r="A300" s="1"/>
      <c r="B300" s="1"/>
      <c r="C300" s="1"/>
      <c r="D300" s="1"/>
      <c r="E300" s="1"/>
      <c r="F300" s="32"/>
      <c r="G300" s="32"/>
      <c r="H300" s="32"/>
      <c r="I300" s="32"/>
      <c r="J300" s="32"/>
      <c r="K300" s="54"/>
      <c r="L300" s="32"/>
      <c r="M300" s="32"/>
      <c r="N300" s="32"/>
      <c r="O300" s="32"/>
      <c r="P300" s="32"/>
      <c r="Q300" s="32"/>
      <c r="R300" s="32"/>
      <c r="S300" s="54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  <c r="AY300" s="32"/>
      <c r="AZ300" s="32"/>
      <c r="BA300" s="32"/>
      <c r="BB300" s="32"/>
      <c r="BC300" s="32"/>
      <c r="BD300" s="32"/>
      <c r="BE300" s="32"/>
      <c r="BF300" s="32"/>
      <c r="BG300" s="32"/>
      <c r="BH300" s="32"/>
      <c r="BI300" s="32"/>
      <c r="BJ300" s="32"/>
      <c r="BK300" s="32"/>
      <c r="BL300" s="32"/>
      <c r="BM300" s="32"/>
      <c r="BN300" s="32"/>
      <c r="BO300" s="32"/>
      <c r="BP300" s="32"/>
      <c r="BQ300" s="32"/>
      <c r="BR300" s="32"/>
      <c r="BS300" s="32"/>
      <c r="BT300" s="32"/>
      <c r="BU300" s="32"/>
      <c r="BV300" s="32"/>
      <c r="BW300" s="32"/>
      <c r="BX300" s="32"/>
      <c r="BY300" s="32"/>
      <c r="BZ300" s="32"/>
      <c r="CA300" s="32"/>
      <c r="CB300" s="32"/>
      <c r="CC300" s="55"/>
      <c r="CD300" s="55"/>
      <c r="CE300" s="32"/>
      <c r="CF300" s="32"/>
      <c r="CG300" s="32"/>
      <c r="CH300" s="32"/>
      <c r="CI300" s="32"/>
      <c r="CJ300" s="32"/>
    </row>
    <row r="301" ht="15.75" customHeight="1">
      <c r="A301" s="1"/>
      <c r="B301" s="1"/>
      <c r="C301" s="1"/>
      <c r="D301" s="1"/>
      <c r="E301" s="1"/>
      <c r="F301" s="32"/>
      <c r="G301" s="32"/>
      <c r="H301" s="32"/>
      <c r="I301" s="32"/>
      <c r="J301" s="32"/>
      <c r="K301" s="54"/>
      <c r="L301" s="32"/>
      <c r="M301" s="32"/>
      <c r="N301" s="32"/>
      <c r="O301" s="32"/>
      <c r="P301" s="32"/>
      <c r="Q301" s="32"/>
      <c r="R301" s="32"/>
      <c r="S301" s="54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2"/>
      <c r="AY301" s="32"/>
      <c r="AZ301" s="32"/>
      <c r="BA301" s="32"/>
      <c r="BB301" s="32"/>
      <c r="BC301" s="32"/>
      <c r="BD301" s="32"/>
      <c r="BE301" s="32"/>
      <c r="BF301" s="32"/>
      <c r="BG301" s="32"/>
      <c r="BH301" s="32"/>
      <c r="BI301" s="32"/>
      <c r="BJ301" s="32"/>
      <c r="BK301" s="32"/>
      <c r="BL301" s="32"/>
      <c r="BM301" s="32"/>
      <c r="BN301" s="32"/>
      <c r="BO301" s="32"/>
      <c r="BP301" s="32"/>
      <c r="BQ301" s="32"/>
      <c r="BR301" s="32"/>
      <c r="BS301" s="32"/>
      <c r="BT301" s="32"/>
      <c r="BU301" s="32"/>
      <c r="BV301" s="32"/>
      <c r="BW301" s="32"/>
      <c r="BX301" s="32"/>
      <c r="BY301" s="32"/>
      <c r="BZ301" s="32"/>
      <c r="CA301" s="32"/>
      <c r="CB301" s="32"/>
      <c r="CC301" s="55"/>
      <c r="CD301" s="55"/>
      <c r="CE301" s="32"/>
      <c r="CF301" s="32"/>
      <c r="CG301" s="32"/>
      <c r="CH301" s="32"/>
      <c r="CI301" s="32"/>
      <c r="CJ301" s="32"/>
    </row>
    <row r="302" ht="15.75" customHeight="1">
      <c r="A302" s="1"/>
      <c r="B302" s="1"/>
      <c r="C302" s="1"/>
      <c r="D302" s="1"/>
      <c r="E302" s="1"/>
      <c r="F302" s="32"/>
      <c r="G302" s="32"/>
      <c r="H302" s="32"/>
      <c r="I302" s="32"/>
      <c r="J302" s="32"/>
      <c r="K302" s="54"/>
      <c r="L302" s="32"/>
      <c r="M302" s="32"/>
      <c r="N302" s="32"/>
      <c r="O302" s="32"/>
      <c r="P302" s="32"/>
      <c r="Q302" s="32"/>
      <c r="R302" s="32"/>
      <c r="S302" s="54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2"/>
      <c r="BA302" s="32"/>
      <c r="BB302" s="32"/>
      <c r="BC302" s="32"/>
      <c r="BD302" s="32"/>
      <c r="BE302" s="32"/>
      <c r="BF302" s="32"/>
      <c r="BG302" s="32"/>
      <c r="BH302" s="32"/>
      <c r="BI302" s="32"/>
      <c r="BJ302" s="32"/>
      <c r="BK302" s="32"/>
      <c r="BL302" s="32"/>
      <c r="BM302" s="32"/>
      <c r="BN302" s="32"/>
      <c r="BO302" s="32"/>
      <c r="BP302" s="32"/>
      <c r="BQ302" s="32"/>
      <c r="BR302" s="32"/>
      <c r="BS302" s="32"/>
      <c r="BT302" s="32"/>
      <c r="BU302" s="32"/>
      <c r="BV302" s="32"/>
      <c r="BW302" s="32"/>
      <c r="BX302" s="32"/>
      <c r="BY302" s="32"/>
      <c r="BZ302" s="32"/>
      <c r="CA302" s="32"/>
      <c r="CB302" s="32"/>
      <c r="CC302" s="55"/>
      <c r="CD302" s="55"/>
      <c r="CE302" s="32"/>
      <c r="CF302" s="32"/>
      <c r="CG302" s="32"/>
      <c r="CH302" s="32"/>
      <c r="CI302" s="32"/>
      <c r="CJ302" s="32"/>
    </row>
    <row r="303" ht="15.75" customHeight="1">
      <c r="A303" s="1"/>
      <c r="B303" s="1"/>
      <c r="C303" s="1"/>
      <c r="D303" s="1"/>
      <c r="E303" s="1"/>
      <c r="F303" s="32"/>
      <c r="G303" s="32"/>
      <c r="H303" s="32"/>
      <c r="I303" s="32"/>
      <c r="J303" s="32"/>
      <c r="K303" s="54"/>
      <c r="L303" s="32"/>
      <c r="M303" s="32"/>
      <c r="N303" s="32"/>
      <c r="O303" s="32"/>
      <c r="P303" s="32"/>
      <c r="Q303" s="32"/>
      <c r="R303" s="32"/>
      <c r="S303" s="54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  <c r="AY303" s="32"/>
      <c r="AZ303" s="32"/>
      <c r="BA303" s="32"/>
      <c r="BB303" s="32"/>
      <c r="BC303" s="32"/>
      <c r="BD303" s="32"/>
      <c r="BE303" s="32"/>
      <c r="BF303" s="32"/>
      <c r="BG303" s="32"/>
      <c r="BH303" s="32"/>
      <c r="BI303" s="32"/>
      <c r="BJ303" s="32"/>
      <c r="BK303" s="32"/>
      <c r="BL303" s="32"/>
      <c r="BM303" s="32"/>
      <c r="BN303" s="32"/>
      <c r="BO303" s="32"/>
      <c r="BP303" s="32"/>
      <c r="BQ303" s="32"/>
      <c r="BR303" s="32"/>
      <c r="BS303" s="32"/>
      <c r="BT303" s="32"/>
      <c r="BU303" s="32"/>
      <c r="BV303" s="32"/>
      <c r="BW303" s="32"/>
      <c r="BX303" s="32"/>
      <c r="BY303" s="32"/>
      <c r="BZ303" s="32"/>
      <c r="CA303" s="32"/>
      <c r="CB303" s="32"/>
      <c r="CC303" s="55"/>
      <c r="CD303" s="55"/>
      <c r="CE303" s="32"/>
      <c r="CF303" s="32"/>
      <c r="CG303" s="32"/>
      <c r="CH303" s="32"/>
      <c r="CI303" s="32"/>
      <c r="CJ303" s="32"/>
    </row>
    <row r="304" ht="15.75" customHeight="1">
      <c r="A304" s="1"/>
      <c r="B304" s="1"/>
      <c r="C304" s="1"/>
      <c r="D304" s="1"/>
      <c r="E304" s="1"/>
      <c r="F304" s="32"/>
      <c r="G304" s="32"/>
      <c r="H304" s="32"/>
      <c r="I304" s="32"/>
      <c r="J304" s="32"/>
      <c r="K304" s="54"/>
      <c r="L304" s="32"/>
      <c r="M304" s="32"/>
      <c r="N304" s="32"/>
      <c r="O304" s="32"/>
      <c r="P304" s="32"/>
      <c r="Q304" s="32"/>
      <c r="R304" s="32"/>
      <c r="S304" s="54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2"/>
      <c r="BA304" s="32"/>
      <c r="BB304" s="32"/>
      <c r="BC304" s="32"/>
      <c r="BD304" s="32"/>
      <c r="BE304" s="32"/>
      <c r="BF304" s="32"/>
      <c r="BG304" s="32"/>
      <c r="BH304" s="32"/>
      <c r="BI304" s="32"/>
      <c r="BJ304" s="32"/>
      <c r="BK304" s="32"/>
      <c r="BL304" s="32"/>
      <c r="BM304" s="32"/>
      <c r="BN304" s="32"/>
      <c r="BO304" s="32"/>
      <c r="BP304" s="32"/>
      <c r="BQ304" s="32"/>
      <c r="BR304" s="32"/>
      <c r="BS304" s="32"/>
      <c r="BT304" s="32"/>
      <c r="BU304" s="32"/>
      <c r="BV304" s="32"/>
      <c r="BW304" s="32"/>
      <c r="BX304" s="32"/>
      <c r="BY304" s="32"/>
      <c r="BZ304" s="32"/>
      <c r="CA304" s="32"/>
      <c r="CB304" s="32"/>
      <c r="CC304" s="55"/>
      <c r="CD304" s="55"/>
      <c r="CE304" s="32"/>
      <c r="CF304" s="32"/>
      <c r="CG304" s="32"/>
      <c r="CH304" s="32"/>
      <c r="CI304" s="32"/>
      <c r="CJ304" s="32"/>
    </row>
    <row r="305" ht="15.75" customHeight="1">
      <c r="A305" s="1"/>
      <c r="B305" s="1"/>
      <c r="C305" s="1"/>
      <c r="D305" s="1"/>
      <c r="E305" s="1"/>
      <c r="F305" s="32"/>
      <c r="G305" s="32"/>
      <c r="H305" s="32"/>
      <c r="I305" s="32"/>
      <c r="J305" s="32"/>
      <c r="K305" s="54"/>
      <c r="L305" s="32"/>
      <c r="M305" s="32"/>
      <c r="N305" s="32"/>
      <c r="O305" s="32"/>
      <c r="P305" s="32"/>
      <c r="Q305" s="32"/>
      <c r="R305" s="32"/>
      <c r="S305" s="54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2"/>
      <c r="AZ305" s="32"/>
      <c r="BA305" s="32"/>
      <c r="BB305" s="32"/>
      <c r="BC305" s="32"/>
      <c r="BD305" s="32"/>
      <c r="BE305" s="32"/>
      <c r="BF305" s="32"/>
      <c r="BG305" s="32"/>
      <c r="BH305" s="32"/>
      <c r="BI305" s="32"/>
      <c r="BJ305" s="32"/>
      <c r="BK305" s="32"/>
      <c r="BL305" s="32"/>
      <c r="BM305" s="32"/>
      <c r="BN305" s="32"/>
      <c r="BO305" s="32"/>
      <c r="BP305" s="32"/>
      <c r="BQ305" s="32"/>
      <c r="BR305" s="32"/>
      <c r="BS305" s="32"/>
      <c r="BT305" s="32"/>
      <c r="BU305" s="32"/>
      <c r="BV305" s="32"/>
      <c r="BW305" s="32"/>
      <c r="BX305" s="32"/>
      <c r="BY305" s="32"/>
      <c r="BZ305" s="32"/>
      <c r="CA305" s="32"/>
      <c r="CB305" s="32"/>
      <c r="CC305" s="55"/>
      <c r="CD305" s="55"/>
      <c r="CE305" s="32"/>
      <c r="CF305" s="32"/>
      <c r="CG305" s="32"/>
      <c r="CH305" s="32"/>
      <c r="CI305" s="32"/>
      <c r="CJ305" s="32"/>
    </row>
    <row r="306" ht="15.75" customHeight="1">
      <c r="A306" s="1"/>
      <c r="B306" s="1"/>
      <c r="C306" s="1"/>
      <c r="D306" s="1"/>
      <c r="E306" s="1"/>
      <c r="F306" s="32"/>
      <c r="G306" s="32"/>
      <c r="H306" s="32"/>
      <c r="I306" s="32"/>
      <c r="J306" s="32"/>
      <c r="K306" s="54"/>
      <c r="L306" s="32"/>
      <c r="M306" s="32"/>
      <c r="N306" s="32"/>
      <c r="O306" s="32"/>
      <c r="P306" s="32"/>
      <c r="Q306" s="32"/>
      <c r="R306" s="32"/>
      <c r="S306" s="54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  <c r="AY306" s="32"/>
      <c r="AZ306" s="32"/>
      <c r="BA306" s="32"/>
      <c r="BB306" s="32"/>
      <c r="BC306" s="32"/>
      <c r="BD306" s="32"/>
      <c r="BE306" s="32"/>
      <c r="BF306" s="32"/>
      <c r="BG306" s="32"/>
      <c r="BH306" s="32"/>
      <c r="BI306" s="32"/>
      <c r="BJ306" s="32"/>
      <c r="BK306" s="32"/>
      <c r="BL306" s="32"/>
      <c r="BM306" s="32"/>
      <c r="BN306" s="32"/>
      <c r="BO306" s="32"/>
      <c r="BP306" s="32"/>
      <c r="BQ306" s="32"/>
      <c r="BR306" s="32"/>
      <c r="BS306" s="32"/>
      <c r="BT306" s="32"/>
      <c r="BU306" s="32"/>
      <c r="BV306" s="32"/>
      <c r="BW306" s="32"/>
      <c r="BX306" s="32"/>
      <c r="BY306" s="32"/>
      <c r="BZ306" s="32"/>
      <c r="CA306" s="32"/>
      <c r="CB306" s="32"/>
      <c r="CC306" s="55"/>
      <c r="CD306" s="55"/>
      <c r="CE306" s="32"/>
      <c r="CF306" s="32"/>
      <c r="CG306" s="32"/>
      <c r="CH306" s="32"/>
      <c r="CI306" s="32"/>
      <c r="CJ306" s="32"/>
    </row>
    <row r="307" ht="15.75" customHeight="1">
      <c r="A307" s="1"/>
      <c r="B307" s="1"/>
      <c r="C307" s="1"/>
      <c r="D307" s="1"/>
      <c r="E307" s="1"/>
      <c r="F307" s="32"/>
      <c r="G307" s="32"/>
      <c r="H307" s="32"/>
      <c r="I307" s="32"/>
      <c r="J307" s="32"/>
      <c r="K307" s="54"/>
      <c r="L307" s="32"/>
      <c r="M307" s="32"/>
      <c r="N307" s="32"/>
      <c r="O307" s="32"/>
      <c r="P307" s="32"/>
      <c r="Q307" s="32"/>
      <c r="R307" s="32"/>
      <c r="S307" s="54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  <c r="AY307" s="32"/>
      <c r="AZ307" s="32"/>
      <c r="BA307" s="32"/>
      <c r="BB307" s="32"/>
      <c r="BC307" s="32"/>
      <c r="BD307" s="32"/>
      <c r="BE307" s="32"/>
      <c r="BF307" s="32"/>
      <c r="BG307" s="32"/>
      <c r="BH307" s="32"/>
      <c r="BI307" s="32"/>
      <c r="BJ307" s="32"/>
      <c r="BK307" s="32"/>
      <c r="BL307" s="32"/>
      <c r="BM307" s="32"/>
      <c r="BN307" s="32"/>
      <c r="BO307" s="32"/>
      <c r="BP307" s="32"/>
      <c r="BQ307" s="32"/>
      <c r="BR307" s="32"/>
      <c r="BS307" s="32"/>
      <c r="BT307" s="32"/>
      <c r="BU307" s="32"/>
      <c r="BV307" s="32"/>
      <c r="BW307" s="32"/>
      <c r="BX307" s="32"/>
      <c r="BY307" s="32"/>
      <c r="BZ307" s="32"/>
      <c r="CA307" s="32"/>
      <c r="CB307" s="32"/>
      <c r="CC307" s="55"/>
      <c r="CD307" s="55"/>
      <c r="CE307" s="32"/>
      <c r="CF307" s="32"/>
      <c r="CG307" s="32"/>
      <c r="CH307" s="32"/>
      <c r="CI307" s="32"/>
      <c r="CJ307" s="32"/>
    </row>
    <row r="308" ht="15.75" customHeight="1">
      <c r="A308" s="1"/>
      <c r="B308" s="1"/>
      <c r="C308" s="1"/>
      <c r="D308" s="1"/>
      <c r="E308" s="1"/>
      <c r="F308" s="32"/>
      <c r="G308" s="32"/>
      <c r="H308" s="32"/>
      <c r="I308" s="32"/>
      <c r="J308" s="32"/>
      <c r="K308" s="54"/>
      <c r="L308" s="32"/>
      <c r="M308" s="32"/>
      <c r="N308" s="32"/>
      <c r="O308" s="32"/>
      <c r="P308" s="32"/>
      <c r="Q308" s="32"/>
      <c r="R308" s="32"/>
      <c r="S308" s="54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  <c r="BA308" s="32"/>
      <c r="BB308" s="32"/>
      <c r="BC308" s="32"/>
      <c r="BD308" s="32"/>
      <c r="BE308" s="32"/>
      <c r="BF308" s="32"/>
      <c r="BG308" s="32"/>
      <c r="BH308" s="32"/>
      <c r="BI308" s="32"/>
      <c r="BJ308" s="32"/>
      <c r="BK308" s="32"/>
      <c r="BL308" s="32"/>
      <c r="BM308" s="32"/>
      <c r="BN308" s="32"/>
      <c r="BO308" s="32"/>
      <c r="BP308" s="32"/>
      <c r="BQ308" s="32"/>
      <c r="BR308" s="32"/>
      <c r="BS308" s="32"/>
      <c r="BT308" s="32"/>
      <c r="BU308" s="32"/>
      <c r="BV308" s="32"/>
      <c r="BW308" s="32"/>
      <c r="BX308" s="32"/>
      <c r="BY308" s="32"/>
      <c r="BZ308" s="32"/>
      <c r="CA308" s="32"/>
      <c r="CB308" s="32"/>
      <c r="CC308" s="55"/>
      <c r="CD308" s="55"/>
      <c r="CE308" s="32"/>
      <c r="CF308" s="32"/>
      <c r="CG308" s="32"/>
      <c r="CH308" s="32"/>
      <c r="CI308" s="32"/>
      <c r="CJ308" s="32"/>
    </row>
    <row r="309" ht="15.75" customHeight="1">
      <c r="A309" s="1"/>
      <c r="B309" s="1"/>
      <c r="C309" s="1"/>
      <c r="D309" s="1"/>
      <c r="E309" s="1"/>
      <c r="F309" s="32"/>
      <c r="G309" s="32"/>
      <c r="H309" s="32"/>
      <c r="I309" s="32"/>
      <c r="J309" s="32"/>
      <c r="K309" s="54"/>
      <c r="L309" s="32"/>
      <c r="M309" s="32"/>
      <c r="N309" s="32"/>
      <c r="O309" s="32"/>
      <c r="P309" s="32"/>
      <c r="Q309" s="32"/>
      <c r="R309" s="32"/>
      <c r="S309" s="54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  <c r="AW309" s="32"/>
      <c r="AX309" s="32"/>
      <c r="AY309" s="32"/>
      <c r="AZ309" s="32"/>
      <c r="BA309" s="32"/>
      <c r="BB309" s="32"/>
      <c r="BC309" s="32"/>
      <c r="BD309" s="32"/>
      <c r="BE309" s="32"/>
      <c r="BF309" s="32"/>
      <c r="BG309" s="32"/>
      <c r="BH309" s="32"/>
      <c r="BI309" s="32"/>
      <c r="BJ309" s="32"/>
      <c r="BK309" s="32"/>
      <c r="BL309" s="32"/>
      <c r="BM309" s="32"/>
      <c r="BN309" s="32"/>
      <c r="BO309" s="32"/>
      <c r="BP309" s="32"/>
      <c r="BQ309" s="32"/>
      <c r="BR309" s="32"/>
      <c r="BS309" s="32"/>
      <c r="BT309" s="32"/>
      <c r="BU309" s="32"/>
      <c r="BV309" s="32"/>
      <c r="BW309" s="32"/>
      <c r="BX309" s="32"/>
      <c r="BY309" s="32"/>
      <c r="BZ309" s="32"/>
      <c r="CA309" s="32"/>
      <c r="CB309" s="32"/>
      <c r="CC309" s="55"/>
      <c r="CD309" s="55"/>
      <c r="CE309" s="32"/>
      <c r="CF309" s="32"/>
      <c r="CG309" s="32"/>
      <c r="CH309" s="32"/>
      <c r="CI309" s="32"/>
      <c r="CJ309" s="32"/>
    </row>
    <row r="310" ht="15.75" customHeight="1">
      <c r="A310" s="1"/>
      <c r="B310" s="1"/>
      <c r="C310" s="1"/>
      <c r="D310" s="1"/>
      <c r="E310" s="1"/>
      <c r="F310" s="32"/>
      <c r="G310" s="32"/>
      <c r="H310" s="32"/>
      <c r="I310" s="32"/>
      <c r="J310" s="32"/>
      <c r="K310" s="54"/>
      <c r="L310" s="32"/>
      <c r="M310" s="32"/>
      <c r="N310" s="32"/>
      <c r="O310" s="32"/>
      <c r="P310" s="32"/>
      <c r="Q310" s="32"/>
      <c r="R310" s="32"/>
      <c r="S310" s="54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  <c r="AW310" s="32"/>
      <c r="AX310" s="32"/>
      <c r="AY310" s="32"/>
      <c r="AZ310" s="32"/>
      <c r="BA310" s="32"/>
      <c r="BB310" s="32"/>
      <c r="BC310" s="32"/>
      <c r="BD310" s="32"/>
      <c r="BE310" s="32"/>
      <c r="BF310" s="32"/>
      <c r="BG310" s="32"/>
      <c r="BH310" s="32"/>
      <c r="BI310" s="32"/>
      <c r="BJ310" s="32"/>
      <c r="BK310" s="32"/>
      <c r="BL310" s="32"/>
      <c r="BM310" s="32"/>
      <c r="BN310" s="32"/>
      <c r="BO310" s="32"/>
      <c r="BP310" s="32"/>
      <c r="BQ310" s="32"/>
      <c r="BR310" s="32"/>
      <c r="BS310" s="32"/>
      <c r="BT310" s="32"/>
      <c r="BU310" s="32"/>
      <c r="BV310" s="32"/>
      <c r="BW310" s="32"/>
      <c r="BX310" s="32"/>
      <c r="BY310" s="32"/>
      <c r="BZ310" s="32"/>
      <c r="CA310" s="32"/>
      <c r="CB310" s="32"/>
      <c r="CC310" s="55"/>
      <c r="CD310" s="55"/>
      <c r="CE310" s="32"/>
      <c r="CF310" s="32"/>
      <c r="CG310" s="32"/>
      <c r="CH310" s="32"/>
      <c r="CI310" s="32"/>
      <c r="CJ310" s="32"/>
    </row>
    <row r="311" ht="15.75" customHeight="1">
      <c r="A311" s="1"/>
      <c r="B311" s="1"/>
      <c r="C311" s="1"/>
      <c r="D311" s="1"/>
      <c r="E311" s="1"/>
      <c r="F311" s="32"/>
      <c r="G311" s="32"/>
      <c r="H311" s="32"/>
      <c r="I311" s="32"/>
      <c r="J311" s="32"/>
      <c r="K311" s="54"/>
      <c r="L311" s="32"/>
      <c r="M311" s="32"/>
      <c r="N311" s="32"/>
      <c r="O311" s="32"/>
      <c r="P311" s="32"/>
      <c r="Q311" s="32"/>
      <c r="R311" s="32"/>
      <c r="S311" s="54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2"/>
      <c r="AY311" s="32"/>
      <c r="AZ311" s="32"/>
      <c r="BA311" s="32"/>
      <c r="BB311" s="32"/>
      <c r="BC311" s="32"/>
      <c r="BD311" s="32"/>
      <c r="BE311" s="32"/>
      <c r="BF311" s="32"/>
      <c r="BG311" s="32"/>
      <c r="BH311" s="32"/>
      <c r="BI311" s="32"/>
      <c r="BJ311" s="32"/>
      <c r="BK311" s="32"/>
      <c r="BL311" s="32"/>
      <c r="BM311" s="32"/>
      <c r="BN311" s="32"/>
      <c r="BO311" s="32"/>
      <c r="BP311" s="32"/>
      <c r="BQ311" s="32"/>
      <c r="BR311" s="32"/>
      <c r="BS311" s="32"/>
      <c r="BT311" s="32"/>
      <c r="BU311" s="32"/>
      <c r="BV311" s="32"/>
      <c r="BW311" s="32"/>
      <c r="BX311" s="32"/>
      <c r="BY311" s="32"/>
      <c r="BZ311" s="32"/>
      <c r="CA311" s="32"/>
      <c r="CB311" s="32"/>
      <c r="CC311" s="55"/>
      <c r="CD311" s="55"/>
      <c r="CE311" s="32"/>
      <c r="CF311" s="32"/>
      <c r="CG311" s="32"/>
      <c r="CH311" s="32"/>
      <c r="CI311" s="32"/>
      <c r="CJ311" s="32"/>
    </row>
    <row r="312" ht="15.75" customHeight="1">
      <c r="A312" s="1"/>
      <c r="B312" s="1"/>
      <c r="C312" s="1"/>
      <c r="D312" s="1"/>
      <c r="E312" s="1"/>
      <c r="F312" s="32"/>
      <c r="G312" s="32"/>
      <c r="H312" s="32"/>
      <c r="I312" s="32"/>
      <c r="J312" s="32"/>
      <c r="K312" s="54"/>
      <c r="L312" s="32"/>
      <c r="M312" s="32"/>
      <c r="N312" s="32"/>
      <c r="O312" s="32"/>
      <c r="P312" s="32"/>
      <c r="Q312" s="32"/>
      <c r="R312" s="32"/>
      <c r="S312" s="54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2"/>
      <c r="AY312" s="32"/>
      <c r="AZ312" s="32"/>
      <c r="BA312" s="32"/>
      <c r="BB312" s="32"/>
      <c r="BC312" s="32"/>
      <c r="BD312" s="32"/>
      <c r="BE312" s="32"/>
      <c r="BF312" s="32"/>
      <c r="BG312" s="32"/>
      <c r="BH312" s="32"/>
      <c r="BI312" s="32"/>
      <c r="BJ312" s="32"/>
      <c r="BK312" s="32"/>
      <c r="BL312" s="32"/>
      <c r="BM312" s="32"/>
      <c r="BN312" s="32"/>
      <c r="BO312" s="32"/>
      <c r="BP312" s="32"/>
      <c r="BQ312" s="32"/>
      <c r="BR312" s="32"/>
      <c r="BS312" s="32"/>
      <c r="BT312" s="32"/>
      <c r="BU312" s="32"/>
      <c r="BV312" s="32"/>
      <c r="BW312" s="32"/>
      <c r="BX312" s="32"/>
      <c r="BY312" s="32"/>
      <c r="BZ312" s="32"/>
      <c r="CA312" s="32"/>
      <c r="CB312" s="32"/>
      <c r="CC312" s="55"/>
      <c r="CD312" s="55"/>
      <c r="CE312" s="32"/>
      <c r="CF312" s="32"/>
      <c r="CG312" s="32"/>
      <c r="CH312" s="32"/>
      <c r="CI312" s="32"/>
      <c r="CJ312" s="32"/>
    </row>
    <row r="313" ht="15.75" customHeight="1">
      <c r="A313" s="1"/>
      <c r="B313" s="1"/>
      <c r="C313" s="1"/>
      <c r="D313" s="1"/>
      <c r="E313" s="1"/>
      <c r="F313" s="32"/>
      <c r="G313" s="32"/>
      <c r="H313" s="32"/>
      <c r="I313" s="32"/>
      <c r="J313" s="32"/>
      <c r="K313" s="54"/>
      <c r="L313" s="32"/>
      <c r="M313" s="32"/>
      <c r="N313" s="32"/>
      <c r="O313" s="32"/>
      <c r="P313" s="32"/>
      <c r="Q313" s="32"/>
      <c r="R313" s="32"/>
      <c r="S313" s="54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  <c r="AW313" s="32"/>
      <c r="AX313" s="32"/>
      <c r="AY313" s="32"/>
      <c r="AZ313" s="32"/>
      <c r="BA313" s="32"/>
      <c r="BB313" s="32"/>
      <c r="BC313" s="32"/>
      <c r="BD313" s="32"/>
      <c r="BE313" s="32"/>
      <c r="BF313" s="32"/>
      <c r="BG313" s="32"/>
      <c r="BH313" s="32"/>
      <c r="BI313" s="32"/>
      <c r="BJ313" s="32"/>
      <c r="BK313" s="32"/>
      <c r="BL313" s="32"/>
      <c r="BM313" s="32"/>
      <c r="BN313" s="32"/>
      <c r="BO313" s="32"/>
      <c r="BP313" s="32"/>
      <c r="BQ313" s="32"/>
      <c r="BR313" s="32"/>
      <c r="BS313" s="32"/>
      <c r="BT313" s="32"/>
      <c r="BU313" s="32"/>
      <c r="BV313" s="32"/>
      <c r="BW313" s="32"/>
      <c r="BX313" s="32"/>
      <c r="BY313" s="32"/>
      <c r="BZ313" s="32"/>
      <c r="CA313" s="32"/>
      <c r="CB313" s="32"/>
      <c r="CC313" s="55"/>
      <c r="CD313" s="55"/>
      <c r="CE313" s="32"/>
      <c r="CF313" s="32"/>
      <c r="CG313" s="32"/>
      <c r="CH313" s="32"/>
      <c r="CI313" s="32"/>
      <c r="CJ313" s="32"/>
    </row>
    <row r="314" ht="15.75" customHeight="1">
      <c r="A314" s="1"/>
      <c r="B314" s="1"/>
      <c r="C314" s="1"/>
      <c r="D314" s="1"/>
      <c r="E314" s="1"/>
      <c r="F314" s="32"/>
      <c r="G314" s="32"/>
      <c r="H314" s="32"/>
      <c r="I314" s="32"/>
      <c r="J314" s="32"/>
      <c r="K314" s="54"/>
      <c r="L314" s="32"/>
      <c r="M314" s="32"/>
      <c r="N314" s="32"/>
      <c r="O314" s="32"/>
      <c r="P314" s="32"/>
      <c r="Q314" s="32"/>
      <c r="R314" s="32"/>
      <c r="S314" s="54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  <c r="AW314" s="32"/>
      <c r="AX314" s="32"/>
      <c r="AY314" s="32"/>
      <c r="AZ314" s="32"/>
      <c r="BA314" s="32"/>
      <c r="BB314" s="32"/>
      <c r="BC314" s="32"/>
      <c r="BD314" s="32"/>
      <c r="BE314" s="32"/>
      <c r="BF314" s="32"/>
      <c r="BG314" s="32"/>
      <c r="BH314" s="32"/>
      <c r="BI314" s="32"/>
      <c r="BJ314" s="32"/>
      <c r="BK314" s="32"/>
      <c r="BL314" s="32"/>
      <c r="BM314" s="32"/>
      <c r="BN314" s="32"/>
      <c r="BO314" s="32"/>
      <c r="BP314" s="32"/>
      <c r="BQ314" s="32"/>
      <c r="BR314" s="32"/>
      <c r="BS314" s="32"/>
      <c r="BT314" s="32"/>
      <c r="BU314" s="32"/>
      <c r="BV314" s="32"/>
      <c r="BW314" s="32"/>
      <c r="BX314" s="32"/>
      <c r="BY314" s="32"/>
      <c r="BZ314" s="32"/>
      <c r="CA314" s="32"/>
      <c r="CB314" s="32"/>
      <c r="CC314" s="55"/>
      <c r="CD314" s="55"/>
      <c r="CE314" s="32"/>
      <c r="CF314" s="32"/>
      <c r="CG314" s="32"/>
      <c r="CH314" s="32"/>
      <c r="CI314" s="32"/>
      <c r="CJ314" s="32"/>
    </row>
    <row r="315" ht="15.75" customHeight="1">
      <c r="A315" s="1"/>
      <c r="B315" s="1"/>
      <c r="C315" s="1"/>
      <c r="D315" s="1"/>
      <c r="E315" s="1"/>
      <c r="F315" s="32"/>
      <c r="G315" s="32"/>
      <c r="H315" s="32"/>
      <c r="I315" s="32"/>
      <c r="J315" s="32"/>
      <c r="K315" s="54"/>
      <c r="L315" s="32"/>
      <c r="M315" s="32"/>
      <c r="N315" s="32"/>
      <c r="O315" s="32"/>
      <c r="P315" s="32"/>
      <c r="Q315" s="32"/>
      <c r="R315" s="32"/>
      <c r="S315" s="54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  <c r="AY315" s="32"/>
      <c r="AZ315" s="32"/>
      <c r="BA315" s="32"/>
      <c r="BB315" s="32"/>
      <c r="BC315" s="32"/>
      <c r="BD315" s="32"/>
      <c r="BE315" s="32"/>
      <c r="BF315" s="32"/>
      <c r="BG315" s="32"/>
      <c r="BH315" s="32"/>
      <c r="BI315" s="32"/>
      <c r="BJ315" s="32"/>
      <c r="BK315" s="32"/>
      <c r="BL315" s="32"/>
      <c r="BM315" s="32"/>
      <c r="BN315" s="32"/>
      <c r="BO315" s="32"/>
      <c r="BP315" s="32"/>
      <c r="BQ315" s="32"/>
      <c r="BR315" s="32"/>
      <c r="BS315" s="32"/>
      <c r="BT315" s="32"/>
      <c r="BU315" s="32"/>
      <c r="BV315" s="32"/>
      <c r="BW315" s="32"/>
      <c r="BX315" s="32"/>
      <c r="BY315" s="32"/>
      <c r="BZ315" s="32"/>
      <c r="CA315" s="32"/>
      <c r="CB315" s="32"/>
      <c r="CC315" s="55"/>
      <c r="CD315" s="55"/>
      <c r="CE315" s="32"/>
      <c r="CF315" s="32"/>
      <c r="CG315" s="32"/>
      <c r="CH315" s="32"/>
      <c r="CI315" s="32"/>
      <c r="CJ315" s="32"/>
    </row>
    <row r="316" ht="15.75" customHeight="1">
      <c r="A316" s="1"/>
      <c r="B316" s="1"/>
      <c r="C316" s="1"/>
      <c r="D316" s="1"/>
      <c r="E316" s="1"/>
      <c r="F316" s="32"/>
      <c r="G316" s="32"/>
      <c r="H316" s="32"/>
      <c r="I316" s="32"/>
      <c r="J316" s="32"/>
      <c r="K316" s="54"/>
      <c r="L316" s="32"/>
      <c r="M316" s="32"/>
      <c r="N316" s="32"/>
      <c r="O316" s="32"/>
      <c r="P316" s="32"/>
      <c r="Q316" s="32"/>
      <c r="R316" s="32"/>
      <c r="S316" s="54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2"/>
      <c r="AY316" s="32"/>
      <c r="AZ316" s="32"/>
      <c r="BA316" s="32"/>
      <c r="BB316" s="32"/>
      <c r="BC316" s="32"/>
      <c r="BD316" s="32"/>
      <c r="BE316" s="32"/>
      <c r="BF316" s="32"/>
      <c r="BG316" s="32"/>
      <c r="BH316" s="32"/>
      <c r="BI316" s="32"/>
      <c r="BJ316" s="32"/>
      <c r="BK316" s="32"/>
      <c r="BL316" s="32"/>
      <c r="BM316" s="32"/>
      <c r="BN316" s="32"/>
      <c r="BO316" s="32"/>
      <c r="BP316" s="32"/>
      <c r="BQ316" s="32"/>
      <c r="BR316" s="32"/>
      <c r="BS316" s="32"/>
      <c r="BT316" s="32"/>
      <c r="BU316" s="32"/>
      <c r="BV316" s="32"/>
      <c r="BW316" s="32"/>
      <c r="BX316" s="32"/>
      <c r="BY316" s="32"/>
      <c r="BZ316" s="32"/>
      <c r="CA316" s="32"/>
      <c r="CB316" s="32"/>
      <c r="CC316" s="55"/>
      <c r="CD316" s="55"/>
      <c r="CE316" s="32"/>
      <c r="CF316" s="32"/>
      <c r="CG316" s="32"/>
      <c r="CH316" s="32"/>
      <c r="CI316" s="32"/>
      <c r="CJ316" s="32"/>
    </row>
    <row r="317" ht="15.75" customHeight="1">
      <c r="A317" s="1"/>
      <c r="B317" s="1"/>
      <c r="C317" s="1"/>
      <c r="D317" s="1"/>
      <c r="E317" s="1"/>
      <c r="F317" s="32"/>
      <c r="G317" s="32"/>
      <c r="H317" s="32"/>
      <c r="I317" s="32"/>
      <c r="J317" s="32"/>
      <c r="K317" s="54"/>
      <c r="L317" s="32"/>
      <c r="M317" s="32"/>
      <c r="N317" s="32"/>
      <c r="O317" s="32"/>
      <c r="P317" s="32"/>
      <c r="Q317" s="32"/>
      <c r="R317" s="32"/>
      <c r="S317" s="54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2"/>
      <c r="AY317" s="32"/>
      <c r="AZ317" s="32"/>
      <c r="BA317" s="32"/>
      <c r="BB317" s="32"/>
      <c r="BC317" s="32"/>
      <c r="BD317" s="32"/>
      <c r="BE317" s="32"/>
      <c r="BF317" s="32"/>
      <c r="BG317" s="32"/>
      <c r="BH317" s="32"/>
      <c r="BI317" s="32"/>
      <c r="BJ317" s="32"/>
      <c r="BK317" s="32"/>
      <c r="BL317" s="32"/>
      <c r="BM317" s="32"/>
      <c r="BN317" s="32"/>
      <c r="BO317" s="32"/>
      <c r="BP317" s="32"/>
      <c r="BQ317" s="32"/>
      <c r="BR317" s="32"/>
      <c r="BS317" s="32"/>
      <c r="BT317" s="32"/>
      <c r="BU317" s="32"/>
      <c r="BV317" s="32"/>
      <c r="BW317" s="32"/>
      <c r="BX317" s="32"/>
      <c r="BY317" s="32"/>
      <c r="BZ317" s="32"/>
      <c r="CA317" s="32"/>
      <c r="CB317" s="32"/>
      <c r="CC317" s="55"/>
      <c r="CD317" s="55"/>
      <c r="CE317" s="32"/>
      <c r="CF317" s="32"/>
      <c r="CG317" s="32"/>
      <c r="CH317" s="32"/>
      <c r="CI317" s="32"/>
      <c r="CJ317" s="32"/>
    </row>
    <row r="318" ht="15.75" customHeight="1">
      <c r="A318" s="1"/>
      <c r="B318" s="1"/>
      <c r="C318" s="1"/>
      <c r="D318" s="1"/>
      <c r="E318" s="1"/>
      <c r="F318" s="32"/>
      <c r="G318" s="32"/>
      <c r="H318" s="32"/>
      <c r="I318" s="32"/>
      <c r="J318" s="32"/>
      <c r="K318" s="54"/>
      <c r="L318" s="32"/>
      <c r="M318" s="32"/>
      <c r="N318" s="32"/>
      <c r="O318" s="32"/>
      <c r="P318" s="32"/>
      <c r="Q318" s="32"/>
      <c r="R318" s="32"/>
      <c r="S318" s="54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2"/>
      <c r="AY318" s="32"/>
      <c r="AZ318" s="32"/>
      <c r="BA318" s="32"/>
      <c r="BB318" s="32"/>
      <c r="BC318" s="32"/>
      <c r="BD318" s="32"/>
      <c r="BE318" s="32"/>
      <c r="BF318" s="32"/>
      <c r="BG318" s="32"/>
      <c r="BH318" s="32"/>
      <c r="BI318" s="32"/>
      <c r="BJ318" s="32"/>
      <c r="BK318" s="32"/>
      <c r="BL318" s="32"/>
      <c r="BM318" s="32"/>
      <c r="BN318" s="32"/>
      <c r="BO318" s="32"/>
      <c r="BP318" s="32"/>
      <c r="BQ318" s="32"/>
      <c r="BR318" s="32"/>
      <c r="BS318" s="32"/>
      <c r="BT318" s="32"/>
      <c r="BU318" s="32"/>
      <c r="BV318" s="32"/>
      <c r="BW318" s="32"/>
      <c r="BX318" s="32"/>
      <c r="BY318" s="32"/>
      <c r="BZ318" s="32"/>
      <c r="CA318" s="32"/>
      <c r="CB318" s="32"/>
      <c r="CC318" s="55"/>
      <c r="CD318" s="55"/>
      <c r="CE318" s="32"/>
      <c r="CF318" s="32"/>
      <c r="CG318" s="32"/>
      <c r="CH318" s="32"/>
      <c r="CI318" s="32"/>
      <c r="CJ318" s="32"/>
    </row>
    <row r="319" ht="15.75" customHeight="1">
      <c r="A319" s="1"/>
      <c r="B319" s="1"/>
      <c r="C319" s="1"/>
      <c r="D319" s="1"/>
      <c r="E319" s="1"/>
      <c r="F319" s="32"/>
      <c r="G319" s="32"/>
      <c r="H319" s="32"/>
      <c r="I319" s="32"/>
      <c r="J319" s="32"/>
      <c r="K319" s="54"/>
      <c r="L319" s="32"/>
      <c r="M319" s="32"/>
      <c r="N319" s="32"/>
      <c r="O319" s="32"/>
      <c r="P319" s="32"/>
      <c r="Q319" s="32"/>
      <c r="R319" s="32"/>
      <c r="S319" s="54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  <c r="AY319" s="32"/>
      <c r="AZ319" s="32"/>
      <c r="BA319" s="32"/>
      <c r="BB319" s="32"/>
      <c r="BC319" s="32"/>
      <c r="BD319" s="32"/>
      <c r="BE319" s="32"/>
      <c r="BF319" s="32"/>
      <c r="BG319" s="32"/>
      <c r="BH319" s="32"/>
      <c r="BI319" s="32"/>
      <c r="BJ319" s="32"/>
      <c r="BK319" s="32"/>
      <c r="BL319" s="32"/>
      <c r="BM319" s="32"/>
      <c r="BN319" s="32"/>
      <c r="BO319" s="32"/>
      <c r="BP319" s="32"/>
      <c r="BQ319" s="32"/>
      <c r="BR319" s="32"/>
      <c r="BS319" s="32"/>
      <c r="BT319" s="32"/>
      <c r="BU319" s="32"/>
      <c r="BV319" s="32"/>
      <c r="BW319" s="32"/>
      <c r="BX319" s="32"/>
      <c r="BY319" s="32"/>
      <c r="BZ319" s="32"/>
      <c r="CA319" s="32"/>
      <c r="CB319" s="32"/>
      <c r="CC319" s="55"/>
      <c r="CD319" s="55"/>
      <c r="CE319" s="32"/>
      <c r="CF319" s="32"/>
      <c r="CG319" s="32"/>
      <c r="CH319" s="32"/>
      <c r="CI319" s="32"/>
      <c r="CJ319" s="32"/>
    </row>
    <row r="320" ht="15.75" customHeight="1">
      <c r="A320" s="1"/>
      <c r="B320" s="1"/>
      <c r="C320" s="1"/>
      <c r="D320" s="1"/>
      <c r="E320" s="1"/>
      <c r="F320" s="32"/>
      <c r="G320" s="32"/>
      <c r="H320" s="32"/>
      <c r="I320" s="32"/>
      <c r="J320" s="32"/>
      <c r="K320" s="54"/>
      <c r="L320" s="32"/>
      <c r="M320" s="32"/>
      <c r="N320" s="32"/>
      <c r="O320" s="32"/>
      <c r="P320" s="32"/>
      <c r="Q320" s="32"/>
      <c r="R320" s="32"/>
      <c r="S320" s="54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  <c r="AW320" s="32"/>
      <c r="AX320" s="32"/>
      <c r="AY320" s="32"/>
      <c r="AZ320" s="32"/>
      <c r="BA320" s="32"/>
      <c r="BB320" s="32"/>
      <c r="BC320" s="32"/>
      <c r="BD320" s="32"/>
      <c r="BE320" s="32"/>
      <c r="BF320" s="32"/>
      <c r="BG320" s="32"/>
      <c r="BH320" s="32"/>
      <c r="BI320" s="32"/>
      <c r="BJ320" s="32"/>
      <c r="BK320" s="32"/>
      <c r="BL320" s="32"/>
      <c r="BM320" s="32"/>
      <c r="BN320" s="32"/>
      <c r="BO320" s="32"/>
      <c r="BP320" s="32"/>
      <c r="BQ320" s="32"/>
      <c r="BR320" s="32"/>
      <c r="BS320" s="32"/>
      <c r="BT320" s="32"/>
      <c r="BU320" s="32"/>
      <c r="BV320" s="32"/>
      <c r="BW320" s="32"/>
      <c r="BX320" s="32"/>
      <c r="BY320" s="32"/>
      <c r="BZ320" s="32"/>
      <c r="CA320" s="32"/>
      <c r="CB320" s="32"/>
      <c r="CC320" s="55"/>
      <c r="CD320" s="55"/>
      <c r="CE320" s="32"/>
      <c r="CF320" s="32"/>
      <c r="CG320" s="32"/>
      <c r="CH320" s="32"/>
      <c r="CI320" s="32"/>
      <c r="CJ320" s="32"/>
    </row>
    <row r="321" ht="15.75" customHeight="1">
      <c r="A321" s="1"/>
      <c r="B321" s="1"/>
      <c r="C321" s="1"/>
      <c r="D321" s="1"/>
      <c r="E321" s="1"/>
      <c r="F321" s="32"/>
      <c r="G321" s="32"/>
      <c r="H321" s="32"/>
      <c r="I321" s="32"/>
      <c r="J321" s="32"/>
      <c r="K321" s="54"/>
      <c r="L321" s="32"/>
      <c r="M321" s="32"/>
      <c r="N321" s="32"/>
      <c r="O321" s="32"/>
      <c r="P321" s="32"/>
      <c r="Q321" s="32"/>
      <c r="R321" s="32"/>
      <c r="S321" s="54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  <c r="BA321" s="32"/>
      <c r="BB321" s="32"/>
      <c r="BC321" s="32"/>
      <c r="BD321" s="32"/>
      <c r="BE321" s="32"/>
      <c r="BF321" s="32"/>
      <c r="BG321" s="32"/>
      <c r="BH321" s="32"/>
      <c r="BI321" s="32"/>
      <c r="BJ321" s="32"/>
      <c r="BK321" s="32"/>
      <c r="BL321" s="32"/>
      <c r="BM321" s="32"/>
      <c r="BN321" s="32"/>
      <c r="BO321" s="32"/>
      <c r="BP321" s="32"/>
      <c r="BQ321" s="32"/>
      <c r="BR321" s="32"/>
      <c r="BS321" s="32"/>
      <c r="BT321" s="32"/>
      <c r="BU321" s="32"/>
      <c r="BV321" s="32"/>
      <c r="BW321" s="32"/>
      <c r="BX321" s="32"/>
      <c r="BY321" s="32"/>
      <c r="BZ321" s="32"/>
      <c r="CA321" s="32"/>
      <c r="CB321" s="32"/>
      <c r="CC321" s="55"/>
      <c r="CD321" s="55"/>
      <c r="CE321" s="32"/>
      <c r="CF321" s="32"/>
      <c r="CG321" s="32"/>
      <c r="CH321" s="32"/>
      <c r="CI321" s="32"/>
      <c r="CJ321" s="32"/>
    </row>
    <row r="322" ht="15.75" customHeight="1">
      <c r="A322" s="1"/>
      <c r="B322" s="1"/>
      <c r="C322" s="1"/>
      <c r="D322" s="1"/>
      <c r="E322" s="1"/>
      <c r="F322" s="32"/>
      <c r="G322" s="32"/>
      <c r="H322" s="32"/>
      <c r="I322" s="32"/>
      <c r="J322" s="32"/>
      <c r="K322" s="54"/>
      <c r="L322" s="32"/>
      <c r="M322" s="32"/>
      <c r="N322" s="32"/>
      <c r="O322" s="32"/>
      <c r="P322" s="32"/>
      <c r="Q322" s="32"/>
      <c r="R322" s="32"/>
      <c r="S322" s="54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  <c r="AY322" s="32"/>
      <c r="AZ322" s="32"/>
      <c r="BA322" s="32"/>
      <c r="BB322" s="32"/>
      <c r="BC322" s="32"/>
      <c r="BD322" s="32"/>
      <c r="BE322" s="32"/>
      <c r="BF322" s="32"/>
      <c r="BG322" s="32"/>
      <c r="BH322" s="32"/>
      <c r="BI322" s="32"/>
      <c r="BJ322" s="32"/>
      <c r="BK322" s="32"/>
      <c r="BL322" s="32"/>
      <c r="BM322" s="32"/>
      <c r="BN322" s="32"/>
      <c r="BO322" s="32"/>
      <c r="BP322" s="32"/>
      <c r="BQ322" s="32"/>
      <c r="BR322" s="32"/>
      <c r="BS322" s="32"/>
      <c r="BT322" s="32"/>
      <c r="BU322" s="32"/>
      <c r="BV322" s="32"/>
      <c r="BW322" s="32"/>
      <c r="BX322" s="32"/>
      <c r="BY322" s="32"/>
      <c r="BZ322" s="32"/>
      <c r="CA322" s="32"/>
      <c r="CB322" s="32"/>
      <c r="CC322" s="55"/>
      <c r="CD322" s="55"/>
      <c r="CE322" s="32"/>
      <c r="CF322" s="32"/>
      <c r="CG322" s="32"/>
      <c r="CH322" s="32"/>
      <c r="CI322" s="32"/>
      <c r="CJ322" s="32"/>
    </row>
    <row r="323" ht="15.75" customHeight="1">
      <c r="A323" s="1"/>
      <c r="B323" s="1"/>
      <c r="C323" s="1"/>
      <c r="D323" s="1"/>
      <c r="E323" s="1"/>
      <c r="F323" s="32"/>
      <c r="G323" s="32"/>
      <c r="H323" s="32"/>
      <c r="I323" s="32"/>
      <c r="J323" s="32"/>
      <c r="K323" s="54"/>
      <c r="L323" s="32"/>
      <c r="M323" s="32"/>
      <c r="N323" s="32"/>
      <c r="O323" s="32"/>
      <c r="P323" s="32"/>
      <c r="Q323" s="32"/>
      <c r="R323" s="32"/>
      <c r="S323" s="54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2"/>
      <c r="AZ323" s="32"/>
      <c r="BA323" s="32"/>
      <c r="BB323" s="32"/>
      <c r="BC323" s="32"/>
      <c r="BD323" s="32"/>
      <c r="BE323" s="32"/>
      <c r="BF323" s="32"/>
      <c r="BG323" s="32"/>
      <c r="BH323" s="32"/>
      <c r="BI323" s="32"/>
      <c r="BJ323" s="32"/>
      <c r="BK323" s="32"/>
      <c r="BL323" s="32"/>
      <c r="BM323" s="32"/>
      <c r="BN323" s="32"/>
      <c r="BO323" s="32"/>
      <c r="BP323" s="32"/>
      <c r="BQ323" s="32"/>
      <c r="BR323" s="32"/>
      <c r="BS323" s="32"/>
      <c r="BT323" s="32"/>
      <c r="BU323" s="32"/>
      <c r="BV323" s="32"/>
      <c r="BW323" s="32"/>
      <c r="BX323" s="32"/>
      <c r="BY323" s="32"/>
      <c r="BZ323" s="32"/>
      <c r="CA323" s="32"/>
      <c r="CB323" s="32"/>
      <c r="CC323" s="55"/>
      <c r="CD323" s="55"/>
      <c r="CE323" s="32"/>
      <c r="CF323" s="32"/>
      <c r="CG323" s="32"/>
      <c r="CH323" s="32"/>
      <c r="CI323" s="32"/>
      <c r="CJ323" s="32"/>
    </row>
    <row r="324" ht="15.75" customHeight="1">
      <c r="A324" s="1"/>
      <c r="B324" s="1"/>
      <c r="C324" s="1"/>
      <c r="D324" s="1"/>
      <c r="E324" s="1"/>
      <c r="F324" s="32"/>
      <c r="G324" s="32"/>
      <c r="H324" s="32"/>
      <c r="I324" s="32"/>
      <c r="J324" s="32"/>
      <c r="K324" s="54"/>
      <c r="L324" s="32"/>
      <c r="M324" s="32"/>
      <c r="N324" s="32"/>
      <c r="O324" s="32"/>
      <c r="P324" s="32"/>
      <c r="Q324" s="32"/>
      <c r="R324" s="32"/>
      <c r="S324" s="54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  <c r="AY324" s="32"/>
      <c r="AZ324" s="32"/>
      <c r="BA324" s="32"/>
      <c r="BB324" s="32"/>
      <c r="BC324" s="32"/>
      <c r="BD324" s="32"/>
      <c r="BE324" s="32"/>
      <c r="BF324" s="32"/>
      <c r="BG324" s="32"/>
      <c r="BH324" s="32"/>
      <c r="BI324" s="32"/>
      <c r="BJ324" s="32"/>
      <c r="BK324" s="32"/>
      <c r="BL324" s="32"/>
      <c r="BM324" s="32"/>
      <c r="BN324" s="32"/>
      <c r="BO324" s="32"/>
      <c r="BP324" s="32"/>
      <c r="BQ324" s="32"/>
      <c r="BR324" s="32"/>
      <c r="BS324" s="32"/>
      <c r="BT324" s="32"/>
      <c r="BU324" s="32"/>
      <c r="BV324" s="32"/>
      <c r="BW324" s="32"/>
      <c r="BX324" s="32"/>
      <c r="BY324" s="32"/>
      <c r="BZ324" s="32"/>
      <c r="CA324" s="32"/>
      <c r="CB324" s="32"/>
      <c r="CC324" s="55"/>
      <c r="CD324" s="55"/>
      <c r="CE324" s="32"/>
      <c r="CF324" s="32"/>
      <c r="CG324" s="32"/>
      <c r="CH324" s="32"/>
      <c r="CI324" s="32"/>
      <c r="CJ324" s="32"/>
    </row>
    <row r="325" ht="15.75" customHeight="1">
      <c r="A325" s="1"/>
      <c r="B325" s="1"/>
      <c r="C325" s="1"/>
      <c r="D325" s="1"/>
      <c r="E325" s="1"/>
      <c r="F325" s="32"/>
      <c r="G325" s="32"/>
      <c r="H325" s="32"/>
      <c r="I325" s="32"/>
      <c r="J325" s="32"/>
      <c r="K325" s="54"/>
      <c r="L325" s="32"/>
      <c r="M325" s="32"/>
      <c r="N325" s="32"/>
      <c r="O325" s="32"/>
      <c r="P325" s="32"/>
      <c r="Q325" s="32"/>
      <c r="R325" s="32"/>
      <c r="S325" s="54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  <c r="BD325" s="32"/>
      <c r="BE325" s="32"/>
      <c r="BF325" s="32"/>
      <c r="BG325" s="32"/>
      <c r="BH325" s="32"/>
      <c r="BI325" s="32"/>
      <c r="BJ325" s="32"/>
      <c r="BK325" s="32"/>
      <c r="BL325" s="32"/>
      <c r="BM325" s="32"/>
      <c r="BN325" s="32"/>
      <c r="BO325" s="32"/>
      <c r="BP325" s="32"/>
      <c r="BQ325" s="32"/>
      <c r="BR325" s="32"/>
      <c r="BS325" s="32"/>
      <c r="BT325" s="32"/>
      <c r="BU325" s="32"/>
      <c r="BV325" s="32"/>
      <c r="BW325" s="32"/>
      <c r="BX325" s="32"/>
      <c r="BY325" s="32"/>
      <c r="BZ325" s="32"/>
      <c r="CA325" s="32"/>
      <c r="CB325" s="32"/>
      <c r="CC325" s="55"/>
      <c r="CD325" s="55"/>
      <c r="CE325" s="32"/>
      <c r="CF325" s="32"/>
      <c r="CG325" s="32"/>
      <c r="CH325" s="32"/>
      <c r="CI325" s="32"/>
      <c r="CJ325" s="32"/>
    </row>
    <row r="326" ht="15.75" customHeight="1">
      <c r="A326" s="1"/>
      <c r="B326" s="1"/>
      <c r="C326" s="1"/>
      <c r="D326" s="1"/>
      <c r="E326" s="1"/>
      <c r="F326" s="32"/>
      <c r="G326" s="32"/>
      <c r="H326" s="32"/>
      <c r="I326" s="32"/>
      <c r="J326" s="32"/>
      <c r="K326" s="54"/>
      <c r="L326" s="32"/>
      <c r="M326" s="32"/>
      <c r="N326" s="32"/>
      <c r="O326" s="32"/>
      <c r="P326" s="32"/>
      <c r="Q326" s="32"/>
      <c r="R326" s="32"/>
      <c r="S326" s="54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2"/>
      <c r="BB326" s="32"/>
      <c r="BC326" s="32"/>
      <c r="BD326" s="32"/>
      <c r="BE326" s="32"/>
      <c r="BF326" s="32"/>
      <c r="BG326" s="32"/>
      <c r="BH326" s="32"/>
      <c r="BI326" s="32"/>
      <c r="BJ326" s="32"/>
      <c r="BK326" s="32"/>
      <c r="BL326" s="32"/>
      <c r="BM326" s="32"/>
      <c r="BN326" s="32"/>
      <c r="BO326" s="32"/>
      <c r="BP326" s="32"/>
      <c r="BQ326" s="32"/>
      <c r="BR326" s="32"/>
      <c r="BS326" s="32"/>
      <c r="BT326" s="32"/>
      <c r="BU326" s="32"/>
      <c r="BV326" s="32"/>
      <c r="BW326" s="32"/>
      <c r="BX326" s="32"/>
      <c r="BY326" s="32"/>
      <c r="BZ326" s="32"/>
      <c r="CA326" s="32"/>
      <c r="CB326" s="32"/>
      <c r="CC326" s="55"/>
      <c r="CD326" s="55"/>
      <c r="CE326" s="32"/>
      <c r="CF326" s="32"/>
      <c r="CG326" s="32"/>
      <c r="CH326" s="32"/>
      <c r="CI326" s="32"/>
      <c r="CJ326" s="32"/>
    </row>
    <row r="327" ht="15.75" customHeight="1">
      <c r="A327" s="1"/>
      <c r="B327" s="1"/>
      <c r="C327" s="1"/>
      <c r="D327" s="1"/>
      <c r="E327" s="1"/>
      <c r="F327" s="32"/>
      <c r="G327" s="32"/>
      <c r="H327" s="32"/>
      <c r="I327" s="32"/>
      <c r="J327" s="32"/>
      <c r="K327" s="54"/>
      <c r="L327" s="32"/>
      <c r="M327" s="32"/>
      <c r="N327" s="32"/>
      <c r="O327" s="32"/>
      <c r="P327" s="32"/>
      <c r="Q327" s="32"/>
      <c r="R327" s="32"/>
      <c r="S327" s="54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  <c r="BA327" s="32"/>
      <c r="BB327" s="32"/>
      <c r="BC327" s="32"/>
      <c r="BD327" s="32"/>
      <c r="BE327" s="32"/>
      <c r="BF327" s="32"/>
      <c r="BG327" s="32"/>
      <c r="BH327" s="32"/>
      <c r="BI327" s="32"/>
      <c r="BJ327" s="32"/>
      <c r="BK327" s="32"/>
      <c r="BL327" s="32"/>
      <c r="BM327" s="32"/>
      <c r="BN327" s="32"/>
      <c r="BO327" s="32"/>
      <c r="BP327" s="32"/>
      <c r="BQ327" s="32"/>
      <c r="BR327" s="32"/>
      <c r="BS327" s="32"/>
      <c r="BT327" s="32"/>
      <c r="BU327" s="32"/>
      <c r="BV327" s="32"/>
      <c r="BW327" s="32"/>
      <c r="BX327" s="32"/>
      <c r="BY327" s="32"/>
      <c r="BZ327" s="32"/>
      <c r="CA327" s="32"/>
      <c r="CB327" s="32"/>
      <c r="CC327" s="55"/>
      <c r="CD327" s="55"/>
      <c r="CE327" s="32"/>
      <c r="CF327" s="32"/>
      <c r="CG327" s="32"/>
      <c r="CH327" s="32"/>
      <c r="CI327" s="32"/>
      <c r="CJ327" s="32"/>
    </row>
    <row r="328" ht="15.75" customHeight="1">
      <c r="A328" s="1"/>
      <c r="B328" s="1"/>
      <c r="C328" s="1"/>
      <c r="D328" s="1"/>
      <c r="E328" s="1"/>
      <c r="F328" s="32"/>
      <c r="G328" s="32"/>
      <c r="H328" s="32"/>
      <c r="I328" s="32"/>
      <c r="J328" s="32"/>
      <c r="K328" s="54"/>
      <c r="L328" s="32"/>
      <c r="M328" s="32"/>
      <c r="N328" s="32"/>
      <c r="O328" s="32"/>
      <c r="P328" s="32"/>
      <c r="Q328" s="32"/>
      <c r="R328" s="32"/>
      <c r="S328" s="54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2"/>
      <c r="BB328" s="32"/>
      <c r="BC328" s="32"/>
      <c r="BD328" s="32"/>
      <c r="BE328" s="32"/>
      <c r="BF328" s="32"/>
      <c r="BG328" s="32"/>
      <c r="BH328" s="32"/>
      <c r="BI328" s="32"/>
      <c r="BJ328" s="32"/>
      <c r="BK328" s="32"/>
      <c r="BL328" s="32"/>
      <c r="BM328" s="32"/>
      <c r="BN328" s="32"/>
      <c r="BO328" s="32"/>
      <c r="BP328" s="32"/>
      <c r="BQ328" s="32"/>
      <c r="BR328" s="32"/>
      <c r="BS328" s="32"/>
      <c r="BT328" s="32"/>
      <c r="BU328" s="32"/>
      <c r="BV328" s="32"/>
      <c r="BW328" s="32"/>
      <c r="BX328" s="32"/>
      <c r="BY328" s="32"/>
      <c r="BZ328" s="32"/>
      <c r="CA328" s="32"/>
      <c r="CB328" s="32"/>
      <c r="CC328" s="55"/>
      <c r="CD328" s="55"/>
      <c r="CE328" s="32"/>
      <c r="CF328" s="32"/>
      <c r="CG328" s="32"/>
      <c r="CH328" s="32"/>
      <c r="CI328" s="32"/>
      <c r="CJ328" s="32"/>
    </row>
    <row r="329" ht="15.75" customHeight="1">
      <c r="A329" s="1"/>
      <c r="B329" s="1"/>
      <c r="C329" s="1"/>
      <c r="D329" s="1"/>
      <c r="E329" s="1"/>
      <c r="F329" s="32"/>
      <c r="G329" s="32"/>
      <c r="H329" s="32"/>
      <c r="I329" s="32"/>
      <c r="J329" s="32"/>
      <c r="K329" s="54"/>
      <c r="L329" s="32"/>
      <c r="M329" s="32"/>
      <c r="N329" s="32"/>
      <c r="O329" s="32"/>
      <c r="P329" s="32"/>
      <c r="Q329" s="32"/>
      <c r="R329" s="32"/>
      <c r="S329" s="54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  <c r="BA329" s="32"/>
      <c r="BB329" s="32"/>
      <c r="BC329" s="32"/>
      <c r="BD329" s="32"/>
      <c r="BE329" s="32"/>
      <c r="BF329" s="32"/>
      <c r="BG329" s="32"/>
      <c r="BH329" s="32"/>
      <c r="BI329" s="32"/>
      <c r="BJ329" s="32"/>
      <c r="BK329" s="32"/>
      <c r="BL329" s="32"/>
      <c r="BM329" s="32"/>
      <c r="BN329" s="32"/>
      <c r="BO329" s="32"/>
      <c r="BP329" s="32"/>
      <c r="BQ329" s="32"/>
      <c r="BR329" s="32"/>
      <c r="BS329" s="32"/>
      <c r="BT329" s="32"/>
      <c r="BU329" s="32"/>
      <c r="BV329" s="32"/>
      <c r="BW329" s="32"/>
      <c r="BX329" s="32"/>
      <c r="BY329" s="32"/>
      <c r="BZ329" s="32"/>
      <c r="CA329" s="32"/>
      <c r="CB329" s="32"/>
      <c r="CC329" s="55"/>
      <c r="CD329" s="55"/>
      <c r="CE329" s="32"/>
      <c r="CF329" s="32"/>
      <c r="CG329" s="32"/>
      <c r="CH329" s="32"/>
      <c r="CI329" s="32"/>
      <c r="CJ329" s="32"/>
    </row>
    <row r="330" ht="15.75" customHeight="1">
      <c r="A330" s="1"/>
      <c r="B330" s="1"/>
      <c r="C330" s="1"/>
      <c r="D330" s="1"/>
      <c r="E330" s="1"/>
      <c r="F330" s="32"/>
      <c r="G330" s="32"/>
      <c r="H330" s="32"/>
      <c r="I330" s="32"/>
      <c r="J330" s="32"/>
      <c r="K330" s="54"/>
      <c r="L330" s="32"/>
      <c r="M330" s="32"/>
      <c r="N330" s="32"/>
      <c r="O330" s="32"/>
      <c r="P330" s="32"/>
      <c r="Q330" s="32"/>
      <c r="R330" s="32"/>
      <c r="S330" s="54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2"/>
      <c r="BB330" s="32"/>
      <c r="BC330" s="32"/>
      <c r="BD330" s="32"/>
      <c r="BE330" s="32"/>
      <c r="BF330" s="32"/>
      <c r="BG330" s="32"/>
      <c r="BH330" s="32"/>
      <c r="BI330" s="32"/>
      <c r="BJ330" s="32"/>
      <c r="BK330" s="32"/>
      <c r="BL330" s="32"/>
      <c r="BM330" s="32"/>
      <c r="BN330" s="32"/>
      <c r="BO330" s="32"/>
      <c r="BP330" s="32"/>
      <c r="BQ330" s="32"/>
      <c r="BR330" s="32"/>
      <c r="BS330" s="32"/>
      <c r="BT330" s="32"/>
      <c r="BU330" s="32"/>
      <c r="BV330" s="32"/>
      <c r="BW330" s="32"/>
      <c r="BX330" s="32"/>
      <c r="BY330" s="32"/>
      <c r="BZ330" s="32"/>
      <c r="CA330" s="32"/>
      <c r="CB330" s="32"/>
      <c r="CC330" s="55"/>
      <c r="CD330" s="55"/>
      <c r="CE330" s="32"/>
      <c r="CF330" s="32"/>
      <c r="CG330" s="32"/>
      <c r="CH330" s="32"/>
      <c r="CI330" s="32"/>
      <c r="CJ330" s="32"/>
    </row>
    <row r="331" ht="15.75" customHeight="1">
      <c r="A331" s="1"/>
      <c r="B331" s="1"/>
      <c r="C331" s="1"/>
      <c r="D331" s="1"/>
      <c r="E331" s="1"/>
      <c r="F331" s="32"/>
      <c r="G331" s="32"/>
      <c r="H331" s="32"/>
      <c r="I331" s="32"/>
      <c r="J331" s="32"/>
      <c r="K331" s="54"/>
      <c r="L331" s="32"/>
      <c r="M331" s="32"/>
      <c r="N331" s="32"/>
      <c r="O331" s="32"/>
      <c r="P331" s="32"/>
      <c r="Q331" s="32"/>
      <c r="R331" s="32"/>
      <c r="S331" s="54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2"/>
      <c r="BB331" s="32"/>
      <c r="BC331" s="32"/>
      <c r="BD331" s="32"/>
      <c r="BE331" s="32"/>
      <c r="BF331" s="32"/>
      <c r="BG331" s="32"/>
      <c r="BH331" s="32"/>
      <c r="BI331" s="32"/>
      <c r="BJ331" s="32"/>
      <c r="BK331" s="32"/>
      <c r="BL331" s="32"/>
      <c r="BM331" s="32"/>
      <c r="BN331" s="32"/>
      <c r="BO331" s="32"/>
      <c r="BP331" s="32"/>
      <c r="BQ331" s="32"/>
      <c r="BR331" s="32"/>
      <c r="BS331" s="32"/>
      <c r="BT331" s="32"/>
      <c r="BU331" s="32"/>
      <c r="BV331" s="32"/>
      <c r="BW331" s="32"/>
      <c r="BX331" s="32"/>
      <c r="BY331" s="32"/>
      <c r="BZ331" s="32"/>
      <c r="CA331" s="32"/>
      <c r="CB331" s="32"/>
      <c r="CC331" s="55"/>
      <c r="CD331" s="55"/>
      <c r="CE331" s="32"/>
      <c r="CF331" s="32"/>
      <c r="CG331" s="32"/>
      <c r="CH331" s="32"/>
      <c r="CI331" s="32"/>
      <c r="CJ331" s="32"/>
    </row>
    <row r="332" ht="15.75" customHeight="1">
      <c r="A332" s="1"/>
      <c r="B332" s="1"/>
      <c r="C332" s="1"/>
      <c r="D332" s="1"/>
      <c r="E332" s="1"/>
      <c r="F332" s="32"/>
      <c r="G332" s="32"/>
      <c r="H332" s="32"/>
      <c r="I332" s="32"/>
      <c r="J332" s="32"/>
      <c r="K332" s="54"/>
      <c r="L332" s="32"/>
      <c r="M332" s="32"/>
      <c r="N332" s="32"/>
      <c r="O332" s="32"/>
      <c r="P332" s="32"/>
      <c r="Q332" s="32"/>
      <c r="R332" s="32"/>
      <c r="S332" s="54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2"/>
      <c r="BB332" s="32"/>
      <c r="BC332" s="32"/>
      <c r="BD332" s="32"/>
      <c r="BE332" s="32"/>
      <c r="BF332" s="32"/>
      <c r="BG332" s="32"/>
      <c r="BH332" s="32"/>
      <c r="BI332" s="32"/>
      <c r="BJ332" s="32"/>
      <c r="BK332" s="32"/>
      <c r="BL332" s="32"/>
      <c r="BM332" s="32"/>
      <c r="BN332" s="32"/>
      <c r="BO332" s="32"/>
      <c r="BP332" s="32"/>
      <c r="BQ332" s="32"/>
      <c r="BR332" s="32"/>
      <c r="BS332" s="32"/>
      <c r="BT332" s="32"/>
      <c r="BU332" s="32"/>
      <c r="BV332" s="32"/>
      <c r="BW332" s="32"/>
      <c r="BX332" s="32"/>
      <c r="BY332" s="32"/>
      <c r="BZ332" s="32"/>
      <c r="CA332" s="32"/>
      <c r="CB332" s="32"/>
      <c r="CC332" s="55"/>
      <c r="CD332" s="55"/>
      <c r="CE332" s="32"/>
      <c r="CF332" s="32"/>
      <c r="CG332" s="32"/>
      <c r="CH332" s="32"/>
      <c r="CI332" s="32"/>
      <c r="CJ332" s="32"/>
    </row>
    <row r="333" ht="15.75" customHeight="1">
      <c r="A333" s="1"/>
      <c r="B333" s="1"/>
      <c r="C333" s="1"/>
      <c r="D333" s="1"/>
      <c r="E333" s="1"/>
      <c r="F333" s="32"/>
      <c r="G333" s="32"/>
      <c r="H333" s="32"/>
      <c r="I333" s="32"/>
      <c r="J333" s="32"/>
      <c r="K333" s="54"/>
      <c r="L333" s="32"/>
      <c r="M333" s="32"/>
      <c r="N333" s="32"/>
      <c r="O333" s="32"/>
      <c r="P333" s="32"/>
      <c r="Q333" s="32"/>
      <c r="R333" s="32"/>
      <c r="S333" s="54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2"/>
      <c r="BB333" s="32"/>
      <c r="BC333" s="32"/>
      <c r="BD333" s="32"/>
      <c r="BE333" s="32"/>
      <c r="BF333" s="32"/>
      <c r="BG333" s="32"/>
      <c r="BH333" s="32"/>
      <c r="BI333" s="32"/>
      <c r="BJ333" s="32"/>
      <c r="BK333" s="32"/>
      <c r="BL333" s="32"/>
      <c r="BM333" s="32"/>
      <c r="BN333" s="32"/>
      <c r="BO333" s="32"/>
      <c r="BP333" s="32"/>
      <c r="BQ333" s="32"/>
      <c r="BR333" s="32"/>
      <c r="BS333" s="32"/>
      <c r="BT333" s="32"/>
      <c r="BU333" s="32"/>
      <c r="BV333" s="32"/>
      <c r="BW333" s="32"/>
      <c r="BX333" s="32"/>
      <c r="BY333" s="32"/>
      <c r="BZ333" s="32"/>
      <c r="CA333" s="32"/>
      <c r="CB333" s="32"/>
      <c r="CC333" s="55"/>
      <c r="CD333" s="55"/>
      <c r="CE333" s="32"/>
      <c r="CF333" s="32"/>
      <c r="CG333" s="32"/>
      <c r="CH333" s="32"/>
      <c r="CI333" s="32"/>
      <c r="CJ333" s="32"/>
    </row>
    <row r="334" ht="15.75" customHeight="1">
      <c r="A334" s="1"/>
      <c r="B334" s="1"/>
      <c r="C334" s="1"/>
      <c r="D334" s="1"/>
      <c r="E334" s="1"/>
      <c r="F334" s="32"/>
      <c r="G334" s="32"/>
      <c r="H334" s="32"/>
      <c r="I334" s="32"/>
      <c r="J334" s="32"/>
      <c r="K334" s="54"/>
      <c r="L334" s="32"/>
      <c r="M334" s="32"/>
      <c r="N334" s="32"/>
      <c r="O334" s="32"/>
      <c r="P334" s="32"/>
      <c r="Q334" s="32"/>
      <c r="R334" s="32"/>
      <c r="S334" s="54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2"/>
      <c r="BB334" s="32"/>
      <c r="BC334" s="32"/>
      <c r="BD334" s="32"/>
      <c r="BE334" s="32"/>
      <c r="BF334" s="32"/>
      <c r="BG334" s="32"/>
      <c r="BH334" s="32"/>
      <c r="BI334" s="32"/>
      <c r="BJ334" s="32"/>
      <c r="BK334" s="32"/>
      <c r="BL334" s="32"/>
      <c r="BM334" s="32"/>
      <c r="BN334" s="32"/>
      <c r="BO334" s="32"/>
      <c r="BP334" s="32"/>
      <c r="BQ334" s="32"/>
      <c r="BR334" s="32"/>
      <c r="BS334" s="32"/>
      <c r="BT334" s="32"/>
      <c r="BU334" s="32"/>
      <c r="BV334" s="32"/>
      <c r="BW334" s="32"/>
      <c r="BX334" s="32"/>
      <c r="BY334" s="32"/>
      <c r="BZ334" s="32"/>
      <c r="CA334" s="32"/>
      <c r="CB334" s="32"/>
      <c r="CC334" s="55"/>
      <c r="CD334" s="55"/>
      <c r="CE334" s="32"/>
      <c r="CF334" s="32"/>
      <c r="CG334" s="32"/>
      <c r="CH334" s="32"/>
      <c r="CI334" s="32"/>
      <c r="CJ334" s="32"/>
    </row>
    <row r="335" ht="15.75" customHeight="1">
      <c r="A335" s="1"/>
      <c r="B335" s="1"/>
      <c r="C335" s="1"/>
      <c r="D335" s="1"/>
      <c r="E335" s="1"/>
      <c r="F335" s="32"/>
      <c r="G335" s="32"/>
      <c r="H335" s="32"/>
      <c r="I335" s="32"/>
      <c r="J335" s="32"/>
      <c r="K335" s="54"/>
      <c r="L335" s="32"/>
      <c r="M335" s="32"/>
      <c r="N335" s="32"/>
      <c r="O335" s="32"/>
      <c r="P335" s="32"/>
      <c r="Q335" s="32"/>
      <c r="R335" s="32"/>
      <c r="S335" s="54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2"/>
      <c r="BB335" s="32"/>
      <c r="BC335" s="32"/>
      <c r="BD335" s="32"/>
      <c r="BE335" s="32"/>
      <c r="BF335" s="32"/>
      <c r="BG335" s="32"/>
      <c r="BH335" s="32"/>
      <c r="BI335" s="32"/>
      <c r="BJ335" s="32"/>
      <c r="BK335" s="32"/>
      <c r="BL335" s="32"/>
      <c r="BM335" s="32"/>
      <c r="BN335" s="32"/>
      <c r="BO335" s="32"/>
      <c r="BP335" s="32"/>
      <c r="BQ335" s="32"/>
      <c r="BR335" s="32"/>
      <c r="BS335" s="32"/>
      <c r="BT335" s="32"/>
      <c r="BU335" s="32"/>
      <c r="BV335" s="32"/>
      <c r="BW335" s="32"/>
      <c r="BX335" s="32"/>
      <c r="BY335" s="32"/>
      <c r="BZ335" s="32"/>
      <c r="CA335" s="32"/>
      <c r="CB335" s="32"/>
      <c r="CC335" s="55"/>
      <c r="CD335" s="55"/>
      <c r="CE335" s="32"/>
      <c r="CF335" s="32"/>
      <c r="CG335" s="32"/>
      <c r="CH335" s="32"/>
      <c r="CI335" s="32"/>
      <c r="CJ335" s="32"/>
    </row>
    <row r="336" ht="15.75" customHeight="1">
      <c r="A336" s="1"/>
      <c r="B336" s="1"/>
      <c r="C336" s="1"/>
      <c r="D336" s="1"/>
      <c r="E336" s="1"/>
      <c r="F336" s="32"/>
      <c r="G336" s="32"/>
      <c r="H336" s="32"/>
      <c r="I336" s="32"/>
      <c r="J336" s="32"/>
      <c r="K336" s="54"/>
      <c r="L336" s="32"/>
      <c r="M336" s="32"/>
      <c r="N336" s="32"/>
      <c r="O336" s="32"/>
      <c r="P336" s="32"/>
      <c r="Q336" s="32"/>
      <c r="R336" s="32"/>
      <c r="S336" s="54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2"/>
      <c r="AZ336" s="32"/>
      <c r="BA336" s="32"/>
      <c r="BB336" s="32"/>
      <c r="BC336" s="32"/>
      <c r="BD336" s="32"/>
      <c r="BE336" s="32"/>
      <c r="BF336" s="32"/>
      <c r="BG336" s="32"/>
      <c r="BH336" s="32"/>
      <c r="BI336" s="32"/>
      <c r="BJ336" s="32"/>
      <c r="BK336" s="32"/>
      <c r="BL336" s="32"/>
      <c r="BM336" s="32"/>
      <c r="BN336" s="32"/>
      <c r="BO336" s="32"/>
      <c r="BP336" s="32"/>
      <c r="BQ336" s="32"/>
      <c r="BR336" s="32"/>
      <c r="BS336" s="32"/>
      <c r="BT336" s="32"/>
      <c r="BU336" s="32"/>
      <c r="BV336" s="32"/>
      <c r="BW336" s="32"/>
      <c r="BX336" s="32"/>
      <c r="BY336" s="32"/>
      <c r="BZ336" s="32"/>
      <c r="CA336" s="32"/>
      <c r="CB336" s="32"/>
      <c r="CC336" s="55"/>
      <c r="CD336" s="55"/>
      <c r="CE336" s="32"/>
      <c r="CF336" s="32"/>
      <c r="CG336" s="32"/>
      <c r="CH336" s="32"/>
      <c r="CI336" s="32"/>
      <c r="CJ336" s="32"/>
    </row>
    <row r="337" ht="15.75" customHeight="1">
      <c r="A337" s="1"/>
      <c r="B337" s="1"/>
      <c r="C337" s="1"/>
      <c r="D337" s="1"/>
      <c r="E337" s="1"/>
      <c r="F337" s="32"/>
      <c r="G337" s="32"/>
      <c r="H337" s="32"/>
      <c r="I337" s="32"/>
      <c r="J337" s="32"/>
      <c r="K337" s="54"/>
      <c r="L337" s="32"/>
      <c r="M337" s="32"/>
      <c r="N337" s="32"/>
      <c r="O337" s="32"/>
      <c r="P337" s="32"/>
      <c r="Q337" s="32"/>
      <c r="R337" s="32"/>
      <c r="S337" s="54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2"/>
      <c r="AY337" s="32"/>
      <c r="AZ337" s="32"/>
      <c r="BA337" s="32"/>
      <c r="BB337" s="32"/>
      <c r="BC337" s="32"/>
      <c r="BD337" s="32"/>
      <c r="BE337" s="32"/>
      <c r="BF337" s="32"/>
      <c r="BG337" s="32"/>
      <c r="BH337" s="32"/>
      <c r="BI337" s="32"/>
      <c r="BJ337" s="32"/>
      <c r="BK337" s="32"/>
      <c r="BL337" s="32"/>
      <c r="BM337" s="32"/>
      <c r="BN337" s="32"/>
      <c r="BO337" s="32"/>
      <c r="BP337" s="32"/>
      <c r="BQ337" s="32"/>
      <c r="BR337" s="32"/>
      <c r="BS337" s="32"/>
      <c r="BT337" s="32"/>
      <c r="BU337" s="32"/>
      <c r="BV337" s="32"/>
      <c r="BW337" s="32"/>
      <c r="BX337" s="32"/>
      <c r="BY337" s="32"/>
      <c r="BZ337" s="32"/>
      <c r="CA337" s="32"/>
      <c r="CB337" s="32"/>
      <c r="CC337" s="55"/>
      <c r="CD337" s="55"/>
      <c r="CE337" s="32"/>
      <c r="CF337" s="32"/>
      <c r="CG337" s="32"/>
      <c r="CH337" s="32"/>
      <c r="CI337" s="32"/>
      <c r="CJ337" s="32"/>
    </row>
    <row r="338" ht="15.75" customHeight="1">
      <c r="A338" s="1"/>
      <c r="B338" s="1"/>
      <c r="C338" s="1"/>
      <c r="D338" s="1"/>
      <c r="E338" s="1"/>
      <c r="F338" s="32"/>
      <c r="G338" s="32"/>
      <c r="H338" s="32"/>
      <c r="I338" s="32"/>
      <c r="J338" s="32"/>
      <c r="K338" s="54"/>
      <c r="L338" s="32"/>
      <c r="M338" s="32"/>
      <c r="N338" s="32"/>
      <c r="O338" s="32"/>
      <c r="P338" s="32"/>
      <c r="Q338" s="32"/>
      <c r="R338" s="32"/>
      <c r="S338" s="54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  <c r="BA338" s="32"/>
      <c r="BB338" s="32"/>
      <c r="BC338" s="32"/>
      <c r="BD338" s="32"/>
      <c r="BE338" s="32"/>
      <c r="BF338" s="32"/>
      <c r="BG338" s="32"/>
      <c r="BH338" s="32"/>
      <c r="BI338" s="32"/>
      <c r="BJ338" s="32"/>
      <c r="BK338" s="32"/>
      <c r="BL338" s="32"/>
      <c r="BM338" s="32"/>
      <c r="BN338" s="32"/>
      <c r="BO338" s="32"/>
      <c r="BP338" s="32"/>
      <c r="BQ338" s="32"/>
      <c r="BR338" s="32"/>
      <c r="BS338" s="32"/>
      <c r="BT338" s="32"/>
      <c r="BU338" s="32"/>
      <c r="BV338" s="32"/>
      <c r="BW338" s="32"/>
      <c r="BX338" s="32"/>
      <c r="BY338" s="32"/>
      <c r="BZ338" s="32"/>
      <c r="CA338" s="32"/>
      <c r="CB338" s="32"/>
      <c r="CC338" s="55"/>
      <c r="CD338" s="55"/>
      <c r="CE338" s="32"/>
      <c r="CF338" s="32"/>
      <c r="CG338" s="32"/>
      <c r="CH338" s="32"/>
      <c r="CI338" s="32"/>
      <c r="CJ338" s="32"/>
    </row>
    <row r="339" ht="15.75" customHeight="1">
      <c r="A339" s="1"/>
      <c r="B339" s="1"/>
      <c r="C339" s="1"/>
      <c r="D339" s="1"/>
      <c r="E339" s="1"/>
      <c r="F339" s="32"/>
      <c r="G339" s="32"/>
      <c r="H339" s="32"/>
      <c r="I339" s="32"/>
      <c r="J339" s="32"/>
      <c r="K339" s="54"/>
      <c r="L339" s="32"/>
      <c r="M339" s="32"/>
      <c r="N339" s="32"/>
      <c r="O339" s="32"/>
      <c r="P339" s="32"/>
      <c r="Q339" s="32"/>
      <c r="R339" s="32"/>
      <c r="S339" s="54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  <c r="BA339" s="32"/>
      <c r="BB339" s="32"/>
      <c r="BC339" s="32"/>
      <c r="BD339" s="32"/>
      <c r="BE339" s="32"/>
      <c r="BF339" s="32"/>
      <c r="BG339" s="32"/>
      <c r="BH339" s="32"/>
      <c r="BI339" s="32"/>
      <c r="BJ339" s="32"/>
      <c r="BK339" s="32"/>
      <c r="BL339" s="32"/>
      <c r="BM339" s="32"/>
      <c r="BN339" s="32"/>
      <c r="BO339" s="32"/>
      <c r="BP339" s="32"/>
      <c r="BQ339" s="32"/>
      <c r="BR339" s="32"/>
      <c r="BS339" s="32"/>
      <c r="BT339" s="32"/>
      <c r="BU339" s="32"/>
      <c r="BV339" s="32"/>
      <c r="BW339" s="32"/>
      <c r="BX339" s="32"/>
      <c r="BY339" s="32"/>
      <c r="BZ339" s="32"/>
      <c r="CA339" s="32"/>
      <c r="CB339" s="32"/>
      <c r="CC339" s="55"/>
      <c r="CD339" s="55"/>
      <c r="CE339" s="32"/>
      <c r="CF339" s="32"/>
      <c r="CG339" s="32"/>
      <c r="CH339" s="32"/>
      <c r="CI339" s="32"/>
      <c r="CJ339" s="32"/>
    </row>
    <row r="340" ht="15.75" customHeight="1">
      <c r="A340" s="1"/>
      <c r="B340" s="1"/>
      <c r="C340" s="1"/>
      <c r="D340" s="1"/>
      <c r="E340" s="1"/>
      <c r="F340" s="32"/>
      <c r="G340" s="32"/>
      <c r="H340" s="32"/>
      <c r="I340" s="32"/>
      <c r="J340" s="32"/>
      <c r="K340" s="54"/>
      <c r="L340" s="32"/>
      <c r="M340" s="32"/>
      <c r="N340" s="32"/>
      <c r="O340" s="32"/>
      <c r="P340" s="32"/>
      <c r="Q340" s="32"/>
      <c r="R340" s="32"/>
      <c r="S340" s="54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  <c r="BA340" s="32"/>
      <c r="BB340" s="32"/>
      <c r="BC340" s="32"/>
      <c r="BD340" s="32"/>
      <c r="BE340" s="32"/>
      <c r="BF340" s="32"/>
      <c r="BG340" s="32"/>
      <c r="BH340" s="32"/>
      <c r="BI340" s="32"/>
      <c r="BJ340" s="32"/>
      <c r="BK340" s="32"/>
      <c r="BL340" s="32"/>
      <c r="BM340" s="32"/>
      <c r="BN340" s="32"/>
      <c r="BO340" s="32"/>
      <c r="BP340" s="32"/>
      <c r="BQ340" s="32"/>
      <c r="BR340" s="32"/>
      <c r="BS340" s="32"/>
      <c r="BT340" s="32"/>
      <c r="BU340" s="32"/>
      <c r="BV340" s="32"/>
      <c r="BW340" s="32"/>
      <c r="BX340" s="32"/>
      <c r="BY340" s="32"/>
      <c r="BZ340" s="32"/>
      <c r="CA340" s="32"/>
      <c r="CB340" s="32"/>
      <c r="CC340" s="55"/>
      <c r="CD340" s="55"/>
      <c r="CE340" s="32"/>
      <c r="CF340" s="32"/>
      <c r="CG340" s="32"/>
      <c r="CH340" s="32"/>
      <c r="CI340" s="32"/>
      <c r="CJ340" s="32"/>
    </row>
    <row r="341" ht="15.75" customHeight="1">
      <c r="A341" s="1"/>
      <c r="B341" s="1"/>
      <c r="C341" s="1"/>
      <c r="D341" s="1"/>
      <c r="E341" s="1"/>
      <c r="F341" s="32"/>
      <c r="G341" s="32"/>
      <c r="H341" s="32"/>
      <c r="I341" s="32"/>
      <c r="J341" s="32"/>
      <c r="K341" s="54"/>
      <c r="L341" s="32"/>
      <c r="M341" s="32"/>
      <c r="N341" s="32"/>
      <c r="O341" s="32"/>
      <c r="P341" s="32"/>
      <c r="Q341" s="32"/>
      <c r="R341" s="32"/>
      <c r="S341" s="54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2"/>
      <c r="BB341" s="32"/>
      <c r="BC341" s="32"/>
      <c r="BD341" s="32"/>
      <c r="BE341" s="32"/>
      <c r="BF341" s="32"/>
      <c r="BG341" s="32"/>
      <c r="BH341" s="32"/>
      <c r="BI341" s="32"/>
      <c r="BJ341" s="32"/>
      <c r="BK341" s="32"/>
      <c r="BL341" s="32"/>
      <c r="BM341" s="32"/>
      <c r="BN341" s="32"/>
      <c r="BO341" s="32"/>
      <c r="BP341" s="32"/>
      <c r="BQ341" s="32"/>
      <c r="BR341" s="32"/>
      <c r="BS341" s="32"/>
      <c r="BT341" s="32"/>
      <c r="BU341" s="32"/>
      <c r="BV341" s="32"/>
      <c r="BW341" s="32"/>
      <c r="BX341" s="32"/>
      <c r="BY341" s="32"/>
      <c r="BZ341" s="32"/>
      <c r="CA341" s="32"/>
      <c r="CB341" s="32"/>
      <c r="CC341" s="55"/>
      <c r="CD341" s="55"/>
      <c r="CE341" s="32"/>
      <c r="CF341" s="32"/>
      <c r="CG341" s="32"/>
      <c r="CH341" s="32"/>
      <c r="CI341" s="32"/>
      <c r="CJ341" s="32"/>
    </row>
    <row r="342" ht="15.75" customHeight="1">
      <c r="A342" s="1"/>
      <c r="B342" s="1"/>
      <c r="C342" s="1"/>
      <c r="D342" s="1"/>
      <c r="E342" s="1"/>
      <c r="F342" s="32"/>
      <c r="G342" s="32"/>
      <c r="H342" s="32"/>
      <c r="I342" s="32"/>
      <c r="J342" s="32"/>
      <c r="K342" s="54"/>
      <c r="L342" s="32"/>
      <c r="M342" s="32"/>
      <c r="N342" s="32"/>
      <c r="O342" s="32"/>
      <c r="P342" s="32"/>
      <c r="Q342" s="32"/>
      <c r="R342" s="32"/>
      <c r="S342" s="54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  <c r="BA342" s="32"/>
      <c r="BB342" s="32"/>
      <c r="BC342" s="32"/>
      <c r="BD342" s="32"/>
      <c r="BE342" s="32"/>
      <c r="BF342" s="32"/>
      <c r="BG342" s="32"/>
      <c r="BH342" s="32"/>
      <c r="BI342" s="32"/>
      <c r="BJ342" s="32"/>
      <c r="BK342" s="32"/>
      <c r="BL342" s="32"/>
      <c r="BM342" s="32"/>
      <c r="BN342" s="32"/>
      <c r="BO342" s="32"/>
      <c r="BP342" s="32"/>
      <c r="BQ342" s="32"/>
      <c r="BR342" s="32"/>
      <c r="BS342" s="32"/>
      <c r="BT342" s="32"/>
      <c r="BU342" s="32"/>
      <c r="BV342" s="32"/>
      <c r="BW342" s="32"/>
      <c r="BX342" s="32"/>
      <c r="BY342" s="32"/>
      <c r="BZ342" s="32"/>
      <c r="CA342" s="32"/>
      <c r="CB342" s="32"/>
      <c r="CC342" s="55"/>
      <c r="CD342" s="55"/>
      <c r="CE342" s="32"/>
      <c r="CF342" s="32"/>
      <c r="CG342" s="32"/>
      <c r="CH342" s="32"/>
      <c r="CI342" s="32"/>
      <c r="CJ342" s="32"/>
    </row>
    <row r="343" ht="15.75" customHeight="1">
      <c r="A343" s="1"/>
      <c r="B343" s="1"/>
      <c r="C343" s="1"/>
      <c r="D343" s="1"/>
      <c r="E343" s="1"/>
      <c r="F343" s="32"/>
      <c r="G343" s="32"/>
      <c r="H343" s="32"/>
      <c r="I343" s="32"/>
      <c r="J343" s="32"/>
      <c r="K343" s="54"/>
      <c r="L343" s="32"/>
      <c r="M343" s="32"/>
      <c r="N343" s="32"/>
      <c r="O343" s="32"/>
      <c r="P343" s="32"/>
      <c r="Q343" s="32"/>
      <c r="R343" s="32"/>
      <c r="S343" s="54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  <c r="BA343" s="32"/>
      <c r="BB343" s="32"/>
      <c r="BC343" s="32"/>
      <c r="BD343" s="32"/>
      <c r="BE343" s="32"/>
      <c r="BF343" s="32"/>
      <c r="BG343" s="32"/>
      <c r="BH343" s="32"/>
      <c r="BI343" s="32"/>
      <c r="BJ343" s="32"/>
      <c r="BK343" s="32"/>
      <c r="BL343" s="32"/>
      <c r="BM343" s="32"/>
      <c r="BN343" s="32"/>
      <c r="BO343" s="32"/>
      <c r="BP343" s="32"/>
      <c r="BQ343" s="32"/>
      <c r="BR343" s="32"/>
      <c r="BS343" s="32"/>
      <c r="BT343" s="32"/>
      <c r="BU343" s="32"/>
      <c r="BV343" s="32"/>
      <c r="BW343" s="32"/>
      <c r="BX343" s="32"/>
      <c r="BY343" s="32"/>
      <c r="BZ343" s="32"/>
      <c r="CA343" s="32"/>
      <c r="CB343" s="32"/>
      <c r="CC343" s="55"/>
      <c r="CD343" s="55"/>
      <c r="CE343" s="32"/>
      <c r="CF343" s="32"/>
      <c r="CG343" s="32"/>
      <c r="CH343" s="32"/>
      <c r="CI343" s="32"/>
      <c r="CJ343" s="32"/>
    </row>
    <row r="344" ht="15.75" customHeight="1">
      <c r="A344" s="1"/>
      <c r="B344" s="1"/>
      <c r="C344" s="1"/>
      <c r="D344" s="1"/>
      <c r="E344" s="1"/>
      <c r="F344" s="32"/>
      <c r="G344" s="32"/>
      <c r="H344" s="32"/>
      <c r="I344" s="32"/>
      <c r="J344" s="32"/>
      <c r="K344" s="54"/>
      <c r="L344" s="32"/>
      <c r="M344" s="32"/>
      <c r="N344" s="32"/>
      <c r="O344" s="32"/>
      <c r="P344" s="32"/>
      <c r="Q344" s="32"/>
      <c r="R344" s="32"/>
      <c r="S344" s="54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  <c r="AY344" s="32"/>
      <c r="AZ344" s="32"/>
      <c r="BA344" s="32"/>
      <c r="BB344" s="32"/>
      <c r="BC344" s="32"/>
      <c r="BD344" s="32"/>
      <c r="BE344" s="32"/>
      <c r="BF344" s="32"/>
      <c r="BG344" s="32"/>
      <c r="BH344" s="32"/>
      <c r="BI344" s="32"/>
      <c r="BJ344" s="32"/>
      <c r="BK344" s="32"/>
      <c r="BL344" s="32"/>
      <c r="BM344" s="32"/>
      <c r="BN344" s="32"/>
      <c r="BO344" s="32"/>
      <c r="BP344" s="32"/>
      <c r="BQ344" s="32"/>
      <c r="BR344" s="32"/>
      <c r="BS344" s="32"/>
      <c r="BT344" s="32"/>
      <c r="BU344" s="32"/>
      <c r="BV344" s="32"/>
      <c r="BW344" s="32"/>
      <c r="BX344" s="32"/>
      <c r="BY344" s="32"/>
      <c r="BZ344" s="32"/>
      <c r="CA344" s="32"/>
      <c r="CB344" s="32"/>
      <c r="CC344" s="55"/>
      <c r="CD344" s="55"/>
      <c r="CE344" s="32"/>
      <c r="CF344" s="32"/>
      <c r="CG344" s="32"/>
      <c r="CH344" s="32"/>
      <c r="CI344" s="32"/>
      <c r="CJ344" s="32"/>
    </row>
    <row r="345" ht="15.75" customHeight="1">
      <c r="A345" s="1"/>
      <c r="B345" s="1"/>
      <c r="C345" s="1"/>
      <c r="D345" s="1"/>
      <c r="E345" s="1"/>
      <c r="F345" s="32"/>
      <c r="G345" s="32"/>
      <c r="H345" s="32"/>
      <c r="I345" s="32"/>
      <c r="J345" s="32"/>
      <c r="K345" s="54"/>
      <c r="L345" s="32"/>
      <c r="M345" s="32"/>
      <c r="N345" s="32"/>
      <c r="O345" s="32"/>
      <c r="P345" s="32"/>
      <c r="Q345" s="32"/>
      <c r="R345" s="32"/>
      <c r="S345" s="54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2"/>
      <c r="AZ345" s="32"/>
      <c r="BA345" s="32"/>
      <c r="BB345" s="32"/>
      <c r="BC345" s="32"/>
      <c r="BD345" s="32"/>
      <c r="BE345" s="32"/>
      <c r="BF345" s="32"/>
      <c r="BG345" s="32"/>
      <c r="BH345" s="32"/>
      <c r="BI345" s="32"/>
      <c r="BJ345" s="32"/>
      <c r="BK345" s="32"/>
      <c r="BL345" s="32"/>
      <c r="BM345" s="32"/>
      <c r="BN345" s="32"/>
      <c r="BO345" s="32"/>
      <c r="BP345" s="32"/>
      <c r="BQ345" s="32"/>
      <c r="BR345" s="32"/>
      <c r="BS345" s="32"/>
      <c r="BT345" s="32"/>
      <c r="BU345" s="32"/>
      <c r="BV345" s="32"/>
      <c r="BW345" s="32"/>
      <c r="BX345" s="32"/>
      <c r="BY345" s="32"/>
      <c r="BZ345" s="32"/>
      <c r="CA345" s="32"/>
      <c r="CB345" s="32"/>
      <c r="CC345" s="55"/>
      <c r="CD345" s="55"/>
      <c r="CE345" s="32"/>
      <c r="CF345" s="32"/>
      <c r="CG345" s="32"/>
      <c r="CH345" s="32"/>
      <c r="CI345" s="32"/>
      <c r="CJ345" s="32"/>
    </row>
    <row r="346" ht="15.75" customHeight="1">
      <c r="A346" s="1"/>
      <c r="B346" s="1"/>
      <c r="C346" s="1"/>
      <c r="D346" s="1"/>
      <c r="E346" s="1"/>
      <c r="F346" s="32"/>
      <c r="G346" s="32"/>
      <c r="H346" s="32"/>
      <c r="I346" s="32"/>
      <c r="J346" s="32"/>
      <c r="K346" s="54"/>
      <c r="L346" s="32"/>
      <c r="M346" s="32"/>
      <c r="N346" s="32"/>
      <c r="O346" s="32"/>
      <c r="P346" s="32"/>
      <c r="Q346" s="32"/>
      <c r="R346" s="32"/>
      <c r="S346" s="54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  <c r="BA346" s="32"/>
      <c r="BB346" s="32"/>
      <c r="BC346" s="32"/>
      <c r="BD346" s="32"/>
      <c r="BE346" s="32"/>
      <c r="BF346" s="32"/>
      <c r="BG346" s="32"/>
      <c r="BH346" s="32"/>
      <c r="BI346" s="32"/>
      <c r="BJ346" s="32"/>
      <c r="BK346" s="32"/>
      <c r="BL346" s="32"/>
      <c r="BM346" s="32"/>
      <c r="BN346" s="32"/>
      <c r="BO346" s="32"/>
      <c r="BP346" s="32"/>
      <c r="BQ346" s="32"/>
      <c r="BR346" s="32"/>
      <c r="BS346" s="32"/>
      <c r="BT346" s="32"/>
      <c r="BU346" s="32"/>
      <c r="BV346" s="32"/>
      <c r="BW346" s="32"/>
      <c r="BX346" s="32"/>
      <c r="BY346" s="32"/>
      <c r="BZ346" s="32"/>
      <c r="CA346" s="32"/>
      <c r="CB346" s="32"/>
      <c r="CC346" s="55"/>
      <c r="CD346" s="55"/>
      <c r="CE346" s="32"/>
      <c r="CF346" s="32"/>
      <c r="CG346" s="32"/>
      <c r="CH346" s="32"/>
      <c r="CI346" s="32"/>
      <c r="CJ346" s="32"/>
    </row>
    <row r="347" ht="15.75" customHeight="1">
      <c r="A347" s="1"/>
      <c r="B347" s="1"/>
      <c r="C347" s="1"/>
      <c r="D347" s="1"/>
      <c r="E347" s="1"/>
      <c r="F347" s="32"/>
      <c r="G347" s="32"/>
      <c r="H347" s="32"/>
      <c r="I347" s="32"/>
      <c r="J347" s="32"/>
      <c r="K347" s="54"/>
      <c r="L347" s="32"/>
      <c r="M347" s="32"/>
      <c r="N347" s="32"/>
      <c r="O347" s="32"/>
      <c r="P347" s="32"/>
      <c r="Q347" s="32"/>
      <c r="R347" s="32"/>
      <c r="S347" s="54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2"/>
      <c r="AZ347" s="32"/>
      <c r="BA347" s="32"/>
      <c r="BB347" s="32"/>
      <c r="BC347" s="32"/>
      <c r="BD347" s="32"/>
      <c r="BE347" s="32"/>
      <c r="BF347" s="32"/>
      <c r="BG347" s="32"/>
      <c r="BH347" s="32"/>
      <c r="BI347" s="32"/>
      <c r="BJ347" s="32"/>
      <c r="BK347" s="32"/>
      <c r="BL347" s="32"/>
      <c r="BM347" s="32"/>
      <c r="BN347" s="32"/>
      <c r="BO347" s="32"/>
      <c r="BP347" s="32"/>
      <c r="BQ347" s="32"/>
      <c r="BR347" s="32"/>
      <c r="BS347" s="32"/>
      <c r="BT347" s="32"/>
      <c r="BU347" s="32"/>
      <c r="BV347" s="32"/>
      <c r="BW347" s="32"/>
      <c r="BX347" s="32"/>
      <c r="BY347" s="32"/>
      <c r="BZ347" s="32"/>
      <c r="CA347" s="32"/>
      <c r="CB347" s="32"/>
      <c r="CC347" s="55"/>
      <c r="CD347" s="55"/>
      <c r="CE347" s="32"/>
      <c r="CF347" s="32"/>
      <c r="CG347" s="32"/>
      <c r="CH347" s="32"/>
      <c r="CI347" s="32"/>
      <c r="CJ347" s="32"/>
    </row>
    <row r="348" ht="15.75" customHeight="1">
      <c r="A348" s="1"/>
      <c r="B348" s="1"/>
      <c r="C348" s="1"/>
      <c r="D348" s="1"/>
      <c r="E348" s="1"/>
      <c r="F348" s="32"/>
      <c r="G348" s="32"/>
      <c r="H348" s="32"/>
      <c r="I348" s="32"/>
      <c r="J348" s="32"/>
      <c r="K348" s="54"/>
      <c r="L348" s="32"/>
      <c r="M348" s="32"/>
      <c r="N348" s="32"/>
      <c r="O348" s="32"/>
      <c r="P348" s="32"/>
      <c r="Q348" s="32"/>
      <c r="R348" s="32"/>
      <c r="S348" s="54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  <c r="AY348" s="32"/>
      <c r="AZ348" s="32"/>
      <c r="BA348" s="32"/>
      <c r="BB348" s="32"/>
      <c r="BC348" s="32"/>
      <c r="BD348" s="32"/>
      <c r="BE348" s="32"/>
      <c r="BF348" s="32"/>
      <c r="BG348" s="32"/>
      <c r="BH348" s="32"/>
      <c r="BI348" s="32"/>
      <c r="BJ348" s="32"/>
      <c r="BK348" s="32"/>
      <c r="BL348" s="32"/>
      <c r="BM348" s="32"/>
      <c r="BN348" s="32"/>
      <c r="BO348" s="32"/>
      <c r="BP348" s="32"/>
      <c r="BQ348" s="32"/>
      <c r="BR348" s="32"/>
      <c r="BS348" s="32"/>
      <c r="BT348" s="32"/>
      <c r="BU348" s="32"/>
      <c r="BV348" s="32"/>
      <c r="BW348" s="32"/>
      <c r="BX348" s="32"/>
      <c r="BY348" s="32"/>
      <c r="BZ348" s="32"/>
      <c r="CA348" s="32"/>
      <c r="CB348" s="32"/>
      <c r="CC348" s="55"/>
      <c r="CD348" s="55"/>
      <c r="CE348" s="32"/>
      <c r="CF348" s="32"/>
      <c r="CG348" s="32"/>
      <c r="CH348" s="32"/>
      <c r="CI348" s="32"/>
      <c r="CJ348" s="32"/>
    </row>
    <row r="349" ht="15.75" customHeight="1">
      <c r="A349" s="1"/>
      <c r="B349" s="1"/>
      <c r="C349" s="1"/>
      <c r="D349" s="1"/>
      <c r="E349" s="1"/>
      <c r="F349" s="32"/>
      <c r="G349" s="32"/>
      <c r="H349" s="32"/>
      <c r="I349" s="32"/>
      <c r="J349" s="32"/>
      <c r="K349" s="54"/>
      <c r="L349" s="32"/>
      <c r="M349" s="32"/>
      <c r="N349" s="32"/>
      <c r="O349" s="32"/>
      <c r="P349" s="32"/>
      <c r="Q349" s="32"/>
      <c r="R349" s="32"/>
      <c r="S349" s="54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  <c r="AY349" s="32"/>
      <c r="AZ349" s="32"/>
      <c r="BA349" s="32"/>
      <c r="BB349" s="32"/>
      <c r="BC349" s="32"/>
      <c r="BD349" s="32"/>
      <c r="BE349" s="32"/>
      <c r="BF349" s="32"/>
      <c r="BG349" s="32"/>
      <c r="BH349" s="32"/>
      <c r="BI349" s="32"/>
      <c r="BJ349" s="32"/>
      <c r="BK349" s="32"/>
      <c r="BL349" s="32"/>
      <c r="BM349" s="32"/>
      <c r="BN349" s="32"/>
      <c r="BO349" s="32"/>
      <c r="BP349" s="32"/>
      <c r="BQ349" s="32"/>
      <c r="BR349" s="32"/>
      <c r="BS349" s="32"/>
      <c r="BT349" s="32"/>
      <c r="BU349" s="32"/>
      <c r="BV349" s="32"/>
      <c r="BW349" s="32"/>
      <c r="BX349" s="32"/>
      <c r="BY349" s="32"/>
      <c r="BZ349" s="32"/>
      <c r="CA349" s="32"/>
      <c r="CB349" s="32"/>
      <c r="CC349" s="55"/>
      <c r="CD349" s="55"/>
      <c r="CE349" s="32"/>
      <c r="CF349" s="32"/>
      <c r="CG349" s="32"/>
      <c r="CH349" s="32"/>
      <c r="CI349" s="32"/>
      <c r="CJ349" s="32"/>
    </row>
    <row r="350" ht="15.75" customHeight="1">
      <c r="A350" s="1"/>
      <c r="B350" s="1"/>
      <c r="C350" s="1"/>
      <c r="D350" s="1"/>
      <c r="E350" s="1"/>
      <c r="F350" s="32"/>
      <c r="G350" s="32"/>
      <c r="H350" s="32"/>
      <c r="I350" s="32"/>
      <c r="J350" s="32"/>
      <c r="K350" s="54"/>
      <c r="L350" s="32"/>
      <c r="M350" s="32"/>
      <c r="N350" s="32"/>
      <c r="O350" s="32"/>
      <c r="P350" s="32"/>
      <c r="Q350" s="32"/>
      <c r="R350" s="32"/>
      <c r="S350" s="54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  <c r="AY350" s="32"/>
      <c r="AZ350" s="32"/>
      <c r="BA350" s="32"/>
      <c r="BB350" s="32"/>
      <c r="BC350" s="32"/>
      <c r="BD350" s="32"/>
      <c r="BE350" s="32"/>
      <c r="BF350" s="32"/>
      <c r="BG350" s="32"/>
      <c r="BH350" s="32"/>
      <c r="BI350" s="32"/>
      <c r="BJ350" s="32"/>
      <c r="BK350" s="32"/>
      <c r="BL350" s="32"/>
      <c r="BM350" s="32"/>
      <c r="BN350" s="32"/>
      <c r="BO350" s="32"/>
      <c r="BP350" s="32"/>
      <c r="BQ350" s="32"/>
      <c r="BR350" s="32"/>
      <c r="BS350" s="32"/>
      <c r="BT350" s="32"/>
      <c r="BU350" s="32"/>
      <c r="BV350" s="32"/>
      <c r="BW350" s="32"/>
      <c r="BX350" s="32"/>
      <c r="BY350" s="32"/>
      <c r="BZ350" s="32"/>
      <c r="CA350" s="32"/>
      <c r="CB350" s="32"/>
      <c r="CC350" s="55"/>
      <c r="CD350" s="55"/>
      <c r="CE350" s="32"/>
      <c r="CF350" s="32"/>
      <c r="CG350" s="32"/>
      <c r="CH350" s="32"/>
      <c r="CI350" s="32"/>
      <c r="CJ350" s="32"/>
    </row>
    <row r="351" ht="15.75" customHeight="1">
      <c r="A351" s="1"/>
      <c r="B351" s="1"/>
      <c r="C351" s="1"/>
      <c r="D351" s="1"/>
      <c r="E351" s="1"/>
      <c r="F351" s="32"/>
      <c r="G351" s="32"/>
      <c r="H351" s="32"/>
      <c r="I351" s="32"/>
      <c r="J351" s="32"/>
      <c r="K351" s="54"/>
      <c r="L351" s="32"/>
      <c r="M351" s="32"/>
      <c r="N351" s="32"/>
      <c r="O351" s="32"/>
      <c r="P351" s="32"/>
      <c r="Q351" s="32"/>
      <c r="R351" s="32"/>
      <c r="S351" s="54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  <c r="AW351" s="32"/>
      <c r="AX351" s="32"/>
      <c r="AY351" s="32"/>
      <c r="AZ351" s="32"/>
      <c r="BA351" s="32"/>
      <c r="BB351" s="32"/>
      <c r="BC351" s="32"/>
      <c r="BD351" s="32"/>
      <c r="BE351" s="32"/>
      <c r="BF351" s="32"/>
      <c r="BG351" s="32"/>
      <c r="BH351" s="32"/>
      <c r="BI351" s="32"/>
      <c r="BJ351" s="32"/>
      <c r="BK351" s="32"/>
      <c r="BL351" s="32"/>
      <c r="BM351" s="32"/>
      <c r="BN351" s="32"/>
      <c r="BO351" s="32"/>
      <c r="BP351" s="32"/>
      <c r="BQ351" s="32"/>
      <c r="BR351" s="32"/>
      <c r="BS351" s="32"/>
      <c r="BT351" s="32"/>
      <c r="BU351" s="32"/>
      <c r="BV351" s="32"/>
      <c r="BW351" s="32"/>
      <c r="BX351" s="32"/>
      <c r="BY351" s="32"/>
      <c r="BZ351" s="32"/>
      <c r="CA351" s="32"/>
      <c r="CB351" s="32"/>
      <c r="CC351" s="55"/>
      <c r="CD351" s="55"/>
      <c r="CE351" s="32"/>
      <c r="CF351" s="32"/>
      <c r="CG351" s="32"/>
      <c r="CH351" s="32"/>
      <c r="CI351" s="32"/>
      <c r="CJ351" s="32"/>
    </row>
    <row r="352" ht="15.75" customHeight="1">
      <c r="A352" s="1"/>
      <c r="B352" s="1"/>
      <c r="C352" s="1"/>
      <c r="D352" s="1"/>
      <c r="E352" s="1"/>
      <c r="F352" s="32"/>
      <c r="G352" s="32"/>
      <c r="H352" s="32"/>
      <c r="I352" s="32"/>
      <c r="J352" s="32"/>
      <c r="K352" s="54"/>
      <c r="L352" s="32"/>
      <c r="M352" s="32"/>
      <c r="N352" s="32"/>
      <c r="O352" s="32"/>
      <c r="P352" s="32"/>
      <c r="Q352" s="32"/>
      <c r="R352" s="32"/>
      <c r="S352" s="54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  <c r="AW352" s="32"/>
      <c r="AX352" s="32"/>
      <c r="AY352" s="32"/>
      <c r="AZ352" s="32"/>
      <c r="BA352" s="32"/>
      <c r="BB352" s="32"/>
      <c r="BC352" s="32"/>
      <c r="BD352" s="32"/>
      <c r="BE352" s="32"/>
      <c r="BF352" s="32"/>
      <c r="BG352" s="32"/>
      <c r="BH352" s="32"/>
      <c r="BI352" s="32"/>
      <c r="BJ352" s="32"/>
      <c r="BK352" s="32"/>
      <c r="BL352" s="32"/>
      <c r="BM352" s="32"/>
      <c r="BN352" s="32"/>
      <c r="BO352" s="32"/>
      <c r="BP352" s="32"/>
      <c r="BQ352" s="32"/>
      <c r="BR352" s="32"/>
      <c r="BS352" s="32"/>
      <c r="BT352" s="32"/>
      <c r="BU352" s="32"/>
      <c r="BV352" s="32"/>
      <c r="BW352" s="32"/>
      <c r="BX352" s="32"/>
      <c r="BY352" s="32"/>
      <c r="BZ352" s="32"/>
      <c r="CA352" s="32"/>
      <c r="CB352" s="32"/>
      <c r="CC352" s="55"/>
      <c r="CD352" s="55"/>
      <c r="CE352" s="32"/>
      <c r="CF352" s="32"/>
      <c r="CG352" s="32"/>
      <c r="CH352" s="32"/>
      <c r="CI352" s="32"/>
      <c r="CJ352" s="32"/>
    </row>
    <row r="353" ht="15.75" customHeight="1">
      <c r="A353" s="1"/>
      <c r="B353" s="1"/>
      <c r="C353" s="1"/>
      <c r="D353" s="1"/>
      <c r="E353" s="1"/>
      <c r="F353" s="32"/>
      <c r="G353" s="32"/>
      <c r="H353" s="32"/>
      <c r="I353" s="32"/>
      <c r="J353" s="32"/>
      <c r="K353" s="54"/>
      <c r="L353" s="32"/>
      <c r="M353" s="32"/>
      <c r="N353" s="32"/>
      <c r="O353" s="32"/>
      <c r="P353" s="32"/>
      <c r="Q353" s="32"/>
      <c r="R353" s="32"/>
      <c r="S353" s="54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  <c r="BA353" s="32"/>
      <c r="BB353" s="32"/>
      <c r="BC353" s="32"/>
      <c r="BD353" s="32"/>
      <c r="BE353" s="32"/>
      <c r="BF353" s="32"/>
      <c r="BG353" s="32"/>
      <c r="BH353" s="32"/>
      <c r="BI353" s="32"/>
      <c r="BJ353" s="32"/>
      <c r="BK353" s="32"/>
      <c r="BL353" s="32"/>
      <c r="BM353" s="32"/>
      <c r="BN353" s="32"/>
      <c r="BO353" s="32"/>
      <c r="BP353" s="32"/>
      <c r="BQ353" s="32"/>
      <c r="BR353" s="32"/>
      <c r="BS353" s="32"/>
      <c r="BT353" s="32"/>
      <c r="BU353" s="32"/>
      <c r="BV353" s="32"/>
      <c r="BW353" s="32"/>
      <c r="BX353" s="32"/>
      <c r="BY353" s="32"/>
      <c r="BZ353" s="32"/>
      <c r="CA353" s="32"/>
      <c r="CB353" s="32"/>
      <c r="CC353" s="55"/>
      <c r="CD353" s="55"/>
      <c r="CE353" s="32"/>
      <c r="CF353" s="32"/>
      <c r="CG353" s="32"/>
      <c r="CH353" s="32"/>
      <c r="CI353" s="32"/>
      <c r="CJ353" s="32"/>
    </row>
    <row r="354" ht="15.75" customHeight="1">
      <c r="A354" s="1"/>
      <c r="B354" s="1"/>
      <c r="C354" s="1"/>
      <c r="D354" s="1"/>
      <c r="E354" s="1"/>
      <c r="F354" s="32"/>
      <c r="G354" s="32"/>
      <c r="H354" s="32"/>
      <c r="I354" s="32"/>
      <c r="J354" s="32"/>
      <c r="K354" s="54"/>
      <c r="L354" s="32"/>
      <c r="M354" s="32"/>
      <c r="N354" s="32"/>
      <c r="O354" s="32"/>
      <c r="P354" s="32"/>
      <c r="Q354" s="32"/>
      <c r="R354" s="32"/>
      <c r="S354" s="54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  <c r="AY354" s="32"/>
      <c r="AZ354" s="32"/>
      <c r="BA354" s="32"/>
      <c r="BB354" s="32"/>
      <c r="BC354" s="32"/>
      <c r="BD354" s="32"/>
      <c r="BE354" s="32"/>
      <c r="BF354" s="32"/>
      <c r="BG354" s="32"/>
      <c r="BH354" s="32"/>
      <c r="BI354" s="32"/>
      <c r="BJ354" s="32"/>
      <c r="BK354" s="32"/>
      <c r="BL354" s="32"/>
      <c r="BM354" s="32"/>
      <c r="BN354" s="32"/>
      <c r="BO354" s="32"/>
      <c r="BP354" s="32"/>
      <c r="BQ354" s="32"/>
      <c r="BR354" s="32"/>
      <c r="BS354" s="32"/>
      <c r="BT354" s="32"/>
      <c r="BU354" s="32"/>
      <c r="BV354" s="32"/>
      <c r="BW354" s="32"/>
      <c r="BX354" s="32"/>
      <c r="BY354" s="32"/>
      <c r="BZ354" s="32"/>
      <c r="CA354" s="32"/>
      <c r="CB354" s="32"/>
      <c r="CC354" s="55"/>
      <c r="CD354" s="55"/>
      <c r="CE354" s="32"/>
      <c r="CF354" s="32"/>
      <c r="CG354" s="32"/>
      <c r="CH354" s="32"/>
      <c r="CI354" s="32"/>
      <c r="CJ354" s="32"/>
    </row>
    <row r="355" ht="15.75" customHeight="1">
      <c r="A355" s="1"/>
      <c r="B355" s="1"/>
      <c r="C355" s="1"/>
      <c r="D355" s="1"/>
      <c r="E355" s="1"/>
      <c r="F355" s="32"/>
      <c r="G355" s="32"/>
      <c r="H355" s="32"/>
      <c r="I355" s="32"/>
      <c r="J355" s="32"/>
      <c r="K355" s="54"/>
      <c r="L355" s="32"/>
      <c r="M355" s="32"/>
      <c r="N355" s="32"/>
      <c r="O355" s="32"/>
      <c r="P355" s="32"/>
      <c r="Q355" s="32"/>
      <c r="R355" s="32"/>
      <c r="S355" s="54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2"/>
      <c r="AY355" s="32"/>
      <c r="AZ355" s="32"/>
      <c r="BA355" s="32"/>
      <c r="BB355" s="32"/>
      <c r="BC355" s="32"/>
      <c r="BD355" s="32"/>
      <c r="BE355" s="32"/>
      <c r="BF355" s="32"/>
      <c r="BG355" s="32"/>
      <c r="BH355" s="32"/>
      <c r="BI355" s="32"/>
      <c r="BJ355" s="32"/>
      <c r="BK355" s="32"/>
      <c r="BL355" s="32"/>
      <c r="BM355" s="32"/>
      <c r="BN355" s="32"/>
      <c r="BO355" s="32"/>
      <c r="BP355" s="32"/>
      <c r="BQ355" s="32"/>
      <c r="BR355" s="32"/>
      <c r="BS355" s="32"/>
      <c r="BT355" s="32"/>
      <c r="BU355" s="32"/>
      <c r="BV355" s="32"/>
      <c r="BW355" s="32"/>
      <c r="BX355" s="32"/>
      <c r="BY355" s="32"/>
      <c r="BZ355" s="32"/>
      <c r="CA355" s="32"/>
      <c r="CB355" s="32"/>
      <c r="CC355" s="55"/>
      <c r="CD355" s="55"/>
      <c r="CE355" s="32"/>
      <c r="CF355" s="32"/>
      <c r="CG355" s="32"/>
      <c r="CH355" s="32"/>
      <c r="CI355" s="32"/>
      <c r="CJ355" s="32"/>
    </row>
    <row r="356" ht="15.75" customHeight="1">
      <c r="A356" s="1"/>
      <c r="B356" s="1"/>
      <c r="C356" s="1"/>
      <c r="D356" s="1"/>
      <c r="E356" s="1"/>
      <c r="F356" s="32"/>
      <c r="G356" s="32"/>
      <c r="H356" s="32"/>
      <c r="I356" s="32"/>
      <c r="J356" s="32"/>
      <c r="K356" s="54"/>
      <c r="L356" s="32"/>
      <c r="M356" s="32"/>
      <c r="N356" s="32"/>
      <c r="O356" s="32"/>
      <c r="P356" s="32"/>
      <c r="Q356" s="32"/>
      <c r="R356" s="32"/>
      <c r="S356" s="54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  <c r="AY356" s="32"/>
      <c r="AZ356" s="32"/>
      <c r="BA356" s="32"/>
      <c r="BB356" s="32"/>
      <c r="BC356" s="32"/>
      <c r="BD356" s="32"/>
      <c r="BE356" s="32"/>
      <c r="BF356" s="32"/>
      <c r="BG356" s="32"/>
      <c r="BH356" s="32"/>
      <c r="BI356" s="32"/>
      <c r="BJ356" s="32"/>
      <c r="BK356" s="32"/>
      <c r="BL356" s="32"/>
      <c r="BM356" s="32"/>
      <c r="BN356" s="32"/>
      <c r="BO356" s="32"/>
      <c r="BP356" s="32"/>
      <c r="BQ356" s="32"/>
      <c r="BR356" s="32"/>
      <c r="BS356" s="32"/>
      <c r="BT356" s="32"/>
      <c r="BU356" s="32"/>
      <c r="BV356" s="32"/>
      <c r="BW356" s="32"/>
      <c r="BX356" s="32"/>
      <c r="BY356" s="32"/>
      <c r="BZ356" s="32"/>
      <c r="CA356" s="32"/>
      <c r="CB356" s="32"/>
      <c r="CC356" s="55"/>
      <c r="CD356" s="55"/>
      <c r="CE356" s="32"/>
      <c r="CF356" s="32"/>
      <c r="CG356" s="32"/>
      <c r="CH356" s="32"/>
      <c r="CI356" s="32"/>
      <c r="CJ356" s="32"/>
    </row>
    <row r="357" ht="15.75" customHeight="1">
      <c r="A357" s="1"/>
      <c r="B357" s="1"/>
      <c r="C357" s="1"/>
      <c r="D357" s="1"/>
      <c r="E357" s="1"/>
      <c r="F357" s="32"/>
      <c r="G357" s="32"/>
      <c r="H357" s="32"/>
      <c r="I357" s="32"/>
      <c r="J357" s="32"/>
      <c r="K357" s="54"/>
      <c r="L357" s="32"/>
      <c r="M357" s="32"/>
      <c r="N357" s="32"/>
      <c r="O357" s="32"/>
      <c r="P357" s="32"/>
      <c r="Q357" s="32"/>
      <c r="R357" s="32"/>
      <c r="S357" s="54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  <c r="AY357" s="32"/>
      <c r="AZ357" s="32"/>
      <c r="BA357" s="32"/>
      <c r="BB357" s="32"/>
      <c r="BC357" s="32"/>
      <c r="BD357" s="32"/>
      <c r="BE357" s="32"/>
      <c r="BF357" s="32"/>
      <c r="BG357" s="32"/>
      <c r="BH357" s="32"/>
      <c r="BI357" s="32"/>
      <c r="BJ357" s="32"/>
      <c r="BK357" s="32"/>
      <c r="BL357" s="32"/>
      <c r="BM357" s="32"/>
      <c r="BN357" s="32"/>
      <c r="BO357" s="32"/>
      <c r="BP357" s="32"/>
      <c r="BQ357" s="32"/>
      <c r="BR357" s="32"/>
      <c r="BS357" s="32"/>
      <c r="BT357" s="32"/>
      <c r="BU357" s="32"/>
      <c r="BV357" s="32"/>
      <c r="BW357" s="32"/>
      <c r="BX357" s="32"/>
      <c r="BY357" s="32"/>
      <c r="BZ357" s="32"/>
      <c r="CA357" s="32"/>
      <c r="CB357" s="32"/>
      <c r="CC357" s="55"/>
      <c r="CD357" s="55"/>
      <c r="CE357" s="32"/>
      <c r="CF357" s="32"/>
      <c r="CG357" s="32"/>
      <c r="CH357" s="32"/>
      <c r="CI357" s="32"/>
      <c r="CJ357" s="32"/>
    </row>
    <row r="358" ht="15.75" customHeight="1">
      <c r="A358" s="1"/>
      <c r="B358" s="1"/>
      <c r="C358" s="1"/>
      <c r="D358" s="1"/>
      <c r="E358" s="1"/>
      <c r="F358" s="32"/>
      <c r="G358" s="32"/>
      <c r="H358" s="32"/>
      <c r="I358" s="32"/>
      <c r="J358" s="32"/>
      <c r="K358" s="54"/>
      <c r="L358" s="32"/>
      <c r="M358" s="32"/>
      <c r="N358" s="32"/>
      <c r="O358" s="32"/>
      <c r="P358" s="32"/>
      <c r="Q358" s="32"/>
      <c r="R358" s="32"/>
      <c r="S358" s="54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2"/>
      <c r="AY358" s="32"/>
      <c r="AZ358" s="32"/>
      <c r="BA358" s="32"/>
      <c r="BB358" s="32"/>
      <c r="BC358" s="32"/>
      <c r="BD358" s="32"/>
      <c r="BE358" s="32"/>
      <c r="BF358" s="32"/>
      <c r="BG358" s="32"/>
      <c r="BH358" s="32"/>
      <c r="BI358" s="32"/>
      <c r="BJ358" s="32"/>
      <c r="BK358" s="32"/>
      <c r="BL358" s="32"/>
      <c r="BM358" s="32"/>
      <c r="BN358" s="32"/>
      <c r="BO358" s="32"/>
      <c r="BP358" s="32"/>
      <c r="BQ358" s="32"/>
      <c r="BR358" s="32"/>
      <c r="BS358" s="32"/>
      <c r="BT358" s="32"/>
      <c r="BU358" s="32"/>
      <c r="BV358" s="32"/>
      <c r="BW358" s="32"/>
      <c r="BX358" s="32"/>
      <c r="BY358" s="32"/>
      <c r="BZ358" s="32"/>
      <c r="CA358" s="32"/>
      <c r="CB358" s="32"/>
      <c r="CC358" s="55"/>
      <c r="CD358" s="55"/>
      <c r="CE358" s="32"/>
      <c r="CF358" s="32"/>
      <c r="CG358" s="32"/>
      <c r="CH358" s="32"/>
      <c r="CI358" s="32"/>
      <c r="CJ358" s="32"/>
    </row>
    <row r="359" ht="15.75" customHeight="1">
      <c r="A359" s="1"/>
      <c r="B359" s="1"/>
      <c r="C359" s="1"/>
      <c r="D359" s="1"/>
      <c r="E359" s="1"/>
      <c r="F359" s="32"/>
      <c r="G359" s="32"/>
      <c r="H359" s="32"/>
      <c r="I359" s="32"/>
      <c r="J359" s="32"/>
      <c r="K359" s="54"/>
      <c r="L359" s="32"/>
      <c r="M359" s="32"/>
      <c r="N359" s="32"/>
      <c r="O359" s="32"/>
      <c r="P359" s="32"/>
      <c r="Q359" s="32"/>
      <c r="R359" s="32"/>
      <c r="S359" s="54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  <c r="AW359" s="32"/>
      <c r="AX359" s="32"/>
      <c r="AY359" s="32"/>
      <c r="AZ359" s="32"/>
      <c r="BA359" s="32"/>
      <c r="BB359" s="32"/>
      <c r="BC359" s="32"/>
      <c r="BD359" s="32"/>
      <c r="BE359" s="32"/>
      <c r="BF359" s="32"/>
      <c r="BG359" s="32"/>
      <c r="BH359" s="32"/>
      <c r="BI359" s="32"/>
      <c r="BJ359" s="32"/>
      <c r="BK359" s="32"/>
      <c r="BL359" s="32"/>
      <c r="BM359" s="32"/>
      <c r="BN359" s="32"/>
      <c r="BO359" s="32"/>
      <c r="BP359" s="32"/>
      <c r="BQ359" s="32"/>
      <c r="BR359" s="32"/>
      <c r="BS359" s="32"/>
      <c r="BT359" s="32"/>
      <c r="BU359" s="32"/>
      <c r="BV359" s="32"/>
      <c r="BW359" s="32"/>
      <c r="BX359" s="32"/>
      <c r="BY359" s="32"/>
      <c r="BZ359" s="32"/>
      <c r="CA359" s="32"/>
      <c r="CB359" s="32"/>
      <c r="CC359" s="55"/>
      <c r="CD359" s="55"/>
      <c r="CE359" s="32"/>
      <c r="CF359" s="32"/>
      <c r="CG359" s="32"/>
      <c r="CH359" s="32"/>
      <c r="CI359" s="32"/>
      <c r="CJ359" s="32"/>
    </row>
    <row r="360" ht="15.75" customHeight="1">
      <c r="A360" s="1"/>
      <c r="B360" s="1"/>
      <c r="C360" s="1"/>
      <c r="D360" s="1"/>
      <c r="E360" s="1"/>
      <c r="F360" s="32"/>
      <c r="G360" s="32"/>
      <c r="H360" s="32"/>
      <c r="I360" s="32"/>
      <c r="J360" s="32"/>
      <c r="K360" s="54"/>
      <c r="L360" s="32"/>
      <c r="M360" s="32"/>
      <c r="N360" s="32"/>
      <c r="O360" s="32"/>
      <c r="P360" s="32"/>
      <c r="Q360" s="32"/>
      <c r="R360" s="32"/>
      <c r="S360" s="54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  <c r="AW360" s="32"/>
      <c r="AX360" s="32"/>
      <c r="AY360" s="32"/>
      <c r="AZ360" s="32"/>
      <c r="BA360" s="32"/>
      <c r="BB360" s="32"/>
      <c r="BC360" s="32"/>
      <c r="BD360" s="32"/>
      <c r="BE360" s="32"/>
      <c r="BF360" s="32"/>
      <c r="BG360" s="32"/>
      <c r="BH360" s="32"/>
      <c r="BI360" s="32"/>
      <c r="BJ360" s="32"/>
      <c r="BK360" s="32"/>
      <c r="BL360" s="32"/>
      <c r="BM360" s="32"/>
      <c r="BN360" s="32"/>
      <c r="BO360" s="32"/>
      <c r="BP360" s="32"/>
      <c r="BQ360" s="32"/>
      <c r="BR360" s="32"/>
      <c r="BS360" s="32"/>
      <c r="BT360" s="32"/>
      <c r="BU360" s="32"/>
      <c r="BV360" s="32"/>
      <c r="BW360" s="32"/>
      <c r="BX360" s="32"/>
      <c r="BY360" s="32"/>
      <c r="BZ360" s="32"/>
      <c r="CA360" s="32"/>
      <c r="CB360" s="32"/>
      <c r="CC360" s="55"/>
      <c r="CD360" s="55"/>
      <c r="CE360" s="32"/>
      <c r="CF360" s="32"/>
      <c r="CG360" s="32"/>
      <c r="CH360" s="32"/>
      <c r="CI360" s="32"/>
      <c r="CJ360" s="32"/>
    </row>
    <row r="361" ht="15.75" customHeight="1">
      <c r="A361" s="1"/>
      <c r="B361" s="1"/>
      <c r="C361" s="1"/>
      <c r="D361" s="1"/>
      <c r="E361" s="1"/>
      <c r="F361" s="32"/>
      <c r="G361" s="32"/>
      <c r="H361" s="32"/>
      <c r="I361" s="32"/>
      <c r="J361" s="32"/>
      <c r="K361" s="54"/>
      <c r="L361" s="32"/>
      <c r="M361" s="32"/>
      <c r="N361" s="32"/>
      <c r="O361" s="32"/>
      <c r="P361" s="32"/>
      <c r="Q361" s="32"/>
      <c r="R361" s="32"/>
      <c r="S361" s="54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2"/>
      <c r="AY361" s="32"/>
      <c r="AZ361" s="32"/>
      <c r="BA361" s="32"/>
      <c r="BB361" s="32"/>
      <c r="BC361" s="32"/>
      <c r="BD361" s="32"/>
      <c r="BE361" s="32"/>
      <c r="BF361" s="32"/>
      <c r="BG361" s="32"/>
      <c r="BH361" s="32"/>
      <c r="BI361" s="32"/>
      <c r="BJ361" s="32"/>
      <c r="BK361" s="32"/>
      <c r="BL361" s="32"/>
      <c r="BM361" s="32"/>
      <c r="BN361" s="32"/>
      <c r="BO361" s="32"/>
      <c r="BP361" s="32"/>
      <c r="BQ361" s="32"/>
      <c r="BR361" s="32"/>
      <c r="BS361" s="32"/>
      <c r="BT361" s="32"/>
      <c r="BU361" s="32"/>
      <c r="BV361" s="32"/>
      <c r="BW361" s="32"/>
      <c r="BX361" s="32"/>
      <c r="BY361" s="32"/>
      <c r="BZ361" s="32"/>
      <c r="CA361" s="32"/>
      <c r="CB361" s="32"/>
      <c r="CC361" s="55"/>
      <c r="CD361" s="55"/>
      <c r="CE361" s="32"/>
      <c r="CF361" s="32"/>
      <c r="CG361" s="32"/>
      <c r="CH361" s="32"/>
      <c r="CI361" s="32"/>
      <c r="CJ361" s="32"/>
    </row>
    <row r="362" ht="15.75" customHeight="1">
      <c r="A362" s="1"/>
      <c r="B362" s="1"/>
      <c r="C362" s="1"/>
      <c r="D362" s="1"/>
      <c r="E362" s="1"/>
      <c r="F362" s="32"/>
      <c r="G362" s="32"/>
      <c r="H362" s="32"/>
      <c r="I362" s="32"/>
      <c r="J362" s="32"/>
      <c r="K362" s="54"/>
      <c r="L362" s="32"/>
      <c r="M362" s="32"/>
      <c r="N362" s="32"/>
      <c r="O362" s="32"/>
      <c r="P362" s="32"/>
      <c r="Q362" s="32"/>
      <c r="R362" s="32"/>
      <c r="S362" s="54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2"/>
      <c r="AY362" s="32"/>
      <c r="AZ362" s="32"/>
      <c r="BA362" s="32"/>
      <c r="BB362" s="32"/>
      <c r="BC362" s="32"/>
      <c r="BD362" s="32"/>
      <c r="BE362" s="32"/>
      <c r="BF362" s="32"/>
      <c r="BG362" s="32"/>
      <c r="BH362" s="32"/>
      <c r="BI362" s="32"/>
      <c r="BJ362" s="32"/>
      <c r="BK362" s="32"/>
      <c r="BL362" s="32"/>
      <c r="BM362" s="32"/>
      <c r="BN362" s="32"/>
      <c r="BO362" s="32"/>
      <c r="BP362" s="32"/>
      <c r="BQ362" s="32"/>
      <c r="BR362" s="32"/>
      <c r="BS362" s="32"/>
      <c r="BT362" s="32"/>
      <c r="BU362" s="32"/>
      <c r="BV362" s="32"/>
      <c r="BW362" s="32"/>
      <c r="BX362" s="32"/>
      <c r="BY362" s="32"/>
      <c r="BZ362" s="32"/>
      <c r="CA362" s="32"/>
      <c r="CB362" s="32"/>
      <c r="CC362" s="55"/>
      <c r="CD362" s="55"/>
      <c r="CE362" s="32"/>
      <c r="CF362" s="32"/>
      <c r="CG362" s="32"/>
      <c r="CH362" s="32"/>
      <c r="CI362" s="32"/>
      <c r="CJ362" s="32"/>
    </row>
    <row r="363" ht="15.75" customHeight="1">
      <c r="A363" s="1"/>
      <c r="B363" s="1"/>
      <c r="C363" s="1"/>
      <c r="D363" s="1"/>
      <c r="E363" s="1"/>
      <c r="F363" s="32"/>
      <c r="G363" s="32"/>
      <c r="H363" s="32"/>
      <c r="I363" s="32"/>
      <c r="J363" s="32"/>
      <c r="K363" s="54"/>
      <c r="L363" s="32"/>
      <c r="M363" s="32"/>
      <c r="N363" s="32"/>
      <c r="O363" s="32"/>
      <c r="P363" s="32"/>
      <c r="Q363" s="32"/>
      <c r="R363" s="32"/>
      <c r="S363" s="54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  <c r="AW363" s="32"/>
      <c r="AX363" s="32"/>
      <c r="AY363" s="32"/>
      <c r="AZ363" s="32"/>
      <c r="BA363" s="32"/>
      <c r="BB363" s="32"/>
      <c r="BC363" s="32"/>
      <c r="BD363" s="32"/>
      <c r="BE363" s="32"/>
      <c r="BF363" s="32"/>
      <c r="BG363" s="32"/>
      <c r="BH363" s="32"/>
      <c r="BI363" s="32"/>
      <c r="BJ363" s="32"/>
      <c r="BK363" s="32"/>
      <c r="BL363" s="32"/>
      <c r="BM363" s="32"/>
      <c r="BN363" s="32"/>
      <c r="BO363" s="32"/>
      <c r="BP363" s="32"/>
      <c r="BQ363" s="32"/>
      <c r="BR363" s="32"/>
      <c r="BS363" s="32"/>
      <c r="BT363" s="32"/>
      <c r="BU363" s="32"/>
      <c r="BV363" s="32"/>
      <c r="BW363" s="32"/>
      <c r="BX363" s="32"/>
      <c r="BY363" s="32"/>
      <c r="BZ363" s="32"/>
      <c r="CA363" s="32"/>
      <c r="CB363" s="32"/>
      <c r="CC363" s="55"/>
      <c r="CD363" s="55"/>
      <c r="CE363" s="32"/>
      <c r="CF363" s="32"/>
      <c r="CG363" s="32"/>
      <c r="CH363" s="32"/>
      <c r="CI363" s="32"/>
      <c r="CJ363" s="32"/>
    </row>
    <row r="364" ht="15.75" customHeight="1">
      <c r="A364" s="1"/>
      <c r="B364" s="1"/>
      <c r="C364" s="1"/>
      <c r="D364" s="1"/>
      <c r="E364" s="1"/>
      <c r="F364" s="32"/>
      <c r="G364" s="32"/>
      <c r="H364" s="32"/>
      <c r="I364" s="32"/>
      <c r="J364" s="32"/>
      <c r="K364" s="54"/>
      <c r="L364" s="32"/>
      <c r="M364" s="32"/>
      <c r="N364" s="32"/>
      <c r="O364" s="32"/>
      <c r="P364" s="32"/>
      <c r="Q364" s="32"/>
      <c r="R364" s="32"/>
      <c r="S364" s="54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2"/>
      <c r="AY364" s="32"/>
      <c r="AZ364" s="32"/>
      <c r="BA364" s="32"/>
      <c r="BB364" s="32"/>
      <c r="BC364" s="32"/>
      <c r="BD364" s="32"/>
      <c r="BE364" s="32"/>
      <c r="BF364" s="32"/>
      <c r="BG364" s="32"/>
      <c r="BH364" s="32"/>
      <c r="BI364" s="32"/>
      <c r="BJ364" s="32"/>
      <c r="BK364" s="32"/>
      <c r="BL364" s="32"/>
      <c r="BM364" s="32"/>
      <c r="BN364" s="32"/>
      <c r="BO364" s="32"/>
      <c r="BP364" s="32"/>
      <c r="BQ364" s="32"/>
      <c r="BR364" s="32"/>
      <c r="BS364" s="32"/>
      <c r="BT364" s="32"/>
      <c r="BU364" s="32"/>
      <c r="BV364" s="32"/>
      <c r="BW364" s="32"/>
      <c r="BX364" s="32"/>
      <c r="BY364" s="32"/>
      <c r="BZ364" s="32"/>
      <c r="CA364" s="32"/>
      <c r="CB364" s="32"/>
      <c r="CC364" s="55"/>
      <c r="CD364" s="55"/>
      <c r="CE364" s="32"/>
      <c r="CF364" s="32"/>
      <c r="CG364" s="32"/>
      <c r="CH364" s="32"/>
      <c r="CI364" s="32"/>
      <c r="CJ364" s="32"/>
    </row>
    <row r="365" ht="15.75" customHeight="1">
      <c r="A365" s="1"/>
      <c r="B365" s="1"/>
      <c r="C365" s="1"/>
      <c r="D365" s="1"/>
      <c r="E365" s="1"/>
      <c r="F365" s="32"/>
      <c r="G365" s="32"/>
      <c r="H365" s="32"/>
      <c r="I365" s="32"/>
      <c r="J365" s="32"/>
      <c r="K365" s="54"/>
      <c r="L365" s="32"/>
      <c r="M365" s="32"/>
      <c r="N365" s="32"/>
      <c r="O365" s="32"/>
      <c r="P365" s="32"/>
      <c r="Q365" s="32"/>
      <c r="R365" s="32"/>
      <c r="S365" s="54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  <c r="AY365" s="32"/>
      <c r="AZ365" s="32"/>
      <c r="BA365" s="32"/>
      <c r="BB365" s="32"/>
      <c r="BC365" s="32"/>
      <c r="BD365" s="32"/>
      <c r="BE365" s="32"/>
      <c r="BF365" s="32"/>
      <c r="BG365" s="32"/>
      <c r="BH365" s="32"/>
      <c r="BI365" s="32"/>
      <c r="BJ365" s="32"/>
      <c r="BK365" s="32"/>
      <c r="BL365" s="32"/>
      <c r="BM365" s="32"/>
      <c r="BN365" s="32"/>
      <c r="BO365" s="32"/>
      <c r="BP365" s="32"/>
      <c r="BQ365" s="32"/>
      <c r="BR365" s="32"/>
      <c r="BS365" s="32"/>
      <c r="BT365" s="32"/>
      <c r="BU365" s="32"/>
      <c r="BV365" s="32"/>
      <c r="BW365" s="32"/>
      <c r="BX365" s="32"/>
      <c r="BY365" s="32"/>
      <c r="BZ365" s="32"/>
      <c r="CA365" s="32"/>
      <c r="CB365" s="32"/>
      <c r="CC365" s="55"/>
      <c r="CD365" s="55"/>
      <c r="CE365" s="32"/>
      <c r="CF365" s="32"/>
      <c r="CG365" s="32"/>
      <c r="CH365" s="32"/>
      <c r="CI365" s="32"/>
      <c r="CJ365" s="32"/>
    </row>
    <row r="366" ht="15.75" customHeight="1">
      <c r="A366" s="1"/>
      <c r="B366" s="1"/>
      <c r="C366" s="1"/>
      <c r="D366" s="1"/>
      <c r="E366" s="1"/>
      <c r="F366" s="32"/>
      <c r="G366" s="32"/>
      <c r="H366" s="32"/>
      <c r="I366" s="32"/>
      <c r="J366" s="32"/>
      <c r="K366" s="54"/>
      <c r="L366" s="32"/>
      <c r="M366" s="32"/>
      <c r="N366" s="32"/>
      <c r="O366" s="32"/>
      <c r="P366" s="32"/>
      <c r="Q366" s="32"/>
      <c r="R366" s="32"/>
      <c r="S366" s="54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  <c r="AW366" s="32"/>
      <c r="AX366" s="32"/>
      <c r="AY366" s="32"/>
      <c r="AZ366" s="32"/>
      <c r="BA366" s="32"/>
      <c r="BB366" s="32"/>
      <c r="BC366" s="32"/>
      <c r="BD366" s="32"/>
      <c r="BE366" s="32"/>
      <c r="BF366" s="32"/>
      <c r="BG366" s="32"/>
      <c r="BH366" s="32"/>
      <c r="BI366" s="32"/>
      <c r="BJ366" s="32"/>
      <c r="BK366" s="32"/>
      <c r="BL366" s="32"/>
      <c r="BM366" s="32"/>
      <c r="BN366" s="32"/>
      <c r="BO366" s="32"/>
      <c r="BP366" s="32"/>
      <c r="BQ366" s="32"/>
      <c r="BR366" s="32"/>
      <c r="BS366" s="32"/>
      <c r="BT366" s="32"/>
      <c r="BU366" s="32"/>
      <c r="BV366" s="32"/>
      <c r="BW366" s="32"/>
      <c r="BX366" s="32"/>
      <c r="BY366" s="32"/>
      <c r="BZ366" s="32"/>
      <c r="CA366" s="32"/>
      <c r="CB366" s="32"/>
      <c r="CC366" s="55"/>
      <c r="CD366" s="55"/>
      <c r="CE366" s="32"/>
      <c r="CF366" s="32"/>
      <c r="CG366" s="32"/>
      <c r="CH366" s="32"/>
      <c r="CI366" s="32"/>
      <c r="CJ366" s="32"/>
    </row>
    <row r="367" ht="15.75" customHeight="1">
      <c r="A367" s="1"/>
      <c r="B367" s="1"/>
      <c r="C367" s="1"/>
      <c r="D367" s="1"/>
      <c r="E367" s="1"/>
      <c r="F367" s="32"/>
      <c r="G367" s="32"/>
      <c r="H367" s="32"/>
      <c r="I367" s="32"/>
      <c r="J367" s="32"/>
      <c r="K367" s="54"/>
      <c r="L367" s="32"/>
      <c r="M367" s="32"/>
      <c r="N367" s="32"/>
      <c r="O367" s="32"/>
      <c r="P367" s="32"/>
      <c r="Q367" s="32"/>
      <c r="R367" s="32"/>
      <c r="S367" s="54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  <c r="AW367" s="32"/>
      <c r="AX367" s="32"/>
      <c r="AY367" s="32"/>
      <c r="AZ367" s="32"/>
      <c r="BA367" s="32"/>
      <c r="BB367" s="32"/>
      <c r="BC367" s="32"/>
      <c r="BD367" s="32"/>
      <c r="BE367" s="32"/>
      <c r="BF367" s="32"/>
      <c r="BG367" s="32"/>
      <c r="BH367" s="32"/>
      <c r="BI367" s="32"/>
      <c r="BJ367" s="32"/>
      <c r="BK367" s="32"/>
      <c r="BL367" s="32"/>
      <c r="BM367" s="32"/>
      <c r="BN367" s="32"/>
      <c r="BO367" s="32"/>
      <c r="BP367" s="32"/>
      <c r="BQ367" s="32"/>
      <c r="BR367" s="32"/>
      <c r="BS367" s="32"/>
      <c r="BT367" s="32"/>
      <c r="BU367" s="32"/>
      <c r="BV367" s="32"/>
      <c r="BW367" s="32"/>
      <c r="BX367" s="32"/>
      <c r="BY367" s="32"/>
      <c r="BZ367" s="32"/>
      <c r="CA367" s="32"/>
      <c r="CB367" s="32"/>
      <c r="CC367" s="55"/>
      <c r="CD367" s="55"/>
      <c r="CE367" s="32"/>
      <c r="CF367" s="32"/>
      <c r="CG367" s="32"/>
      <c r="CH367" s="32"/>
      <c r="CI367" s="32"/>
      <c r="CJ367" s="32"/>
    </row>
    <row r="368" ht="15.75" customHeight="1">
      <c r="A368" s="1"/>
      <c r="B368" s="1"/>
      <c r="C368" s="1"/>
      <c r="D368" s="1"/>
      <c r="E368" s="1"/>
      <c r="F368" s="32"/>
      <c r="G368" s="32"/>
      <c r="H368" s="32"/>
      <c r="I368" s="32"/>
      <c r="J368" s="32"/>
      <c r="K368" s="54"/>
      <c r="L368" s="32"/>
      <c r="M368" s="32"/>
      <c r="N368" s="32"/>
      <c r="O368" s="32"/>
      <c r="P368" s="32"/>
      <c r="Q368" s="32"/>
      <c r="R368" s="32"/>
      <c r="S368" s="54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  <c r="BA368" s="32"/>
      <c r="BB368" s="32"/>
      <c r="BC368" s="32"/>
      <c r="BD368" s="32"/>
      <c r="BE368" s="32"/>
      <c r="BF368" s="32"/>
      <c r="BG368" s="32"/>
      <c r="BH368" s="32"/>
      <c r="BI368" s="32"/>
      <c r="BJ368" s="32"/>
      <c r="BK368" s="32"/>
      <c r="BL368" s="32"/>
      <c r="BM368" s="32"/>
      <c r="BN368" s="32"/>
      <c r="BO368" s="32"/>
      <c r="BP368" s="32"/>
      <c r="BQ368" s="32"/>
      <c r="BR368" s="32"/>
      <c r="BS368" s="32"/>
      <c r="BT368" s="32"/>
      <c r="BU368" s="32"/>
      <c r="BV368" s="32"/>
      <c r="BW368" s="32"/>
      <c r="BX368" s="32"/>
      <c r="BY368" s="32"/>
      <c r="BZ368" s="32"/>
      <c r="CA368" s="32"/>
      <c r="CB368" s="32"/>
      <c r="CC368" s="55"/>
      <c r="CD368" s="55"/>
      <c r="CE368" s="32"/>
      <c r="CF368" s="32"/>
      <c r="CG368" s="32"/>
      <c r="CH368" s="32"/>
      <c r="CI368" s="32"/>
      <c r="CJ368" s="32"/>
    </row>
    <row r="369" ht="15.75" customHeight="1">
      <c r="A369" s="1"/>
      <c r="B369" s="1"/>
      <c r="C369" s="1"/>
      <c r="D369" s="1"/>
      <c r="E369" s="1"/>
      <c r="F369" s="32"/>
      <c r="G369" s="32"/>
      <c r="H369" s="32"/>
      <c r="I369" s="32"/>
      <c r="J369" s="32"/>
      <c r="K369" s="54"/>
      <c r="L369" s="32"/>
      <c r="M369" s="32"/>
      <c r="N369" s="32"/>
      <c r="O369" s="32"/>
      <c r="P369" s="32"/>
      <c r="Q369" s="32"/>
      <c r="R369" s="32"/>
      <c r="S369" s="54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2"/>
      <c r="BB369" s="32"/>
      <c r="BC369" s="32"/>
      <c r="BD369" s="32"/>
      <c r="BE369" s="32"/>
      <c r="BF369" s="32"/>
      <c r="BG369" s="32"/>
      <c r="BH369" s="32"/>
      <c r="BI369" s="32"/>
      <c r="BJ369" s="32"/>
      <c r="BK369" s="32"/>
      <c r="BL369" s="32"/>
      <c r="BM369" s="32"/>
      <c r="BN369" s="32"/>
      <c r="BO369" s="32"/>
      <c r="BP369" s="32"/>
      <c r="BQ369" s="32"/>
      <c r="BR369" s="32"/>
      <c r="BS369" s="32"/>
      <c r="BT369" s="32"/>
      <c r="BU369" s="32"/>
      <c r="BV369" s="32"/>
      <c r="BW369" s="32"/>
      <c r="BX369" s="32"/>
      <c r="BY369" s="32"/>
      <c r="BZ369" s="32"/>
      <c r="CA369" s="32"/>
      <c r="CB369" s="32"/>
      <c r="CC369" s="55"/>
      <c r="CD369" s="55"/>
      <c r="CE369" s="32"/>
      <c r="CF369" s="32"/>
      <c r="CG369" s="32"/>
      <c r="CH369" s="32"/>
      <c r="CI369" s="32"/>
      <c r="CJ369" s="32"/>
    </row>
    <row r="370" ht="15.75" customHeight="1">
      <c r="A370" s="1"/>
      <c r="B370" s="1"/>
      <c r="C370" s="1"/>
      <c r="D370" s="1"/>
      <c r="E370" s="1"/>
      <c r="F370" s="32"/>
      <c r="G370" s="32"/>
      <c r="H370" s="32"/>
      <c r="I370" s="32"/>
      <c r="J370" s="32"/>
      <c r="K370" s="54"/>
      <c r="L370" s="32"/>
      <c r="M370" s="32"/>
      <c r="N370" s="32"/>
      <c r="O370" s="32"/>
      <c r="P370" s="32"/>
      <c r="Q370" s="32"/>
      <c r="R370" s="32"/>
      <c r="S370" s="54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2"/>
      <c r="BA370" s="32"/>
      <c r="BB370" s="32"/>
      <c r="BC370" s="32"/>
      <c r="BD370" s="32"/>
      <c r="BE370" s="32"/>
      <c r="BF370" s="32"/>
      <c r="BG370" s="32"/>
      <c r="BH370" s="32"/>
      <c r="BI370" s="32"/>
      <c r="BJ370" s="32"/>
      <c r="BK370" s="32"/>
      <c r="BL370" s="32"/>
      <c r="BM370" s="32"/>
      <c r="BN370" s="32"/>
      <c r="BO370" s="32"/>
      <c r="BP370" s="32"/>
      <c r="BQ370" s="32"/>
      <c r="BR370" s="32"/>
      <c r="BS370" s="32"/>
      <c r="BT370" s="32"/>
      <c r="BU370" s="32"/>
      <c r="BV370" s="32"/>
      <c r="BW370" s="32"/>
      <c r="BX370" s="32"/>
      <c r="BY370" s="32"/>
      <c r="BZ370" s="32"/>
      <c r="CA370" s="32"/>
      <c r="CB370" s="32"/>
      <c r="CC370" s="55"/>
      <c r="CD370" s="55"/>
      <c r="CE370" s="32"/>
      <c r="CF370" s="32"/>
      <c r="CG370" s="32"/>
      <c r="CH370" s="32"/>
      <c r="CI370" s="32"/>
      <c r="CJ370" s="32"/>
    </row>
    <row r="371" ht="15.75" customHeight="1">
      <c r="A371" s="1"/>
      <c r="B371" s="1"/>
      <c r="C371" s="1"/>
      <c r="D371" s="1"/>
      <c r="E371" s="1"/>
      <c r="F371" s="32"/>
      <c r="G371" s="32"/>
      <c r="H371" s="32"/>
      <c r="I371" s="32"/>
      <c r="J371" s="32"/>
      <c r="K371" s="54"/>
      <c r="L371" s="32"/>
      <c r="M371" s="32"/>
      <c r="N371" s="32"/>
      <c r="O371" s="32"/>
      <c r="P371" s="32"/>
      <c r="Q371" s="32"/>
      <c r="R371" s="32"/>
      <c r="S371" s="54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2"/>
      <c r="BB371" s="32"/>
      <c r="BC371" s="32"/>
      <c r="BD371" s="32"/>
      <c r="BE371" s="32"/>
      <c r="BF371" s="32"/>
      <c r="BG371" s="32"/>
      <c r="BH371" s="32"/>
      <c r="BI371" s="32"/>
      <c r="BJ371" s="32"/>
      <c r="BK371" s="32"/>
      <c r="BL371" s="32"/>
      <c r="BM371" s="32"/>
      <c r="BN371" s="32"/>
      <c r="BO371" s="32"/>
      <c r="BP371" s="32"/>
      <c r="BQ371" s="32"/>
      <c r="BR371" s="32"/>
      <c r="BS371" s="32"/>
      <c r="BT371" s="32"/>
      <c r="BU371" s="32"/>
      <c r="BV371" s="32"/>
      <c r="BW371" s="32"/>
      <c r="BX371" s="32"/>
      <c r="BY371" s="32"/>
      <c r="BZ371" s="32"/>
      <c r="CA371" s="32"/>
      <c r="CB371" s="32"/>
      <c r="CC371" s="55"/>
      <c r="CD371" s="55"/>
      <c r="CE371" s="32"/>
      <c r="CF371" s="32"/>
      <c r="CG371" s="32"/>
      <c r="CH371" s="32"/>
      <c r="CI371" s="32"/>
      <c r="CJ371" s="32"/>
    </row>
    <row r="372" ht="15.75" customHeight="1">
      <c r="A372" s="1"/>
      <c r="B372" s="1"/>
      <c r="C372" s="1"/>
      <c r="D372" s="1"/>
      <c r="E372" s="1"/>
      <c r="F372" s="32"/>
      <c r="G372" s="32"/>
      <c r="H372" s="32"/>
      <c r="I372" s="32"/>
      <c r="J372" s="32"/>
      <c r="K372" s="54"/>
      <c r="L372" s="32"/>
      <c r="M372" s="32"/>
      <c r="N372" s="32"/>
      <c r="O372" s="32"/>
      <c r="P372" s="32"/>
      <c r="Q372" s="32"/>
      <c r="R372" s="32"/>
      <c r="S372" s="54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2"/>
      <c r="BA372" s="32"/>
      <c r="BB372" s="32"/>
      <c r="BC372" s="32"/>
      <c r="BD372" s="32"/>
      <c r="BE372" s="32"/>
      <c r="BF372" s="32"/>
      <c r="BG372" s="32"/>
      <c r="BH372" s="32"/>
      <c r="BI372" s="32"/>
      <c r="BJ372" s="32"/>
      <c r="BK372" s="32"/>
      <c r="BL372" s="32"/>
      <c r="BM372" s="32"/>
      <c r="BN372" s="32"/>
      <c r="BO372" s="32"/>
      <c r="BP372" s="32"/>
      <c r="BQ372" s="32"/>
      <c r="BR372" s="32"/>
      <c r="BS372" s="32"/>
      <c r="BT372" s="32"/>
      <c r="BU372" s="32"/>
      <c r="BV372" s="32"/>
      <c r="BW372" s="32"/>
      <c r="BX372" s="32"/>
      <c r="BY372" s="32"/>
      <c r="BZ372" s="32"/>
      <c r="CA372" s="32"/>
      <c r="CB372" s="32"/>
      <c r="CC372" s="55"/>
      <c r="CD372" s="55"/>
      <c r="CE372" s="32"/>
      <c r="CF372" s="32"/>
      <c r="CG372" s="32"/>
      <c r="CH372" s="32"/>
      <c r="CI372" s="32"/>
      <c r="CJ372" s="32"/>
    </row>
    <row r="373" ht="15.75" customHeight="1">
      <c r="A373" s="1"/>
      <c r="B373" s="1"/>
      <c r="C373" s="1"/>
      <c r="D373" s="1"/>
      <c r="E373" s="1"/>
      <c r="F373" s="32"/>
      <c r="G373" s="32"/>
      <c r="H373" s="32"/>
      <c r="I373" s="32"/>
      <c r="J373" s="32"/>
      <c r="K373" s="54"/>
      <c r="L373" s="32"/>
      <c r="M373" s="32"/>
      <c r="N373" s="32"/>
      <c r="O373" s="32"/>
      <c r="P373" s="32"/>
      <c r="Q373" s="32"/>
      <c r="R373" s="32"/>
      <c r="S373" s="54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  <c r="BA373" s="32"/>
      <c r="BB373" s="32"/>
      <c r="BC373" s="32"/>
      <c r="BD373" s="32"/>
      <c r="BE373" s="32"/>
      <c r="BF373" s="32"/>
      <c r="BG373" s="32"/>
      <c r="BH373" s="32"/>
      <c r="BI373" s="32"/>
      <c r="BJ373" s="32"/>
      <c r="BK373" s="32"/>
      <c r="BL373" s="32"/>
      <c r="BM373" s="32"/>
      <c r="BN373" s="32"/>
      <c r="BO373" s="32"/>
      <c r="BP373" s="32"/>
      <c r="BQ373" s="32"/>
      <c r="BR373" s="32"/>
      <c r="BS373" s="32"/>
      <c r="BT373" s="32"/>
      <c r="BU373" s="32"/>
      <c r="BV373" s="32"/>
      <c r="BW373" s="32"/>
      <c r="BX373" s="32"/>
      <c r="BY373" s="32"/>
      <c r="BZ373" s="32"/>
      <c r="CA373" s="32"/>
      <c r="CB373" s="32"/>
      <c r="CC373" s="55"/>
      <c r="CD373" s="55"/>
      <c r="CE373" s="32"/>
      <c r="CF373" s="32"/>
      <c r="CG373" s="32"/>
      <c r="CH373" s="32"/>
      <c r="CI373" s="32"/>
      <c r="CJ373" s="32"/>
    </row>
    <row r="374" ht="15.75" customHeight="1">
      <c r="A374" s="1"/>
      <c r="B374" s="1"/>
      <c r="C374" s="1"/>
      <c r="D374" s="1"/>
      <c r="E374" s="1"/>
      <c r="F374" s="32"/>
      <c r="G374" s="32"/>
      <c r="H374" s="32"/>
      <c r="I374" s="32"/>
      <c r="J374" s="32"/>
      <c r="K374" s="54"/>
      <c r="L374" s="32"/>
      <c r="M374" s="32"/>
      <c r="N374" s="32"/>
      <c r="O374" s="32"/>
      <c r="P374" s="32"/>
      <c r="Q374" s="32"/>
      <c r="R374" s="32"/>
      <c r="S374" s="54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  <c r="BA374" s="32"/>
      <c r="BB374" s="32"/>
      <c r="BC374" s="32"/>
      <c r="BD374" s="32"/>
      <c r="BE374" s="32"/>
      <c r="BF374" s="32"/>
      <c r="BG374" s="32"/>
      <c r="BH374" s="32"/>
      <c r="BI374" s="32"/>
      <c r="BJ374" s="32"/>
      <c r="BK374" s="32"/>
      <c r="BL374" s="32"/>
      <c r="BM374" s="32"/>
      <c r="BN374" s="32"/>
      <c r="BO374" s="32"/>
      <c r="BP374" s="32"/>
      <c r="BQ374" s="32"/>
      <c r="BR374" s="32"/>
      <c r="BS374" s="32"/>
      <c r="BT374" s="32"/>
      <c r="BU374" s="32"/>
      <c r="BV374" s="32"/>
      <c r="BW374" s="32"/>
      <c r="BX374" s="32"/>
      <c r="BY374" s="32"/>
      <c r="BZ374" s="32"/>
      <c r="CA374" s="32"/>
      <c r="CB374" s="32"/>
      <c r="CC374" s="55"/>
      <c r="CD374" s="55"/>
      <c r="CE374" s="32"/>
      <c r="CF374" s="32"/>
      <c r="CG374" s="32"/>
      <c r="CH374" s="32"/>
      <c r="CI374" s="32"/>
      <c r="CJ374" s="32"/>
    </row>
    <row r="375" ht="15.75" customHeight="1">
      <c r="A375" s="1"/>
      <c r="B375" s="1"/>
      <c r="C375" s="1"/>
      <c r="D375" s="1"/>
      <c r="E375" s="1"/>
      <c r="F375" s="32"/>
      <c r="G375" s="32"/>
      <c r="H375" s="32"/>
      <c r="I375" s="32"/>
      <c r="J375" s="32"/>
      <c r="K375" s="54"/>
      <c r="L375" s="32"/>
      <c r="M375" s="32"/>
      <c r="N375" s="32"/>
      <c r="O375" s="32"/>
      <c r="P375" s="32"/>
      <c r="Q375" s="32"/>
      <c r="R375" s="32"/>
      <c r="S375" s="54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2"/>
      <c r="BA375" s="32"/>
      <c r="BB375" s="32"/>
      <c r="BC375" s="32"/>
      <c r="BD375" s="32"/>
      <c r="BE375" s="32"/>
      <c r="BF375" s="32"/>
      <c r="BG375" s="32"/>
      <c r="BH375" s="32"/>
      <c r="BI375" s="32"/>
      <c r="BJ375" s="32"/>
      <c r="BK375" s="32"/>
      <c r="BL375" s="32"/>
      <c r="BM375" s="32"/>
      <c r="BN375" s="32"/>
      <c r="BO375" s="32"/>
      <c r="BP375" s="32"/>
      <c r="BQ375" s="32"/>
      <c r="BR375" s="32"/>
      <c r="BS375" s="32"/>
      <c r="BT375" s="32"/>
      <c r="BU375" s="32"/>
      <c r="BV375" s="32"/>
      <c r="BW375" s="32"/>
      <c r="BX375" s="32"/>
      <c r="BY375" s="32"/>
      <c r="BZ375" s="32"/>
      <c r="CA375" s="32"/>
      <c r="CB375" s="32"/>
      <c r="CC375" s="55"/>
      <c r="CD375" s="55"/>
      <c r="CE375" s="32"/>
      <c r="CF375" s="32"/>
      <c r="CG375" s="32"/>
      <c r="CH375" s="32"/>
      <c r="CI375" s="32"/>
      <c r="CJ375" s="32"/>
    </row>
    <row r="376" ht="15.75" customHeight="1">
      <c r="A376" s="1"/>
      <c r="B376" s="1"/>
      <c r="C376" s="1"/>
      <c r="D376" s="1"/>
      <c r="E376" s="1"/>
      <c r="F376" s="32"/>
      <c r="G376" s="32"/>
      <c r="H376" s="32"/>
      <c r="I376" s="32"/>
      <c r="J376" s="32"/>
      <c r="K376" s="54"/>
      <c r="L376" s="32"/>
      <c r="M376" s="32"/>
      <c r="N376" s="32"/>
      <c r="O376" s="32"/>
      <c r="P376" s="32"/>
      <c r="Q376" s="32"/>
      <c r="R376" s="32"/>
      <c r="S376" s="54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2"/>
      <c r="BB376" s="32"/>
      <c r="BC376" s="32"/>
      <c r="BD376" s="32"/>
      <c r="BE376" s="32"/>
      <c r="BF376" s="32"/>
      <c r="BG376" s="32"/>
      <c r="BH376" s="32"/>
      <c r="BI376" s="32"/>
      <c r="BJ376" s="32"/>
      <c r="BK376" s="32"/>
      <c r="BL376" s="32"/>
      <c r="BM376" s="32"/>
      <c r="BN376" s="32"/>
      <c r="BO376" s="32"/>
      <c r="BP376" s="32"/>
      <c r="BQ376" s="32"/>
      <c r="BR376" s="32"/>
      <c r="BS376" s="32"/>
      <c r="BT376" s="32"/>
      <c r="BU376" s="32"/>
      <c r="BV376" s="32"/>
      <c r="BW376" s="32"/>
      <c r="BX376" s="32"/>
      <c r="BY376" s="32"/>
      <c r="BZ376" s="32"/>
      <c r="CA376" s="32"/>
      <c r="CB376" s="32"/>
      <c r="CC376" s="55"/>
      <c r="CD376" s="55"/>
      <c r="CE376" s="32"/>
      <c r="CF376" s="32"/>
      <c r="CG376" s="32"/>
      <c r="CH376" s="32"/>
      <c r="CI376" s="32"/>
      <c r="CJ376" s="32"/>
    </row>
    <row r="377" ht="15.75" customHeight="1">
      <c r="A377" s="1"/>
      <c r="B377" s="1"/>
      <c r="C377" s="1"/>
      <c r="D377" s="1"/>
      <c r="E377" s="1"/>
      <c r="F377" s="32"/>
      <c r="G377" s="32"/>
      <c r="H377" s="32"/>
      <c r="I377" s="32"/>
      <c r="J377" s="32"/>
      <c r="K377" s="54"/>
      <c r="L377" s="32"/>
      <c r="M377" s="32"/>
      <c r="N377" s="32"/>
      <c r="O377" s="32"/>
      <c r="P377" s="32"/>
      <c r="Q377" s="32"/>
      <c r="R377" s="32"/>
      <c r="S377" s="54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2"/>
      <c r="AY377" s="32"/>
      <c r="AZ377" s="32"/>
      <c r="BA377" s="32"/>
      <c r="BB377" s="32"/>
      <c r="BC377" s="32"/>
      <c r="BD377" s="32"/>
      <c r="BE377" s="32"/>
      <c r="BF377" s="32"/>
      <c r="BG377" s="32"/>
      <c r="BH377" s="32"/>
      <c r="BI377" s="32"/>
      <c r="BJ377" s="32"/>
      <c r="BK377" s="32"/>
      <c r="BL377" s="32"/>
      <c r="BM377" s="32"/>
      <c r="BN377" s="32"/>
      <c r="BO377" s="32"/>
      <c r="BP377" s="32"/>
      <c r="BQ377" s="32"/>
      <c r="BR377" s="32"/>
      <c r="BS377" s="32"/>
      <c r="BT377" s="32"/>
      <c r="BU377" s="32"/>
      <c r="BV377" s="32"/>
      <c r="BW377" s="32"/>
      <c r="BX377" s="32"/>
      <c r="BY377" s="32"/>
      <c r="BZ377" s="32"/>
      <c r="CA377" s="32"/>
      <c r="CB377" s="32"/>
      <c r="CC377" s="55"/>
      <c r="CD377" s="55"/>
      <c r="CE377" s="32"/>
      <c r="CF377" s="32"/>
      <c r="CG377" s="32"/>
      <c r="CH377" s="32"/>
      <c r="CI377" s="32"/>
      <c r="CJ377" s="32"/>
    </row>
    <row r="378" ht="15.75" customHeight="1">
      <c r="A378" s="1"/>
      <c r="B378" s="1"/>
      <c r="C378" s="1"/>
      <c r="D378" s="1"/>
      <c r="E378" s="1"/>
      <c r="F378" s="32"/>
      <c r="G378" s="32"/>
      <c r="H378" s="32"/>
      <c r="I378" s="32"/>
      <c r="J378" s="32"/>
      <c r="K378" s="54"/>
      <c r="L378" s="32"/>
      <c r="M378" s="32"/>
      <c r="N378" s="32"/>
      <c r="O378" s="32"/>
      <c r="P378" s="32"/>
      <c r="Q378" s="32"/>
      <c r="R378" s="32"/>
      <c r="S378" s="54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  <c r="AY378" s="32"/>
      <c r="AZ378" s="32"/>
      <c r="BA378" s="32"/>
      <c r="BB378" s="32"/>
      <c r="BC378" s="32"/>
      <c r="BD378" s="32"/>
      <c r="BE378" s="32"/>
      <c r="BF378" s="32"/>
      <c r="BG378" s="32"/>
      <c r="BH378" s="32"/>
      <c r="BI378" s="32"/>
      <c r="BJ378" s="32"/>
      <c r="BK378" s="32"/>
      <c r="BL378" s="32"/>
      <c r="BM378" s="32"/>
      <c r="BN378" s="32"/>
      <c r="BO378" s="32"/>
      <c r="BP378" s="32"/>
      <c r="BQ378" s="32"/>
      <c r="BR378" s="32"/>
      <c r="BS378" s="32"/>
      <c r="BT378" s="32"/>
      <c r="BU378" s="32"/>
      <c r="BV378" s="32"/>
      <c r="BW378" s="32"/>
      <c r="BX378" s="32"/>
      <c r="BY378" s="32"/>
      <c r="BZ378" s="32"/>
      <c r="CA378" s="32"/>
      <c r="CB378" s="32"/>
      <c r="CC378" s="55"/>
      <c r="CD378" s="55"/>
      <c r="CE378" s="32"/>
      <c r="CF378" s="32"/>
      <c r="CG378" s="32"/>
      <c r="CH378" s="32"/>
      <c r="CI378" s="32"/>
      <c r="CJ378" s="32"/>
    </row>
    <row r="379" ht="15.75" customHeight="1">
      <c r="A379" s="1"/>
      <c r="B379" s="1"/>
      <c r="C379" s="1"/>
      <c r="D379" s="1"/>
      <c r="E379" s="1"/>
      <c r="F379" s="32"/>
      <c r="G379" s="32"/>
      <c r="H379" s="32"/>
      <c r="I379" s="32"/>
      <c r="J379" s="32"/>
      <c r="K379" s="54"/>
      <c r="L379" s="32"/>
      <c r="M379" s="32"/>
      <c r="N379" s="32"/>
      <c r="O379" s="32"/>
      <c r="P379" s="32"/>
      <c r="Q379" s="32"/>
      <c r="R379" s="32"/>
      <c r="S379" s="54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  <c r="AY379" s="32"/>
      <c r="AZ379" s="32"/>
      <c r="BA379" s="32"/>
      <c r="BB379" s="32"/>
      <c r="BC379" s="32"/>
      <c r="BD379" s="32"/>
      <c r="BE379" s="32"/>
      <c r="BF379" s="32"/>
      <c r="BG379" s="32"/>
      <c r="BH379" s="32"/>
      <c r="BI379" s="32"/>
      <c r="BJ379" s="32"/>
      <c r="BK379" s="32"/>
      <c r="BL379" s="32"/>
      <c r="BM379" s="32"/>
      <c r="BN379" s="32"/>
      <c r="BO379" s="32"/>
      <c r="BP379" s="32"/>
      <c r="BQ379" s="32"/>
      <c r="BR379" s="32"/>
      <c r="BS379" s="32"/>
      <c r="BT379" s="32"/>
      <c r="BU379" s="32"/>
      <c r="BV379" s="32"/>
      <c r="BW379" s="32"/>
      <c r="BX379" s="32"/>
      <c r="BY379" s="32"/>
      <c r="BZ379" s="32"/>
      <c r="CA379" s="32"/>
      <c r="CB379" s="32"/>
      <c r="CC379" s="55"/>
      <c r="CD379" s="55"/>
      <c r="CE379" s="32"/>
      <c r="CF379" s="32"/>
      <c r="CG379" s="32"/>
      <c r="CH379" s="32"/>
      <c r="CI379" s="32"/>
      <c r="CJ379" s="32"/>
    </row>
    <row r="380" ht="15.75" customHeight="1">
      <c r="A380" s="1"/>
      <c r="B380" s="1"/>
      <c r="C380" s="1"/>
      <c r="D380" s="1"/>
      <c r="E380" s="1"/>
      <c r="F380" s="32"/>
      <c r="G380" s="32"/>
      <c r="H380" s="32"/>
      <c r="I380" s="32"/>
      <c r="J380" s="32"/>
      <c r="K380" s="54"/>
      <c r="L380" s="32"/>
      <c r="M380" s="32"/>
      <c r="N380" s="32"/>
      <c r="O380" s="32"/>
      <c r="P380" s="32"/>
      <c r="Q380" s="32"/>
      <c r="R380" s="32"/>
      <c r="S380" s="54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2"/>
      <c r="BA380" s="32"/>
      <c r="BB380" s="32"/>
      <c r="BC380" s="32"/>
      <c r="BD380" s="32"/>
      <c r="BE380" s="32"/>
      <c r="BF380" s="32"/>
      <c r="BG380" s="32"/>
      <c r="BH380" s="32"/>
      <c r="BI380" s="32"/>
      <c r="BJ380" s="32"/>
      <c r="BK380" s="32"/>
      <c r="BL380" s="32"/>
      <c r="BM380" s="32"/>
      <c r="BN380" s="32"/>
      <c r="BO380" s="32"/>
      <c r="BP380" s="32"/>
      <c r="BQ380" s="32"/>
      <c r="BR380" s="32"/>
      <c r="BS380" s="32"/>
      <c r="BT380" s="32"/>
      <c r="BU380" s="32"/>
      <c r="BV380" s="32"/>
      <c r="BW380" s="32"/>
      <c r="BX380" s="32"/>
      <c r="BY380" s="32"/>
      <c r="BZ380" s="32"/>
      <c r="CA380" s="32"/>
      <c r="CB380" s="32"/>
      <c r="CC380" s="55"/>
      <c r="CD380" s="55"/>
      <c r="CE380" s="32"/>
      <c r="CF380" s="32"/>
      <c r="CG380" s="32"/>
      <c r="CH380" s="32"/>
      <c r="CI380" s="32"/>
      <c r="CJ380" s="32"/>
    </row>
    <row r="381" ht="15.75" customHeight="1">
      <c r="A381" s="1"/>
      <c r="B381" s="1"/>
      <c r="C381" s="1"/>
      <c r="D381" s="1"/>
      <c r="E381" s="1"/>
      <c r="F381" s="32"/>
      <c r="G381" s="32"/>
      <c r="H381" s="32"/>
      <c r="I381" s="32"/>
      <c r="J381" s="32"/>
      <c r="K381" s="54"/>
      <c r="L381" s="32"/>
      <c r="M381" s="32"/>
      <c r="N381" s="32"/>
      <c r="O381" s="32"/>
      <c r="P381" s="32"/>
      <c r="Q381" s="32"/>
      <c r="R381" s="32"/>
      <c r="S381" s="54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2"/>
      <c r="AY381" s="32"/>
      <c r="AZ381" s="32"/>
      <c r="BA381" s="32"/>
      <c r="BB381" s="32"/>
      <c r="BC381" s="32"/>
      <c r="BD381" s="32"/>
      <c r="BE381" s="32"/>
      <c r="BF381" s="32"/>
      <c r="BG381" s="32"/>
      <c r="BH381" s="32"/>
      <c r="BI381" s="32"/>
      <c r="BJ381" s="32"/>
      <c r="BK381" s="32"/>
      <c r="BL381" s="32"/>
      <c r="BM381" s="32"/>
      <c r="BN381" s="32"/>
      <c r="BO381" s="32"/>
      <c r="BP381" s="32"/>
      <c r="BQ381" s="32"/>
      <c r="BR381" s="32"/>
      <c r="BS381" s="32"/>
      <c r="BT381" s="32"/>
      <c r="BU381" s="32"/>
      <c r="BV381" s="32"/>
      <c r="BW381" s="32"/>
      <c r="BX381" s="32"/>
      <c r="BY381" s="32"/>
      <c r="BZ381" s="32"/>
      <c r="CA381" s="32"/>
      <c r="CB381" s="32"/>
      <c r="CC381" s="55"/>
      <c r="CD381" s="55"/>
      <c r="CE381" s="32"/>
      <c r="CF381" s="32"/>
      <c r="CG381" s="32"/>
      <c r="CH381" s="32"/>
      <c r="CI381" s="32"/>
      <c r="CJ381" s="32"/>
    </row>
    <row r="382" ht="15.75" customHeight="1">
      <c r="A382" s="1"/>
      <c r="B382" s="1"/>
      <c r="C382" s="1"/>
      <c r="D382" s="1"/>
      <c r="E382" s="1"/>
      <c r="F382" s="32"/>
      <c r="G382" s="32"/>
      <c r="H382" s="32"/>
      <c r="I382" s="32"/>
      <c r="J382" s="32"/>
      <c r="K382" s="54"/>
      <c r="L382" s="32"/>
      <c r="M382" s="32"/>
      <c r="N382" s="32"/>
      <c r="O382" s="32"/>
      <c r="P382" s="32"/>
      <c r="Q382" s="32"/>
      <c r="R382" s="32"/>
      <c r="S382" s="54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2"/>
      <c r="AY382" s="32"/>
      <c r="AZ382" s="32"/>
      <c r="BA382" s="32"/>
      <c r="BB382" s="32"/>
      <c r="BC382" s="32"/>
      <c r="BD382" s="32"/>
      <c r="BE382" s="32"/>
      <c r="BF382" s="32"/>
      <c r="BG382" s="32"/>
      <c r="BH382" s="32"/>
      <c r="BI382" s="32"/>
      <c r="BJ382" s="32"/>
      <c r="BK382" s="32"/>
      <c r="BL382" s="32"/>
      <c r="BM382" s="32"/>
      <c r="BN382" s="32"/>
      <c r="BO382" s="32"/>
      <c r="BP382" s="32"/>
      <c r="BQ382" s="32"/>
      <c r="BR382" s="32"/>
      <c r="BS382" s="32"/>
      <c r="BT382" s="32"/>
      <c r="BU382" s="32"/>
      <c r="BV382" s="32"/>
      <c r="BW382" s="32"/>
      <c r="BX382" s="32"/>
      <c r="BY382" s="32"/>
      <c r="BZ382" s="32"/>
      <c r="CA382" s="32"/>
      <c r="CB382" s="32"/>
      <c r="CC382" s="55"/>
      <c r="CD382" s="55"/>
      <c r="CE382" s="32"/>
      <c r="CF382" s="32"/>
      <c r="CG382" s="32"/>
      <c r="CH382" s="32"/>
      <c r="CI382" s="32"/>
      <c r="CJ382" s="32"/>
    </row>
    <row r="383" ht="15.75" customHeight="1">
      <c r="A383" s="1"/>
      <c r="B383" s="1"/>
      <c r="C383" s="1"/>
      <c r="D383" s="1"/>
      <c r="E383" s="1"/>
      <c r="F383" s="32"/>
      <c r="G383" s="32"/>
      <c r="H383" s="32"/>
      <c r="I383" s="32"/>
      <c r="J383" s="32"/>
      <c r="K383" s="54"/>
      <c r="L383" s="32"/>
      <c r="M383" s="32"/>
      <c r="N383" s="32"/>
      <c r="O383" s="32"/>
      <c r="P383" s="32"/>
      <c r="Q383" s="32"/>
      <c r="R383" s="32"/>
      <c r="S383" s="54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2"/>
      <c r="AY383" s="32"/>
      <c r="AZ383" s="32"/>
      <c r="BA383" s="32"/>
      <c r="BB383" s="32"/>
      <c r="BC383" s="32"/>
      <c r="BD383" s="32"/>
      <c r="BE383" s="32"/>
      <c r="BF383" s="32"/>
      <c r="BG383" s="32"/>
      <c r="BH383" s="32"/>
      <c r="BI383" s="32"/>
      <c r="BJ383" s="32"/>
      <c r="BK383" s="32"/>
      <c r="BL383" s="32"/>
      <c r="BM383" s="32"/>
      <c r="BN383" s="32"/>
      <c r="BO383" s="32"/>
      <c r="BP383" s="32"/>
      <c r="BQ383" s="32"/>
      <c r="BR383" s="32"/>
      <c r="BS383" s="32"/>
      <c r="BT383" s="32"/>
      <c r="BU383" s="32"/>
      <c r="BV383" s="32"/>
      <c r="BW383" s="32"/>
      <c r="BX383" s="32"/>
      <c r="BY383" s="32"/>
      <c r="BZ383" s="32"/>
      <c r="CA383" s="32"/>
      <c r="CB383" s="32"/>
      <c r="CC383" s="55"/>
      <c r="CD383" s="55"/>
      <c r="CE383" s="32"/>
      <c r="CF383" s="32"/>
      <c r="CG383" s="32"/>
      <c r="CH383" s="32"/>
      <c r="CI383" s="32"/>
      <c r="CJ383" s="32"/>
    </row>
    <row r="384" ht="15.75" customHeight="1">
      <c r="A384" s="1"/>
      <c r="B384" s="1"/>
      <c r="C384" s="1"/>
      <c r="D384" s="1"/>
      <c r="E384" s="1"/>
      <c r="F384" s="32"/>
      <c r="G384" s="32"/>
      <c r="H384" s="32"/>
      <c r="I384" s="32"/>
      <c r="J384" s="32"/>
      <c r="K384" s="54"/>
      <c r="L384" s="32"/>
      <c r="M384" s="32"/>
      <c r="N384" s="32"/>
      <c r="O384" s="32"/>
      <c r="P384" s="32"/>
      <c r="Q384" s="32"/>
      <c r="R384" s="32"/>
      <c r="S384" s="54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  <c r="AX384" s="32"/>
      <c r="AY384" s="32"/>
      <c r="AZ384" s="32"/>
      <c r="BA384" s="32"/>
      <c r="BB384" s="32"/>
      <c r="BC384" s="32"/>
      <c r="BD384" s="32"/>
      <c r="BE384" s="32"/>
      <c r="BF384" s="32"/>
      <c r="BG384" s="32"/>
      <c r="BH384" s="32"/>
      <c r="BI384" s="32"/>
      <c r="BJ384" s="32"/>
      <c r="BK384" s="32"/>
      <c r="BL384" s="32"/>
      <c r="BM384" s="32"/>
      <c r="BN384" s="32"/>
      <c r="BO384" s="32"/>
      <c r="BP384" s="32"/>
      <c r="BQ384" s="32"/>
      <c r="BR384" s="32"/>
      <c r="BS384" s="32"/>
      <c r="BT384" s="32"/>
      <c r="BU384" s="32"/>
      <c r="BV384" s="32"/>
      <c r="BW384" s="32"/>
      <c r="BX384" s="32"/>
      <c r="BY384" s="32"/>
      <c r="BZ384" s="32"/>
      <c r="CA384" s="32"/>
      <c r="CB384" s="32"/>
      <c r="CC384" s="55"/>
      <c r="CD384" s="55"/>
      <c r="CE384" s="32"/>
      <c r="CF384" s="32"/>
      <c r="CG384" s="32"/>
      <c r="CH384" s="32"/>
      <c r="CI384" s="32"/>
      <c r="CJ384" s="32"/>
    </row>
    <row r="385" ht="15.75" customHeight="1">
      <c r="A385" s="1"/>
      <c r="B385" s="1"/>
      <c r="C385" s="1"/>
      <c r="D385" s="1"/>
      <c r="E385" s="1"/>
      <c r="F385" s="32"/>
      <c r="G385" s="32"/>
      <c r="H385" s="32"/>
      <c r="I385" s="32"/>
      <c r="J385" s="32"/>
      <c r="K385" s="54"/>
      <c r="L385" s="32"/>
      <c r="M385" s="32"/>
      <c r="N385" s="32"/>
      <c r="O385" s="32"/>
      <c r="P385" s="32"/>
      <c r="Q385" s="32"/>
      <c r="R385" s="32"/>
      <c r="S385" s="54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  <c r="AW385" s="32"/>
      <c r="AX385" s="32"/>
      <c r="AY385" s="32"/>
      <c r="AZ385" s="32"/>
      <c r="BA385" s="32"/>
      <c r="BB385" s="32"/>
      <c r="BC385" s="32"/>
      <c r="BD385" s="32"/>
      <c r="BE385" s="32"/>
      <c r="BF385" s="32"/>
      <c r="BG385" s="32"/>
      <c r="BH385" s="32"/>
      <c r="BI385" s="32"/>
      <c r="BJ385" s="32"/>
      <c r="BK385" s="32"/>
      <c r="BL385" s="32"/>
      <c r="BM385" s="32"/>
      <c r="BN385" s="32"/>
      <c r="BO385" s="32"/>
      <c r="BP385" s="32"/>
      <c r="BQ385" s="32"/>
      <c r="BR385" s="32"/>
      <c r="BS385" s="32"/>
      <c r="BT385" s="32"/>
      <c r="BU385" s="32"/>
      <c r="BV385" s="32"/>
      <c r="BW385" s="32"/>
      <c r="BX385" s="32"/>
      <c r="BY385" s="32"/>
      <c r="BZ385" s="32"/>
      <c r="CA385" s="32"/>
      <c r="CB385" s="32"/>
      <c r="CC385" s="55"/>
      <c r="CD385" s="55"/>
      <c r="CE385" s="32"/>
      <c r="CF385" s="32"/>
      <c r="CG385" s="32"/>
      <c r="CH385" s="32"/>
      <c r="CI385" s="32"/>
      <c r="CJ385" s="32"/>
    </row>
    <row r="386" ht="15.75" customHeight="1">
      <c r="A386" s="1"/>
      <c r="B386" s="1"/>
      <c r="C386" s="1"/>
      <c r="D386" s="1"/>
      <c r="E386" s="1"/>
      <c r="F386" s="32"/>
      <c r="G386" s="32"/>
      <c r="H386" s="32"/>
      <c r="I386" s="32"/>
      <c r="J386" s="32"/>
      <c r="K386" s="54"/>
      <c r="L386" s="32"/>
      <c r="M386" s="32"/>
      <c r="N386" s="32"/>
      <c r="O386" s="32"/>
      <c r="P386" s="32"/>
      <c r="Q386" s="32"/>
      <c r="R386" s="32"/>
      <c r="S386" s="54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  <c r="AX386" s="32"/>
      <c r="AY386" s="32"/>
      <c r="AZ386" s="32"/>
      <c r="BA386" s="32"/>
      <c r="BB386" s="32"/>
      <c r="BC386" s="32"/>
      <c r="BD386" s="32"/>
      <c r="BE386" s="32"/>
      <c r="BF386" s="32"/>
      <c r="BG386" s="32"/>
      <c r="BH386" s="32"/>
      <c r="BI386" s="32"/>
      <c r="BJ386" s="32"/>
      <c r="BK386" s="32"/>
      <c r="BL386" s="32"/>
      <c r="BM386" s="32"/>
      <c r="BN386" s="32"/>
      <c r="BO386" s="32"/>
      <c r="BP386" s="32"/>
      <c r="BQ386" s="32"/>
      <c r="BR386" s="32"/>
      <c r="BS386" s="32"/>
      <c r="BT386" s="32"/>
      <c r="BU386" s="32"/>
      <c r="BV386" s="32"/>
      <c r="BW386" s="32"/>
      <c r="BX386" s="32"/>
      <c r="BY386" s="32"/>
      <c r="BZ386" s="32"/>
      <c r="CA386" s="32"/>
      <c r="CB386" s="32"/>
      <c r="CC386" s="55"/>
      <c r="CD386" s="55"/>
      <c r="CE386" s="32"/>
      <c r="CF386" s="32"/>
      <c r="CG386" s="32"/>
      <c r="CH386" s="32"/>
      <c r="CI386" s="32"/>
      <c r="CJ386" s="32"/>
    </row>
    <row r="387" ht="15.75" customHeight="1">
      <c r="A387" s="1"/>
      <c r="B387" s="1"/>
      <c r="C387" s="1"/>
      <c r="D387" s="1"/>
      <c r="E387" s="1"/>
      <c r="F387" s="32"/>
      <c r="G387" s="32"/>
      <c r="H387" s="32"/>
      <c r="I387" s="32"/>
      <c r="J387" s="32"/>
      <c r="K387" s="54"/>
      <c r="L387" s="32"/>
      <c r="M387" s="32"/>
      <c r="N387" s="32"/>
      <c r="O387" s="32"/>
      <c r="P387" s="32"/>
      <c r="Q387" s="32"/>
      <c r="R387" s="32"/>
      <c r="S387" s="54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2"/>
      <c r="BB387" s="32"/>
      <c r="BC387" s="32"/>
      <c r="BD387" s="32"/>
      <c r="BE387" s="32"/>
      <c r="BF387" s="32"/>
      <c r="BG387" s="32"/>
      <c r="BH387" s="32"/>
      <c r="BI387" s="32"/>
      <c r="BJ387" s="32"/>
      <c r="BK387" s="32"/>
      <c r="BL387" s="32"/>
      <c r="BM387" s="32"/>
      <c r="BN387" s="32"/>
      <c r="BO387" s="32"/>
      <c r="BP387" s="32"/>
      <c r="BQ387" s="32"/>
      <c r="BR387" s="32"/>
      <c r="BS387" s="32"/>
      <c r="BT387" s="32"/>
      <c r="BU387" s="32"/>
      <c r="BV387" s="32"/>
      <c r="BW387" s="32"/>
      <c r="BX387" s="32"/>
      <c r="BY387" s="32"/>
      <c r="BZ387" s="32"/>
      <c r="CA387" s="32"/>
      <c r="CB387" s="32"/>
      <c r="CC387" s="55"/>
      <c r="CD387" s="55"/>
      <c r="CE387" s="32"/>
      <c r="CF387" s="32"/>
      <c r="CG387" s="32"/>
      <c r="CH387" s="32"/>
      <c r="CI387" s="32"/>
      <c r="CJ387" s="32"/>
    </row>
    <row r="388" ht="15.75" customHeight="1">
      <c r="A388" s="1"/>
      <c r="B388" s="1"/>
      <c r="C388" s="1"/>
      <c r="D388" s="1"/>
      <c r="E388" s="1"/>
      <c r="F388" s="32"/>
      <c r="G388" s="32"/>
      <c r="H388" s="32"/>
      <c r="I388" s="32"/>
      <c r="J388" s="32"/>
      <c r="K388" s="54"/>
      <c r="L388" s="32"/>
      <c r="M388" s="32"/>
      <c r="N388" s="32"/>
      <c r="O388" s="32"/>
      <c r="P388" s="32"/>
      <c r="Q388" s="32"/>
      <c r="R388" s="32"/>
      <c r="S388" s="54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  <c r="AY388" s="32"/>
      <c r="AZ388" s="32"/>
      <c r="BA388" s="32"/>
      <c r="BB388" s="32"/>
      <c r="BC388" s="32"/>
      <c r="BD388" s="32"/>
      <c r="BE388" s="32"/>
      <c r="BF388" s="32"/>
      <c r="BG388" s="32"/>
      <c r="BH388" s="32"/>
      <c r="BI388" s="32"/>
      <c r="BJ388" s="32"/>
      <c r="BK388" s="32"/>
      <c r="BL388" s="32"/>
      <c r="BM388" s="32"/>
      <c r="BN388" s="32"/>
      <c r="BO388" s="32"/>
      <c r="BP388" s="32"/>
      <c r="BQ388" s="32"/>
      <c r="BR388" s="32"/>
      <c r="BS388" s="32"/>
      <c r="BT388" s="32"/>
      <c r="BU388" s="32"/>
      <c r="BV388" s="32"/>
      <c r="BW388" s="32"/>
      <c r="BX388" s="32"/>
      <c r="BY388" s="32"/>
      <c r="BZ388" s="32"/>
      <c r="CA388" s="32"/>
      <c r="CB388" s="32"/>
      <c r="CC388" s="55"/>
      <c r="CD388" s="55"/>
      <c r="CE388" s="32"/>
      <c r="CF388" s="32"/>
      <c r="CG388" s="32"/>
      <c r="CH388" s="32"/>
      <c r="CI388" s="32"/>
      <c r="CJ388" s="32"/>
    </row>
    <row r="389" ht="15.75" customHeight="1">
      <c r="A389" s="1"/>
      <c r="B389" s="1"/>
      <c r="C389" s="1"/>
      <c r="D389" s="1"/>
      <c r="E389" s="1"/>
      <c r="F389" s="32"/>
      <c r="G389" s="32"/>
      <c r="H389" s="32"/>
      <c r="I389" s="32"/>
      <c r="J389" s="32"/>
      <c r="K389" s="54"/>
      <c r="L389" s="32"/>
      <c r="M389" s="32"/>
      <c r="N389" s="32"/>
      <c r="O389" s="32"/>
      <c r="P389" s="32"/>
      <c r="Q389" s="32"/>
      <c r="R389" s="32"/>
      <c r="S389" s="54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2"/>
      <c r="BA389" s="32"/>
      <c r="BB389" s="32"/>
      <c r="BC389" s="32"/>
      <c r="BD389" s="32"/>
      <c r="BE389" s="32"/>
      <c r="BF389" s="32"/>
      <c r="BG389" s="32"/>
      <c r="BH389" s="32"/>
      <c r="BI389" s="32"/>
      <c r="BJ389" s="32"/>
      <c r="BK389" s="32"/>
      <c r="BL389" s="32"/>
      <c r="BM389" s="32"/>
      <c r="BN389" s="32"/>
      <c r="BO389" s="32"/>
      <c r="BP389" s="32"/>
      <c r="BQ389" s="32"/>
      <c r="BR389" s="32"/>
      <c r="BS389" s="32"/>
      <c r="BT389" s="32"/>
      <c r="BU389" s="32"/>
      <c r="BV389" s="32"/>
      <c r="BW389" s="32"/>
      <c r="BX389" s="32"/>
      <c r="BY389" s="32"/>
      <c r="BZ389" s="32"/>
      <c r="CA389" s="32"/>
      <c r="CB389" s="32"/>
      <c r="CC389" s="55"/>
      <c r="CD389" s="55"/>
      <c r="CE389" s="32"/>
      <c r="CF389" s="32"/>
      <c r="CG389" s="32"/>
      <c r="CH389" s="32"/>
      <c r="CI389" s="32"/>
      <c r="CJ389" s="32"/>
    </row>
    <row r="390" ht="15.75" customHeight="1">
      <c r="A390" s="1"/>
      <c r="B390" s="1"/>
      <c r="C390" s="1"/>
      <c r="D390" s="1"/>
      <c r="E390" s="1"/>
      <c r="F390" s="32"/>
      <c r="G390" s="32"/>
      <c r="H390" s="32"/>
      <c r="I390" s="32"/>
      <c r="J390" s="32"/>
      <c r="K390" s="54"/>
      <c r="L390" s="32"/>
      <c r="M390" s="32"/>
      <c r="N390" s="32"/>
      <c r="O390" s="32"/>
      <c r="P390" s="32"/>
      <c r="Q390" s="32"/>
      <c r="R390" s="32"/>
      <c r="S390" s="54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  <c r="AY390" s="32"/>
      <c r="AZ390" s="32"/>
      <c r="BA390" s="32"/>
      <c r="BB390" s="32"/>
      <c r="BC390" s="32"/>
      <c r="BD390" s="32"/>
      <c r="BE390" s="32"/>
      <c r="BF390" s="32"/>
      <c r="BG390" s="32"/>
      <c r="BH390" s="32"/>
      <c r="BI390" s="32"/>
      <c r="BJ390" s="32"/>
      <c r="BK390" s="32"/>
      <c r="BL390" s="32"/>
      <c r="BM390" s="32"/>
      <c r="BN390" s="32"/>
      <c r="BO390" s="32"/>
      <c r="BP390" s="32"/>
      <c r="BQ390" s="32"/>
      <c r="BR390" s="32"/>
      <c r="BS390" s="32"/>
      <c r="BT390" s="32"/>
      <c r="BU390" s="32"/>
      <c r="BV390" s="32"/>
      <c r="BW390" s="32"/>
      <c r="BX390" s="32"/>
      <c r="BY390" s="32"/>
      <c r="BZ390" s="32"/>
      <c r="CA390" s="32"/>
      <c r="CB390" s="32"/>
      <c r="CC390" s="55"/>
      <c r="CD390" s="55"/>
      <c r="CE390" s="32"/>
      <c r="CF390" s="32"/>
      <c r="CG390" s="32"/>
      <c r="CH390" s="32"/>
      <c r="CI390" s="32"/>
      <c r="CJ390" s="32"/>
    </row>
    <row r="391" ht="15.75" customHeight="1">
      <c r="A391" s="1"/>
      <c r="B391" s="1"/>
      <c r="C391" s="1"/>
      <c r="D391" s="1"/>
      <c r="E391" s="1"/>
      <c r="F391" s="32"/>
      <c r="G391" s="32"/>
      <c r="H391" s="32"/>
      <c r="I391" s="32"/>
      <c r="J391" s="32"/>
      <c r="K391" s="54"/>
      <c r="L391" s="32"/>
      <c r="M391" s="32"/>
      <c r="N391" s="32"/>
      <c r="O391" s="32"/>
      <c r="P391" s="32"/>
      <c r="Q391" s="32"/>
      <c r="R391" s="32"/>
      <c r="S391" s="54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  <c r="AY391" s="32"/>
      <c r="AZ391" s="32"/>
      <c r="BA391" s="32"/>
      <c r="BB391" s="32"/>
      <c r="BC391" s="32"/>
      <c r="BD391" s="32"/>
      <c r="BE391" s="32"/>
      <c r="BF391" s="32"/>
      <c r="BG391" s="32"/>
      <c r="BH391" s="32"/>
      <c r="BI391" s="32"/>
      <c r="BJ391" s="32"/>
      <c r="BK391" s="32"/>
      <c r="BL391" s="32"/>
      <c r="BM391" s="32"/>
      <c r="BN391" s="32"/>
      <c r="BO391" s="32"/>
      <c r="BP391" s="32"/>
      <c r="BQ391" s="32"/>
      <c r="BR391" s="32"/>
      <c r="BS391" s="32"/>
      <c r="BT391" s="32"/>
      <c r="BU391" s="32"/>
      <c r="BV391" s="32"/>
      <c r="BW391" s="32"/>
      <c r="BX391" s="32"/>
      <c r="BY391" s="32"/>
      <c r="BZ391" s="32"/>
      <c r="CA391" s="32"/>
      <c r="CB391" s="32"/>
      <c r="CC391" s="55"/>
      <c r="CD391" s="55"/>
      <c r="CE391" s="32"/>
      <c r="CF391" s="32"/>
      <c r="CG391" s="32"/>
      <c r="CH391" s="32"/>
      <c r="CI391" s="32"/>
      <c r="CJ391" s="32"/>
    </row>
    <row r="392" ht="15.75" customHeight="1">
      <c r="A392" s="1"/>
      <c r="B392" s="1"/>
      <c r="C392" s="1"/>
      <c r="D392" s="1"/>
      <c r="E392" s="1"/>
      <c r="F392" s="32"/>
      <c r="G392" s="32"/>
      <c r="H392" s="32"/>
      <c r="I392" s="32"/>
      <c r="J392" s="32"/>
      <c r="K392" s="54"/>
      <c r="L392" s="32"/>
      <c r="M392" s="32"/>
      <c r="N392" s="32"/>
      <c r="O392" s="32"/>
      <c r="P392" s="32"/>
      <c r="Q392" s="32"/>
      <c r="R392" s="32"/>
      <c r="S392" s="54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  <c r="AW392" s="32"/>
      <c r="AX392" s="32"/>
      <c r="AY392" s="32"/>
      <c r="AZ392" s="32"/>
      <c r="BA392" s="32"/>
      <c r="BB392" s="32"/>
      <c r="BC392" s="32"/>
      <c r="BD392" s="32"/>
      <c r="BE392" s="32"/>
      <c r="BF392" s="32"/>
      <c r="BG392" s="32"/>
      <c r="BH392" s="32"/>
      <c r="BI392" s="32"/>
      <c r="BJ392" s="32"/>
      <c r="BK392" s="32"/>
      <c r="BL392" s="32"/>
      <c r="BM392" s="32"/>
      <c r="BN392" s="32"/>
      <c r="BO392" s="32"/>
      <c r="BP392" s="32"/>
      <c r="BQ392" s="32"/>
      <c r="BR392" s="32"/>
      <c r="BS392" s="32"/>
      <c r="BT392" s="32"/>
      <c r="BU392" s="32"/>
      <c r="BV392" s="32"/>
      <c r="BW392" s="32"/>
      <c r="BX392" s="32"/>
      <c r="BY392" s="32"/>
      <c r="BZ392" s="32"/>
      <c r="CA392" s="32"/>
      <c r="CB392" s="32"/>
      <c r="CC392" s="55"/>
      <c r="CD392" s="55"/>
      <c r="CE392" s="32"/>
      <c r="CF392" s="32"/>
      <c r="CG392" s="32"/>
      <c r="CH392" s="32"/>
      <c r="CI392" s="32"/>
      <c r="CJ392" s="32"/>
    </row>
    <row r="393" ht="15.75" customHeight="1">
      <c r="A393" s="1"/>
      <c r="B393" s="1"/>
      <c r="C393" s="1"/>
      <c r="D393" s="1"/>
      <c r="E393" s="1"/>
      <c r="F393" s="32"/>
      <c r="G393" s="32"/>
      <c r="H393" s="32"/>
      <c r="I393" s="32"/>
      <c r="J393" s="32"/>
      <c r="K393" s="54"/>
      <c r="L393" s="32"/>
      <c r="M393" s="32"/>
      <c r="N393" s="32"/>
      <c r="O393" s="32"/>
      <c r="P393" s="32"/>
      <c r="Q393" s="32"/>
      <c r="R393" s="32"/>
      <c r="S393" s="54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2"/>
      <c r="AY393" s="32"/>
      <c r="AZ393" s="32"/>
      <c r="BA393" s="32"/>
      <c r="BB393" s="32"/>
      <c r="BC393" s="32"/>
      <c r="BD393" s="32"/>
      <c r="BE393" s="32"/>
      <c r="BF393" s="32"/>
      <c r="BG393" s="32"/>
      <c r="BH393" s="32"/>
      <c r="BI393" s="32"/>
      <c r="BJ393" s="32"/>
      <c r="BK393" s="32"/>
      <c r="BL393" s="32"/>
      <c r="BM393" s="32"/>
      <c r="BN393" s="32"/>
      <c r="BO393" s="32"/>
      <c r="BP393" s="32"/>
      <c r="BQ393" s="32"/>
      <c r="BR393" s="32"/>
      <c r="BS393" s="32"/>
      <c r="BT393" s="32"/>
      <c r="BU393" s="32"/>
      <c r="BV393" s="32"/>
      <c r="BW393" s="32"/>
      <c r="BX393" s="32"/>
      <c r="BY393" s="32"/>
      <c r="BZ393" s="32"/>
      <c r="CA393" s="32"/>
      <c r="CB393" s="32"/>
      <c r="CC393" s="55"/>
      <c r="CD393" s="55"/>
      <c r="CE393" s="32"/>
      <c r="CF393" s="32"/>
      <c r="CG393" s="32"/>
      <c r="CH393" s="32"/>
      <c r="CI393" s="32"/>
      <c r="CJ393" s="32"/>
    </row>
    <row r="394" ht="15.75" customHeight="1">
      <c r="A394" s="1"/>
      <c r="B394" s="1"/>
      <c r="C394" s="1"/>
      <c r="D394" s="1"/>
      <c r="E394" s="1"/>
      <c r="F394" s="32"/>
      <c r="G394" s="32"/>
      <c r="H394" s="32"/>
      <c r="I394" s="32"/>
      <c r="J394" s="32"/>
      <c r="K394" s="54"/>
      <c r="L394" s="32"/>
      <c r="M394" s="32"/>
      <c r="N394" s="32"/>
      <c r="O394" s="32"/>
      <c r="P394" s="32"/>
      <c r="Q394" s="32"/>
      <c r="R394" s="32"/>
      <c r="S394" s="54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  <c r="AW394" s="32"/>
      <c r="AX394" s="32"/>
      <c r="AY394" s="32"/>
      <c r="AZ394" s="32"/>
      <c r="BA394" s="32"/>
      <c r="BB394" s="32"/>
      <c r="BC394" s="32"/>
      <c r="BD394" s="32"/>
      <c r="BE394" s="32"/>
      <c r="BF394" s="32"/>
      <c r="BG394" s="32"/>
      <c r="BH394" s="32"/>
      <c r="BI394" s="32"/>
      <c r="BJ394" s="32"/>
      <c r="BK394" s="32"/>
      <c r="BL394" s="32"/>
      <c r="BM394" s="32"/>
      <c r="BN394" s="32"/>
      <c r="BO394" s="32"/>
      <c r="BP394" s="32"/>
      <c r="BQ394" s="32"/>
      <c r="BR394" s="32"/>
      <c r="BS394" s="32"/>
      <c r="BT394" s="32"/>
      <c r="BU394" s="32"/>
      <c r="BV394" s="32"/>
      <c r="BW394" s="32"/>
      <c r="BX394" s="32"/>
      <c r="BY394" s="32"/>
      <c r="BZ394" s="32"/>
      <c r="CA394" s="32"/>
      <c r="CB394" s="32"/>
      <c r="CC394" s="55"/>
      <c r="CD394" s="55"/>
      <c r="CE394" s="32"/>
      <c r="CF394" s="32"/>
      <c r="CG394" s="32"/>
      <c r="CH394" s="32"/>
      <c r="CI394" s="32"/>
      <c r="CJ394" s="32"/>
    </row>
    <row r="395" ht="15.75" customHeight="1">
      <c r="A395" s="1"/>
      <c r="B395" s="1"/>
      <c r="C395" s="1"/>
      <c r="D395" s="1"/>
      <c r="E395" s="1"/>
      <c r="F395" s="32"/>
      <c r="G395" s="32"/>
      <c r="H395" s="32"/>
      <c r="I395" s="32"/>
      <c r="J395" s="32"/>
      <c r="K395" s="54"/>
      <c r="L395" s="32"/>
      <c r="M395" s="32"/>
      <c r="N395" s="32"/>
      <c r="O395" s="32"/>
      <c r="P395" s="32"/>
      <c r="Q395" s="32"/>
      <c r="R395" s="32"/>
      <c r="S395" s="54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  <c r="AW395" s="32"/>
      <c r="AX395" s="32"/>
      <c r="AY395" s="32"/>
      <c r="AZ395" s="32"/>
      <c r="BA395" s="32"/>
      <c r="BB395" s="32"/>
      <c r="BC395" s="32"/>
      <c r="BD395" s="32"/>
      <c r="BE395" s="32"/>
      <c r="BF395" s="32"/>
      <c r="BG395" s="32"/>
      <c r="BH395" s="32"/>
      <c r="BI395" s="32"/>
      <c r="BJ395" s="32"/>
      <c r="BK395" s="32"/>
      <c r="BL395" s="32"/>
      <c r="BM395" s="32"/>
      <c r="BN395" s="32"/>
      <c r="BO395" s="32"/>
      <c r="BP395" s="32"/>
      <c r="BQ395" s="32"/>
      <c r="BR395" s="32"/>
      <c r="BS395" s="32"/>
      <c r="BT395" s="32"/>
      <c r="BU395" s="32"/>
      <c r="BV395" s="32"/>
      <c r="BW395" s="32"/>
      <c r="BX395" s="32"/>
      <c r="BY395" s="32"/>
      <c r="BZ395" s="32"/>
      <c r="CA395" s="32"/>
      <c r="CB395" s="32"/>
      <c r="CC395" s="55"/>
      <c r="CD395" s="55"/>
      <c r="CE395" s="32"/>
      <c r="CF395" s="32"/>
      <c r="CG395" s="32"/>
      <c r="CH395" s="32"/>
      <c r="CI395" s="32"/>
      <c r="CJ395" s="32"/>
    </row>
    <row r="396" ht="15.75" customHeight="1">
      <c r="A396" s="1"/>
      <c r="B396" s="1"/>
      <c r="C396" s="1"/>
      <c r="D396" s="1"/>
      <c r="E396" s="1"/>
      <c r="F396" s="32"/>
      <c r="G396" s="32"/>
      <c r="H396" s="32"/>
      <c r="I396" s="32"/>
      <c r="J396" s="32"/>
      <c r="K396" s="54"/>
      <c r="L396" s="32"/>
      <c r="M396" s="32"/>
      <c r="N396" s="32"/>
      <c r="O396" s="32"/>
      <c r="P396" s="32"/>
      <c r="Q396" s="32"/>
      <c r="R396" s="32"/>
      <c r="S396" s="54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2"/>
      <c r="AY396" s="32"/>
      <c r="AZ396" s="32"/>
      <c r="BA396" s="32"/>
      <c r="BB396" s="32"/>
      <c r="BC396" s="32"/>
      <c r="BD396" s="32"/>
      <c r="BE396" s="32"/>
      <c r="BF396" s="32"/>
      <c r="BG396" s="32"/>
      <c r="BH396" s="32"/>
      <c r="BI396" s="32"/>
      <c r="BJ396" s="32"/>
      <c r="BK396" s="32"/>
      <c r="BL396" s="32"/>
      <c r="BM396" s="32"/>
      <c r="BN396" s="32"/>
      <c r="BO396" s="32"/>
      <c r="BP396" s="32"/>
      <c r="BQ396" s="32"/>
      <c r="BR396" s="32"/>
      <c r="BS396" s="32"/>
      <c r="BT396" s="32"/>
      <c r="BU396" s="32"/>
      <c r="BV396" s="32"/>
      <c r="BW396" s="32"/>
      <c r="BX396" s="32"/>
      <c r="BY396" s="32"/>
      <c r="BZ396" s="32"/>
      <c r="CA396" s="32"/>
      <c r="CB396" s="32"/>
      <c r="CC396" s="55"/>
      <c r="CD396" s="55"/>
      <c r="CE396" s="32"/>
      <c r="CF396" s="32"/>
      <c r="CG396" s="32"/>
      <c r="CH396" s="32"/>
      <c r="CI396" s="32"/>
      <c r="CJ396" s="32"/>
    </row>
    <row r="397" ht="15.75" customHeight="1">
      <c r="A397" s="1"/>
      <c r="B397" s="1"/>
      <c r="C397" s="1"/>
      <c r="D397" s="1"/>
      <c r="E397" s="1"/>
      <c r="F397" s="32"/>
      <c r="G397" s="32"/>
      <c r="H397" s="32"/>
      <c r="I397" s="32"/>
      <c r="J397" s="32"/>
      <c r="K397" s="54"/>
      <c r="L397" s="32"/>
      <c r="M397" s="32"/>
      <c r="N397" s="32"/>
      <c r="O397" s="32"/>
      <c r="P397" s="32"/>
      <c r="Q397" s="32"/>
      <c r="R397" s="32"/>
      <c r="S397" s="54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2"/>
      <c r="BB397" s="32"/>
      <c r="BC397" s="32"/>
      <c r="BD397" s="32"/>
      <c r="BE397" s="32"/>
      <c r="BF397" s="32"/>
      <c r="BG397" s="32"/>
      <c r="BH397" s="32"/>
      <c r="BI397" s="32"/>
      <c r="BJ397" s="32"/>
      <c r="BK397" s="32"/>
      <c r="BL397" s="32"/>
      <c r="BM397" s="32"/>
      <c r="BN397" s="32"/>
      <c r="BO397" s="32"/>
      <c r="BP397" s="32"/>
      <c r="BQ397" s="32"/>
      <c r="BR397" s="32"/>
      <c r="BS397" s="32"/>
      <c r="BT397" s="32"/>
      <c r="BU397" s="32"/>
      <c r="BV397" s="32"/>
      <c r="BW397" s="32"/>
      <c r="BX397" s="32"/>
      <c r="BY397" s="32"/>
      <c r="BZ397" s="32"/>
      <c r="CA397" s="32"/>
      <c r="CB397" s="32"/>
      <c r="CC397" s="55"/>
      <c r="CD397" s="55"/>
      <c r="CE397" s="32"/>
      <c r="CF397" s="32"/>
      <c r="CG397" s="32"/>
      <c r="CH397" s="32"/>
      <c r="CI397" s="32"/>
      <c r="CJ397" s="32"/>
    </row>
    <row r="398" ht="15.75" customHeight="1">
      <c r="A398" s="1"/>
      <c r="B398" s="1"/>
      <c r="C398" s="1"/>
      <c r="D398" s="1"/>
      <c r="E398" s="1"/>
      <c r="F398" s="32"/>
      <c r="G398" s="32"/>
      <c r="H398" s="32"/>
      <c r="I398" s="32"/>
      <c r="J398" s="32"/>
      <c r="K398" s="54"/>
      <c r="L398" s="32"/>
      <c r="M398" s="32"/>
      <c r="N398" s="32"/>
      <c r="O398" s="32"/>
      <c r="P398" s="32"/>
      <c r="Q398" s="32"/>
      <c r="R398" s="32"/>
      <c r="S398" s="54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2"/>
      <c r="AZ398" s="32"/>
      <c r="BA398" s="32"/>
      <c r="BB398" s="32"/>
      <c r="BC398" s="32"/>
      <c r="BD398" s="32"/>
      <c r="BE398" s="32"/>
      <c r="BF398" s="32"/>
      <c r="BG398" s="32"/>
      <c r="BH398" s="32"/>
      <c r="BI398" s="32"/>
      <c r="BJ398" s="32"/>
      <c r="BK398" s="32"/>
      <c r="BL398" s="32"/>
      <c r="BM398" s="32"/>
      <c r="BN398" s="32"/>
      <c r="BO398" s="32"/>
      <c r="BP398" s="32"/>
      <c r="BQ398" s="32"/>
      <c r="BR398" s="32"/>
      <c r="BS398" s="32"/>
      <c r="BT398" s="32"/>
      <c r="BU398" s="32"/>
      <c r="BV398" s="32"/>
      <c r="BW398" s="32"/>
      <c r="BX398" s="32"/>
      <c r="BY398" s="32"/>
      <c r="BZ398" s="32"/>
      <c r="CA398" s="32"/>
      <c r="CB398" s="32"/>
      <c r="CC398" s="55"/>
      <c r="CD398" s="55"/>
      <c r="CE398" s="32"/>
      <c r="CF398" s="32"/>
      <c r="CG398" s="32"/>
      <c r="CH398" s="32"/>
      <c r="CI398" s="32"/>
      <c r="CJ398" s="32"/>
    </row>
    <row r="399" ht="15.75" customHeight="1">
      <c r="A399" s="1"/>
      <c r="B399" s="1"/>
      <c r="C399" s="1"/>
      <c r="D399" s="1"/>
      <c r="E399" s="1"/>
      <c r="F399" s="32"/>
      <c r="G399" s="32"/>
      <c r="H399" s="32"/>
      <c r="I399" s="32"/>
      <c r="J399" s="32"/>
      <c r="K399" s="54"/>
      <c r="L399" s="32"/>
      <c r="M399" s="32"/>
      <c r="N399" s="32"/>
      <c r="O399" s="32"/>
      <c r="P399" s="32"/>
      <c r="Q399" s="32"/>
      <c r="R399" s="32"/>
      <c r="S399" s="54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2"/>
      <c r="BA399" s="32"/>
      <c r="BB399" s="32"/>
      <c r="BC399" s="32"/>
      <c r="BD399" s="32"/>
      <c r="BE399" s="32"/>
      <c r="BF399" s="32"/>
      <c r="BG399" s="32"/>
      <c r="BH399" s="32"/>
      <c r="BI399" s="32"/>
      <c r="BJ399" s="32"/>
      <c r="BK399" s="32"/>
      <c r="BL399" s="32"/>
      <c r="BM399" s="32"/>
      <c r="BN399" s="32"/>
      <c r="BO399" s="32"/>
      <c r="BP399" s="32"/>
      <c r="BQ399" s="32"/>
      <c r="BR399" s="32"/>
      <c r="BS399" s="32"/>
      <c r="BT399" s="32"/>
      <c r="BU399" s="32"/>
      <c r="BV399" s="32"/>
      <c r="BW399" s="32"/>
      <c r="BX399" s="32"/>
      <c r="BY399" s="32"/>
      <c r="BZ399" s="32"/>
      <c r="CA399" s="32"/>
      <c r="CB399" s="32"/>
      <c r="CC399" s="55"/>
      <c r="CD399" s="55"/>
      <c r="CE399" s="32"/>
      <c r="CF399" s="32"/>
      <c r="CG399" s="32"/>
      <c r="CH399" s="32"/>
      <c r="CI399" s="32"/>
      <c r="CJ399" s="32"/>
    </row>
    <row r="400" ht="15.75" customHeight="1">
      <c r="A400" s="1"/>
      <c r="B400" s="1"/>
      <c r="C400" s="1"/>
      <c r="D400" s="1"/>
      <c r="E400" s="1"/>
      <c r="F400" s="32"/>
      <c r="G400" s="32"/>
      <c r="H400" s="32"/>
      <c r="I400" s="32"/>
      <c r="J400" s="32"/>
      <c r="K400" s="54"/>
      <c r="L400" s="32"/>
      <c r="M400" s="32"/>
      <c r="N400" s="32"/>
      <c r="O400" s="32"/>
      <c r="P400" s="32"/>
      <c r="Q400" s="32"/>
      <c r="R400" s="32"/>
      <c r="S400" s="54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2"/>
      <c r="AY400" s="32"/>
      <c r="AZ400" s="32"/>
      <c r="BA400" s="32"/>
      <c r="BB400" s="32"/>
      <c r="BC400" s="32"/>
      <c r="BD400" s="32"/>
      <c r="BE400" s="32"/>
      <c r="BF400" s="32"/>
      <c r="BG400" s="32"/>
      <c r="BH400" s="32"/>
      <c r="BI400" s="32"/>
      <c r="BJ400" s="32"/>
      <c r="BK400" s="32"/>
      <c r="BL400" s="32"/>
      <c r="BM400" s="32"/>
      <c r="BN400" s="32"/>
      <c r="BO400" s="32"/>
      <c r="BP400" s="32"/>
      <c r="BQ400" s="32"/>
      <c r="BR400" s="32"/>
      <c r="BS400" s="32"/>
      <c r="BT400" s="32"/>
      <c r="BU400" s="32"/>
      <c r="BV400" s="32"/>
      <c r="BW400" s="32"/>
      <c r="BX400" s="32"/>
      <c r="BY400" s="32"/>
      <c r="BZ400" s="32"/>
      <c r="CA400" s="32"/>
      <c r="CB400" s="32"/>
      <c r="CC400" s="55"/>
      <c r="CD400" s="55"/>
      <c r="CE400" s="32"/>
      <c r="CF400" s="32"/>
      <c r="CG400" s="32"/>
      <c r="CH400" s="32"/>
      <c r="CI400" s="32"/>
      <c r="CJ400" s="32"/>
    </row>
    <row r="401" ht="15.75" customHeight="1">
      <c r="A401" s="1"/>
      <c r="B401" s="1"/>
      <c r="C401" s="1"/>
      <c r="D401" s="1"/>
      <c r="E401" s="1"/>
      <c r="F401" s="32"/>
      <c r="G401" s="32"/>
      <c r="H401" s="32"/>
      <c r="I401" s="32"/>
      <c r="J401" s="32"/>
      <c r="K401" s="54"/>
      <c r="L401" s="32"/>
      <c r="M401" s="32"/>
      <c r="N401" s="32"/>
      <c r="O401" s="32"/>
      <c r="P401" s="32"/>
      <c r="Q401" s="32"/>
      <c r="R401" s="32"/>
      <c r="S401" s="54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  <c r="AW401" s="32"/>
      <c r="AX401" s="32"/>
      <c r="AY401" s="32"/>
      <c r="AZ401" s="32"/>
      <c r="BA401" s="32"/>
      <c r="BB401" s="32"/>
      <c r="BC401" s="32"/>
      <c r="BD401" s="32"/>
      <c r="BE401" s="32"/>
      <c r="BF401" s="32"/>
      <c r="BG401" s="32"/>
      <c r="BH401" s="32"/>
      <c r="BI401" s="32"/>
      <c r="BJ401" s="32"/>
      <c r="BK401" s="32"/>
      <c r="BL401" s="32"/>
      <c r="BM401" s="32"/>
      <c r="BN401" s="32"/>
      <c r="BO401" s="32"/>
      <c r="BP401" s="32"/>
      <c r="BQ401" s="32"/>
      <c r="BR401" s="32"/>
      <c r="BS401" s="32"/>
      <c r="BT401" s="32"/>
      <c r="BU401" s="32"/>
      <c r="BV401" s="32"/>
      <c r="BW401" s="32"/>
      <c r="BX401" s="32"/>
      <c r="BY401" s="32"/>
      <c r="BZ401" s="32"/>
      <c r="CA401" s="32"/>
      <c r="CB401" s="32"/>
      <c r="CC401" s="55"/>
      <c r="CD401" s="55"/>
      <c r="CE401" s="32"/>
      <c r="CF401" s="32"/>
      <c r="CG401" s="32"/>
      <c r="CH401" s="32"/>
      <c r="CI401" s="32"/>
      <c r="CJ401" s="32"/>
    </row>
    <row r="402" ht="15.75" customHeight="1">
      <c r="A402" s="1"/>
      <c r="B402" s="1"/>
      <c r="C402" s="1"/>
      <c r="D402" s="1"/>
      <c r="E402" s="1"/>
      <c r="F402" s="32"/>
      <c r="G402" s="32"/>
      <c r="H402" s="32"/>
      <c r="I402" s="32"/>
      <c r="J402" s="32"/>
      <c r="K402" s="54"/>
      <c r="L402" s="32"/>
      <c r="M402" s="32"/>
      <c r="N402" s="32"/>
      <c r="O402" s="32"/>
      <c r="P402" s="32"/>
      <c r="Q402" s="32"/>
      <c r="R402" s="32"/>
      <c r="S402" s="54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  <c r="AT402" s="32"/>
      <c r="AU402" s="32"/>
      <c r="AV402" s="32"/>
      <c r="AW402" s="32"/>
      <c r="AX402" s="32"/>
      <c r="AY402" s="32"/>
      <c r="AZ402" s="32"/>
      <c r="BA402" s="32"/>
      <c r="BB402" s="32"/>
      <c r="BC402" s="32"/>
      <c r="BD402" s="32"/>
      <c r="BE402" s="32"/>
      <c r="BF402" s="32"/>
      <c r="BG402" s="32"/>
      <c r="BH402" s="32"/>
      <c r="BI402" s="32"/>
      <c r="BJ402" s="32"/>
      <c r="BK402" s="32"/>
      <c r="BL402" s="32"/>
      <c r="BM402" s="32"/>
      <c r="BN402" s="32"/>
      <c r="BO402" s="32"/>
      <c r="BP402" s="32"/>
      <c r="BQ402" s="32"/>
      <c r="BR402" s="32"/>
      <c r="BS402" s="32"/>
      <c r="BT402" s="32"/>
      <c r="BU402" s="32"/>
      <c r="BV402" s="32"/>
      <c r="BW402" s="32"/>
      <c r="BX402" s="32"/>
      <c r="BY402" s="32"/>
      <c r="BZ402" s="32"/>
      <c r="CA402" s="32"/>
      <c r="CB402" s="32"/>
      <c r="CC402" s="55"/>
      <c r="CD402" s="55"/>
      <c r="CE402" s="32"/>
      <c r="CF402" s="32"/>
      <c r="CG402" s="32"/>
      <c r="CH402" s="32"/>
      <c r="CI402" s="32"/>
      <c r="CJ402" s="32"/>
    </row>
    <row r="403" ht="15.75" customHeight="1">
      <c r="A403" s="1"/>
      <c r="B403" s="1"/>
      <c r="C403" s="1"/>
      <c r="D403" s="1"/>
      <c r="E403" s="1"/>
      <c r="F403" s="32"/>
      <c r="G403" s="32"/>
      <c r="H403" s="32"/>
      <c r="I403" s="32"/>
      <c r="J403" s="32"/>
      <c r="K403" s="54"/>
      <c r="L403" s="32"/>
      <c r="M403" s="32"/>
      <c r="N403" s="32"/>
      <c r="O403" s="32"/>
      <c r="P403" s="32"/>
      <c r="Q403" s="32"/>
      <c r="R403" s="32"/>
      <c r="S403" s="54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  <c r="AX403" s="32"/>
      <c r="AY403" s="32"/>
      <c r="AZ403" s="32"/>
      <c r="BA403" s="32"/>
      <c r="BB403" s="32"/>
      <c r="BC403" s="32"/>
      <c r="BD403" s="32"/>
      <c r="BE403" s="32"/>
      <c r="BF403" s="32"/>
      <c r="BG403" s="32"/>
      <c r="BH403" s="32"/>
      <c r="BI403" s="32"/>
      <c r="BJ403" s="32"/>
      <c r="BK403" s="32"/>
      <c r="BL403" s="32"/>
      <c r="BM403" s="32"/>
      <c r="BN403" s="32"/>
      <c r="BO403" s="32"/>
      <c r="BP403" s="32"/>
      <c r="BQ403" s="32"/>
      <c r="BR403" s="32"/>
      <c r="BS403" s="32"/>
      <c r="BT403" s="32"/>
      <c r="BU403" s="32"/>
      <c r="BV403" s="32"/>
      <c r="BW403" s="32"/>
      <c r="BX403" s="32"/>
      <c r="BY403" s="32"/>
      <c r="BZ403" s="32"/>
      <c r="CA403" s="32"/>
      <c r="CB403" s="32"/>
      <c r="CC403" s="55"/>
      <c r="CD403" s="55"/>
      <c r="CE403" s="32"/>
      <c r="CF403" s="32"/>
      <c r="CG403" s="32"/>
      <c r="CH403" s="32"/>
      <c r="CI403" s="32"/>
      <c r="CJ403" s="32"/>
    </row>
    <row r="404" ht="15.75" customHeight="1">
      <c r="A404" s="1"/>
      <c r="B404" s="1"/>
      <c r="C404" s="1"/>
      <c r="D404" s="1"/>
      <c r="E404" s="1"/>
      <c r="F404" s="32"/>
      <c r="G404" s="32"/>
      <c r="H404" s="32"/>
      <c r="I404" s="32"/>
      <c r="J404" s="32"/>
      <c r="K404" s="54"/>
      <c r="L404" s="32"/>
      <c r="M404" s="32"/>
      <c r="N404" s="32"/>
      <c r="O404" s="32"/>
      <c r="P404" s="32"/>
      <c r="Q404" s="32"/>
      <c r="R404" s="32"/>
      <c r="S404" s="54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2"/>
      <c r="AY404" s="32"/>
      <c r="AZ404" s="32"/>
      <c r="BA404" s="32"/>
      <c r="BB404" s="32"/>
      <c r="BC404" s="32"/>
      <c r="BD404" s="32"/>
      <c r="BE404" s="32"/>
      <c r="BF404" s="32"/>
      <c r="BG404" s="32"/>
      <c r="BH404" s="32"/>
      <c r="BI404" s="32"/>
      <c r="BJ404" s="32"/>
      <c r="BK404" s="32"/>
      <c r="BL404" s="32"/>
      <c r="BM404" s="32"/>
      <c r="BN404" s="32"/>
      <c r="BO404" s="32"/>
      <c r="BP404" s="32"/>
      <c r="BQ404" s="32"/>
      <c r="BR404" s="32"/>
      <c r="BS404" s="32"/>
      <c r="BT404" s="32"/>
      <c r="BU404" s="32"/>
      <c r="BV404" s="32"/>
      <c r="BW404" s="32"/>
      <c r="BX404" s="32"/>
      <c r="BY404" s="32"/>
      <c r="BZ404" s="32"/>
      <c r="CA404" s="32"/>
      <c r="CB404" s="32"/>
      <c r="CC404" s="55"/>
      <c r="CD404" s="55"/>
      <c r="CE404" s="32"/>
      <c r="CF404" s="32"/>
      <c r="CG404" s="32"/>
      <c r="CH404" s="32"/>
      <c r="CI404" s="32"/>
      <c r="CJ404" s="32"/>
    </row>
    <row r="405" ht="15.75" customHeight="1">
      <c r="A405" s="1"/>
      <c r="B405" s="1"/>
      <c r="C405" s="1"/>
      <c r="D405" s="1"/>
      <c r="E405" s="1"/>
      <c r="F405" s="32"/>
      <c r="G405" s="32"/>
      <c r="H405" s="32"/>
      <c r="I405" s="32"/>
      <c r="J405" s="32"/>
      <c r="K405" s="54"/>
      <c r="L405" s="32"/>
      <c r="M405" s="32"/>
      <c r="N405" s="32"/>
      <c r="O405" s="32"/>
      <c r="P405" s="32"/>
      <c r="Q405" s="32"/>
      <c r="R405" s="32"/>
      <c r="S405" s="54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  <c r="AY405" s="32"/>
      <c r="AZ405" s="32"/>
      <c r="BA405" s="32"/>
      <c r="BB405" s="32"/>
      <c r="BC405" s="32"/>
      <c r="BD405" s="32"/>
      <c r="BE405" s="32"/>
      <c r="BF405" s="32"/>
      <c r="BG405" s="32"/>
      <c r="BH405" s="32"/>
      <c r="BI405" s="32"/>
      <c r="BJ405" s="32"/>
      <c r="BK405" s="32"/>
      <c r="BL405" s="32"/>
      <c r="BM405" s="32"/>
      <c r="BN405" s="32"/>
      <c r="BO405" s="32"/>
      <c r="BP405" s="32"/>
      <c r="BQ405" s="32"/>
      <c r="BR405" s="32"/>
      <c r="BS405" s="32"/>
      <c r="BT405" s="32"/>
      <c r="BU405" s="32"/>
      <c r="BV405" s="32"/>
      <c r="BW405" s="32"/>
      <c r="BX405" s="32"/>
      <c r="BY405" s="32"/>
      <c r="BZ405" s="32"/>
      <c r="CA405" s="32"/>
      <c r="CB405" s="32"/>
      <c r="CC405" s="55"/>
      <c r="CD405" s="55"/>
      <c r="CE405" s="32"/>
      <c r="CF405" s="32"/>
      <c r="CG405" s="32"/>
      <c r="CH405" s="32"/>
      <c r="CI405" s="32"/>
      <c r="CJ405" s="32"/>
    </row>
  </sheetData>
  <printOptions/>
  <pageMargins bottom="1.0" footer="0.0" header="0.0" left="0.75" right="0.75" top="1.0"/>
  <pageSetup paperSize="9" orientation="portrait"/>
  <drawing r:id="rId1"/>
</worksheet>
</file>